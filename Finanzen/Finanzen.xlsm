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22320" yWindow="0" windowWidth="19560" windowHeight="8115" tabRatio="769"/>
  </bookViews>
  <sheets>
    <sheet name="Stammdaten" sheetId="1" r:id="rId1"/>
    <sheet name="Investitionsplan" sheetId="2" r:id="rId2"/>
    <sheet name="Plankosten" sheetId="3" r:id="rId3"/>
    <sheet name="Plan G&amp;V" sheetId="6" r:id="rId4"/>
    <sheet name="Abschreibung" sheetId="8" r:id="rId5"/>
    <sheet name="Liquiditätsplan" sheetId="9" r:id="rId6"/>
    <sheet name="Planbilanz" sheetId="11" r:id="rId7"/>
    <sheet name="Cash Flow" sheetId="12" r:id="rId8"/>
    <sheet name="Kennzahlen" sheetId="13" r:id="rId9"/>
    <sheet name="Lizenzgebühr" sheetId="10" r:id="rId10"/>
    <sheet name="Auswahltabellen" sheetId="4" state="hidden" r:id="rId11"/>
  </sheets>
  <definedNames>
    <definedName name="Anually">Auswahltabellen!$B$2:$B$13</definedName>
    <definedName name="Bimonthly">Auswahltabellen!$E$2:$E$3</definedName>
    <definedName name="_xlnm.Print_Area" localSheetId="4">Abschreibung!$A$1:$M$40</definedName>
    <definedName name="_xlnm.Print_Area" localSheetId="7">'Cash Flow'!$A$1:$H$18</definedName>
    <definedName name="_xlnm.Print_Area" localSheetId="1">Investitionsplan!$A$1:$Y$40</definedName>
    <definedName name="_xlnm.Print_Area" localSheetId="8">Kennzahlen!$A$1:$H$18</definedName>
    <definedName name="_xlnm.Print_Area" localSheetId="5">Liquiditätsplan!$A$1:$X$91</definedName>
    <definedName name="_xlnm.Print_Area" localSheetId="9">Lizenzgebühr!$A$1:$K$19</definedName>
    <definedName name="_xlnm.Print_Area" localSheetId="3">'Plan G&amp;V'!$A$1:$X$56</definedName>
    <definedName name="_xlnm.Print_Area" localSheetId="6">Planbilanz!$A$1:$L$40</definedName>
    <definedName name="_xlnm.Print_Area" localSheetId="2">Plankosten!$A$1:$X$164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2" l="1"/>
  <c r="G33" i="2"/>
  <c r="H33" i="2"/>
  <c r="I33" i="2"/>
  <c r="J33" i="2"/>
  <c r="K33" i="2"/>
  <c r="L33" i="2"/>
  <c r="M33" i="2"/>
  <c r="N33" i="2"/>
  <c r="O33" i="2"/>
  <c r="P33" i="2"/>
  <c r="Q33" i="2"/>
  <c r="F34" i="2"/>
  <c r="G34" i="2"/>
  <c r="H34" i="2"/>
  <c r="I34" i="2"/>
  <c r="J34" i="2"/>
  <c r="K34" i="2"/>
  <c r="L34" i="2"/>
  <c r="M34" i="2"/>
  <c r="N34" i="2"/>
  <c r="O34" i="2"/>
  <c r="P34" i="2"/>
  <c r="Q34" i="2"/>
  <c r="F35" i="2"/>
  <c r="G35" i="2"/>
  <c r="H35" i="2"/>
  <c r="I35" i="2"/>
  <c r="J35" i="2"/>
  <c r="K35" i="2"/>
  <c r="L35" i="2"/>
  <c r="M35" i="2"/>
  <c r="N35" i="2"/>
  <c r="O35" i="2"/>
  <c r="P35" i="2"/>
  <c r="Q35" i="2"/>
  <c r="F36" i="2"/>
  <c r="G36" i="2"/>
  <c r="H36" i="2"/>
  <c r="I36" i="2"/>
  <c r="J36" i="2"/>
  <c r="K36" i="2"/>
  <c r="L36" i="2"/>
  <c r="M36" i="2"/>
  <c r="N36" i="2"/>
  <c r="O36" i="2"/>
  <c r="P36" i="2"/>
  <c r="Q36" i="2"/>
  <c r="G32" i="2"/>
  <c r="H32" i="2"/>
  <c r="I32" i="2"/>
  <c r="J32" i="2"/>
  <c r="K32" i="2"/>
  <c r="L32" i="2"/>
  <c r="M32" i="2"/>
  <c r="N32" i="2"/>
  <c r="O32" i="2"/>
  <c r="P32" i="2"/>
  <c r="Q32" i="2"/>
  <c r="F32" i="2"/>
  <c r="S32" i="2"/>
  <c r="T32" i="2"/>
  <c r="U32" i="2"/>
  <c r="V32" i="2"/>
  <c r="X32" i="2"/>
  <c r="Y32" i="2"/>
  <c r="H16" i="13"/>
  <c r="H18" i="13" s="1"/>
  <c r="G16" i="13"/>
  <c r="G18" i="13" s="1"/>
  <c r="H10" i="12"/>
  <c r="G10" i="12"/>
  <c r="F10" i="12"/>
  <c r="E10" i="12"/>
  <c r="A22" i="8" a="1"/>
  <c r="A22" i="8" s="1"/>
  <c r="W32" i="2" l="1"/>
  <c r="R32" i="2"/>
  <c r="D23" i="8"/>
  <c r="B22" i="8"/>
  <c r="B24" i="8"/>
  <c r="B23" i="8"/>
  <c r="D22" i="8"/>
  <c r="D24" i="8"/>
  <c r="A24" i="8"/>
  <c r="A23" i="8"/>
  <c r="C22" i="8"/>
  <c r="C24" i="8"/>
  <c r="C23" i="8"/>
  <c r="D3" i="11"/>
  <c r="E26" i="11"/>
  <c r="G26" i="11" s="1"/>
  <c r="I26" i="11" l="1"/>
  <c r="K26" i="11" l="1"/>
  <c r="V36" i="9" l="1"/>
  <c r="V37" i="9"/>
  <c r="Q36" i="9"/>
  <c r="Q37" i="9"/>
  <c r="O31" i="9"/>
  <c r="V21" i="9"/>
  <c r="V22" i="9"/>
  <c r="V23" i="9"/>
  <c r="V24" i="9"/>
  <c r="V25" i="9"/>
  <c r="V26" i="9"/>
  <c r="V27" i="9"/>
  <c r="V28" i="9"/>
  <c r="V29" i="9"/>
  <c r="V20" i="9"/>
  <c r="Q21" i="9"/>
  <c r="Q22" i="9"/>
  <c r="Q23" i="9"/>
  <c r="Q24" i="9"/>
  <c r="Q25" i="9"/>
  <c r="Q26" i="9"/>
  <c r="Q27" i="9"/>
  <c r="Q28" i="9"/>
  <c r="Q29" i="9"/>
  <c r="Q20" i="9"/>
  <c r="D7" i="9"/>
  <c r="V72" i="9"/>
  <c r="V73" i="9"/>
  <c r="Q75" i="9"/>
  <c r="Q73" i="9"/>
  <c r="A71" i="9"/>
  <c r="A70" i="9"/>
  <c r="X91" i="9"/>
  <c r="T91" i="9"/>
  <c r="U71" i="9" s="1"/>
  <c r="U91" i="9"/>
  <c r="W71" i="9" s="1"/>
  <c r="S91" i="9"/>
  <c r="T71" i="9" s="1"/>
  <c r="R91" i="9"/>
  <c r="S71" i="9" s="1"/>
  <c r="K91" i="9"/>
  <c r="N71" i="9" s="1"/>
  <c r="N91" i="9"/>
  <c r="R71" i="9" s="1"/>
  <c r="H91" i="9"/>
  <c r="K71" i="9" s="1"/>
  <c r="E91" i="9"/>
  <c r="H71" i="9" s="1"/>
  <c r="Q71" i="9" s="1"/>
  <c r="V87" i="9"/>
  <c r="W91" i="9" s="1"/>
  <c r="X71" i="9" s="1"/>
  <c r="Q87" i="9"/>
  <c r="V71" i="9" l="1"/>
  <c r="V91" i="9"/>
  <c r="Q91" i="9"/>
  <c r="E59" i="9"/>
  <c r="E57" i="9"/>
  <c r="E54" i="9"/>
  <c r="E53" i="9"/>
  <c r="E52" i="9"/>
  <c r="E51" i="9"/>
  <c r="E49" i="9"/>
  <c r="E48" i="9"/>
  <c r="E47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F53" i="9"/>
  <c r="G53" i="9"/>
  <c r="H53" i="9"/>
  <c r="I53" i="9"/>
  <c r="J53" i="9"/>
  <c r="K53" i="9"/>
  <c r="L53" i="9"/>
  <c r="M53" i="9"/>
  <c r="N53" i="9"/>
  <c r="O53" i="9"/>
  <c r="P53" i="9"/>
  <c r="Q53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E58" i="9"/>
  <c r="E56" i="9"/>
  <c r="E5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V66" i="9"/>
  <c r="Q66" i="9"/>
  <c r="V60" i="9"/>
  <c r="Q60" i="9"/>
  <c r="F15" i="9"/>
  <c r="H74" i="9" s="1"/>
  <c r="G15" i="9"/>
  <c r="I74" i="9" s="1"/>
  <c r="H15" i="9"/>
  <c r="J74" i="9" s="1"/>
  <c r="I15" i="9"/>
  <c r="K74" i="9" s="1"/>
  <c r="J15" i="9"/>
  <c r="L74" i="9" s="1"/>
  <c r="K15" i="9"/>
  <c r="M74" i="9" s="1"/>
  <c r="L15" i="9"/>
  <c r="N74" i="9" s="1"/>
  <c r="M15" i="9"/>
  <c r="O74" i="9" s="1"/>
  <c r="N15" i="9"/>
  <c r="P74" i="9" s="1"/>
  <c r="O15" i="9"/>
  <c r="P15" i="9"/>
  <c r="R15" i="9"/>
  <c r="S15" i="9"/>
  <c r="T74" i="9" s="1"/>
  <c r="T15" i="9"/>
  <c r="U15" i="9"/>
  <c r="W15" i="9"/>
  <c r="X15" i="9"/>
  <c r="K16" i="11" s="1"/>
  <c r="V12" i="9"/>
  <c r="V11" i="9"/>
  <c r="Q11" i="9"/>
  <c r="X74" i="9" l="1"/>
  <c r="I16" i="11"/>
  <c r="H11" i="12" s="1"/>
  <c r="W74" i="9"/>
  <c r="U74" i="9"/>
  <c r="R74" i="9"/>
  <c r="S74" i="9"/>
  <c r="V75" i="9"/>
  <c r="Q12" i="9"/>
  <c r="E15" i="9"/>
  <c r="G74" i="9" s="1"/>
  <c r="Q74" i="9" s="1"/>
  <c r="V74" i="9" l="1"/>
  <c r="B7" i="10" l="1"/>
  <c r="U37" i="9" l="1"/>
  <c r="T37" i="9"/>
  <c r="S37" i="9"/>
  <c r="R37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 l="1"/>
  <c r="R31" i="9"/>
  <c r="W31" i="9"/>
  <c r="Q13" i="9"/>
  <c r="T31" i="9"/>
  <c r="S31" i="9"/>
  <c r="X31" i="9"/>
  <c r="U31" i="9"/>
  <c r="F39" i="9"/>
  <c r="X16" i="9" l="1"/>
  <c r="K31" i="9"/>
  <c r="S16" i="9"/>
  <c r="V31" i="9"/>
  <c r="U16" i="9"/>
  <c r="T16" i="9"/>
  <c r="W16" i="9"/>
  <c r="J31" i="9"/>
  <c r="I31" i="9"/>
  <c r="G31" i="9"/>
  <c r="P31" i="9"/>
  <c r="F31" i="9"/>
  <c r="L31" i="9"/>
  <c r="E39" i="9"/>
  <c r="H31" i="9"/>
  <c r="N31" i="9"/>
  <c r="M31" i="9"/>
  <c r="E31" i="9"/>
  <c r="A32" i="8" a="1"/>
  <c r="A32" i="8" s="1"/>
  <c r="A5" i="8" a="1"/>
  <c r="A5" i="8" s="1"/>
  <c r="M16" i="9" l="1"/>
  <c r="K16" i="9"/>
  <c r="E41" i="9"/>
  <c r="E16" i="9"/>
  <c r="N16" i="9"/>
  <c r="L16" i="9"/>
  <c r="P16" i="9"/>
  <c r="R16" i="9"/>
  <c r="V16" i="9" s="1"/>
  <c r="I16" i="9"/>
  <c r="J16" i="9"/>
  <c r="H16" i="9"/>
  <c r="F41" i="9"/>
  <c r="F16" i="9"/>
  <c r="G16" i="9"/>
  <c r="O16" i="9"/>
  <c r="Q31" i="9"/>
  <c r="C32" i="8"/>
  <c r="D36" i="8"/>
  <c r="D34" i="8"/>
  <c r="D33" i="8"/>
  <c r="D32" i="8"/>
  <c r="B36" i="8"/>
  <c r="B35" i="8"/>
  <c r="B34" i="8"/>
  <c r="B33" i="8"/>
  <c r="B32" i="8"/>
  <c r="D35" i="8"/>
  <c r="C36" i="8"/>
  <c r="L36" i="8" s="1"/>
  <c r="C35" i="8"/>
  <c r="C34" i="8"/>
  <c r="C33" i="8"/>
  <c r="A36" i="8"/>
  <c r="A35" i="8"/>
  <c r="A34" i="8"/>
  <c r="A33" i="8"/>
  <c r="B26" i="8"/>
  <c r="D18" i="8"/>
  <c r="E18" i="8" s="1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L7" i="8" l="1"/>
  <c r="F33" i="8"/>
  <c r="J33" i="8"/>
  <c r="G33" i="8"/>
  <c r="E33" i="8"/>
  <c r="H33" i="8" s="1"/>
  <c r="I33" i="8" s="1"/>
  <c r="J32" i="8"/>
  <c r="H32" i="8"/>
  <c r="E32" i="8"/>
  <c r="F32" i="8" s="1"/>
  <c r="G32" i="8" s="1"/>
  <c r="F35" i="8"/>
  <c r="G35" i="8"/>
  <c r="E35" i="8"/>
  <c r="J35" i="8" s="1"/>
  <c r="K35" i="8" s="1"/>
  <c r="H35" i="8"/>
  <c r="I35" i="8"/>
  <c r="G34" i="8"/>
  <c r="E34" i="8"/>
  <c r="H34" i="8" s="1"/>
  <c r="I34" i="8" s="1"/>
  <c r="K34" i="8" s="1"/>
  <c r="L34" i="8" s="1"/>
  <c r="M34" i="8" s="1"/>
  <c r="F34" i="8"/>
  <c r="J34" i="8"/>
  <c r="B38" i="8"/>
  <c r="F36" i="8"/>
  <c r="J36" i="8"/>
  <c r="G36" i="8"/>
  <c r="K36" i="8"/>
  <c r="H36" i="8"/>
  <c r="E36" i="8"/>
  <c r="I36" i="8"/>
  <c r="M36" i="8"/>
  <c r="L17" i="8"/>
  <c r="Q16" i="9"/>
  <c r="I23" i="8"/>
  <c r="K23" i="8"/>
  <c r="M23" i="8"/>
  <c r="G23" i="8"/>
  <c r="K24" i="8"/>
  <c r="M24" i="8"/>
  <c r="I24" i="8"/>
  <c r="G24" i="8"/>
  <c r="G22" i="8"/>
  <c r="E6" i="11" s="1"/>
  <c r="K22" i="8"/>
  <c r="I6" i="11" s="1"/>
  <c r="M22" i="8"/>
  <c r="I22" i="8"/>
  <c r="G6" i="11" s="1"/>
  <c r="E7" i="8"/>
  <c r="F7" i="8" s="1"/>
  <c r="G7" i="8" s="1"/>
  <c r="I7" i="8" s="1"/>
  <c r="K7" i="8" s="1"/>
  <c r="H7" i="8"/>
  <c r="J7" i="8"/>
  <c r="E11" i="8"/>
  <c r="H11" i="8" s="1"/>
  <c r="I11" i="8" s="1"/>
  <c r="F11" i="8"/>
  <c r="J11" i="8"/>
  <c r="G11" i="8"/>
  <c r="E15" i="8"/>
  <c r="F15" i="8" s="1"/>
  <c r="G15" i="8" s="1"/>
  <c r="H15" i="8"/>
  <c r="J15" i="8"/>
  <c r="E8" i="8"/>
  <c r="F8" i="8" s="1"/>
  <c r="G8" i="8" s="1"/>
  <c r="J8" i="8"/>
  <c r="H8" i="8"/>
  <c r="E12" i="8"/>
  <c r="H12" i="8" s="1"/>
  <c r="I12" i="8" s="1"/>
  <c r="F12" i="8"/>
  <c r="J12" i="8"/>
  <c r="G12" i="8"/>
  <c r="E16" i="8"/>
  <c r="H16" i="8" s="1"/>
  <c r="I16" i="8" s="1"/>
  <c r="G16" i="8"/>
  <c r="F16" i="8"/>
  <c r="J16" i="8"/>
  <c r="J5" i="8"/>
  <c r="H5" i="8"/>
  <c r="E9" i="8"/>
  <c r="F9" i="8" s="1"/>
  <c r="G9" i="8" s="1"/>
  <c r="H9" i="8"/>
  <c r="J9" i="8"/>
  <c r="E13" i="8"/>
  <c r="J13" i="8" s="1"/>
  <c r="K13" i="8" s="1"/>
  <c r="L13" i="8" s="1"/>
  <c r="H13" i="8"/>
  <c r="I13" i="8"/>
  <c r="F13" i="8"/>
  <c r="G13" i="8"/>
  <c r="E17" i="8"/>
  <c r="I17" i="8"/>
  <c r="J17" i="8"/>
  <c r="G17" i="8"/>
  <c r="K17" i="8"/>
  <c r="F17" i="8"/>
  <c r="H17" i="8"/>
  <c r="M17" i="8"/>
  <c r="E6" i="8"/>
  <c r="F6" i="8" s="1"/>
  <c r="G6" i="8" s="1"/>
  <c r="H6" i="8"/>
  <c r="J6" i="8"/>
  <c r="E10" i="8"/>
  <c r="F10" i="8" s="1"/>
  <c r="G10" i="8" s="1"/>
  <c r="H10" i="8"/>
  <c r="J10" i="8"/>
  <c r="E14" i="8"/>
  <c r="F14" i="8" s="1"/>
  <c r="G14" i="8" s="1"/>
  <c r="H14" i="8"/>
  <c r="J14" i="8"/>
  <c r="E5" i="8"/>
  <c r="F5" i="8" s="1"/>
  <c r="G5" i="8" s="1"/>
  <c r="B19" i="8"/>
  <c r="B28" i="8" s="1"/>
  <c r="X10" i="6"/>
  <c r="W10" i="6"/>
  <c r="W12" i="6" s="1"/>
  <c r="W13" i="6" s="1"/>
  <c r="S10" i="6"/>
  <c r="S12" i="6" s="1"/>
  <c r="S14" i="6" s="1"/>
  <c r="T10" i="6"/>
  <c r="T12" i="6" s="1"/>
  <c r="T13" i="6" s="1"/>
  <c r="U10" i="6"/>
  <c r="R10" i="6"/>
  <c r="R12" i="6" s="1"/>
  <c r="R13" i="6" s="1"/>
  <c r="F10" i="6"/>
  <c r="F12" i="6" s="1"/>
  <c r="F14" i="6" s="1"/>
  <c r="G10" i="6"/>
  <c r="G12" i="6" s="1"/>
  <c r="G13" i="6" s="1"/>
  <c r="H10" i="6"/>
  <c r="I10" i="6"/>
  <c r="I12" i="6" s="1"/>
  <c r="I14" i="6" s="1"/>
  <c r="J10" i="6"/>
  <c r="J12" i="6" s="1"/>
  <c r="J14" i="6" s="1"/>
  <c r="K10" i="6"/>
  <c r="K12" i="6" s="1"/>
  <c r="K13" i="6" s="1"/>
  <c r="L10" i="6"/>
  <c r="L12" i="6" s="1"/>
  <c r="L14" i="6" s="1"/>
  <c r="M10" i="6"/>
  <c r="M12" i="6" s="1"/>
  <c r="M14" i="6" s="1"/>
  <c r="N10" i="6"/>
  <c r="O10" i="6"/>
  <c r="O12" i="6" s="1"/>
  <c r="O13" i="6" s="1"/>
  <c r="P10" i="6"/>
  <c r="P12" i="6" s="1"/>
  <c r="P14" i="6" s="1"/>
  <c r="E10" i="6"/>
  <c r="E12" i="6" s="1"/>
  <c r="E13" i="6" s="1"/>
  <c r="V15" i="6"/>
  <c r="V16" i="6"/>
  <c r="V9" i="6"/>
  <c r="V15" i="9" s="1"/>
  <c r="G16" i="11" s="1"/>
  <c r="G11" i="12" s="1"/>
  <c r="Q15" i="6"/>
  <c r="Q16" i="6"/>
  <c r="Q9" i="6"/>
  <c r="Q15" i="9" s="1"/>
  <c r="E16" i="11" s="1"/>
  <c r="X32" i="6"/>
  <c r="X30" i="6"/>
  <c r="X26" i="6"/>
  <c r="X25" i="6"/>
  <c r="W32" i="6"/>
  <c r="W30" i="6"/>
  <c r="W26" i="6"/>
  <c r="W25" i="6"/>
  <c r="S25" i="6"/>
  <c r="T25" i="6"/>
  <c r="U25" i="6"/>
  <c r="S26" i="6"/>
  <c r="T26" i="6"/>
  <c r="U26" i="6"/>
  <c r="S30" i="6"/>
  <c r="T30" i="6"/>
  <c r="U30" i="6"/>
  <c r="S32" i="6"/>
  <c r="T32" i="6"/>
  <c r="U32" i="6"/>
  <c r="R32" i="6"/>
  <c r="R30" i="6"/>
  <c r="R26" i="6"/>
  <c r="R25" i="6"/>
  <c r="F25" i="6"/>
  <c r="G25" i="6"/>
  <c r="H25" i="6"/>
  <c r="I25" i="6"/>
  <c r="J25" i="6"/>
  <c r="K25" i="6"/>
  <c r="L25" i="6"/>
  <c r="M25" i="6"/>
  <c r="N25" i="6"/>
  <c r="O25" i="6"/>
  <c r="P25" i="6"/>
  <c r="F26" i="6"/>
  <c r="G26" i="6"/>
  <c r="H26" i="6"/>
  <c r="I26" i="6"/>
  <c r="J26" i="6"/>
  <c r="K26" i="6"/>
  <c r="L26" i="6"/>
  <c r="M26" i="6"/>
  <c r="N26" i="6"/>
  <c r="O26" i="6"/>
  <c r="P26" i="6"/>
  <c r="F29" i="6"/>
  <c r="G29" i="6"/>
  <c r="H29" i="6"/>
  <c r="I29" i="6"/>
  <c r="J29" i="6"/>
  <c r="K29" i="6"/>
  <c r="L29" i="6"/>
  <c r="M29" i="6"/>
  <c r="N29" i="6"/>
  <c r="O29" i="6"/>
  <c r="P29" i="6"/>
  <c r="F30" i="6"/>
  <c r="G30" i="6"/>
  <c r="H30" i="6"/>
  <c r="I30" i="6"/>
  <c r="J30" i="6"/>
  <c r="K30" i="6"/>
  <c r="L30" i="6"/>
  <c r="M30" i="6"/>
  <c r="N30" i="6"/>
  <c r="O30" i="6"/>
  <c r="P30" i="6"/>
  <c r="F32" i="6"/>
  <c r="G32" i="6"/>
  <c r="H32" i="6"/>
  <c r="I32" i="6"/>
  <c r="J32" i="6"/>
  <c r="K32" i="6"/>
  <c r="L32" i="6"/>
  <c r="M32" i="6"/>
  <c r="N32" i="6"/>
  <c r="O32" i="6"/>
  <c r="P32" i="6"/>
  <c r="E32" i="6"/>
  <c r="E30" i="6"/>
  <c r="E29" i="6"/>
  <c r="E26" i="6"/>
  <c r="E25" i="6"/>
  <c r="B35" i="6"/>
  <c r="B34" i="6"/>
  <c r="B33" i="6"/>
  <c r="B32" i="6"/>
  <c r="B31" i="6"/>
  <c r="B30" i="6"/>
  <c r="B29" i="6"/>
  <c r="B28" i="6"/>
  <c r="B27" i="6"/>
  <c r="B26" i="6"/>
  <c r="B25" i="6"/>
  <c r="Z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E65" i="3"/>
  <c r="B24" i="6"/>
  <c r="B23" i="6"/>
  <c r="B20" i="6"/>
  <c r="B19" i="6"/>
  <c r="X12" i="6"/>
  <c r="X14" i="6" s="1"/>
  <c r="U12" i="6"/>
  <c r="U14" i="6" s="1"/>
  <c r="H12" i="6"/>
  <c r="H14" i="6" s="1"/>
  <c r="N12" i="6"/>
  <c r="N14" i="6" s="1"/>
  <c r="K16" i="8" l="1"/>
  <c r="L16" i="8" s="1"/>
  <c r="K33" i="8"/>
  <c r="L33" i="8" s="1"/>
  <c r="M33" i="8" s="1"/>
  <c r="F38" i="8"/>
  <c r="E11" i="12"/>
  <c r="F11" i="12"/>
  <c r="E7" i="11"/>
  <c r="L35" i="8"/>
  <c r="M35" i="8" s="1"/>
  <c r="I32" i="8"/>
  <c r="G38" i="8"/>
  <c r="E9" i="11" s="1"/>
  <c r="J38" i="8"/>
  <c r="H38" i="8"/>
  <c r="I15" i="8"/>
  <c r="E8" i="11"/>
  <c r="K11" i="8"/>
  <c r="L11" i="8" s="1"/>
  <c r="E10" i="11"/>
  <c r="M26" i="8"/>
  <c r="K6" i="11"/>
  <c r="I26" i="8"/>
  <c r="K26" i="8"/>
  <c r="G26" i="8"/>
  <c r="I8" i="8"/>
  <c r="K12" i="8"/>
  <c r="L12" i="8" s="1"/>
  <c r="M7" i="8"/>
  <c r="M13" i="8"/>
  <c r="M16" i="8"/>
  <c r="I6" i="8"/>
  <c r="K6" i="8" s="1"/>
  <c r="L6" i="8" s="1"/>
  <c r="I10" i="8"/>
  <c r="K10" i="8" s="1"/>
  <c r="L10" i="8" s="1"/>
  <c r="I9" i="8"/>
  <c r="K9" i="8" s="1"/>
  <c r="L9" i="8" s="1"/>
  <c r="H19" i="8"/>
  <c r="J19" i="8"/>
  <c r="I14" i="8"/>
  <c r="K14" i="8" s="1"/>
  <c r="L14" i="8" s="1"/>
  <c r="I5" i="8"/>
  <c r="G19" i="8"/>
  <c r="F19" i="8"/>
  <c r="X13" i="6"/>
  <c r="W14" i="6"/>
  <c r="T14" i="6"/>
  <c r="S13" i="6"/>
  <c r="U13" i="6"/>
  <c r="R14" i="6"/>
  <c r="N13" i="6"/>
  <c r="J13" i="6"/>
  <c r="F13" i="6"/>
  <c r="O14" i="6"/>
  <c r="K14" i="6"/>
  <c r="G14" i="6"/>
  <c r="M13" i="6"/>
  <c r="M18" i="6" s="1"/>
  <c r="I13" i="6"/>
  <c r="P13" i="6"/>
  <c r="L13" i="6"/>
  <c r="H13" i="6"/>
  <c r="E14" i="6"/>
  <c r="Q30" i="6"/>
  <c r="Q25" i="6"/>
  <c r="V25" i="6"/>
  <c r="V30" i="6"/>
  <c r="V26" i="6"/>
  <c r="V32" i="6"/>
  <c r="Q29" i="6"/>
  <c r="Q32" i="6"/>
  <c r="Q26" i="6"/>
  <c r="V10" i="6"/>
  <c r="V12" i="6" s="1"/>
  <c r="Q10" i="6"/>
  <c r="Q12" i="6"/>
  <c r="W18" i="6"/>
  <c r="G12" i="13" s="1"/>
  <c r="U18" i="6"/>
  <c r="S33" i="2"/>
  <c r="T33" i="2"/>
  <c r="U33" i="2"/>
  <c r="V33" i="2"/>
  <c r="X33" i="2"/>
  <c r="Y33" i="2"/>
  <c r="S34" i="2"/>
  <c r="T34" i="2"/>
  <c r="U34" i="2"/>
  <c r="V34" i="2"/>
  <c r="X34" i="2"/>
  <c r="Y34" i="2"/>
  <c r="S35" i="2"/>
  <c r="T35" i="2"/>
  <c r="U35" i="2"/>
  <c r="V35" i="2"/>
  <c r="X35" i="2"/>
  <c r="Y35" i="2"/>
  <c r="S36" i="2"/>
  <c r="T36" i="2"/>
  <c r="U36" i="2"/>
  <c r="V36" i="2"/>
  <c r="X36" i="2"/>
  <c r="Y36" i="2"/>
  <c r="B38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V11" i="2"/>
  <c r="X11" i="2"/>
  <c r="Y11" i="2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X12" i="2"/>
  <c r="Y12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V13" i="2"/>
  <c r="X13" i="2"/>
  <c r="Y13" i="2"/>
  <c r="R107" i="3"/>
  <c r="S107" i="3"/>
  <c r="T107" i="3"/>
  <c r="U107" i="3"/>
  <c r="W107" i="3"/>
  <c r="X107" i="3"/>
  <c r="F107" i="3"/>
  <c r="G107" i="3"/>
  <c r="H107" i="3"/>
  <c r="I107" i="3"/>
  <c r="J107" i="3"/>
  <c r="K107" i="3"/>
  <c r="L107" i="3"/>
  <c r="M107" i="3"/>
  <c r="N107" i="3"/>
  <c r="O107" i="3"/>
  <c r="P107" i="3"/>
  <c r="E107" i="3"/>
  <c r="T35" i="3"/>
  <c r="R35" i="3"/>
  <c r="G7" i="11" l="1"/>
  <c r="M12" i="8"/>
  <c r="G28" i="8"/>
  <c r="G40" i="8" s="1"/>
  <c r="J40" i="8"/>
  <c r="R34" i="2"/>
  <c r="E12" i="11"/>
  <c r="R36" i="2"/>
  <c r="W36" i="2"/>
  <c r="W34" i="2"/>
  <c r="K32" i="8"/>
  <c r="I38" i="8"/>
  <c r="G9" i="11" s="1"/>
  <c r="R35" i="2"/>
  <c r="R33" i="2"/>
  <c r="W35" i="2"/>
  <c r="W33" i="2"/>
  <c r="W13" i="2"/>
  <c r="F36" i="6"/>
  <c r="J36" i="6"/>
  <c r="N36" i="6"/>
  <c r="G36" i="6"/>
  <c r="K36" i="6"/>
  <c r="O36" i="6"/>
  <c r="H36" i="6"/>
  <c r="L36" i="6"/>
  <c r="P36" i="6"/>
  <c r="I36" i="6"/>
  <c r="M36" i="6"/>
  <c r="E36" i="6"/>
  <c r="F40" i="8"/>
  <c r="K15" i="8"/>
  <c r="G8" i="11"/>
  <c r="W11" i="2"/>
  <c r="S36" i="6"/>
  <c r="T36" i="6"/>
  <c r="U36" i="6"/>
  <c r="H40" i="8"/>
  <c r="R36" i="6"/>
  <c r="M11" i="8"/>
  <c r="K8" i="8"/>
  <c r="G10" i="11"/>
  <c r="M9" i="8"/>
  <c r="M14" i="8"/>
  <c r="M10" i="8"/>
  <c r="K5" i="8"/>
  <c r="I19" i="8"/>
  <c r="H18" i="6"/>
  <c r="N18" i="6"/>
  <c r="X18" i="6"/>
  <c r="G18" i="6"/>
  <c r="L18" i="6"/>
  <c r="J18" i="6"/>
  <c r="F18" i="6"/>
  <c r="I18" i="6"/>
  <c r="T18" i="6"/>
  <c r="H12" i="13" s="1"/>
  <c r="S18" i="6"/>
  <c r="V14" i="6"/>
  <c r="R18" i="6"/>
  <c r="V13" i="6"/>
  <c r="P18" i="6"/>
  <c r="O18" i="6"/>
  <c r="K18" i="6"/>
  <c r="Q14" i="6"/>
  <c r="Q13" i="6"/>
  <c r="E18" i="6"/>
  <c r="Q107" i="3"/>
  <c r="Z107" i="3" s="1"/>
  <c r="V107" i="3"/>
  <c r="R12" i="2"/>
  <c r="W12" i="2"/>
  <c r="R13" i="2"/>
  <c r="R11" i="2"/>
  <c r="E17" i="3"/>
  <c r="F17" i="3"/>
  <c r="G17" i="3"/>
  <c r="H17" i="3"/>
  <c r="I17" i="3"/>
  <c r="J17" i="3"/>
  <c r="K17" i="3"/>
  <c r="L17" i="3"/>
  <c r="M17" i="3"/>
  <c r="N17" i="3"/>
  <c r="O17" i="3"/>
  <c r="P17" i="3"/>
  <c r="R17" i="3"/>
  <c r="S17" i="3"/>
  <c r="T17" i="3"/>
  <c r="U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R18" i="3"/>
  <c r="S18" i="3"/>
  <c r="T18" i="3"/>
  <c r="U18" i="3"/>
  <c r="W18" i="3"/>
  <c r="X18" i="3"/>
  <c r="E19" i="3"/>
  <c r="F19" i="3"/>
  <c r="G19" i="3"/>
  <c r="H19" i="3"/>
  <c r="I19" i="3"/>
  <c r="J19" i="3"/>
  <c r="K19" i="3"/>
  <c r="L19" i="3"/>
  <c r="M19" i="3"/>
  <c r="N19" i="3"/>
  <c r="O19" i="3"/>
  <c r="P19" i="3"/>
  <c r="R19" i="3"/>
  <c r="S19" i="3"/>
  <c r="T19" i="3"/>
  <c r="U19" i="3"/>
  <c r="W19" i="3"/>
  <c r="X19" i="3"/>
  <c r="E20" i="3"/>
  <c r="F20" i="3"/>
  <c r="G20" i="3"/>
  <c r="H20" i="3"/>
  <c r="I20" i="3"/>
  <c r="J20" i="3"/>
  <c r="K20" i="3"/>
  <c r="L20" i="3"/>
  <c r="M20" i="3"/>
  <c r="N20" i="3"/>
  <c r="O20" i="3"/>
  <c r="P20" i="3"/>
  <c r="R20" i="3"/>
  <c r="S20" i="3"/>
  <c r="T20" i="3"/>
  <c r="U20" i="3"/>
  <c r="W20" i="3"/>
  <c r="X20" i="3"/>
  <c r="E21" i="3"/>
  <c r="F21" i="3"/>
  <c r="G21" i="3"/>
  <c r="H21" i="3"/>
  <c r="I21" i="3"/>
  <c r="J21" i="3"/>
  <c r="K21" i="3"/>
  <c r="L21" i="3"/>
  <c r="M21" i="3"/>
  <c r="N21" i="3"/>
  <c r="O21" i="3"/>
  <c r="P21" i="3"/>
  <c r="R21" i="3"/>
  <c r="S21" i="3"/>
  <c r="T21" i="3"/>
  <c r="U21" i="3"/>
  <c r="W21" i="3"/>
  <c r="X21" i="3"/>
  <c r="E22" i="3"/>
  <c r="F22" i="3"/>
  <c r="G22" i="3"/>
  <c r="H22" i="3"/>
  <c r="I22" i="3"/>
  <c r="J22" i="3"/>
  <c r="K22" i="3"/>
  <c r="L22" i="3"/>
  <c r="M22" i="3"/>
  <c r="N22" i="3"/>
  <c r="O22" i="3"/>
  <c r="P22" i="3"/>
  <c r="R22" i="3"/>
  <c r="S22" i="3"/>
  <c r="T22" i="3"/>
  <c r="U22" i="3"/>
  <c r="W22" i="3"/>
  <c r="X22" i="3"/>
  <c r="E23" i="3"/>
  <c r="F23" i="3"/>
  <c r="G23" i="3"/>
  <c r="H23" i="3"/>
  <c r="I23" i="3"/>
  <c r="J23" i="3"/>
  <c r="K23" i="3"/>
  <c r="L23" i="3"/>
  <c r="M23" i="3"/>
  <c r="N23" i="3"/>
  <c r="O23" i="3"/>
  <c r="P23" i="3"/>
  <c r="R23" i="3"/>
  <c r="S23" i="3"/>
  <c r="T23" i="3"/>
  <c r="U23" i="3"/>
  <c r="W23" i="3"/>
  <c r="X23" i="3"/>
  <c r="E24" i="3"/>
  <c r="F24" i="3"/>
  <c r="G24" i="3"/>
  <c r="H24" i="3"/>
  <c r="I24" i="3"/>
  <c r="J24" i="3"/>
  <c r="K24" i="3"/>
  <c r="L24" i="3"/>
  <c r="M24" i="3"/>
  <c r="N24" i="3"/>
  <c r="O24" i="3"/>
  <c r="P24" i="3"/>
  <c r="R24" i="3"/>
  <c r="S24" i="3"/>
  <c r="T24" i="3"/>
  <c r="U24" i="3"/>
  <c r="W24" i="3"/>
  <c r="X24" i="3"/>
  <c r="E25" i="3"/>
  <c r="F25" i="3"/>
  <c r="G25" i="3"/>
  <c r="H25" i="3"/>
  <c r="I25" i="3"/>
  <c r="J25" i="3"/>
  <c r="K25" i="3"/>
  <c r="L25" i="3"/>
  <c r="M25" i="3"/>
  <c r="N25" i="3"/>
  <c r="O25" i="3"/>
  <c r="P25" i="3"/>
  <c r="R25" i="3"/>
  <c r="S25" i="3"/>
  <c r="T25" i="3"/>
  <c r="U25" i="3"/>
  <c r="W25" i="3"/>
  <c r="X25" i="3"/>
  <c r="E26" i="3"/>
  <c r="F26" i="3"/>
  <c r="G26" i="3"/>
  <c r="H26" i="3"/>
  <c r="I26" i="3"/>
  <c r="J26" i="3"/>
  <c r="K26" i="3"/>
  <c r="L26" i="3"/>
  <c r="M26" i="3"/>
  <c r="N26" i="3"/>
  <c r="O26" i="3"/>
  <c r="P26" i="3"/>
  <c r="R26" i="3"/>
  <c r="S26" i="3"/>
  <c r="T26" i="3"/>
  <c r="U26" i="3"/>
  <c r="W26" i="3"/>
  <c r="X26" i="3"/>
  <c r="X16" i="3"/>
  <c r="W16" i="3"/>
  <c r="U16" i="3"/>
  <c r="T16" i="3"/>
  <c r="S16" i="3"/>
  <c r="R16" i="3"/>
  <c r="P16" i="3"/>
  <c r="O16" i="3"/>
  <c r="N16" i="3"/>
  <c r="M16" i="3"/>
  <c r="L16" i="3"/>
  <c r="K16" i="3"/>
  <c r="J16" i="3"/>
  <c r="I16" i="3"/>
  <c r="H16" i="3"/>
  <c r="G16" i="3"/>
  <c r="F16" i="3"/>
  <c r="E16" i="3"/>
  <c r="W9" i="3"/>
  <c r="X9" i="3"/>
  <c r="W10" i="3"/>
  <c r="X10" i="3"/>
  <c r="W11" i="3"/>
  <c r="X11" i="3"/>
  <c r="X8" i="3"/>
  <c r="W8" i="3"/>
  <c r="R9" i="3"/>
  <c r="S9" i="3"/>
  <c r="T9" i="3"/>
  <c r="U9" i="3"/>
  <c r="R10" i="3"/>
  <c r="S10" i="3"/>
  <c r="T10" i="3"/>
  <c r="U10" i="3"/>
  <c r="R11" i="3"/>
  <c r="S11" i="3"/>
  <c r="T11" i="3"/>
  <c r="U11" i="3"/>
  <c r="S8" i="3"/>
  <c r="T8" i="3"/>
  <c r="U8" i="3"/>
  <c r="R8" i="3"/>
  <c r="E9" i="3"/>
  <c r="F9" i="3"/>
  <c r="G9" i="3"/>
  <c r="H9" i="3"/>
  <c r="I9" i="3"/>
  <c r="J9" i="3"/>
  <c r="K9" i="3"/>
  <c r="L9" i="3"/>
  <c r="M9" i="3"/>
  <c r="N9" i="3"/>
  <c r="O9" i="3"/>
  <c r="P9" i="3"/>
  <c r="E10" i="3"/>
  <c r="F10" i="3"/>
  <c r="G10" i="3"/>
  <c r="H10" i="3"/>
  <c r="I10" i="3"/>
  <c r="J10" i="3"/>
  <c r="K10" i="3"/>
  <c r="L10" i="3"/>
  <c r="M10" i="3"/>
  <c r="N10" i="3"/>
  <c r="O10" i="3"/>
  <c r="P10" i="3"/>
  <c r="E11" i="3"/>
  <c r="F11" i="3"/>
  <c r="G11" i="3"/>
  <c r="H11" i="3"/>
  <c r="I11" i="3"/>
  <c r="J11" i="3"/>
  <c r="K11" i="3"/>
  <c r="L11" i="3"/>
  <c r="M11" i="3"/>
  <c r="N11" i="3"/>
  <c r="O11" i="3"/>
  <c r="P11" i="3"/>
  <c r="F8" i="3"/>
  <c r="G8" i="3"/>
  <c r="H8" i="3"/>
  <c r="I8" i="3"/>
  <c r="J8" i="3"/>
  <c r="K8" i="3"/>
  <c r="L8" i="3"/>
  <c r="M8" i="3"/>
  <c r="N8" i="3"/>
  <c r="O8" i="3"/>
  <c r="P8" i="3"/>
  <c r="E8" i="3"/>
  <c r="G12" i="11" l="1"/>
  <c r="K38" i="8"/>
  <c r="I9" i="11" s="1"/>
  <c r="L32" i="8"/>
  <c r="W36" i="6"/>
  <c r="G5" i="12" s="1"/>
  <c r="I10" i="11"/>
  <c r="L8" i="8"/>
  <c r="M8" i="8" s="1"/>
  <c r="K10" i="11" s="1"/>
  <c r="Q36" i="6"/>
  <c r="E5" i="12" s="1"/>
  <c r="V36" i="6"/>
  <c r="F5" i="12" s="1"/>
  <c r="I8" i="11"/>
  <c r="L15" i="8"/>
  <c r="M15" i="8" s="1"/>
  <c r="K8" i="11" s="1"/>
  <c r="I7" i="11"/>
  <c r="L5" i="8"/>
  <c r="I28" i="8"/>
  <c r="I40" i="8" s="1"/>
  <c r="M6" i="8"/>
  <c r="K19" i="8"/>
  <c r="V18" i="6"/>
  <c r="F12" i="13" s="1"/>
  <c r="Q18" i="6"/>
  <c r="E12" i="13" s="1"/>
  <c r="N36" i="3"/>
  <c r="J36" i="3"/>
  <c r="S36" i="3"/>
  <c r="F36" i="3"/>
  <c r="E13" i="3"/>
  <c r="E36" i="3"/>
  <c r="M36" i="3"/>
  <c r="R36" i="3"/>
  <c r="P36" i="3"/>
  <c r="L36" i="3"/>
  <c r="H36" i="3"/>
  <c r="U36" i="3"/>
  <c r="X36" i="3"/>
  <c r="I36" i="3"/>
  <c r="W36" i="3"/>
  <c r="O36" i="3"/>
  <c r="K36" i="3"/>
  <c r="G36" i="3"/>
  <c r="T36" i="3"/>
  <c r="F28" i="3"/>
  <c r="J28" i="3"/>
  <c r="V17" i="3"/>
  <c r="V25" i="3"/>
  <c r="V23" i="3"/>
  <c r="V21" i="3"/>
  <c r="V19" i="3"/>
  <c r="V26" i="3"/>
  <c r="V24" i="3"/>
  <c r="V22" i="3"/>
  <c r="V20" i="3"/>
  <c r="V18" i="3"/>
  <c r="Q17" i="3"/>
  <c r="Q25" i="3"/>
  <c r="Q23" i="3"/>
  <c r="Q21" i="3"/>
  <c r="Q19" i="3"/>
  <c r="Q18" i="3"/>
  <c r="Q26" i="3"/>
  <c r="Q24" i="3"/>
  <c r="Q22" i="3"/>
  <c r="Q20" i="3"/>
  <c r="N28" i="3"/>
  <c r="S28" i="3"/>
  <c r="X28" i="3"/>
  <c r="G28" i="3"/>
  <c r="K28" i="3"/>
  <c r="O28" i="3"/>
  <c r="N13" i="3"/>
  <c r="O13" i="3"/>
  <c r="G13" i="3"/>
  <c r="T13" i="3"/>
  <c r="S13" i="3"/>
  <c r="T28" i="3"/>
  <c r="K13" i="3"/>
  <c r="K30" i="3" s="1"/>
  <c r="K34" i="3" s="1"/>
  <c r="R13" i="3"/>
  <c r="J13" i="3"/>
  <c r="E28" i="3"/>
  <c r="E30" i="3" s="1"/>
  <c r="E34" i="3" s="1"/>
  <c r="I28" i="3"/>
  <c r="M28" i="3"/>
  <c r="R28" i="3"/>
  <c r="W28" i="3"/>
  <c r="F13" i="3"/>
  <c r="F30" i="3" s="1"/>
  <c r="F34" i="3" s="1"/>
  <c r="V11" i="3"/>
  <c r="V10" i="3"/>
  <c r="H28" i="3"/>
  <c r="L28" i="3"/>
  <c r="P28" i="3"/>
  <c r="U28" i="3"/>
  <c r="U13" i="3"/>
  <c r="Q16" i="3"/>
  <c r="V16" i="3"/>
  <c r="V9" i="3"/>
  <c r="X13" i="3"/>
  <c r="W13" i="3"/>
  <c r="Q8" i="3"/>
  <c r="V8" i="3"/>
  <c r="P13" i="3"/>
  <c r="L13" i="3"/>
  <c r="H13" i="3"/>
  <c r="Q11" i="3"/>
  <c r="M13" i="3"/>
  <c r="Q10" i="3"/>
  <c r="Q9" i="3"/>
  <c r="I13" i="3"/>
  <c r="X162" i="3"/>
  <c r="W162" i="3"/>
  <c r="U162" i="3"/>
  <c r="T162" i="3"/>
  <c r="S162" i="3"/>
  <c r="R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X161" i="3"/>
  <c r="W161" i="3"/>
  <c r="U161" i="3"/>
  <c r="T161" i="3"/>
  <c r="S161" i="3"/>
  <c r="R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X160" i="3"/>
  <c r="W160" i="3"/>
  <c r="U160" i="3"/>
  <c r="T160" i="3"/>
  <c r="S160" i="3"/>
  <c r="R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X159" i="3"/>
  <c r="X164" i="3" s="1"/>
  <c r="X35" i="6" s="1"/>
  <c r="W159" i="3"/>
  <c r="U159" i="3"/>
  <c r="T159" i="3"/>
  <c r="T164" i="3" s="1"/>
  <c r="T35" i="6" s="1"/>
  <c r="S159" i="3"/>
  <c r="S164" i="3" s="1"/>
  <c r="S35" i="6" s="1"/>
  <c r="R159" i="3"/>
  <c r="P159" i="3"/>
  <c r="O159" i="3"/>
  <c r="O164" i="3" s="1"/>
  <c r="O35" i="6" s="1"/>
  <c r="N159" i="3"/>
  <c r="M159" i="3"/>
  <c r="L159" i="3"/>
  <c r="K159" i="3"/>
  <c r="K164" i="3" s="1"/>
  <c r="K35" i="6" s="1"/>
  <c r="J159" i="3"/>
  <c r="I159" i="3"/>
  <c r="H159" i="3"/>
  <c r="G159" i="3"/>
  <c r="G164" i="3" s="1"/>
  <c r="G35" i="6" s="1"/>
  <c r="F159" i="3"/>
  <c r="E159" i="3"/>
  <c r="X153" i="3"/>
  <c r="W153" i="3"/>
  <c r="U153" i="3"/>
  <c r="T153" i="3"/>
  <c r="S153" i="3"/>
  <c r="R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X152" i="3"/>
  <c r="W152" i="3"/>
  <c r="U152" i="3"/>
  <c r="T152" i="3"/>
  <c r="S152" i="3"/>
  <c r="R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X151" i="3"/>
  <c r="W151" i="3"/>
  <c r="U151" i="3"/>
  <c r="T151" i="3"/>
  <c r="S151" i="3"/>
  <c r="R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X150" i="3"/>
  <c r="X155" i="3" s="1"/>
  <c r="X34" i="6" s="1"/>
  <c r="W150" i="3"/>
  <c r="U150" i="3"/>
  <c r="T150" i="3"/>
  <c r="T155" i="3" s="1"/>
  <c r="T34" i="6" s="1"/>
  <c r="S150" i="3"/>
  <c r="S155" i="3" s="1"/>
  <c r="S34" i="6" s="1"/>
  <c r="R150" i="3"/>
  <c r="P150" i="3"/>
  <c r="O150" i="3"/>
  <c r="O155" i="3" s="1"/>
  <c r="O34" i="6" s="1"/>
  <c r="N150" i="3"/>
  <c r="M150" i="3"/>
  <c r="L150" i="3"/>
  <c r="K150" i="3"/>
  <c r="K155" i="3" s="1"/>
  <c r="K34" i="6" s="1"/>
  <c r="J150" i="3"/>
  <c r="I150" i="3"/>
  <c r="H150" i="3"/>
  <c r="G150" i="3"/>
  <c r="G155" i="3" s="1"/>
  <c r="G34" i="6" s="1"/>
  <c r="F150" i="3"/>
  <c r="E150" i="3"/>
  <c r="X144" i="3"/>
  <c r="W144" i="3"/>
  <c r="U144" i="3"/>
  <c r="T144" i="3"/>
  <c r="S144" i="3"/>
  <c r="R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X143" i="3"/>
  <c r="W143" i="3"/>
  <c r="U143" i="3"/>
  <c r="T143" i="3"/>
  <c r="S143" i="3"/>
  <c r="R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X142" i="3"/>
  <c r="W142" i="3"/>
  <c r="U142" i="3"/>
  <c r="T142" i="3"/>
  <c r="S142" i="3"/>
  <c r="R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X141" i="3"/>
  <c r="X146" i="3" s="1"/>
  <c r="X33" i="6" s="1"/>
  <c r="W141" i="3"/>
  <c r="U141" i="3"/>
  <c r="T141" i="3"/>
  <c r="T146" i="3" s="1"/>
  <c r="T33" i="6" s="1"/>
  <c r="S141" i="3"/>
  <c r="S146" i="3" s="1"/>
  <c r="S33" i="6" s="1"/>
  <c r="R141" i="3"/>
  <c r="P141" i="3"/>
  <c r="O141" i="3"/>
  <c r="O146" i="3" s="1"/>
  <c r="O33" i="6" s="1"/>
  <c r="N141" i="3"/>
  <c r="M141" i="3"/>
  <c r="L141" i="3"/>
  <c r="K141" i="3"/>
  <c r="K146" i="3" s="1"/>
  <c r="K33" i="6" s="1"/>
  <c r="J141" i="3"/>
  <c r="I141" i="3"/>
  <c r="H141" i="3"/>
  <c r="G141" i="3"/>
  <c r="G146" i="3" s="1"/>
  <c r="G33" i="6" s="1"/>
  <c r="F141" i="3"/>
  <c r="E141" i="3"/>
  <c r="X135" i="3"/>
  <c r="W135" i="3"/>
  <c r="U135" i="3"/>
  <c r="T135" i="3"/>
  <c r="S135" i="3"/>
  <c r="R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X134" i="3"/>
  <c r="W134" i="3"/>
  <c r="U134" i="3"/>
  <c r="T134" i="3"/>
  <c r="S134" i="3"/>
  <c r="R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X133" i="3"/>
  <c r="W133" i="3"/>
  <c r="U133" i="3"/>
  <c r="T133" i="3"/>
  <c r="S133" i="3"/>
  <c r="R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X132" i="3"/>
  <c r="X137" i="3" s="1"/>
  <c r="W132" i="3"/>
  <c r="U132" i="3"/>
  <c r="T132" i="3"/>
  <c r="T137" i="3" s="1"/>
  <c r="S132" i="3"/>
  <c r="S137" i="3" s="1"/>
  <c r="R132" i="3"/>
  <c r="P132" i="3"/>
  <c r="O132" i="3"/>
  <c r="O137" i="3" s="1"/>
  <c r="N132" i="3"/>
  <c r="M132" i="3"/>
  <c r="L132" i="3"/>
  <c r="K132" i="3"/>
  <c r="K137" i="3" s="1"/>
  <c r="J132" i="3"/>
  <c r="I132" i="3"/>
  <c r="H132" i="3"/>
  <c r="G132" i="3"/>
  <c r="G137" i="3" s="1"/>
  <c r="F132" i="3"/>
  <c r="E132" i="3"/>
  <c r="X126" i="3"/>
  <c r="W126" i="3"/>
  <c r="U126" i="3"/>
  <c r="T126" i="3"/>
  <c r="S126" i="3"/>
  <c r="R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X123" i="3"/>
  <c r="W123" i="3"/>
  <c r="U123" i="3"/>
  <c r="T123" i="3"/>
  <c r="S123" i="3"/>
  <c r="R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X117" i="3"/>
  <c r="W117" i="3"/>
  <c r="U117" i="3"/>
  <c r="T117" i="3"/>
  <c r="S117" i="3"/>
  <c r="R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X116" i="3"/>
  <c r="W116" i="3"/>
  <c r="U116" i="3"/>
  <c r="T116" i="3"/>
  <c r="S116" i="3"/>
  <c r="R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X115" i="3"/>
  <c r="W115" i="3"/>
  <c r="U115" i="3"/>
  <c r="T115" i="3"/>
  <c r="S115" i="3"/>
  <c r="R115" i="3"/>
  <c r="R119" i="3" s="1"/>
  <c r="P115" i="3"/>
  <c r="O115" i="3"/>
  <c r="N115" i="3"/>
  <c r="M115" i="3"/>
  <c r="L115" i="3"/>
  <c r="K115" i="3"/>
  <c r="J115" i="3"/>
  <c r="I115" i="3"/>
  <c r="H115" i="3"/>
  <c r="G115" i="3"/>
  <c r="F115" i="3"/>
  <c r="E115" i="3"/>
  <c r="X114" i="3"/>
  <c r="X119" i="3" s="1"/>
  <c r="W114" i="3"/>
  <c r="U114" i="3"/>
  <c r="T114" i="3"/>
  <c r="T119" i="3" s="1"/>
  <c r="S114" i="3"/>
  <c r="S119" i="3" s="1"/>
  <c r="R114" i="3"/>
  <c r="P114" i="3"/>
  <c r="O114" i="3"/>
  <c r="O119" i="3" s="1"/>
  <c r="N114" i="3"/>
  <c r="M114" i="3"/>
  <c r="L114" i="3"/>
  <c r="K114" i="3"/>
  <c r="K119" i="3" s="1"/>
  <c r="J114" i="3"/>
  <c r="I114" i="3"/>
  <c r="H114" i="3"/>
  <c r="G114" i="3"/>
  <c r="G119" i="3" s="1"/>
  <c r="F114" i="3"/>
  <c r="E114" i="3"/>
  <c r="X108" i="3"/>
  <c r="W108" i="3"/>
  <c r="U108" i="3"/>
  <c r="T108" i="3"/>
  <c r="S108" i="3"/>
  <c r="R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X106" i="3"/>
  <c r="W106" i="3"/>
  <c r="U106" i="3"/>
  <c r="T106" i="3"/>
  <c r="S106" i="3"/>
  <c r="R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8" i="3"/>
  <c r="W98" i="3"/>
  <c r="U98" i="3"/>
  <c r="T98" i="3"/>
  <c r="S98" i="3"/>
  <c r="R98" i="3"/>
  <c r="P98" i="3"/>
  <c r="O98" i="3"/>
  <c r="N98" i="3"/>
  <c r="M98" i="3"/>
  <c r="L98" i="3"/>
  <c r="K98" i="3"/>
  <c r="J98" i="3"/>
  <c r="I98" i="3"/>
  <c r="H98" i="3"/>
  <c r="G98" i="3"/>
  <c r="F98" i="3"/>
  <c r="E98" i="3"/>
  <c r="X97" i="3"/>
  <c r="W97" i="3"/>
  <c r="U97" i="3"/>
  <c r="T97" i="3"/>
  <c r="S97" i="3"/>
  <c r="R97" i="3"/>
  <c r="P97" i="3"/>
  <c r="O97" i="3"/>
  <c r="N97" i="3"/>
  <c r="M97" i="3"/>
  <c r="L97" i="3"/>
  <c r="K97" i="3"/>
  <c r="J97" i="3"/>
  <c r="I97" i="3"/>
  <c r="H97" i="3"/>
  <c r="G97" i="3"/>
  <c r="F97" i="3"/>
  <c r="E97" i="3"/>
  <c r="X96" i="3"/>
  <c r="W96" i="3"/>
  <c r="U96" i="3"/>
  <c r="T96" i="3"/>
  <c r="S96" i="3"/>
  <c r="R96" i="3"/>
  <c r="P96" i="3"/>
  <c r="O96" i="3"/>
  <c r="N96" i="3"/>
  <c r="M96" i="3"/>
  <c r="L96" i="3"/>
  <c r="K96" i="3"/>
  <c r="J96" i="3"/>
  <c r="I96" i="3"/>
  <c r="H96" i="3"/>
  <c r="G96" i="3"/>
  <c r="F96" i="3"/>
  <c r="E96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X89" i="3"/>
  <c r="W89" i="3"/>
  <c r="U89" i="3"/>
  <c r="T89" i="3"/>
  <c r="S89" i="3"/>
  <c r="R89" i="3"/>
  <c r="P89" i="3"/>
  <c r="O89" i="3"/>
  <c r="N89" i="3"/>
  <c r="M89" i="3"/>
  <c r="L89" i="3"/>
  <c r="K89" i="3"/>
  <c r="J89" i="3"/>
  <c r="I89" i="3"/>
  <c r="H89" i="3"/>
  <c r="G89" i="3"/>
  <c r="F89" i="3"/>
  <c r="E89" i="3"/>
  <c r="X88" i="3"/>
  <c r="W88" i="3"/>
  <c r="U88" i="3"/>
  <c r="T88" i="3"/>
  <c r="S88" i="3"/>
  <c r="R88" i="3"/>
  <c r="P88" i="3"/>
  <c r="O88" i="3"/>
  <c r="N88" i="3"/>
  <c r="M88" i="3"/>
  <c r="L88" i="3"/>
  <c r="K88" i="3"/>
  <c r="J88" i="3"/>
  <c r="I88" i="3"/>
  <c r="H88" i="3"/>
  <c r="G88" i="3"/>
  <c r="F88" i="3"/>
  <c r="E88" i="3"/>
  <c r="X87" i="3"/>
  <c r="W87" i="3"/>
  <c r="U87" i="3"/>
  <c r="T87" i="3"/>
  <c r="S87" i="3"/>
  <c r="R87" i="3"/>
  <c r="P87" i="3"/>
  <c r="O87" i="3"/>
  <c r="N87" i="3"/>
  <c r="M87" i="3"/>
  <c r="L87" i="3"/>
  <c r="K87" i="3"/>
  <c r="J87" i="3"/>
  <c r="I87" i="3"/>
  <c r="H87" i="3"/>
  <c r="G87" i="3"/>
  <c r="F87" i="3"/>
  <c r="E87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80" i="3"/>
  <c r="W80" i="3"/>
  <c r="U80" i="3"/>
  <c r="T80" i="3"/>
  <c r="S80" i="3"/>
  <c r="R80" i="3"/>
  <c r="P80" i="3"/>
  <c r="O80" i="3"/>
  <c r="N80" i="3"/>
  <c r="M80" i="3"/>
  <c r="L80" i="3"/>
  <c r="K80" i="3"/>
  <c r="J80" i="3"/>
  <c r="I80" i="3"/>
  <c r="H80" i="3"/>
  <c r="G80" i="3"/>
  <c r="F80" i="3"/>
  <c r="E80" i="3"/>
  <c r="X79" i="3"/>
  <c r="W79" i="3"/>
  <c r="U79" i="3"/>
  <c r="T79" i="3"/>
  <c r="S79" i="3"/>
  <c r="R79" i="3"/>
  <c r="P79" i="3"/>
  <c r="O79" i="3"/>
  <c r="N79" i="3"/>
  <c r="M79" i="3"/>
  <c r="L79" i="3"/>
  <c r="K79" i="3"/>
  <c r="J79" i="3"/>
  <c r="I79" i="3"/>
  <c r="H79" i="3"/>
  <c r="G79" i="3"/>
  <c r="F79" i="3"/>
  <c r="E79" i="3"/>
  <c r="X78" i="3"/>
  <c r="W78" i="3"/>
  <c r="U78" i="3"/>
  <c r="T78" i="3"/>
  <c r="S78" i="3"/>
  <c r="R78" i="3"/>
  <c r="P78" i="3"/>
  <c r="O78" i="3"/>
  <c r="N78" i="3"/>
  <c r="M78" i="3"/>
  <c r="L78" i="3"/>
  <c r="K78" i="3"/>
  <c r="J78" i="3"/>
  <c r="I78" i="3"/>
  <c r="H78" i="3"/>
  <c r="G78" i="3"/>
  <c r="F78" i="3"/>
  <c r="E78" i="3"/>
  <c r="X72" i="3"/>
  <c r="W72" i="3"/>
  <c r="U72" i="3"/>
  <c r="T72" i="3"/>
  <c r="S72" i="3"/>
  <c r="R72" i="3"/>
  <c r="P72" i="3"/>
  <c r="O72" i="3"/>
  <c r="N72" i="3"/>
  <c r="M72" i="3"/>
  <c r="L72" i="3"/>
  <c r="K72" i="3"/>
  <c r="J72" i="3"/>
  <c r="I72" i="3"/>
  <c r="H72" i="3"/>
  <c r="G72" i="3"/>
  <c r="F72" i="3"/>
  <c r="E72" i="3"/>
  <c r="X71" i="3"/>
  <c r="W71" i="3"/>
  <c r="U71" i="3"/>
  <c r="T71" i="3"/>
  <c r="S71" i="3"/>
  <c r="R71" i="3"/>
  <c r="P71" i="3"/>
  <c r="O71" i="3"/>
  <c r="N71" i="3"/>
  <c r="M71" i="3"/>
  <c r="L71" i="3"/>
  <c r="K71" i="3"/>
  <c r="J71" i="3"/>
  <c r="I71" i="3"/>
  <c r="H71" i="3"/>
  <c r="G71" i="3"/>
  <c r="F71" i="3"/>
  <c r="E71" i="3"/>
  <c r="X70" i="3"/>
  <c r="W70" i="3"/>
  <c r="U70" i="3"/>
  <c r="T70" i="3"/>
  <c r="S70" i="3"/>
  <c r="R70" i="3"/>
  <c r="P70" i="3"/>
  <c r="O70" i="3"/>
  <c r="N70" i="3"/>
  <c r="M70" i="3"/>
  <c r="L70" i="3"/>
  <c r="K70" i="3"/>
  <c r="J70" i="3"/>
  <c r="I70" i="3"/>
  <c r="H70" i="3"/>
  <c r="G70" i="3"/>
  <c r="F70" i="3"/>
  <c r="E70" i="3"/>
  <c r="X69" i="3"/>
  <c r="W69" i="3"/>
  <c r="U69" i="3"/>
  <c r="T69" i="3"/>
  <c r="S69" i="3"/>
  <c r="R69" i="3"/>
  <c r="P69" i="3"/>
  <c r="O69" i="3"/>
  <c r="N69" i="3"/>
  <c r="M69" i="3"/>
  <c r="L69" i="3"/>
  <c r="K69" i="3"/>
  <c r="J69" i="3"/>
  <c r="I69" i="3"/>
  <c r="H69" i="3"/>
  <c r="G69" i="3"/>
  <c r="F69" i="3"/>
  <c r="E69" i="3"/>
  <c r="F16" i="2"/>
  <c r="G16" i="2"/>
  <c r="H16" i="2"/>
  <c r="I16" i="2"/>
  <c r="J16" i="2"/>
  <c r="K16" i="2"/>
  <c r="L16" i="2"/>
  <c r="M16" i="2"/>
  <c r="N16" i="2"/>
  <c r="O16" i="2"/>
  <c r="P16" i="2"/>
  <c r="Q16" i="2"/>
  <c r="S16" i="2"/>
  <c r="T16" i="2"/>
  <c r="U16" i="2"/>
  <c r="V16" i="2"/>
  <c r="X16" i="2"/>
  <c r="Y16" i="2"/>
  <c r="F15" i="2"/>
  <c r="G15" i="2"/>
  <c r="H15" i="2"/>
  <c r="I15" i="2"/>
  <c r="J15" i="2"/>
  <c r="K15" i="2"/>
  <c r="L15" i="2"/>
  <c r="M15" i="2"/>
  <c r="N15" i="2"/>
  <c r="O15" i="2"/>
  <c r="P15" i="2"/>
  <c r="Q15" i="2"/>
  <c r="S15" i="2"/>
  <c r="T15" i="2"/>
  <c r="U15" i="2"/>
  <c r="V15" i="2"/>
  <c r="X15" i="2"/>
  <c r="Y15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X10" i="2"/>
  <c r="Y10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X7" i="2"/>
  <c r="Y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X8" i="2"/>
  <c r="Y8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X9" i="2"/>
  <c r="Y9" i="2"/>
  <c r="F14" i="2"/>
  <c r="G14" i="2"/>
  <c r="H14" i="2"/>
  <c r="I14" i="2"/>
  <c r="J14" i="2"/>
  <c r="K14" i="2"/>
  <c r="L14" i="2"/>
  <c r="M14" i="2"/>
  <c r="N14" i="2"/>
  <c r="O14" i="2"/>
  <c r="P14" i="2"/>
  <c r="Q14" i="2"/>
  <c r="S14" i="2"/>
  <c r="T14" i="2"/>
  <c r="U14" i="2"/>
  <c r="V14" i="2"/>
  <c r="X14" i="2"/>
  <c r="Y14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X6" i="2"/>
  <c r="Y6" i="2"/>
  <c r="F17" i="2"/>
  <c r="G17" i="2"/>
  <c r="H17" i="2"/>
  <c r="I17" i="2"/>
  <c r="J17" i="2"/>
  <c r="K17" i="2"/>
  <c r="L17" i="2"/>
  <c r="M17" i="2"/>
  <c r="N17" i="2"/>
  <c r="O17" i="2"/>
  <c r="P17" i="2"/>
  <c r="Q17" i="2"/>
  <c r="S17" i="2"/>
  <c r="T17" i="2"/>
  <c r="U17" i="2"/>
  <c r="V17" i="2"/>
  <c r="X17" i="2"/>
  <c r="Y17" i="2"/>
  <c r="X63" i="3"/>
  <c r="W63" i="3"/>
  <c r="U63" i="3"/>
  <c r="T63" i="3"/>
  <c r="S63" i="3"/>
  <c r="R63" i="3"/>
  <c r="P63" i="3"/>
  <c r="O63" i="3"/>
  <c r="N63" i="3"/>
  <c r="M63" i="3"/>
  <c r="L63" i="3"/>
  <c r="K63" i="3"/>
  <c r="J63" i="3"/>
  <c r="I63" i="3"/>
  <c r="H63" i="3"/>
  <c r="G63" i="3"/>
  <c r="F63" i="3"/>
  <c r="E63" i="3"/>
  <c r="X62" i="3"/>
  <c r="W62" i="3"/>
  <c r="U62" i="3"/>
  <c r="T62" i="3"/>
  <c r="S62" i="3"/>
  <c r="R62" i="3"/>
  <c r="P62" i="3"/>
  <c r="O62" i="3"/>
  <c r="N62" i="3"/>
  <c r="M62" i="3"/>
  <c r="L62" i="3"/>
  <c r="K62" i="3"/>
  <c r="J62" i="3"/>
  <c r="I62" i="3"/>
  <c r="H62" i="3"/>
  <c r="G62" i="3"/>
  <c r="F62" i="3"/>
  <c r="E62" i="3"/>
  <c r="X61" i="3"/>
  <c r="W61" i="3"/>
  <c r="U61" i="3"/>
  <c r="T61" i="3"/>
  <c r="S61" i="3"/>
  <c r="R61" i="3"/>
  <c r="P61" i="3"/>
  <c r="O61" i="3"/>
  <c r="N61" i="3"/>
  <c r="M61" i="3"/>
  <c r="L61" i="3"/>
  <c r="K61" i="3"/>
  <c r="J61" i="3"/>
  <c r="I61" i="3"/>
  <c r="H61" i="3"/>
  <c r="G61" i="3"/>
  <c r="F61" i="3"/>
  <c r="E61" i="3"/>
  <c r="X60" i="3"/>
  <c r="W60" i="3"/>
  <c r="U60" i="3"/>
  <c r="T60" i="3"/>
  <c r="S60" i="3"/>
  <c r="R60" i="3"/>
  <c r="P60" i="3"/>
  <c r="O60" i="3"/>
  <c r="N60" i="3"/>
  <c r="M60" i="3"/>
  <c r="L60" i="3"/>
  <c r="K60" i="3"/>
  <c r="J60" i="3"/>
  <c r="I60" i="3"/>
  <c r="H60" i="3"/>
  <c r="G60" i="3"/>
  <c r="F60" i="3"/>
  <c r="E60" i="3"/>
  <c r="X54" i="3"/>
  <c r="W54" i="3"/>
  <c r="U54" i="3"/>
  <c r="T54" i="3"/>
  <c r="S54" i="3"/>
  <c r="R54" i="3"/>
  <c r="P54" i="3"/>
  <c r="O54" i="3"/>
  <c r="N54" i="3"/>
  <c r="M54" i="3"/>
  <c r="L54" i="3"/>
  <c r="K54" i="3"/>
  <c r="J54" i="3"/>
  <c r="I54" i="3"/>
  <c r="H54" i="3"/>
  <c r="G54" i="3"/>
  <c r="F54" i="3"/>
  <c r="E54" i="3"/>
  <c r="X53" i="3"/>
  <c r="W53" i="3"/>
  <c r="U53" i="3"/>
  <c r="T53" i="3"/>
  <c r="S53" i="3"/>
  <c r="R53" i="3"/>
  <c r="P53" i="3"/>
  <c r="O53" i="3"/>
  <c r="N53" i="3"/>
  <c r="M53" i="3"/>
  <c r="L53" i="3"/>
  <c r="K53" i="3"/>
  <c r="J53" i="3"/>
  <c r="I53" i="3"/>
  <c r="H53" i="3"/>
  <c r="G53" i="3"/>
  <c r="F53" i="3"/>
  <c r="E53" i="3"/>
  <c r="X52" i="3"/>
  <c r="W52" i="3"/>
  <c r="U52" i="3"/>
  <c r="T52" i="3"/>
  <c r="S52" i="3"/>
  <c r="R52" i="3"/>
  <c r="P52" i="3"/>
  <c r="O52" i="3"/>
  <c r="N52" i="3"/>
  <c r="M52" i="3"/>
  <c r="L52" i="3"/>
  <c r="K52" i="3"/>
  <c r="J52" i="3"/>
  <c r="I52" i="3"/>
  <c r="H52" i="3"/>
  <c r="G52" i="3"/>
  <c r="F52" i="3"/>
  <c r="E52" i="3"/>
  <c r="X51" i="3"/>
  <c r="W51" i="3"/>
  <c r="U51" i="3"/>
  <c r="T51" i="3"/>
  <c r="S51" i="3"/>
  <c r="R51" i="3"/>
  <c r="P51" i="3"/>
  <c r="O51" i="3"/>
  <c r="N51" i="3"/>
  <c r="M51" i="3"/>
  <c r="L51" i="3"/>
  <c r="K51" i="3"/>
  <c r="J51" i="3"/>
  <c r="I51" i="3"/>
  <c r="H51" i="3"/>
  <c r="G51" i="3"/>
  <c r="F51" i="3"/>
  <c r="E51" i="3"/>
  <c r="E56" i="3" s="1"/>
  <c r="E20" i="6" s="1"/>
  <c r="E43" i="3"/>
  <c r="F43" i="3"/>
  <c r="G43" i="3"/>
  <c r="H43" i="3"/>
  <c r="I43" i="3"/>
  <c r="J43" i="3"/>
  <c r="K43" i="3"/>
  <c r="L43" i="3"/>
  <c r="M43" i="3"/>
  <c r="N43" i="3"/>
  <c r="O43" i="3"/>
  <c r="P43" i="3"/>
  <c r="R43" i="3"/>
  <c r="S43" i="3"/>
  <c r="T43" i="3"/>
  <c r="U43" i="3"/>
  <c r="W43" i="3"/>
  <c r="X43" i="3"/>
  <c r="E44" i="3"/>
  <c r="F44" i="3"/>
  <c r="G44" i="3"/>
  <c r="H44" i="3"/>
  <c r="I44" i="3"/>
  <c r="J44" i="3"/>
  <c r="K44" i="3"/>
  <c r="L44" i="3"/>
  <c r="M44" i="3"/>
  <c r="N44" i="3"/>
  <c r="O44" i="3"/>
  <c r="P44" i="3"/>
  <c r="R44" i="3"/>
  <c r="S44" i="3"/>
  <c r="T44" i="3"/>
  <c r="U44" i="3"/>
  <c r="W44" i="3"/>
  <c r="X44" i="3"/>
  <c r="E45" i="3"/>
  <c r="F45" i="3"/>
  <c r="G45" i="3"/>
  <c r="H45" i="3"/>
  <c r="I45" i="3"/>
  <c r="J45" i="3"/>
  <c r="K45" i="3"/>
  <c r="L45" i="3"/>
  <c r="M45" i="3"/>
  <c r="N45" i="3"/>
  <c r="O45" i="3"/>
  <c r="P45" i="3"/>
  <c r="R45" i="3"/>
  <c r="S45" i="3"/>
  <c r="T45" i="3"/>
  <c r="U45" i="3"/>
  <c r="W45" i="3"/>
  <c r="X45" i="3"/>
  <c r="X42" i="3"/>
  <c r="W42" i="3"/>
  <c r="U42" i="3"/>
  <c r="S42" i="3"/>
  <c r="T42" i="3"/>
  <c r="R42" i="3"/>
  <c r="F42" i="3"/>
  <c r="G42" i="3"/>
  <c r="H42" i="3"/>
  <c r="I42" i="3"/>
  <c r="J42" i="3"/>
  <c r="K42" i="3"/>
  <c r="L42" i="3"/>
  <c r="M42" i="3"/>
  <c r="N42" i="3"/>
  <c r="O42" i="3"/>
  <c r="P42" i="3"/>
  <c r="E42" i="3"/>
  <c r="J30" i="3" l="1"/>
  <c r="J34" i="3" s="1"/>
  <c r="V36" i="3"/>
  <c r="L19" i="8"/>
  <c r="M32" i="8"/>
  <c r="M38" i="8" s="1"/>
  <c r="K9" i="11" s="1"/>
  <c r="L38" i="8"/>
  <c r="M5" i="8"/>
  <c r="I12" i="11"/>
  <c r="X36" i="6"/>
  <c r="H5" i="12" s="1"/>
  <c r="K28" i="8"/>
  <c r="K40" i="8" s="1"/>
  <c r="R137" i="3"/>
  <c r="R146" i="3"/>
  <c r="R33" i="6" s="1"/>
  <c r="W15" i="2"/>
  <c r="R16" i="2"/>
  <c r="R15" i="2"/>
  <c r="W16" i="2"/>
  <c r="Q36" i="3"/>
  <c r="G56" i="3"/>
  <c r="G20" i="6" s="1"/>
  <c r="K56" i="3"/>
  <c r="K20" i="6" s="1"/>
  <c r="O56" i="3"/>
  <c r="O20" i="6" s="1"/>
  <c r="T56" i="3"/>
  <c r="T20" i="6" s="1"/>
  <c r="O24" i="6"/>
  <c r="T24" i="6"/>
  <c r="S74" i="3"/>
  <c r="X74" i="3"/>
  <c r="S83" i="3"/>
  <c r="X83" i="3"/>
  <c r="S92" i="3"/>
  <c r="S27" i="6" s="1"/>
  <c r="X92" i="3"/>
  <c r="X27" i="6" s="1"/>
  <c r="S101" i="3"/>
  <c r="S28" i="6" s="1"/>
  <c r="X101" i="3"/>
  <c r="X28" i="6" s="1"/>
  <c r="S110" i="3"/>
  <c r="X110" i="3"/>
  <c r="H56" i="3"/>
  <c r="H20" i="6" s="1"/>
  <c r="L56" i="3"/>
  <c r="L20" i="6" s="1"/>
  <c r="P56" i="3"/>
  <c r="P20" i="6" s="1"/>
  <c r="U56" i="3"/>
  <c r="U20" i="6" s="1"/>
  <c r="F56" i="3"/>
  <c r="F20" i="6" s="1"/>
  <c r="J56" i="3"/>
  <c r="J20" i="6" s="1"/>
  <c r="N56" i="3"/>
  <c r="N20" i="6" s="1"/>
  <c r="G74" i="3"/>
  <c r="K74" i="3"/>
  <c r="O74" i="3"/>
  <c r="T74" i="3"/>
  <c r="G83" i="3"/>
  <c r="K83" i="3"/>
  <c r="O83" i="3"/>
  <c r="T83" i="3"/>
  <c r="G92" i="3"/>
  <c r="G27" i="6" s="1"/>
  <c r="K92" i="3"/>
  <c r="K27" i="6" s="1"/>
  <c r="O92" i="3"/>
  <c r="O27" i="6" s="1"/>
  <c r="T92" i="3"/>
  <c r="T27" i="6" s="1"/>
  <c r="R92" i="3"/>
  <c r="R27" i="6" s="1"/>
  <c r="Q70" i="3"/>
  <c r="Z70" i="3" s="1"/>
  <c r="V70" i="3"/>
  <c r="Q72" i="3"/>
  <c r="Z72" i="3" s="1"/>
  <c r="V72" i="3"/>
  <c r="Q81" i="3"/>
  <c r="Z81" i="3" s="1"/>
  <c r="V81" i="3"/>
  <c r="Q88" i="3"/>
  <c r="Z88" i="3" s="1"/>
  <c r="Q90" i="3"/>
  <c r="Z90" i="3" s="1"/>
  <c r="V90" i="3"/>
  <c r="Q99" i="3"/>
  <c r="Z99" i="3" s="1"/>
  <c r="V99" i="3"/>
  <c r="Q108" i="3"/>
  <c r="Z108" i="3" s="1"/>
  <c r="V108" i="3"/>
  <c r="Q115" i="3"/>
  <c r="Z115" i="3" s="1"/>
  <c r="Q117" i="3"/>
  <c r="Z117" i="3" s="1"/>
  <c r="V117" i="3"/>
  <c r="Q126" i="3"/>
  <c r="Z126" i="3" s="1"/>
  <c r="V126" i="3"/>
  <c r="Q133" i="3"/>
  <c r="Z133" i="3" s="1"/>
  <c r="Q135" i="3"/>
  <c r="Z135" i="3" s="1"/>
  <c r="V135" i="3"/>
  <c r="Q142" i="3"/>
  <c r="Z142" i="3" s="1"/>
  <c r="Q144" i="3"/>
  <c r="Z144" i="3" s="1"/>
  <c r="V144" i="3"/>
  <c r="Q151" i="3"/>
  <c r="Z151" i="3" s="1"/>
  <c r="R155" i="3"/>
  <c r="R34" i="6" s="1"/>
  <c r="V153" i="3"/>
  <c r="Q160" i="3"/>
  <c r="Z160" i="3" s="1"/>
  <c r="R164" i="3"/>
  <c r="R35" i="6" s="1"/>
  <c r="Q162" i="3"/>
  <c r="Z162" i="3" s="1"/>
  <c r="V162" i="3"/>
  <c r="N30" i="3"/>
  <c r="N34" i="3" s="1"/>
  <c r="I24" i="6"/>
  <c r="M24" i="6"/>
  <c r="W24" i="6"/>
  <c r="H74" i="3"/>
  <c r="L74" i="3"/>
  <c r="P74" i="3"/>
  <c r="U74" i="3"/>
  <c r="H83" i="3"/>
  <c r="L83" i="3"/>
  <c r="P83" i="3"/>
  <c r="U83" i="3"/>
  <c r="H92" i="3"/>
  <c r="H27" i="6" s="1"/>
  <c r="L92" i="3"/>
  <c r="L27" i="6" s="1"/>
  <c r="P92" i="3"/>
  <c r="P27" i="6" s="1"/>
  <c r="U92" i="3"/>
  <c r="U27" i="6" s="1"/>
  <c r="H110" i="3"/>
  <c r="L110" i="3"/>
  <c r="P110" i="3"/>
  <c r="U110" i="3"/>
  <c r="H119" i="3"/>
  <c r="L119" i="3"/>
  <c r="P119" i="3"/>
  <c r="U119" i="3"/>
  <c r="H137" i="3"/>
  <c r="L137" i="3"/>
  <c r="P137" i="3"/>
  <c r="U137" i="3"/>
  <c r="H146" i="3"/>
  <c r="H33" i="6" s="1"/>
  <c r="L146" i="3"/>
  <c r="L33" i="6" s="1"/>
  <c r="P146" i="3"/>
  <c r="P33" i="6" s="1"/>
  <c r="U146" i="3"/>
  <c r="U33" i="6" s="1"/>
  <c r="H155" i="3"/>
  <c r="H34" i="6" s="1"/>
  <c r="L155" i="3"/>
  <c r="L34" i="6" s="1"/>
  <c r="P155" i="3"/>
  <c r="P34" i="6" s="1"/>
  <c r="U155" i="3"/>
  <c r="U34" i="6" s="1"/>
  <c r="H164" i="3"/>
  <c r="H35" i="6" s="1"/>
  <c r="L164" i="3"/>
  <c r="L35" i="6" s="1"/>
  <c r="P164" i="3"/>
  <c r="P35" i="6" s="1"/>
  <c r="U164" i="3"/>
  <c r="U35" i="6" s="1"/>
  <c r="H30" i="3"/>
  <c r="H34" i="3" s="1"/>
  <c r="S30" i="3"/>
  <c r="S34" i="3" s="1"/>
  <c r="I30" i="3"/>
  <c r="I34" i="3" s="1"/>
  <c r="M30" i="3"/>
  <c r="M34" i="3" s="1"/>
  <c r="P30" i="3"/>
  <c r="P34" i="3" s="1"/>
  <c r="X30" i="3"/>
  <c r="X34" i="3" s="1"/>
  <c r="X35" i="3" s="1"/>
  <c r="G30" i="3"/>
  <c r="G34" i="3" s="1"/>
  <c r="O30" i="3"/>
  <c r="O34" i="3" s="1"/>
  <c r="T30" i="3"/>
  <c r="T34" i="3" s="1"/>
  <c r="T38" i="3" s="1"/>
  <c r="R30" i="3"/>
  <c r="R34" i="3" s="1"/>
  <c r="L30" i="3"/>
  <c r="L34" i="3" s="1"/>
  <c r="W30" i="3"/>
  <c r="W34" i="3" s="1"/>
  <c r="W35" i="3" s="1"/>
  <c r="Q28" i="3"/>
  <c r="V28" i="3"/>
  <c r="U30" i="3"/>
  <c r="U34" i="3" s="1"/>
  <c r="V13" i="3"/>
  <c r="I56" i="3"/>
  <c r="I20" i="6" s="1"/>
  <c r="M56" i="3"/>
  <c r="M20" i="6" s="1"/>
  <c r="V51" i="3"/>
  <c r="W56" i="3"/>
  <c r="W20" i="6" s="1"/>
  <c r="Q53" i="3"/>
  <c r="Z53" i="3" s="1"/>
  <c r="V53" i="3"/>
  <c r="Q62" i="3"/>
  <c r="Z62" i="3" s="1"/>
  <c r="V62" i="3"/>
  <c r="F74" i="3"/>
  <c r="J74" i="3"/>
  <c r="N74" i="3"/>
  <c r="F92" i="3"/>
  <c r="F27" i="6" s="1"/>
  <c r="J92" i="3"/>
  <c r="J27" i="6" s="1"/>
  <c r="N92" i="3"/>
  <c r="N27" i="6" s="1"/>
  <c r="F119" i="3"/>
  <c r="J119" i="3"/>
  <c r="N119" i="3"/>
  <c r="F137" i="3"/>
  <c r="J137" i="3"/>
  <c r="N137" i="3"/>
  <c r="F146" i="3"/>
  <c r="F33" i="6" s="1"/>
  <c r="J146" i="3"/>
  <c r="J33" i="6" s="1"/>
  <c r="N146" i="3"/>
  <c r="N33" i="6" s="1"/>
  <c r="F155" i="3"/>
  <c r="F34" i="6" s="1"/>
  <c r="J155" i="3"/>
  <c r="J34" i="6" s="1"/>
  <c r="N155" i="3"/>
  <c r="N34" i="6" s="1"/>
  <c r="F164" i="3"/>
  <c r="F35" i="6" s="1"/>
  <c r="J164" i="3"/>
  <c r="J35" i="6" s="1"/>
  <c r="N164" i="3"/>
  <c r="N35" i="6" s="1"/>
  <c r="Q153" i="3"/>
  <c r="Z153" i="3" s="1"/>
  <c r="S56" i="3"/>
  <c r="S20" i="6" s="1"/>
  <c r="X56" i="3"/>
  <c r="X20" i="6" s="1"/>
  <c r="S24" i="6"/>
  <c r="X24" i="6"/>
  <c r="E74" i="3"/>
  <c r="I74" i="3"/>
  <c r="M74" i="3"/>
  <c r="V69" i="3"/>
  <c r="W74" i="3"/>
  <c r="Q71" i="3"/>
  <c r="Z71" i="3" s="1"/>
  <c r="V71" i="3"/>
  <c r="E83" i="3"/>
  <c r="I83" i="3"/>
  <c r="M83" i="3"/>
  <c r="W83" i="3"/>
  <c r="Q80" i="3"/>
  <c r="Z80" i="3" s="1"/>
  <c r="V80" i="3"/>
  <c r="E92" i="3"/>
  <c r="E27" i="6" s="1"/>
  <c r="I92" i="3"/>
  <c r="I27" i="6" s="1"/>
  <c r="M92" i="3"/>
  <c r="M27" i="6" s="1"/>
  <c r="V87" i="3"/>
  <c r="W92" i="3"/>
  <c r="W27" i="6" s="1"/>
  <c r="Q89" i="3"/>
  <c r="Z89" i="3" s="1"/>
  <c r="V89" i="3"/>
  <c r="E101" i="3"/>
  <c r="E28" i="6" s="1"/>
  <c r="I101" i="3"/>
  <c r="I28" i="6" s="1"/>
  <c r="M101" i="3"/>
  <c r="M28" i="6" s="1"/>
  <c r="W101" i="3"/>
  <c r="W28" i="6" s="1"/>
  <c r="Q98" i="3"/>
  <c r="Z98" i="3" s="1"/>
  <c r="V98" i="3"/>
  <c r="I110" i="3"/>
  <c r="M110" i="3"/>
  <c r="W110" i="3"/>
  <c r="E119" i="3"/>
  <c r="I119" i="3"/>
  <c r="M119" i="3"/>
  <c r="V114" i="3"/>
  <c r="W119" i="3"/>
  <c r="Q116" i="3"/>
  <c r="Z116" i="3" s="1"/>
  <c r="V116" i="3"/>
  <c r="V123" i="3"/>
  <c r="E137" i="3"/>
  <c r="I137" i="3"/>
  <c r="M137" i="3"/>
  <c r="V132" i="3"/>
  <c r="W137" i="3"/>
  <c r="Q134" i="3"/>
  <c r="Z134" i="3" s="1"/>
  <c r="V134" i="3"/>
  <c r="E146" i="3"/>
  <c r="E33" i="6" s="1"/>
  <c r="I146" i="3"/>
  <c r="I33" i="6" s="1"/>
  <c r="M146" i="3"/>
  <c r="M33" i="6" s="1"/>
  <c r="V141" i="3"/>
  <c r="W146" i="3"/>
  <c r="W33" i="6" s="1"/>
  <c r="Q143" i="3"/>
  <c r="Z143" i="3" s="1"/>
  <c r="V143" i="3"/>
  <c r="E155" i="3"/>
  <c r="E34" i="6" s="1"/>
  <c r="I155" i="3"/>
  <c r="I34" i="6" s="1"/>
  <c r="M155" i="3"/>
  <c r="M34" i="6" s="1"/>
  <c r="V150" i="3"/>
  <c r="W155" i="3"/>
  <c r="W34" i="6" s="1"/>
  <c r="Q152" i="3"/>
  <c r="Z152" i="3" s="1"/>
  <c r="V152" i="3"/>
  <c r="E164" i="3"/>
  <c r="E35" i="6" s="1"/>
  <c r="I164" i="3"/>
  <c r="I35" i="6" s="1"/>
  <c r="M164" i="3"/>
  <c r="M35" i="6" s="1"/>
  <c r="V159" i="3"/>
  <c r="W164" i="3"/>
  <c r="W35" i="6" s="1"/>
  <c r="Q161" i="3"/>
  <c r="Z161" i="3" s="1"/>
  <c r="V161" i="3"/>
  <c r="Q52" i="3"/>
  <c r="Z52" i="3" s="1"/>
  <c r="V52" i="3"/>
  <c r="Q54" i="3"/>
  <c r="Z54" i="3" s="1"/>
  <c r="V54" i="3"/>
  <c r="Q63" i="3"/>
  <c r="Z63" i="3" s="1"/>
  <c r="V63" i="3"/>
  <c r="Q13" i="3"/>
  <c r="G110" i="3"/>
  <c r="K110" i="3"/>
  <c r="O110" i="3"/>
  <c r="T110" i="3"/>
  <c r="E110" i="3"/>
  <c r="Q106" i="3"/>
  <c r="Z106" i="3" s="1"/>
  <c r="V106" i="3"/>
  <c r="Q159" i="3"/>
  <c r="V160" i="3"/>
  <c r="V151" i="3"/>
  <c r="Q150" i="3"/>
  <c r="Q141" i="3"/>
  <c r="V142" i="3"/>
  <c r="V133" i="3"/>
  <c r="Q132" i="3"/>
  <c r="Q123" i="3"/>
  <c r="V115" i="3"/>
  <c r="Q114" i="3"/>
  <c r="Q79" i="3"/>
  <c r="Z79" i="3" s="1"/>
  <c r="R83" i="3"/>
  <c r="V78" i="3"/>
  <c r="F83" i="3"/>
  <c r="J83" i="3"/>
  <c r="N83" i="3"/>
  <c r="V105" i="3"/>
  <c r="F110" i="3"/>
  <c r="J110" i="3"/>
  <c r="N110" i="3"/>
  <c r="R110" i="3"/>
  <c r="Q105" i="3"/>
  <c r="H101" i="3"/>
  <c r="H28" i="6" s="1"/>
  <c r="L101" i="3"/>
  <c r="L28" i="6" s="1"/>
  <c r="P101" i="3"/>
  <c r="P28" i="6" s="1"/>
  <c r="U101" i="3"/>
  <c r="U28" i="6" s="1"/>
  <c r="G101" i="3"/>
  <c r="G28" i="6" s="1"/>
  <c r="K101" i="3"/>
  <c r="K28" i="6" s="1"/>
  <c r="O101" i="3"/>
  <c r="O28" i="6" s="1"/>
  <c r="T101" i="3"/>
  <c r="T28" i="6" s="1"/>
  <c r="Q97" i="3"/>
  <c r="Z97" i="3" s="1"/>
  <c r="V96" i="3"/>
  <c r="R101" i="3"/>
  <c r="R28" i="6" s="1"/>
  <c r="V28" i="6" s="1"/>
  <c r="F101" i="3"/>
  <c r="F28" i="6" s="1"/>
  <c r="J101" i="3"/>
  <c r="J28" i="6" s="1"/>
  <c r="N101" i="3"/>
  <c r="N28" i="6" s="1"/>
  <c r="V97" i="3"/>
  <c r="Q96" i="3"/>
  <c r="V88" i="3"/>
  <c r="Q87" i="3"/>
  <c r="V79" i="3"/>
  <c r="Q78" i="3"/>
  <c r="R74" i="3"/>
  <c r="Q69" i="3"/>
  <c r="G24" i="6"/>
  <c r="K24" i="6"/>
  <c r="Q61" i="3"/>
  <c r="Z61" i="3" s="1"/>
  <c r="H24" i="6"/>
  <c r="L24" i="6"/>
  <c r="P24" i="6"/>
  <c r="U24" i="6"/>
  <c r="E24" i="6"/>
  <c r="V60" i="3"/>
  <c r="R24" i="6"/>
  <c r="F24" i="6"/>
  <c r="J24" i="6"/>
  <c r="N24" i="6"/>
  <c r="W10" i="2"/>
  <c r="R10" i="2"/>
  <c r="R6" i="2"/>
  <c r="R9" i="2"/>
  <c r="R7" i="2"/>
  <c r="W9" i="2"/>
  <c r="W7" i="2"/>
  <c r="W14" i="2"/>
  <c r="R14" i="2"/>
  <c r="R8" i="2"/>
  <c r="W8" i="2"/>
  <c r="R17" i="2"/>
  <c r="W6" i="2"/>
  <c r="W17" i="2"/>
  <c r="V61" i="3"/>
  <c r="Q60" i="3"/>
  <c r="R56" i="3"/>
  <c r="R20" i="6" s="1"/>
  <c r="Q51" i="3"/>
  <c r="T47" i="3"/>
  <c r="T19" i="6" s="1"/>
  <c r="G47" i="3"/>
  <c r="G19" i="6" s="1"/>
  <c r="O47" i="3"/>
  <c r="O19" i="6" s="1"/>
  <c r="O22" i="6" s="1"/>
  <c r="K47" i="3"/>
  <c r="K19" i="6" s="1"/>
  <c r="E47" i="3"/>
  <c r="E19" i="6" s="1"/>
  <c r="M47" i="3"/>
  <c r="M19" i="6" s="1"/>
  <c r="I47" i="3"/>
  <c r="I19" i="6" s="1"/>
  <c r="R47" i="3"/>
  <c r="R19" i="6" s="1"/>
  <c r="W47" i="3"/>
  <c r="W19" i="6" s="1"/>
  <c r="W22" i="6" s="1"/>
  <c r="N47" i="3"/>
  <c r="N19" i="6" s="1"/>
  <c r="P47" i="3"/>
  <c r="P19" i="6" s="1"/>
  <c r="P22" i="6" s="1"/>
  <c r="L47" i="3"/>
  <c r="L19" i="6" s="1"/>
  <c r="H47" i="3"/>
  <c r="H19" i="6" s="1"/>
  <c r="H22" i="6" s="1"/>
  <c r="X47" i="3"/>
  <c r="X19" i="6" s="1"/>
  <c r="V45" i="3"/>
  <c r="V43" i="3"/>
  <c r="S47" i="3"/>
  <c r="S19" i="6" s="1"/>
  <c r="J47" i="3"/>
  <c r="J19" i="6" s="1"/>
  <c r="F47" i="3"/>
  <c r="F19" i="6" s="1"/>
  <c r="U47" i="3"/>
  <c r="U19" i="6" s="1"/>
  <c r="U22" i="6" s="1"/>
  <c r="Q44" i="3"/>
  <c r="Z44" i="3" s="1"/>
  <c r="V44" i="3"/>
  <c r="Q45" i="3"/>
  <c r="Z45" i="3" s="1"/>
  <c r="Q43" i="3"/>
  <c r="Z43" i="3" s="1"/>
  <c r="V42" i="3"/>
  <c r="Q42" i="3"/>
  <c r="L40" i="8" l="1"/>
  <c r="X53" i="9"/>
  <c r="X29" i="6"/>
  <c r="W53" i="9"/>
  <c r="W29" i="6"/>
  <c r="U53" i="9"/>
  <c r="U29" i="6"/>
  <c r="T53" i="9"/>
  <c r="T29" i="6"/>
  <c r="S53" i="9"/>
  <c r="S29" i="6"/>
  <c r="R53" i="9"/>
  <c r="R29" i="6"/>
  <c r="R38" i="3"/>
  <c r="V34" i="3"/>
  <c r="T23" i="6"/>
  <c r="T45" i="9"/>
  <c r="M19" i="8"/>
  <c r="M28" i="8" s="1"/>
  <c r="M40" i="8" s="1"/>
  <c r="K7" i="11"/>
  <c r="K12" i="11" s="1"/>
  <c r="Q34" i="6"/>
  <c r="V34" i="6"/>
  <c r="V35" i="6"/>
  <c r="Q35" i="6"/>
  <c r="Q33" i="6"/>
  <c r="V33" i="6"/>
  <c r="Q28" i="6"/>
  <c r="Q20" i="6"/>
  <c r="I22" i="6"/>
  <c r="V20" i="6"/>
  <c r="N22" i="6"/>
  <c r="M22" i="6"/>
  <c r="R22" i="6"/>
  <c r="V19" i="6"/>
  <c r="V24" i="6"/>
  <c r="S22" i="6"/>
  <c r="E22" i="6"/>
  <c r="Q19" i="6"/>
  <c r="E16" i="13" s="1"/>
  <c r="E18" i="13" s="1"/>
  <c r="T22" i="6"/>
  <c r="Q24" i="6"/>
  <c r="Q27" i="6"/>
  <c r="V27" i="6"/>
  <c r="V92" i="3"/>
  <c r="F22" i="6"/>
  <c r="G22" i="6"/>
  <c r="V119" i="3"/>
  <c r="V155" i="3"/>
  <c r="X22" i="6"/>
  <c r="L22" i="6"/>
  <c r="B13" i="3"/>
  <c r="K22" i="6"/>
  <c r="J22" i="6"/>
  <c r="B28" i="3"/>
  <c r="Z36" i="3"/>
  <c r="B36" i="3" s="1"/>
  <c r="V83" i="3"/>
  <c r="V137" i="3"/>
  <c r="V146" i="3"/>
  <c r="V164" i="3"/>
  <c r="V74" i="3"/>
  <c r="Q30" i="3"/>
  <c r="V30" i="3"/>
  <c r="V56" i="3"/>
  <c r="V110" i="3"/>
  <c r="V53" i="9" s="1"/>
  <c r="Q164" i="3"/>
  <c r="Z159" i="3"/>
  <c r="Z164" i="3" s="1"/>
  <c r="B164" i="3" s="1"/>
  <c r="Q155" i="3"/>
  <c r="Z150" i="3"/>
  <c r="Z155" i="3" s="1"/>
  <c r="B155" i="3" s="1"/>
  <c r="Q146" i="3"/>
  <c r="Z141" i="3"/>
  <c r="Z146" i="3" s="1"/>
  <c r="B146" i="3" s="1"/>
  <c r="Q137" i="3"/>
  <c r="Z132" i="3"/>
  <c r="Z137" i="3" s="1"/>
  <c r="B137" i="3" s="1"/>
  <c r="Z123" i="3"/>
  <c r="Q119" i="3"/>
  <c r="Z114" i="3"/>
  <c r="Z119" i="3" s="1"/>
  <c r="B119" i="3" s="1"/>
  <c r="Q110" i="3"/>
  <c r="Z105" i="3"/>
  <c r="Z110" i="3" s="1"/>
  <c r="B110" i="3" s="1"/>
  <c r="V101" i="3"/>
  <c r="Q101" i="3"/>
  <c r="Z96" i="3"/>
  <c r="Z101" i="3" s="1"/>
  <c r="B101" i="3" s="1"/>
  <c r="Q92" i="3"/>
  <c r="Z87" i="3"/>
  <c r="Z92" i="3" s="1"/>
  <c r="B92" i="3" s="1"/>
  <c r="Q83" i="3"/>
  <c r="Z78" i="3"/>
  <c r="Z83" i="3" s="1"/>
  <c r="B83" i="3" s="1"/>
  <c r="Q74" i="3"/>
  <c r="Z69" i="3"/>
  <c r="Z74" i="3" s="1"/>
  <c r="B74" i="3" s="1"/>
  <c r="Z60" i="3"/>
  <c r="B65" i="3" s="1"/>
  <c r="Q56" i="3"/>
  <c r="Z51" i="3"/>
  <c r="Z56" i="3" s="1"/>
  <c r="B56" i="3" s="1"/>
  <c r="V47" i="3"/>
  <c r="Z42" i="3"/>
  <c r="Z47" i="3" s="1"/>
  <c r="B47" i="3" s="1"/>
  <c r="Q47" i="3"/>
  <c r="Y38" i="2"/>
  <c r="X65" i="9" s="1"/>
  <c r="X38" i="2"/>
  <c r="W65" i="9" s="1"/>
  <c r="V38" i="2"/>
  <c r="U65" i="9" s="1"/>
  <c r="U38" i="2"/>
  <c r="T65" i="9" s="1"/>
  <c r="T38" i="2"/>
  <c r="S65" i="9" s="1"/>
  <c r="S38" i="2"/>
  <c r="R65" i="9" s="1"/>
  <c r="Q38" i="2"/>
  <c r="P65" i="9" s="1"/>
  <c r="P38" i="2"/>
  <c r="O65" i="9" s="1"/>
  <c r="O38" i="2"/>
  <c r="N65" i="9" s="1"/>
  <c r="N38" i="2"/>
  <c r="M65" i="9" s="1"/>
  <c r="M38" i="2"/>
  <c r="L65" i="9" s="1"/>
  <c r="L38" i="2"/>
  <c r="K65" i="9" s="1"/>
  <c r="K38" i="2"/>
  <c r="J65" i="9" s="1"/>
  <c r="J38" i="2"/>
  <c r="I65" i="9" s="1"/>
  <c r="I38" i="2"/>
  <c r="H65" i="9" s="1"/>
  <c r="H38" i="2"/>
  <c r="G65" i="9" s="1"/>
  <c r="G38" i="2"/>
  <c r="F65" i="9" s="1"/>
  <c r="F38" i="2"/>
  <c r="E65" i="9" s="1"/>
  <c r="V22" i="6" l="1"/>
  <c r="F16" i="13"/>
  <c r="F18" i="13" s="1"/>
  <c r="V29" i="6"/>
  <c r="R23" i="6"/>
  <c r="R45" i="9"/>
  <c r="Q22" i="6"/>
  <c r="B30" i="3"/>
  <c r="R38" i="2"/>
  <c r="Q65" i="9" s="1"/>
  <c r="W38" i="2"/>
  <c r="V65" i="9" s="1"/>
  <c r="U35" i="3" l="1"/>
  <c r="U38" i="3" s="1"/>
  <c r="S35" i="3"/>
  <c r="V35" i="3" s="1"/>
  <c r="Q34" i="3"/>
  <c r="B26" i="2"/>
  <c r="V24" i="2"/>
  <c r="U24" i="2"/>
  <c r="T24" i="2"/>
  <c r="S24" i="2"/>
  <c r="R24" i="2"/>
  <c r="Y22" i="2"/>
  <c r="Y26" i="2" s="1"/>
  <c r="X22" i="2"/>
  <c r="X26" i="2" s="1"/>
  <c r="V22" i="2"/>
  <c r="U22" i="2"/>
  <c r="T22" i="2"/>
  <c r="S22" i="2"/>
  <c r="Q22" i="2"/>
  <c r="Q26" i="2" s="1"/>
  <c r="P22" i="2"/>
  <c r="P26" i="2" s="1"/>
  <c r="O22" i="2"/>
  <c r="O26" i="2" s="1"/>
  <c r="N22" i="2"/>
  <c r="N26" i="2" s="1"/>
  <c r="M22" i="2"/>
  <c r="M26" i="2" s="1"/>
  <c r="L22" i="2"/>
  <c r="L26" i="2" s="1"/>
  <c r="K22" i="2"/>
  <c r="K26" i="2" s="1"/>
  <c r="J22" i="2"/>
  <c r="J26" i="2" s="1"/>
  <c r="I22" i="2"/>
  <c r="I26" i="2" s="1"/>
  <c r="H22" i="2"/>
  <c r="H26" i="2" s="1"/>
  <c r="G22" i="2"/>
  <c r="G26" i="2" s="1"/>
  <c r="F22" i="2"/>
  <c r="F26" i="2" s="1"/>
  <c r="V5" i="2"/>
  <c r="U5" i="2"/>
  <c r="T5" i="2"/>
  <c r="Q5" i="2"/>
  <c r="Q19" i="2" s="1"/>
  <c r="B19" i="2"/>
  <c r="U23" i="6" l="1"/>
  <c r="U45" i="9"/>
  <c r="V38" i="3"/>
  <c r="V45" i="9" s="1"/>
  <c r="S38" i="3"/>
  <c r="Z34" i="3"/>
  <c r="B34" i="3" s="1"/>
  <c r="I35" i="3"/>
  <c r="I38" i="3" s="1"/>
  <c r="M35" i="3"/>
  <c r="M38" i="3" s="1"/>
  <c r="E35" i="3"/>
  <c r="E38" i="3" s="1"/>
  <c r="H35" i="3"/>
  <c r="H38" i="3" s="1"/>
  <c r="L35" i="3"/>
  <c r="L38" i="3" s="1"/>
  <c r="P35" i="3"/>
  <c r="P38" i="3" s="1"/>
  <c r="F35" i="3"/>
  <c r="F38" i="3" s="1"/>
  <c r="J35" i="3"/>
  <c r="J38" i="3" s="1"/>
  <c r="N35" i="3"/>
  <c r="N38" i="3" s="1"/>
  <c r="G35" i="3"/>
  <c r="G38" i="3" s="1"/>
  <c r="K35" i="3"/>
  <c r="K38" i="3" s="1"/>
  <c r="O35" i="3"/>
  <c r="O38" i="3" s="1"/>
  <c r="T26" i="2"/>
  <c r="V26" i="2"/>
  <c r="W24" i="2"/>
  <c r="B28" i="2"/>
  <c r="B40" i="2" s="1"/>
  <c r="Q28" i="2"/>
  <c r="R22" i="2"/>
  <c r="R26" i="2" s="1"/>
  <c r="W22" i="2"/>
  <c r="U26" i="2"/>
  <c r="S26" i="2"/>
  <c r="V19" i="2"/>
  <c r="Y5" i="2"/>
  <c r="Y19" i="2" s="1"/>
  <c r="Y28" i="2" s="1"/>
  <c r="X5" i="2"/>
  <c r="X19" i="2" s="1"/>
  <c r="X28" i="2" s="1"/>
  <c r="U19" i="2"/>
  <c r="T19" i="2"/>
  <c r="S5" i="2"/>
  <c r="S19" i="2" s="1"/>
  <c r="G5" i="2"/>
  <c r="H5" i="2"/>
  <c r="H19" i="2" s="1"/>
  <c r="H28" i="2" s="1"/>
  <c r="I5" i="2"/>
  <c r="I19" i="2" s="1"/>
  <c r="I28" i="2" s="1"/>
  <c r="J5" i="2"/>
  <c r="J19" i="2" s="1"/>
  <c r="J28" i="2" s="1"/>
  <c r="K5" i="2"/>
  <c r="K19" i="2" s="1"/>
  <c r="K28" i="2" s="1"/>
  <c r="L5" i="2"/>
  <c r="L19" i="2" s="1"/>
  <c r="L28" i="2" s="1"/>
  <c r="M5" i="2"/>
  <c r="M19" i="2" s="1"/>
  <c r="M28" i="2" s="1"/>
  <c r="N5" i="2"/>
  <c r="N19" i="2" s="1"/>
  <c r="N28" i="2" s="1"/>
  <c r="O5" i="2"/>
  <c r="O19" i="2" s="1"/>
  <c r="O28" i="2" s="1"/>
  <c r="P5" i="2"/>
  <c r="P19" i="2" s="1"/>
  <c r="P28" i="2" s="1"/>
  <c r="F5" i="2"/>
  <c r="F19" i="2" s="1"/>
  <c r="F28" i="2" s="1"/>
  <c r="J23" i="6" l="1"/>
  <c r="J45" i="9"/>
  <c r="H23" i="6"/>
  <c r="H45" i="9"/>
  <c r="B125" i="3"/>
  <c r="B124" i="3"/>
  <c r="K23" i="6"/>
  <c r="K45" i="9"/>
  <c r="F23" i="6"/>
  <c r="F45" i="9"/>
  <c r="E23" i="6"/>
  <c r="E45" i="9"/>
  <c r="S23" i="6"/>
  <c r="S45" i="9"/>
  <c r="G23" i="6"/>
  <c r="G45" i="9"/>
  <c r="P23" i="6"/>
  <c r="P45" i="9"/>
  <c r="M23" i="6"/>
  <c r="M45" i="9"/>
  <c r="N23" i="6"/>
  <c r="N45" i="9"/>
  <c r="L23" i="6"/>
  <c r="L45" i="9"/>
  <c r="I23" i="6"/>
  <c r="I45" i="9"/>
  <c r="O23" i="6"/>
  <c r="O45" i="9"/>
  <c r="T28" i="2"/>
  <c r="L40" i="2"/>
  <c r="K64" i="9"/>
  <c r="K67" i="9" s="1"/>
  <c r="M35" i="9"/>
  <c r="M39" i="9" s="1"/>
  <c r="M41" i="9" s="1"/>
  <c r="X40" i="2"/>
  <c r="W64" i="9"/>
  <c r="W67" i="9" s="1"/>
  <c r="X35" i="9"/>
  <c r="P40" i="2"/>
  <c r="O64" i="9"/>
  <c r="O67" i="9" s="1"/>
  <c r="H40" i="2"/>
  <c r="G64" i="9"/>
  <c r="G67" i="9" s="1"/>
  <c r="I35" i="9"/>
  <c r="I39" i="9" s="1"/>
  <c r="I41" i="9" s="1"/>
  <c r="Q40" i="2"/>
  <c r="P64" i="9"/>
  <c r="P67" i="9" s="1"/>
  <c r="O40" i="2"/>
  <c r="N64" i="9"/>
  <c r="N67" i="9" s="1"/>
  <c r="P35" i="9"/>
  <c r="P39" i="9" s="1"/>
  <c r="P41" i="9" s="1"/>
  <c r="K40" i="2"/>
  <c r="J64" i="9"/>
  <c r="J67" i="9" s="1"/>
  <c r="L35" i="9"/>
  <c r="L39" i="9" s="1"/>
  <c r="L41" i="9" s="1"/>
  <c r="N40" i="2"/>
  <c r="M64" i="9"/>
  <c r="M67" i="9" s="1"/>
  <c r="O35" i="9"/>
  <c r="O39" i="9" s="1"/>
  <c r="O41" i="9" s="1"/>
  <c r="J40" i="2"/>
  <c r="I64" i="9"/>
  <c r="I67" i="9" s="1"/>
  <c r="K35" i="9"/>
  <c r="Y40" i="2"/>
  <c r="X64" i="9"/>
  <c r="X67" i="9" s="1"/>
  <c r="F40" i="2"/>
  <c r="E64" i="9"/>
  <c r="E67" i="9" s="1"/>
  <c r="G35" i="9"/>
  <c r="M40" i="2"/>
  <c r="L64" i="9"/>
  <c r="L67" i="9" s="1"/>
  <c r="N35" i="9"/>
  <c r="I40" i="2"/>
  <c r="H64" i="9"/>
  <c r="H67" i="9" s="1"/>
  <c r="J35" i="9"/>
  <c r="J39" i="9" s="1"/>
  <c r="J41" i="9" s="1"/>
  <c r="T40" i="2"/>
  <c r="S64" i="9"/>
  <c r="S67" i="9" s="1"/>
  <c r="T35" i="9"/>
  <c r="Q23" i="6"/>
  <c r="V23" i="6"/>
  <c r="Q35" i="3"/>
  <c r="Q38" i="3" s="1"/>
  <c r="Q45" i="9" s="1"/>
  <c r="V28" i="2"/>
  <c r="U28" i="2"/>
  <c r="W5" i="2"/>
  <c r="W19" i="2" s="1"/>
  <c r="S28" i="2"/>
  <c r="W26" i="2"/>
  <c r="R5" i="2"/>
  <c r="R19" i="2" s="1"/>
  <c r="R28" i="2" s="1"/>
  <c r="G19" i="2"/>
  <c r="G28" i="2" s="1"/>
  <c r="E4" i="13" l="1"/>
  <c r="F4" i="13"/>
  <c r="U124" i="3"/>
  <c r="P124" i="3"/>
  <c r="L124" i="3"/>
  <c r="H124" i="3"/>
  <c r="T124" i="3"/>
  <c r="O124" i="3"/>
  <c r="K124" i="3"/>
  <c r="G124" i="3"/>
  <c r="X124" i="3"/>
  <c r="S124" i="3"/>
  <c r="N124" i="3"/>
  <c r="J124" i="3"/>
  <c r="F124" i="3"/>
  <c r="W124" i="3"/>
  <c r="R124" i="3"/>
  <c r="M124" i="3"/>
  <c r="I124" i="3"/>
  <c r="E124" i="3"/>
  <c r="X125" i="3"/>
  <c r="S125" i="3"/>
  <c r="N125" i="3"/>
  <c r="J125" i="3"/>
  <c r="F125" i="3"/>
  <c r="W125" i="3"/>
  <c r="R125" i="3"/>
  <c r="M125" i="3"/>
  <c r="I125" i="3"/>
  <c r="E125" i="3"/>
  <c r="U125" i="3"/>
  <c r="P125" i="3"/>
  <c r="L125" i="3"/>
  <c r="H125" i="3"/>
  <c r="T125" i="3"/>
  <c r="O125" i="3"/>
  <c r="K125" i="3"/>
  <c r="G125" i="3"/>
  <c r="R40" i="2"/>
  <c r="Q64" i="9"/>
  <c r="Q67" i="9" s="1"/>
  <c r="U40" i="2"/>
  <c r="T64" i="9"/>
  <c r="T67" i="9" s="1"/>
  <c r="U35" i="9"/>
  <c r="G39" i="9"/>
  <c r="G41" i="9" s="1"/>
  <c r="G40" i="2"/>
  <c r="F64" i="9"/>
  <c r="F67" i="9" s="1"/>
  <c r="H35" i="9"/>
  <c r="Q35" i="9" s="1"/>
  <c r="V40" i="2"/>
  <c r="U64" i="9"/>
  <c r="U67" i="9" s="1"/>
  <c r="W35" i="9"/>
  <c r="S40" i="2"/>
  <c r="R64" i="9"/>
  <c r="R67" i="9" s="1"/>
  <c r="S35" i="9"/>
  <c r="R35" i="9"/>
  <c r="W28" i="2"/>
  <c r="Q125" i="3" l="1"/>
  <c r="Z125" i="3" s="1"/>
  <c r="I128" i="3"/>
  <c r="F128" i="3"/>
  <c r="X128" i="3"/>
  <c r="T128" i="3"/>
  <c r="U128" i="3"/>
  <c r="M128" i="3"/>
  <c r="J128" i="3"/>
  <c r="G128" i="3"/>
  <c r="H128" i="3"/>
  <c r="R128" i="3"/>
  <c r="V124" i="3"/>
  <c r="N128" i="3"/>
  <c r="K128" i="3"/>
  <c r="L128" i="3"/>
  <c r="V125" i="3"/>
  <c r="Q124" i="3"/>
  <c r="E128" i="3"/>
  <c r="W128" i="3"/>
  <c r="S128" i="3"/>
  <c r="O128" i="3"/>
  <c r="P128" i="3"/>
  <c r="W40" i="2"/>
  <c r="V64" i="9"/>
  <c r="V67" i="9" s="1"/>
  <c r="V35" i="9"/>
  <c r="W38" i="3"/>
  <c r="X38" i="3"/>
  <c r="S31" i="6" l="1"/>
  <c r="S38" i="6" s="1"/>
  <c r="S55" i="9"/>
  <c r="S61" i="9" s="1"/>
  <c r="V128" i="3"/>
  <c r="V55" i="9" s="1"/>
  <c r="V61" i="9" s="1"/>
  <c r="J31" i="6"/>
  <c r="J38" i="6" s="1"/>
  <c r="J55" i="9"/>
  <c r="J61" i="9" s="1"/>
  <c r="X31" i="6"/>
  <c r="X55" i="9"/>
  <c r="L31" i="6"/>
  <c r="L38" i="6" s="1"/>
  <c r="L55" i="9"/>
  <c r="L61" i="9" s="1"/>
  <c r="M31" i="6"/>
  <c r="M38" i="6" s="1"/>
  <c r="M55" i="9"/>
  <c r="M61" i="9" s="1"/>
  <c r="F31" i="6"/>
  <c r="F38" i="6" s="1"/>
  <c r="F55" i="9"/>
  <c r="F61" i="9" s="1"/>
  <c r="X23" i="6"/>
  <c r="X45" i="9"/>
  <c r="X61" i="9" s="1"/>
  <c r="W23" i="6"/>
  <c r="W45" i="9"/>
  <c r="W31" i="6"/>
  <c r="W55" i="9"/>
  <c r="R31" i="6"/>
  <c r="R55" i="9"/>
  <c r="R61" i="9" s="1"/>
  <c r="P31" i="6"/>
  <c r="P38" i="6" s="1"/>
  <c r="P55" i="9"/>
  <c r="P61" i="9" s="1"/>
  <c r="E31" i="6"/>
  <c r="E55" i="9"/>
  <c r="E61" i="9" s="1"/>
  <c r="K31" i="6"/>
  <c r="K38" i="6" s="1"/>
  <c r="K55" i="9"/>
  <c r="K61" i="9" s="1"/>
  <c r="H31" i="6"/>
  <c r="H38" i="6" s="1"/>
  <c r="H55" i="9"/>
  <c r="H61" i="9" s="1"/>
  <c r="U31" i="6"/>
  <c r="U38" i="6" s="1"/>
  <c r="U55" i="9"/>
  <c r="U61" i="9" s="1"/>
  <c r="I31" i="6"/>
  <c r="I38" i="6" s="1"/>
  <c r="I55" i="9"/>
  <c r="I61" i="9" s="1"/>
  <c r="O31" i="6"/>
  <c r="O38" i="6" s="1"/>
  <c r="O55" i="9"/>
  <c r="O61" i="9" s="1"/>
  <c r="Z124" i="3"/>
  <c r="Z128" i="3" s="1"/>
  <c r="B128" i="3" s="1"/>
  <c r="Q128" i="3"/>
  <c r="Q55" i="9" s="1"/>
  <c r="Q61" i="9" s="1"/>
  <c r="N31" i="6"/>
  <c r="N38" i="6" s="1"/>
  <c r="N55" i="9"/>
  <c r="N61" i="9" s="1"/>
  <c r="G31" i="6"/>
  <c r="G38" i="6" s="1"/>
  <c r="G55" i="9"/>
  <c r="G61" i="9" s="1"/>
  <c r="T31" i="6"/>
  <c r="T38" i="6" s="1"/>
  <c r="T55" i="9"/>
  <c r="T61" i="9" s="1"/>
  <c r="Z35" i="3"/>
  <c r="W61" i="9" l="1"/>
  <c r="Z38" i="3"/>
  <c r="B38" i="3" s="1"/>
  <c r="B35" i="3"/>
  <c r="Q31" i="6"/>
  <c r="E38" i="6"/>
  <c r="V31" i="6"/>
  <c r="R38" i="6"/>
  <c r="W38" i="6"/>
  <c r="G4" i="13"/>
  <c r="I34" i="11"/>
  <c r="X38" i="6"/>
  <c r="H4" i="13"/>
  <c r="K34" i="11"/>
  <c r="F77" i="9"/>
  <c r="F79" i="9" s="1"/>
  <c r="F81" i="9" s="1"/>
  <c r="J77" i="9"/>
  <c r="J79" i="9" s="1"/>
  <c r="J81" i="9" s="1"/>
  <c r="L77" i="9"/>
  <c r="L79" i="9" s="1"/>
  <c r="L81" i="9" s="1"/>
  <c r="I77" i="9"/>
  <c r="I79" i="9" s="1"/>
  <c r="I81" i="9" s="1"/>
  <c r="P77" i="9"/>
  <c r="P79" i="9" s="1"/>
  <c r="P81" i="9" s="1"/>
  <c r="O77" i="9"/>
  <c r="O79" i="9" s="1"/>
  <c r="O81" i="9" s="1"/>
  <c r="M77" i="9"/>
  <c r="M79" i="9" s="1"/>
  <c r="M81" i="9" s="1"/>
  <c r="E77" i="9"/>
  <c r="E79" i="9"/>
  <c r="E81" i="9" s="1"/>
  <c r="E83" i="9" s="1"/>
  <c r="H12" i="12" l="1"/>
  <c r="Q38" i="6"/>
  <c r="E34" i="11"/>
  <c r="H14" i="13"/>
  <c r="V38" i="6"/>
  <c r="G34" i="11"/>
  <c r="G12" i="12" s="1"/>
  <c r="F83" i="9"/>
  <c r="G77" i="9"/>
  <c r="G79" i="9" s="1"/>
  <c r="G81" i="9" s="1"/>
  <c r="F14" i="13" l="1"/>
  <c r="G14" i="13"/>
  <c r="F12" i="12"/>
  <c r="E14" i="13"/>
  <c r="E12" i="12"/>
  <c r="G83" i="9"/>
  <c r="E89" i="9" s="1"/>
  <c r="E90" i="9" l="1"/>
  <c r="G40" i="6" s="1"/>
  <c r="H70" i="9"/>
  <c r="F39" i="6"/>
  <c r="E39" i="6"/>
  <c r="G39" i="6"/>
  <c r="F40" i="6"/>
  <c r="H34" i="9"/>
  <c r="E40" i="6" l="1"/>
  <c r="G42" i="6"/>
  <c r="G44" i="6" s="1"/>
  <c r="F42" i="6"/>
  <c r="F44" i="6" s="1"/>
  <c r="E42" i="6"/>
  <c r="E44" i="6" s="1"/>
  <c r="H39" i="9"/>
  <c r="H41" i="9" s="1"/>
  <c r="Q72" i="9"/>
  <c r="H77" i="9"/>
  <c r="H79" i="9" s="1"/>
  <c r="H81" i="9" l="1"/>
  <c r="H83" i="9" s="1"/>
  <c r="I83" i="9" s="1"/>
  <c r="J83" i="9" s="1"/>
  <c r="H90" i="9" l="1"/>
  <c r="H89" i="9"/>
  <c r="J39" i="6" l="1"/>
  <c r="K70" i="9"/>
  <c r="H39" i="6"/>
  <c r="I39" i="6"/>
  <c r="H40" i="6"/>
  <c r="I40" i="6"/>
  <c r="K34" i="9"/>
  <c r="J40" i="6"/>
  <c r="H42" i="6" l="1"/>
  <c r="H44" i="6" s="1"/>
  <c r="K77" i="9"/>
  <c r="K79" i="9" s="1"/>
  <c r="J42" i="6"/>
  <c r="J44" i="6" s="1"/>
  <c r="K39" i="9"/>
  <c r="K41" i="9" s="1"/>
  <c r="I42" i="6"/>
  <c r="I44" i="6" s="1"/>
  <c r="K81" i="9" l="1"/>
  <c r="K83" i="9" s="1"/>
  <c r="L83" i="9" l="1"/>
  <c r="M83" i="9" s="1"/>
  <c r="K90" i="9" l="1"/>
  <c r="K89" i="9"/>
  <c r="K39" i="6" l="1"/>
  <c r="M39" i="6"/>
  <c r="L39" i="6"/>
  <c r="N70" i="9"/>
  <c r="M40" i="6"/>
  <c r="L40" i="6"/>
  <c r="K40" i="6"/>
  <c r="N34" i="9"/>
  <c r="L42" i="6" l="1"/>
  <c r="L44" i="6" s="1"/>
  <c r="M42" i="6"/>
  <c r="M44" i="6" s="1"/>
  <c r="N77" i="9"/>
  <c r="N79" i="9" s="1"/>
  <c r="Q70" i="9"/>
  <c r="Q77" i="9" s="1"/>
  <c r="Q79" i="9" s="1"/>
  <c r="N39" i="9"/>
  <c r="N41" i="9" s="1"/>
  <c r="Q34" i="9"/>
  <c r="Q39" i="9" s="1"/>
  <c r="Q41" i="9" s="1"/>
  <c r="K42" i="6"/>
  <c r="K44" i="6" s="1"/>
  <c r="Q81" i="9" l="1"/>
  <c r="N81" i="9"/>
  <c r="N83" i="9" s="1"/>
  <c r="O83" i="9" l="1"/>
  <c r="P83" i="9" s="1"/>
  <c r="N90" i="9" l="1"/>
  <c r="N89" i="9"/>
  <c r="Q83" i="9"/>
  <c r="E36" i="11" l="1"/>
  <c r="E18" i="11"/>
  <c r="O39" i="6"/>
  <c r="N39" i="6"/>
  <c r="R70" i="9"/>
  <c r="P39" i="6"/>
  <c r="Q89" i="9"/>
  <c r="O40" i="6"/>
  <c r="R34" i="9"/>
  <c r="P40" i="6"/>
  <c r="N40" i="6"/>
  <c r="Q90" i="9"/>
  <c r="Q40" i="6" l="1"/>
  <c r="E10" i="13" s="1"/>
  <c r="P42" i="6"/>
  <c r="P44" i="6" s="1"/>
  <c r="R39" i="9"/>
  <c r="R41" i="9" s="1"/>
  <c r="R77" i="9"/>
  <c r="R79" i="9" s="1"/>
  <c r="N42" i="6"/>
  <c r="N44" i="6" s="1"/>
  <c r="Q39" i="6"/>
  <c r="O42" i="6"/>
  <c r="O44" i="6" s="1"/>
  <c r="Q42" i="6" l="1"/>
  <c r="Q44" i="6" s="1"/>
  <c r="Q49" i="6" s="1"/>
  <c r="R81" i="9"/>
  <c r="R83" i="9" s="1"/>
  <c r="R90" i="9" l="1"/>
  <c r="R89" i="9"/>
  <c r="Q54" i="6"/>
  <c r="Q50" i="6"/>
  <c r="Q52" i="6" s="1"/>
  <c r="V51" i="6" s="1"/>
  <c r="S70" i="9" l="1"/>
  <c r="R39" i="6"/>
  <c r="Q55" i="6"/>
  <c r="Q56" i="6" s="1"/>
  <c r="R40" i="6"/>
  <c r="S34" i="9"/>
  <c r="Q45" i="6" l="1"/>
  <c r="L45" i="6" s="1"/>
  <c r="L47" i="6" s="1"/>
  <c r="E33" i="11"/>
  <c r="R42" i="6"/>
  <c r="R44" i="6" s="1"/>
  <c r="S39" i="9"/>
  <c r="S41" i="9" s="1"/>
  <c r="S77" i="9"/>
  <c r="S79" i="9" s="1"/>
  <c r="Q47" i="6" l="1"/>
  <c r="F45" i="6"/>
  <c r="F47" i="6" s="1"/>
  <c r="M45" i="6"/>
  <c r="M47" i="6" s="1"/>
  <c r="G45" i="6"/>
  <c r="G47" i="6" s="1"/>
  <c r="J45" i="6"/>
  <c r="J47" i="6" s="1"/>
  <c r="H45" i="6"/>
  <c r="H47" i="6" s="1"/>
  <c r="P45" i="6"/>
  <c r="P47" i="6" s="1"/>
  <c r="K45" i="6"/>
  <c r="K47" i="6" s="1"/>
  <c r="E45" i="6"/>
  <c r="E47" i="6" s="1"/>
  <c r="O45" i="6"/>
  <c r="O47" i="6" s="1"/>
  <c r="I45" i="6"/>
  <c r="I47" i="6" s="1"/>
  <c r="N45" i="6"/>
  <c r="N47" i="6" s="1"/>
  <c r="E6" i="12"/>
  <c r="E28" i="11"/>
  <c r="G27" i="11" s="1"/>
  <c r="E4" i="12"/>
  <c r="S81" i="9"/>
  <c r="S83" i="9" s="1"/>
  <c r="S90" i="9" s="1"/>
  <c r="E30" i="11" l="1"/>
  <c r="E35" i="11" s="1"/>
  <c r="E8" i="12"/>
  <c r="E17" i="11"/>
  <c r="S89" i="9"/>
  <c r="T70" i="9" s="1"/>
  <c r="S40" i="6"/>
  <c r="T34" i="9"/>
  <c r="E13" i="12" l="1"/>
  <c r="E38" i="11"/>
  <c r="E14" i="12"/>
  <c r="E20" i="11"/>
  <c r="E22" i="11" s="1"/>
  <c r="S39" i="6"/>
  <c r="S42" i="6" s="1"/>
  <c r="S44" i="6" s="1"/>
  <c r="T77" i="9"/>
  <c r="T79" i="9" s="1"/>
  <c r="T39" i="9"/>
  <c r="T41" i="9" s="1"/>
  <c r="E40" i="11" l="1"/>
  <c r="E16" i="12"/>
  <c r="E18" i="12" s="1"/>
  <c r="F18" i="11"/>
  <c r="F17" i="11"/>
  <c r="F15" i="11"/>
  <c r="F16" i="11"/>
  <c r="F7" i="11"/>
  <c r="F6" i="11"/>
  <c r="F8" i="11"/>
  <c r="F9" i="11"/>
  <c r="F10" i="11"/>
  <c r="T81" i="9"/>
  <c r="T83" i="9" s="1"/>
  <c r="T90" i="9" s="1"/>
  <c r="E6" i="13" l="1"/>
  <c r="F34" i="11"/>
  <c r="F35" i="11"/>
  <c r="F36" i="11"/>
  <c r="F28" i="11"/>
  <c r="F33" i="11"/>
  <c r="F26" i="11"/>
  <c r="E8" i="13"/>
  <c r="F20" i="11"/>
  <c r="F12" i="11"/>
  <c r="T89" i="9"/>
  <c r="T39" i="6" s="1"/>
  <c r="T40" i="6"/>
  <c r="U34" i="9"/>
  <c r="F30" i="11" l="1"/>
  <c r="F22" i="11"/>
  <c r="F38" i="11"/>
  <c r="F40" i="11" s="1"/>
  <c r="U70" i="9"/>
  <c r="U77" i="9" s="1"/>
  <c r="U79" i="9" s="1"/>
  <c r="U39" i="9"/>
  <c r="U41" i="9" s="1"/>
  <c r="V34" i="9"/>
  <c r="V39" i="9" s="1"/>
  <c r="V41" i="9" s="1"/>
  <c r="T42" i="6"/>
  <c r="T44" i="6" s="1"/>
  <c r="V70" i="9" l="1"/>
  <c r="V77" i="9" s="1"/>
  <c r="V79" i="9" s="1"/>
  <c r="V81" i="9" s="1"/>
  <c r="U81" i="9"/>
  <c r="U83" i="9" s="1"/>
  <c r="U89" i="9" s="1"/>
  <c r="V83" i="9" l="1"/>
  <c r="G18" i="11" s="1"/>
  <c r="U90" i="9"/>
  <c r="V90" i="9" s="1"/>
  <c r="W70" i="9"/>
  <c r="W77" i="9" s="1"/>
  <c r="W79" i="9" s="1"/>
  <c r="U39" i="6"/>
  <c r="V89" i="9"/>
  <c r="W90" i="9" l="1"/>
  <c r="X34" i="9" s="1"/>
  <c r="X39" i="9" s="1"/>
  <c r="X41" i="9" s="1"/>
  <c r="G36" i="11"/>
  <c r="W34" i="9"/>
  <c r="W39" i="9" s="1"/>
  <c r="W41" i="9" s="1"/>
  <c r="W81" i="9" s="1"/>
  <c r="W83" i="9" s="1"/>
  <c r="U40" i="6"/>
  <c r="V40" i="6" s="1"/>
  <c r="F10" i="13" s="1"/>
  <c r="W89" i="9"/>
  <c r="X70" i="9" s="1"/>
  <c r="X77" i="9" s="1"/>
  <c r="X79" i="9" s="1"/>
  <c r="V39" i="6"/>
  <c r="W40" i="6" l="1"/>
  <c r="G10" i="13" s="1"/>
  <c r="I36" i="11"/>
  <c r="I18" i="11"/>
  <c r="V42" i="6"/>
  <c r="V44" i="6" s="1"/>
  <c r="V49" i="6" s="1"/>
  <c r="U42" i="6"/>
  <c r="U44" i="6" s="1"/>
  <c r="W39" i="6"/>
  <c r="W42" i="6" s="1"/>
  <c r="W44" i="6" s="1"/>
  <c r="X81" i="9"/>
  <c r="X83" i="9" s="1"/>
  <c r="X89" i="9"/>
  <c r="X39" i="6" s="1"/>
  <c r="X90" i="9"/>
  <c r="X40" i="6" s="1"/>
  <c r="H10" i="13" s="1"/>
  <c r="K36" i="11" l="1"/>
  <c r="K18" i="11"/>
  <c r="X42" i="6"/>
  <c r="X44" i="6" s="1"/>
  <c r="X49" i="6" s="1"/>
  <c r="V54" i="6"/>
  <c r="V50" i="6"/>
  <c r="W49" i="6"/>
  <c r="V55" i="6" l="1"/>
  <c r="V56" i="6" s="1"/>
  <c r="X50" i="6"/>
  <c r="W50" i="6"/>
  <c r="V52" i="6"/>
  <c r="W51" i="6" s="1"/>
  <c r="W52" i="6" s="1"/>
  <c r="X51" i="6" s="1"/>
  <c r="V45" i="6" l="1"/>
  <c r="R45" i="6" s="1"/>
  <c r="R47" i="6" s="1"/>
  <c r="G33" i="11"/>
  <c r="X52" i="6"/>
  <c r="W54" i="6"/>
  <c r="W55" i="6" s="1"/>
  <c r="W56" i="6" s="1"/>
  <c r="X54" i="6"/>
  <c r="X55" i="6" s="1"/>
  <c r="X56" i="6" s="1"/>
  <c r="S45" i="6" l="1"/>
  <c r="S47" i="6" s="1"/>
  <c r="U45" i="6"/>
  <c r="U47" i="6" s="1"/>
  <c r="V47" i="6"/>
  <c r="F4" i="12" s="1"/>
  <c r="T45" i="6"/>
  <c r="T47" i="6" s="1"/>
  <c r="F6" i="12"/>
  <c r="W45" i="6"/>
  <c r="W47" i="6" s="1"/>
  <c r="I33" i="11"/>
  <c r="X45" i="6"/>
  <c r="X47" i="6" s="1"/>
  <c r="K33" i="11"/>
  <c r="G28" i="11" l="1"/>
  <c r="G30" i="11" s="1"/>
  <c r="G35" i="11" s="1"/>
  <c r="F8" i="12"/>
  <c r="H6" i="12"/>
  <c r="I28" i="11"/>
  <c r="G4" i="12"/>
  <c r="K28" i="11"/>
  <c r="H4" i="12"/>
  <c r="G6" i="12"/>
  <c r="G17" i="11" l="1"/>
  <c r="F13" i="12" s="1"/>
  <c r="I27" i="11"/>
  <c r="K27" i="11" s="1"/>
  <c r="K30" i="11" s="1"/>
  <c r="K35" i="11" s="1"/>
  <c r="H8" i="12"/>
  <c r="F14" i="12"/>
  <c r="G8" i="12"/>
  <c r="G38" i="11"/>
  <c r="I30" i="11" l="1"/>
  <c r="I35" i="11" s="1"/>
  <c r="F16" i="12"/>
  <c r="F18" i="12" s="1"/>
  <c r="G20" i="11"/>
  <c r="G22" i="11" s="1"/>
  <c r="H18" i="11" s="1"/>
  <c r="H9" i="11"/>
  <c r="K17" i="11"/>
  <c r="K20" i="11" s="1"/>
  <c r="K22" i="11" s="1"/>
  <c r="G40" i="11"/>
  <c r="F6" i="13" s="1"/>
  <c r="F8" i="13"/>
  <c r="I17" i="11"/>
  <c r="G14" i="12"/>
  <c r="H14" i="12"/>
  <c r="K38" i="11"/>
  <c r="I38" i="11"/>
  <c r="H33" i="11"/>
  <c r="H36" i="11" l="1"/>
  <c r="H16" i="11"/>
  <c r="H10" i="11"/>
  <c r="H17" i="11"/>
  <c r="H15" i="11"/>
  <c r="H7" i="11"/>
  <c r="H6" i="11"/>
  <c r="H8" i="11"/>
  <c r="H12" i="11" s="1"/>
  <c r="H13" i="12"/>
  <c r="H16" i="12" s="1"/>
  <c r="H18" i="12" s="1"/>
  <c r="H28" i="11"/>
  <c r="G13" i="12"/>
  <c r="I20" i="11"/>
  <c r="I22" i="11" s="1"/>
  <c r="J15" i="11" s="1"/>
  <c r="I40" i="11"/>
  <c r="G6" i="13" s="1"/>
  <c r="K40" i="11"/>
  <c r="H6" i="13" s="1"/>
  <c r="G16" i="12"/>
  <c r="G18" i="12" s="1"/>
  <c r="H35" i="11"/>
  <c r="H27" i="11"/>
  <c r="H26" i="11"/>
  <c r="H34" i="11"/>
  <c r="L16" i="11"/>
  <c r="L6" i="11"/>
  <c r="L10" i="11"/>
  <c r="L18" i="11"/>
  <c r="L7" i="11"/>
  <c r="L15" i="11"/>
  <c r="L9" i="11"/>
  <c r="L17" i="11"/>
  <c r="L8" i="11"/>
  <c r="J16" i="11" l="1"/>
  <c r="H20" i="11"/>
  <c r="J18" i="11"/>
  <c r="J10" i="11"/>
  <c r="J8" i="11"/>
  <c r="L26" i="11"/>
  <c r="L35" i="11"/>
  <c r="L33" i="11"/>
  <c r="H8" i="13"/>
  <c r="H30" i="11"/>
  <c r="H22" i="11"/>
  <c r="J7" i="11"/>
  <c r="J6" i="11"/>
  <c r="J17" i="11"/>
  <c r="J9" i="11"/>
  <c r="H38" i="11"/>
  <c r="J35" i="11"/>
  <c r="J28" i="11"/>
  <c r="J36" i="11"/>
  <c r="J26" i="11"/>
  <c r="G8" i="13"/>
  <c r="J27" i="11"/>
  <c r="J34" i="11"/>
  <c r="J33" i="11"/>
  <c r="L20" i="11"/>
  <c r="L12" i="11"/>
  <c r="L36" i="11"/>
  <c r="L34" i="11"/>
  <c r="L28" i="11"/>
  <c r="L27" i="11"/>
  <c r="M40" i="11"/>
  <c r="J20" i="11" l="1"/>
  <c r="H40" i="11"/>
  <c r="J30" i="11"/>
  <c r="J38" i="11"/>
  <c r="J40" i="11" s="1"/>
  <c r="J12" i="11"/>
  <c r="J22" i="11" s="1"/>
  <c r="L38" i="11"/>
  <c r="L30" i="11"/>
  <c r="L22" i="11"/>
  <c r="L40" i="11" l="1"/>
</calcChain>
</file>

<file path=xl/sharedStrings.xml><?xml version="1.0" encoding="utf-8"?>
<sst xmlns="http://schemas.openxmlformats.org/spreadsheetml/2006/main" count="730" uniqueCount="264">
  <si>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</si>
  <si>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</si>
  <si>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</si>
  <si>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</si>
  <si>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</si>
  <si>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</si>
  <si>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</si>
  <si>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</si>
  <si>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</si>
  <si>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</si>
  <si>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</si>
  <si>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</si>
  <si>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</si>
  <si>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</si>
  <si>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</si>
  <si>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</si>
  <si>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</si>
  <si>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</si>
  <si>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</si>
  <si>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</si>
  <si>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</si>
  <si>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</si>
  <si>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</si>
  <si>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</si>
  <si>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</si>
  <si>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</si>
  <si>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</si>
  <si>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</si>
  <si>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</si>
  <si>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</si>
  <si>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Geplante vorsteuerabzugsfähige Investitionen (netto)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</si>
  <si>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</si>
  <si>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</si>
  <si>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</si>
  <si>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</si>
  <si>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</si>
  <si>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</si>
  <si>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</si>
  <si>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</si>
  <si>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</si>
  <si>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</si>
  <si>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</si>
  <si>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</si>
  <si>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</si>
  <si>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</si>
  <si>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</si>
  <si>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</si>
  <si>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</si>
  <si>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</si>
  <si>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</si>
  <si>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</si>
  <si>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</si>
  <si>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</si>
  <si>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</si>
  <si>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</si>
  <si>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</si>
  <si>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</si>
  <si>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</si>
  <si>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</si>
  <si>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</si>
  <si>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</si>
  <si>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</si>
  <si>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</si>
  <si>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</si>
  <si>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</si>
  <si>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</si>
  <si>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</si>
  <si>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</si>
  <si>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</si>
  <si>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</si>
  <si>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</si>
  <si>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</si>
  <si>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</si>
  <si>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</si>
  <si>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</si>
  <si>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</si>
  <si>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</si>
  <si>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</si>
  <si>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</si>
  <si>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</si>
  <si>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</si>
  <si>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</si>
  <si>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</si>
  <si>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</si>
  <si>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</si>
  <si>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</si>
  <si>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</si>
  <si>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</si>
  <si>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</si>
  <si>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</si>
  <si>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</si>
  <si>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</si>
  <si>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</si>
  <si>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</si>
  <si>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</si>
  <si>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</si>
  <si>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</si>
  <si>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</si>
  <si>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</si>
  <si>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</si>
  <si>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</si>
  <si>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</si>
  <si>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</si>
  <si>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</si>
  <si>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</si>
  <si>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</si>
  <si>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</si>
  <si>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</si>
  <si>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</si>
  <si>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</si>
  <si>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</si>
  <si>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</si>
  <si>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</si>
  <si>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</si>
  <si>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</si>
  <si>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</si>
  <si>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</si>
  <si>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</si>
  <si>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</si>
  <si>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</si>
  <si>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</si>
  <si>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</si>
  <si>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</si>
  <si>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</si>
  <si>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</si>
  <si>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</si>
  <si>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</si>
  <si>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</si>
  <si>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</si>
  <si>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</si>
  <si>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</si>
  <si>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</si>
  <si>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</si>
  <si>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</si>
  <si>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</si>
  <si>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</si>
  <si>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</si>
  <si>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</si>
  <si>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</si>
  <si>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</si>
  <si>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</si>
  <si>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</si>
  <si>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</si>
  <si>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</si>
  <si>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</si>
  <si>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</si>
  <si>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</si>
  <si>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</si>
  <si>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</si>
  <si>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</si>
  <si>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Umsatzerlöse</t>
  </si>
  <si>
    <t>Plan Einnahmen:</t>
  </si>
  <si>
    <t>Plan Umsatzerlöse</t>
  </si>
  <si>
    <t>Summe "Sonstige Einahmen":</t>
  </si>
  <si>
    <t>Summe "Plan Einnahmen":</t>
  </si>
  <si>
    <t>Summe "Plan Umsatzerlöse":</t>
  </si>
  <si>
    <t>Gebühr</t>
  </si>
  <si>
    <t>Lizenzgebühr</t>
  </si>
  <si>
    <t>Energie- 
ersparnis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</si>
  <si>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</si>
  <si>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</si>
  <si>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</si>
  <si>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</si>
  <si>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</si>
  <si>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</si>
  <si>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</si>
  <si>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</si>
  <si>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</si>
  <si>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</si>
  <si>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</si>
  <si>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</si>
  <si>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</si>
  <si>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</si>
  <si>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</si>
  <si>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</si>
  <si>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</si>
  <si>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</si>
  <si>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</si>
  <si>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</si>
  <si>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</si>
  <si>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</si>
  <si>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KöSt. / Ertragssteuer (tatsächlich)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</si>
  <si>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</si>
  <si>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</si>
  <si>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</si>
  <si>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</si>
  <si>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</si>
  <si>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</si>
  <si>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</si>
  <si>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</si>
  <si>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</si>
  <si>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</si>
  <si>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</si>
  <si>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</si>
  <si>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</si>
  <si>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</si>
  <si>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</si>
  <si>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</si>
  <si>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</si>
  <si>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</si>
  <si>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</si>
  <si>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</si>
  <si>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</si>
  <si>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</si>
  <si>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</si>
  <si>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</si>
  <si>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</si>
  <si>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</si>
  <si>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</si>
  <si>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</si>
  <si>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</si>
  <si>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</si>
  <si>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</si>
  <si>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</si>
  <si>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</si>
  <si>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</si>
  <si>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</si>
  <si>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</si>
  <si>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</si>
  <si>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</si>
  <si>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</si>
  <si>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</si>
  <si>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</si>
  <si>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</si>
  <si>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</si>
  <si>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</si>
  <si>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</si>
  <si>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</si>
  <si>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</si>
  <si>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</si>
  <si>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</si>
  <si>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</si>
  <si>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</si>
  <si>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</si>
  <si>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</si>
  <si>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</si>
  <si>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</si>
  <si>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</si>
  <si>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</si>
  <si>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</si>
  <si>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</si>
  <si>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Geldeingangsdauer in Tagen</t>
  </si>
  <si>
    <t>Lieferantenkreditdauer in Tagen</t>
  </si>
  <si>
    <t>Lagerumschlagshäufigkeit</t>
  </si>
  <si>
    <t>Lagerdauer in Tagen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</si>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</sst>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5" formatCode="0\ &quot;Tage&quot;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dashed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/>
      <bottom/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43">
    <xf numFmtId="0" fontId="0" fillId="0" borderId="0" xfId="0"/>
    <xf numFmtId="0" fontId="0" fillId="0" borderId="34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4" xfId="0" applyNumberFormat="1" applyBorder="1" applyAlignment="1" applyProtection="1">
      <alignment vertical="center"/>
    </xf>
    <xf numFmtId="164" fontId="0" fillId="0" borderId="42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8" xfId="0" applyNumberFormat="1" applyBorder="1" applyAlignment="1" applyProtection="1">
      <alignment vertical="center"/>
    </xf>
    <xf numFmtId="164" fontId="0" fillId="0" borderId="50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56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0" borderId="62" xfId="0" applyNumberFormat="1" applyBorder="1" applyAlignment="1" applyProtection="1">
      <alignment vertical="center"/>
    </xf>
    <xf numFmtId="164" fontId="0" fillId="7" borderId="42" xfId="0" applyNumberFormat="1" applyFill="1" applyBorder="1" applyAlignment="1" applyProtection="1">
      <alignment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vertical="center"/>
      <protection locked="0"/>
    </xf>
    <xf numFmtId="0" fontId="0" fillId="7" borderId="57" xfId="0" applyFill="1" applyBorder="1" applyAlignment="1" applyProtection="1">
      <alignment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5" xfId="0" applyFill="1" applyBorder="1" applyAlignment="1" applyProtection="1">
      <alignment vertical="center"/>
      <protection locked="0"/>
    </xf>
    <xf numFmtId="0" fontId="0" fillId="3" borderId="77" xfId="0" applyFill="1" applyBorder="1" applyAlignment="1" applyProtection="1">
      <alignment vertical="center"/>
      <protection locked="0"/>
    </xf>
    <xf numFmtId="0" fontId="0" fillId="7" borderId="78" xfId="0" applyFill="1" applyBorder="1" applyAlignment="1" applyProtection="1">
      <alignment vertical="center"/>
      <protection locked="0"/>
    </xf>
    <xf numFmtId="0" fontId="0" fillId="7" borderId="79" xfId="0" applyFill="1" applyBorder="1" applyAlignment="1" applyProtection="1">
      <alignment vertical="center"/>
      <protection locked="0"/>
    </xf>
    <xf numFmtId="164" fontId="0" fillId="0" borderId="80" xfId="0" applyNumberFormat="1" applyBorder="1" applyAlignment="1" applyProtection="1">
      <alignment vertical="center"/>
    </xf>
    <xf numFmtId="164" fontId="0" fillId="0" borderId="78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164" fontId="0" fillId="0" borderId="85" xfId="0" applyNumberFormat="1" applyBorder="1" applyAlignment="1" applyProtection="1">
      <alignment vertical="center"/>
    </xf>
    <xf numFmtId="164" fontId="0" fillId="0" borderId="86" xfId="0" applyNumberFormat="1" applyBorder="1" applyAlignment="1" applyProtection="1">
      <alignment vertical="center"/>
    </xf>
    <xf numFmtId="0" fontId="6" fillId="0" borderId="87" xfId="0" applyFont="1" applyBorder="1" applyAlignment="1" applyProtection="1">
      <alignment horizontal="right"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1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9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6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5" xfId="0" applyNumberFormat="1" applyFont="1" applyFill="1" applyBorder="1" applyAlignment="1" applyProtection="1">
      <alignment vertical="center"/>
    </xf>
    <xf numFmtId="164" fontId="7" fillId="5" borderId="67" xfId="0" applyNumberFormat="1" applyFont="1" applyFill="1" applyBorder="1" applyAlignment="1" applyProtection="1">
      <alignment vertical="center"/>
    </xf>
    <xf numFmtId="164" fontId="2" fillId="6" borderId="97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7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8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7" fillId="5" borderId="94" xfId="0" applyNumberFormat="1" applyFont="1" applyFill="1" applyBorder="1" applyAlignment="1" applyProtection="1">
      <alignment vertical="center"/>
    </xf>
    <xf numFmtId="164" fontId="7" fillId="5" borderId="95" xfId="0" applyNumberFormat="1" applyFon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5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6" xfId="0" applyFill="1" applyBorder="1" applyAlignment="1" applyProtection="1">
      <alignment horizontal="left" vertical="center" wrapText="1"/>
      <protection locked="0"/>
    </xf>
    <xf numFmtId="0" fontId="0" fillId="3" borderId="100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3" xfId="0" applyNumberFormat="1" applyFill="1" applyBorder="1" applyAlignment="1" applyProtection="1">
      <alignment vertical="center"/>
      <protection locked="0"/>
    </xf>
    <xf numFmtId="0" fontId="0" fillId="3" borderId="11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0" fillId="3" borderId="101" xfId="0" applyFill="1" applyBorder="1" applyAlignment="1" applyProtection="1">
      <alignment vertical="center"/>
      <protection locked="0"/>
    </xf>
    <xf numFmtId="164" fontId="0" fillId="7" borderId="56" xfId="0" applyNumberFormat="1" applyFill="1" applyBorder="1" applyAlignment="1" applyProtection="1">
      <alignment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7" borderId="57" xfId="0" applyFill="1" applyBorder="1" applyAlignment="1" applyProtection="1">
      <alignment horizontal="center" vertical="center"/>
      <protection locked="0"/>
    </xf>
    <xf numFmtId="0" fontId="0" fillId="3" borderId="109" xfId="0" applyFill="1" applyBorder="1" applyAlignment="1" applyProtection="1">
      <alignment vertical="center"/>
      <protection locked="0"/>
    </xf>
    <xf numFmtId="164" fontId="0" fillId="7" borderId="78" xfId="0" applyNumberFormat="1" applyFill="1" applyBorder="1" applyAlignment="1" applyProtection="1">
      <alignment vertical="center"/>
      <protection locked="0"/>
    </xf>
    <xf numFmtId="0" fontId="0" fillId="7" borderId="121" xfId="0" applyFill="1" applyBorder="1" applyAlignment="1" applyProtection="1">
      <alignment horizontal="center" vertical="center"/>
      <protection locked="0"/>
    </xf>
    <xf numFmtId="0" fontId="0" fillId="7" borderId="120" xfId="0" applyFill="1" applyBorder="1" applyAlignment="1" applyProtection="1">
      <alignment horizontal="center" vertical="center"/>
      <protection locked="0"/>
    </xf>
    <xf numFmtId="164" fontId="0" fillId="7" borderId="42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6" xfId="0" applyNumberFormat="1" applyFill="1" applyBorder="1" applyAlignment="1" applyProtection="1">
      <alignment horizontal="right" vertical="center"/>
      <protection locked="0"/>
    </xf>
    <xf numFmtId="0" fontId="0" fillId="3" borderId="5" xfId="0" applyFill="1" applyBorder="1" applyAlignment="1" applyProtection="1">
      <alignment vertical="center"/>
      <protection locked="0"/>
    </xf>
    <xf numFmtId="164" fontId="0" fillId="7" borderId="126" xfId="0" applyNumberFormat="1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0" fillId="7" borderId="127" xfId="0" applyFill="1" applyBorder="1" applyAlignment="1" applyProtection="1">
      <alignment horizontal="center" vertical="center"/>
      <protection locked="0"/>
    </xf>
    <xf numFmtId="164" fontId="0" fillId="0" borderId="128" xfId="0" applyNumberFormat="1" applyBorder="1" applyAlignment="1" applyProtection="1">
      <alignment vertical="center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Fill="1" applyBorder="1" applyAlignment="1" applyProtection="1">
      <alignment vertical="center"/>
    </xf>
    <xf numFmtId="164" fontId="0" fillId="0" borderId="130" xfId="0" applyNumberFormat="1" applyFill="1" applyBorder="1" applyAlignment="1" applyProtection="1">
      <alignment vertical="center"/>
    </xf>
    <xf numFmtId="164" fontId="0" fillId="0" borderId="126" xfId="0" applyNumberFormat="1" applyFill="1" applyBorder="1" applyAlignment="1" applyProtection="1">
      <alignment vertical="center"/>
    </xf>
    <xf numFmtId="164" fontId="0" fillId="0" borderId="106" xfId="0" applyNumberFormat="1" applyFill="1" applyBorder="1" applyAlignment="1" applyProtection="1">
      <alignment vertical="center"/>
    </xf>
    <xf numFmtId="164" fontId="0" fillId="0" borderId="131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2" xfId="0" applyFill="1" applyBorder="1" applyAlignment="1" applyProtection="1">
      <alignment horizontal="center" vertical="center"/>
    </xf>
    <xf numFmtId="0" fontId="0" fillId="0" borderId="43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21" xfId="0" applyFill="1" applyBorder="1" applyAlignment="1" applyProtection="1">
      <alignment horizontal="center" vertical="center"/>
    </xf>
    <xf numFmtId="0" fontId="0" fillId="0" borderId="120" xfId="0" applyFill="1" applyBorder="1" applyAlignment="1" applyProtection="1">
      <alignment horizontal="center" vertical="center"/>
    </xf>
    <xf numFmtId="0" fontId="0" fillId="0" borderId="110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9" xfId="0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0" fontId="0" fillId="0" borderId="125" xfId="0" applyFill="1" applyBorder="1" applyAlignment="1" applyProtection="1">
      <alignment vertical="center"/>
    </xf>
    <xf numFmtId="0" fontId="0" fillId="0" borderId="126" xfId="0" applyFill="1" applyBorder="1" applyAlignment="1" applyProtection="1">
      <alignment horizontal="center" vertical="center"/>
    </xf>
    <xf numFmtId="0" fontId="0" fillId="0" borderId="127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4" xfId="0" applyFill="1" applyBorder="1" applyAlignment="1" applyProtection="1">
      <alignment vertical="center"/>
      <protection locked="0"/>
    </xf>
    <xf numFmtId="0" fontId="0" fillId="7" borderId="134" xfId="0" applyFill="1" applyBorder="1" applyAlignment="1" applyProtection="1">
      <alignment vertical="center"/>
      <protection locked="0"/>
    </xf>
    <xf numFmtId="0" fontId="0" fillId="7" borderId="135" xfId="0" applyFill="1" applyBorder="1" applyAlignment="1" applyProtection="1">
      <alignment vertical="center"/>
      <protection locked="0"/>
    </xf>
    <xf numFmtId="164" fontId="0" fillId="0" borderId="137" xfId="0" applyNumberFormat="1" applyBorder="1" applyAlignment="1" applyProtection="1">
      <alignment vertical="center"/>
    </xf>
    <xf numFmtId="164" fontId="0" fillId="0" borderId="134" xfId="0" applyNumberFormat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134" xfId="0" applyNumberFormat="1" applyFill="1" applyBorder="1" applyAlignment="1" applyProtection="1">
      <alignment vertical="center"/>
    </xf>
    <xf numFmtId="164" fontId="0" fillId="0" borderId="155" xfId="0" applyNumberFormat="1" applyFill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41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34" xfId="0" applyNumberFormat="1" applyFill="1" applyBorder="1" applyAlignment="1" applyProtection="1">
      <alignment vertical="center"/>
      <protection locked="0"/>
    </xf>
    <xf numFmtId="164" fontId="0" fillId="7" borderId="75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5" xfId="0" applyNumberFormat="1" applyFill="1" applyBorder="1" applyAlignment="1" applyProtection="1">
      <alignment vertical="center"/>
      <protection locked="0"/>
    </xf>
    <xf numFmtId="164" fontId="0" fillId="7" borderId="164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8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9" fontId="0" fillId="7" borderId="150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52" xfId="0" applyNumberFormat="1" applyFill="1" applyBorder="1" applyAlignment="1" applyProtection="1">
      <alignment vertical="center"/>
      <protection locked="0"/>
    </xf>
    <xf numFmtId="9" fontId="0" fillId="7" borderId="10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64" fontId="0" fillId="7" borderId="175" xfId="0" applyNumberFormat="1" applyFill="1" applyBorder="1" applyAlignment="1" applyProtection="1">
      <alignment vertical="center"/>
      <protection locked="0"/>
    </xf>
    <xf numFmtId="164" fontId="0" fillId="7" borderId="176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4" xfId="0" quotePrefix="1" applyBorder="1" applyAlignment="1" applyProtection="1">
      <alignment horizontal="right" vertical="center"/>
    </xf>
    <xf numFmtId="164" fontId="0" fillId="0" borderId="176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6" xfId="0" applyFill="1" applyBorder="1" applyAlignment="1" applyProtection="1"/>
    <xf numFmtId="0" fontId="0" fillId="0" borderId="80" xfId="0" applyFill="1" applyBorder="1" applyAlignment="1" applyProtection="1"/>
    <xf numFmtId="0" fontId="0" fillId="0" borderId="78" xfId="0" applyFill="1" applyBorder="1" applyAlignment="1" applyProtection="1"/>
    <xf numFmtId="0" fontId="0" fillId="0" borderId="81" xfId="0" applyFill="1" applyBorder="1" applyAlignment="1" applyProtection="1"/>
    <xf numFmtId="0" fontId="0" fillId="0" borderId="85" xfId="0" applyFill="1" applyBorder="1" applyAlignment="1" applyProtection="1"/>
    <xf numFmtId="0" fontId="0" fillId="0" borderId="169" xfId="0" applyFill="1" applyBorder="1" applyAlignment="1" applyProtection="1"/>
    <xf numFmtId="0" fontId="0" fillId="0" borderId="84" xfId="0" applyFill="1" applyBorder="1" applyAlignment="1" applyProtection="1"/>
    <xf numFmtId="0" fontId="0" fillId="0" borderId="86" xfId="0" applyFill="1" applyBorder="1" applyAlignment="1" applyProtection="1"/>
    <xf numFmtId="0" fontId="0" fillId="0" borderId="0" xfId="0" applyProtection="1"/>
    <xf numFmtId="8" fontId="0" fillId="9" borderId="34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8" xfId="0" applyNumberForma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9" xfId="0" applyNumberFormat="1" applyFon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164" fontId="0" fillId="0" borderId="74" xfId="0" applyNumberFormat="1" applyBorder="1" applyAlignment="1" applyProtection="1">
      <alignment vertical="center"/>
    </xf>
    <xf numFmtId="164" fontId="0" fillId="0" borderId="166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5" xfId="0" applyNumberFormat="1" applyBorder="1" applyAlignment="1" applyProtection="1">
      <alignment vertical="center"/>
    </xf>
    <xf numFmtId="164" fontId="0" fillId="0" borderId="75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2" xfId="0" applyFill="1" applyBorder="1" applyAlignment="1" applyProtection="1"/>
    <xf numFmtId="0" fontId="0" fillId="0" borderId="126" xfId="0" applyFill="1" applyBorder="1" applyAlignment="1" applyProtection="1"/>
    <xf numFmtId="0" fontId="0" fillId="0" borderId="177" xfId="0" applyFill="1" applyBorder="1" applyAlignment="1" applyProtection="1"/>
    <xf numFmtId="0" fontId="0" fillId="0" borderId="131" xfId="0" applyFill="1" applyBorder="1" applyAlignment="1" applyProtection="1"/>
    <xf numFmtId="0" fontId="0" fillId="0" borderId="106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8" xfId="0" applyNumberFormat="1" applyFont="1" applyFill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155" xfId="0" applyNumberFormat="1" applyBorder="1" applyAlignment="1" applyProtection="1">
      <alignment vertical="center"/>
    </xf>
    <xf numFmtId="164" fontId="0" fillId="0" borderId="164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164" fontId="0" fillId="0" borderId="142" xfId="0" applyNumberFormat="1" applyFill="1" applyBorder="1" applyAlignment="1" applyProtection="1">
      <alignment vertical="center"/>
    </xf>
    <xf numFmtId="164" fontId="0" fillId="0" borderId="177" xfId="0" applyNumberFormat="1" applyFill="1" applyBorder="1" applyAlignment="1" applyProtection="1">
      <alignment vertical="center"/>
    </xf>
    <xf numFmtId="164" fontId="6" fillId="0" borderId="131" xfId="0" applyNumberFormat="1" applyFont="1" applyFill="1" applyBorder="1" applyAlignment="1" applyProtection="1">
      <alignment vertical="center"/>
    </xf>
    <xf numFmtId="164" fontId="6" fillId="0" borderId="106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4" xfId="0" quotePrefix="1" applyBorder="1" applyAlignment="1" applyProtection="1">
      <alignment horizontal="right" vertical="center"/>
    </xf>
    <xf numFmtId="164" fontId="0" fillId="0" borderId="187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88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9" xfId="0" applyBorder="1" applyProtection="1"/>
    <xf numFmtId="0" fontId="0" fillId="0" borderId="179" xfId="0" applyBorder="1" applyProtection="1"/>
    <xf numFmtId="0" fontId="0" fillId="0" borderId="172" xfId="0" applyBorder="1" applyProtection="1"/>
    <xf numFmtId="0" fontId="0" fillId="0" borderId="178" xfId="0" applyBorder="1" applyProtection="1"/>
    <xf numFmtId="0" fontId="0" fillId="0" borderId="193" xfId="0" applyBorder="1" applyProtection="1"/>
    <xf numFmtId="0" fontId="0" fillId="0" borderId="189" xfId="0" applyBorder="1" applyProtection="1"/>
    <xf numFmtId="0" fontId="0" fillId="0" borderId="121" xfId="0" applyBorder="1" applyProtection="1"/>
    <xf numFmtId="0" fontId="0" fillId="0" borderId="192" xfId="0" applyBorder="1" applyProtection="1"/>
    <xf numFmtId="0" fontId="0" fillId="0" borderId="194" xfId="0" applyBorder="1" applyProtection="1"/>
    <xf numFmtId="0" fontId="0" fillId="0" borderId="170" xfId="0" applyBorder="1" applyProtection="1"/>
    <xf numFmtId="0" fontId="0" fillId="0" borderId="190" xfId="0" applyBorder="1" applyProtection="1"/>
    <xf numFmtId="8" fontId="12" fillId="5" borderId="182" xfId="0" applyNumberFormat="1" applyFont="1" applyFill="1" applyBorder="1" applyAlignment="1" applyProtection="1">
      <alignment vertical="center"/>
    </xf>
    <xf numFmtId="8" fontId="12" fillId="5" borderId="63" xfId="0" applyNumberFormat="1" applyFont="1" applyFill="1" applyBorder="1" applyAlignment="1" applyProtection="1">
      <alignment vertical="center"/>
    </xf>
    <xf numFmtId="8" fontId="12" fillId="5" borderId="191" xfId="0" applyNumberFormat="1" applyFont="1" applyFill="1" applyBorder="1" applyAlignment="1" applyProtection="1">
      <alignment vertical="center"/>
    </xf>
    <xf numFmtId="8" fontId="2" fillId="5" borderId="65" xfId="0" applyNumberFormat="1" applyFont="1" applyFill="1" applyBorder="1" applyAlignment="1" applyProtection="1">
      <alignment vertical="center"/>
    </xf>
    <xf numFmtId="8" fontId="2" fillId="5" borderId="183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98" xfId="0" applyNumberFormat="1" applyBorder="1" applyAlignment="1" applyProtection="1">
      <alignment vertical="center"/>
    </xf>
    <xf numFmtId="164" fontId="0" fillId="0" borderId="199" xfId="0" applyNumberFormat="1" applyBorder="1" applyAlignment="1" applyProtection="1">
      <alignment vertical="center"/>
    </xf>
    <xf numFmtId="164" fontId="0" fillId="0" borderId="180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104" xfId="0" applyNumberFormat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7" xfId="0" applyNumberFormat="1" applyBorder="1" applyAlignment="1" applyProtection="1">
      <alignment vertical="center"/>
    </xf>
    <xf numFmtId="164" fontId="0" fillId="0" borderId="153" xfId="0" applyNumberFormat="1" applyBorder="1" applyAlignment="1" applyProtection="1">
      <alignment vertical="center"/>
    </xf>
    <xf numFmtId="164" fontId="6" fillId="5" borderId="173" xfId="0" applyNumberFormat="1" applyFont="1" applyFill="1" applyBorder="1" applyAlignment="1" applyProtection="1">
      <alignment vertical="center"/>
    </xf>
    <xf numFmtId="164" fontId="6" fillId="0" borderId="204" xfId="0" applyNumberFormat="1" applyFont="1" applyBorder="1" applyAlignment="1" applyProtection="1">
      <alignment vertical="center"/>
    </xf>
    <xf numFmtId="164" fontId="6" fillId="5" borderId="205" xfId="0" applyNumberFormat="1" applyFont="1" applyFill="1" applyBorder="1" applyAlignment="1" applyProtection="1">
      <alignment vertical="center"/>
    </xf>
    <xf numFmtId="164" fontId="6" fillId="5" borderId="190" xfId="0" applyNumberFormat="1" applyFon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9" xfId="0" applyFill="1" applyBorder="1" applyAlignment="1" applyProtection="1">
      <alignment horizontal="center" vertical="center"/>
    </xf>
    <xf numFmtId="0" fontId="0" fillId="0" borderId="55" xfId="0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horizontal="right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vertical="center"/>
    </xf>
    <xf numFmtId="0" fontId="0" fillId="0" borderId="78" xfId="0" applyFill="1" applyBorder="1" applyAlignment="1" applyProtection="1">
      <alignment vertical="center"/>
    </xf>
    <xf numFmtId="0" fontId="0" fillId="0" borderId="79" xfId="0" applyFill="1" applyBorder="1" applyAlignment="1" applyProtection="1">
      <alignment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 wrapText="1"/>
    </xf>
    <xf numFmtId="164" fontId="2" fillId="6" borderId="183" xfId="0" applyNumberFormat="1" applyFont="1" applyFill="1" applyBorder="1" applyAlignment="1" applyProtection="1">
      <alignment vertical="center"/>
    </xf>
    <xf numFmtId="164" fontId="0" fillId="0" borderId="209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0" fillId="0" borderId="213" xfId="0" applyNumberFormat="1" applyBorder="1" applyAlignment="1" applyProtection="1">
      <alignment vertical="center"/>
    </xf>
    <xf numFmtId="164" fontId="7" fillId="5" borderId="211" xfId="0" applyNumberFormat="1" applyFont="1" applyFill="1" applyBorder="1" applyAlignment="1" applyProtection="1">
      <alignment vertical="center"/>
    </xf>
    <xf numFmtId="164" fontId="2" fillId="6" borderId="212" xfId="0" applyNumberFormat="1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64" fontId="0" fillId="0" borderId="45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164" fontId="0" fillId="0" borderId="214" xfId="0" applyNumberFormat="1" applyBorder="1" applyAlignment="1" applyProtection="1">
      <alignment vertical="center"/>
    </xf>
    <xf numFmtId="164" fontId="0" fillId="0" borderId="215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216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4" xfId="0" applyNumberFormat="1" applyFill="1" applyBorder="1" applyAlignment="1" applyProtection="1">
      <alignment vertical="center"/>
    </xf>
    <xf numFmtId="164" fontId="0" fillId="10" borderId="128" xfId="0" applyNumberFormat="1" applyFill="1" applyBorder="1" applyAlignment="1" applyProtection="1">
      <alignment vertical="center"/>
    </xf>
    <xf numFmtId="164" fontId="0" fillId="10" borderId="58" xfId="0" applyNumberFormat="1" applyFill="1" applyBorder="1" applyAlignment="1" applyProtection="1">
      <alignment vertical="center"/>
    </xf>
    <xf numFmtId="164" fontId="0" fillId="10" borderId="46" xfId="0" applyNumberFormat="1" applyFill="1" applyBorder="1" applyAlignment="1" applyProtection="1">
      <alignment vertical="center"/>
    </xf>
    <xf numFmtId="164" fontId="0" fillId="10" borderId="130" xfId="0" applyNumberFormat="1" applyFill="1" applyBorder="1" applyAlignment="1" applyProtection="1">
      <alignment vertical="center"/>
    </xf>
    <xf numFmtId="164" fontId="0" fillId="10" borderId="60" xfId="0" applyNumberForma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0" fillId="10" borderId="92" xfId="0" applyNumberFormat="1" applyFont="1" applyFill="1" applyBorder="1" applyAlignment="1" applyProtection="1">
      <alignment vertical="center"/>
    </xf>
    <xf numFmtId="164" fontId="8" fillId="10" borderId="66" xfId="0" applyNumberFormat="1" applyFont="1" applyFill="1" applyBorder="1" applyAlignment="1" applyProtection="1">
      <alignment vertical="center"/>
    </xf>
    <xf numFmtId="164" fontId="8" fillId="10" borderId="97" xfId="0" applyNumberFormat="1" applyFont="1" applyFill="1" applyBorder="1" applyAlignment="1" applyProtection="1">
      <alignment vertical="center"/>
    </xf>
    <xf numFmtId="164" fontId="0" fillId="10" borderId="89" xfId="0" applyNumberFormat="1" applyFont="1" applyFill="1" applyBorder="1" applyAlignment="1" applyProtection="1">
      <alignment vertical="center"/>
    </xf>
    <xf numFmtId="164" fontId="7" fillId="10" borderId="183" xfId="0" applyNumberFormat="1" applyFont="1" applyFill="1" applyBorder="1" applyAlignment="1" applyProtection="1">
      <alignment vertical="center"/>
    </xf>
    <xf numFmtId="164" fontId="7" fillId="10" borderId="212" xfId="0" applyNumberFormat="1" applyFont="1" applyFill="1" applyBorder="1" applyAlignment="1" applyProtection="1">
      <alignment vertical="center"/>
    </xf>
    <xf numFmtId="0" fontId="0" fillId="0" borderId="35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0" fontId="0" fillId="7" borderId="148" xfId="0" applyNumberFormat="1" applyFill="1" applyBorder="1" applyAlignment="1" applyProtection="1">
      <alignment vertical="center"/>
      <protection locked="0"/>
    </xf>
    <xf numFmtId="164" fontId="0" fillId="0" borderId="47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54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234" xfId="0" applyNumberFormat="1" applyFill="1" applyBorder="1" applyAlignment="1" applyProtection="1">
      <alignment vertical="center"/>
    </xf>
    <xf numFmtId="164" fontId="0" fillId="0" borderId="235" xfId="0" applyNumberFormat="1" applyFill="1" applyBorder="1" applyAlignment="1" applyProtection="1">
      <alignment vertical="center"/>
    </xf>
    <xf numFmtId="164" fontId="0" fillId="0" borderId="236" xfId="0" applyNumberFormat="1" applyFill="1" applyBorder="1" applyAlignment="1" applyProtection="1">
      <alignment vertical="center"/>
    </xf>
    <xf numFmtId="164" fontId="0" fillId="0" borderId="237" xfId="0" applyNumberFormat="1" applyFill="1" applyBorder="1" applyAlignment="1" applyProtection="1">
      <alignment vertical="center"/>
    </xf>
    <xf numFmtId="164" fontId="0" fillId="0" borderId="175" xfId="0" applyNumberFormat="1" applyFill="1" applyBorder="1" applyAlignment="1" applyProtection="1">
      <alignment vertical="center"/>
    </xf>
    <xf numFmtId="164" fontId="0" fillId="2" borderId="238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9" xfId="0" applyNumberFormat="1" applyFill="1" applyBorder="1" applyAlignment="1" applyProtection="1">
      <alignment vertical="center"/>
    </xf>
    <xf numFmtId="164" fontId="0" fillId="2" borderId="240" xfId="0" applyNumberFormat="1" applyFill="1" applyBorder="1" applyAlignment="1" applyProtection="1">
      <alignment vertical="center"/>
    </xf>
    <xf numFmtId="164" fontId="0" fillId="2" borderId="254" xfId="0" applyNumberFormat="1" applyFill="1" applyBorder="1" applyAlignment="1" applyProtection="1">
      <alignment vertical="center"/>
    </xf>
    <xf numFmtId="164" fontId="0" fillId="2" borderId="153" xfId="0" applyNumberFormat="1" applyFill="1" applyBorder="1" applyAlignment="1" applyProtection="1">
      <alignment vertical="center"/>
    </xf>
    <xf numFmtId="164" fontId="0" fillId="10" borderId="42" xfId="0" applyNumberFormat="1" applyFill="1" applyBorder="1" applyAlignment="1" applyProtection="1">
      <alignment vertical="center"/>
    </xf>
    <xf numFmtId="164" fontId="0" fillId="10" borderId="174" xfId="0" applyNumberFormat="1" applyFill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7" borderId="58" xfId="0" applyNumberFormat="1" applyFill="1" applyBorder="1" applyAlignment="1" applyProtection="1">
      <alignment vertical="center"/>
      <protection locked="0"/>
    </xf>
    <xf numFmtId="164" fontId="0" fillId="7" borderId="252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164" fontId="0" fillId="7" borderId="142" xfId="0" applyNumberFormat="1" applyFill="1" applyBorder="1" applyAlignment="1" applyProtection="1">
      <alignment vertical="center"/>
      <protection locked="0"/>
    </xf>
    <xf numFmtId="164" fontId="0" fillId="7" borderId="177" xfId="0" applyNumberFormat="1" applyFill="1" applyBorder="1" applyAlignment="1" applyProtection="1">
      <alignment vertical="center"/>
      <protection locked="0"/>
    </xf>
    <xf numFmtId="10" fontId="0" fillId="0" borderId="47" xfId="0" applyNumberFormat="1" applyBorder="1" applyAlignment="1" applyProtection="1">
      <alignment vertical="center"/>
    </xf>
    <xf numFmtId="10" fontId="0" fillId="0" borderId="53" xfId="0" applyNumberFormat="1" applyBorder="1" applyAlignment="1" applyProtection="1">
      <alignment vertical="center"/>
    </xf>
    <xf numFmtId="0" fontId="0" fillId="0" borderId="53" xfId="0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4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40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10" fontId="0" fillId="0" borderId="141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31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0" fillId="0" borderId="132" xfId="0" applyBorder="1" applyAlignment="1" applyProtection="1">
      <alignment vertical="center"/>
    </xf>
    <xf numFmtId="0" fontId="2" fillId="0" borderId="157" xfId="0" applyFont="1" applyBorder="1" applyAlignment="1" applyProtection="1">
      <alignment vertical="center"/>
    </xf>
    <xf numFmtId="164" fontId="0" fillId="0" borderId="240" xfId="0" applyNumberFormat="1" applyBorder="1" applyAlignment="1" applyProtection="1">
      <alignment vertical="center"/>
    </xf>
    <xf numFmtId="164" fontId="0" fillId="9" borderId="112" xfId="0" applyNumberFormat="1" applyFill="1" applyBorder="1" applyAlignment="1" applyProtection="1">
      <alignment vertical="center"/>
    </xf>
    <xf numFmtId="164" fontId="0" fillId="9" borderId="90" xfId="0" applyNumberFormat="1" applyFill="1" applyBorder="1" applyAlignment="1" applyProtection="1">
      <alignment vertical="center"/>
    </xf>
    <xf numFmtId="164" fontId="6" fillId="9" borderId="94" xfId="0" applyNumberFormat="1" applyFont="1" applyFill="1" applyBorder="1" applyAlignment="1" applyProtection="1">
      <alignment vertical="center"/>
    </xf>
    <xf numFmtId="164" fontId="6" fillId="9" borderId="95" xfId="0" applyNumberFormat="1" applyFont="1" applyFill="1" applyBorder="1" applyAlignment="1" applyProtection="1">
      <alignment vertical="center"/>
    </xf>
    <xf numFmtId="0" fontId="0" fillId="0" borderId="246" xfId="0" applyBorder="1" applyAlignment="1" applyProtection="1">
      <alignment vertical="center"/>
    </xf>
    <xf numFmtId="164" fontId="0" fillId="9" borderId="136" xfId="0" applyNumberFormat="1" applyFill="1" applyBorder="1" applyAlignment="1" applyProtection="1">
      <alignment vertical="center"/>
    </xf>
    <xf numFmtId="164" fontId="0" fillId="9" borderId="143" xfId="0" applyNumberFormat="1" applyFill="1" applyBorder="1" applyAlignment="1" applyProtection="1">
      <alignment vertical="center"/>
    </xf>
    <xf numFmtId="164" fontId="0" fillId="9" borderId="145" xfId="0" applyNumberFormat="1" applyFill="1" applyBorder="1" applyAlignment="1" applyProtection="1">
      <alignment vertical="center"/>
    </xf>
    <xf numFmtId="164" fontId="6" fillId="9" borderId="147" xfId="0" applyNumberFormat="1" applyFont="1" applyFill="1" applyBorder="1" applyAlignment="1" applyProtection="1">
      <alignment vertical="center"/>
    </xf>
    <xf numFmtId="164" fontId="0" fillId="5" borderId="63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0" fillId="5" borderId="66" xfId="0" applyNumberFormat="1" applyFont="1" applyFill="1" applyBorder="1" applyAlignment="1" applyProtection="1">
      <alignment vertical="center"/>
    </xf>
    <xf numFmtId="164" fontId="6" fillId="5" borderId="67" xfId="0" applyNumberFormat="1" applyFont="1" applyFill="1" applyBorder="1" applyAlignment="1" applyProtection="1">
      <alignment vertical="center"/>
    </xf>
    <xf numFmtId="164" fontId="0" fillId="0" borderId="238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9" xfId="0" applyNumberFormat="1" applyBorder="1" applyAlignment="1" applyProtection="1">
      <alignment vertical="center"/>
    </xf>
    <xf numFmtId="164" fontId="0" fillId="0" borderId="241" xfId="0" applyNumberFormat="1" applyBorder="1" applyAlignment="1" applyProtection="1">
      <alignment vertical="center"/>
    </xf>
    <xf numFmtId="164" fontId="0" fillId="0" borderId="108" xfId="0" applyNumberFormat="1" applyBorder="1" applyAlignment="1" applyProtection="1">
      <alignment vertical="center"/>
    </xf>
    <xf numFmtId="164" fontId="0" fillId="0" borderId="142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0" fontId="0" fillId="0" borderId="142" xfId="0" applyBorder="1" applyAlignment="1" applyProtection="1">
      <alignment vertical="center"/>
    </xf>
    <xf numFmtId="0" fontId="0" fillId="0" borderId="177" xfId="0" applyBorder="1" applyAlignment="1" applyProtection="1">
      <alignment vertical="center"/>
    </xf>
    <xf numFmtId="0" fontId="0" fillId="0" borderId="106" xfId="0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140" xfId="0" applyNumberFormat="1" applyFill="1" applyBorder="1" applyAlignment="1" applyProtection="1">
      <alignment vertical="center"/>
    </xf>
    <xf numFmtId="0" fontId="0" fillId="0" borderId="131" xfId="0" applyFill="1" applyBorder="1" applyAlignment="1" applyProtection="1">
      <alignment vertical="center"/>
    </xf>
    <xf numFmtId="8" fontId="12" fillId="6" borderId="258" xfId="0" applyNumberFormat="1" applyFont="1" applyFill="1" applyBorder="1" applyAlignment="1" applyProtection="1">
      <alignment vertical="center"/>
    </xf>
    <xf numFmtId="8" fontId="12" fillId="6" borderId="259" xfId="0" applyNumberFormat="1" applyFont="1" applyFill="1" applyBorder="1" applyAlignment="1" applyProtection="1">
      <alignment vertical="center"/>
    </xf>
    <xf numFmtId="8" fontId="12" fillId="6" borderId="260" xfId="0" applyNumberFormat="1" applyFont="1" applyFill="1" applyBorder="1" applyAlignment="1" applyProtection="1">
      <alignment vertical="center"/>
    </xf>
    <xf numFmtId="8" fontId="12" fillId="6" borderId="221" xfId="0" applyNumberFormat="1" applyFont="1" applyFill="1" applyBorder="1" applyAlignment="1" applyProtection="1">
      <alignment vertical="center"/>
    </xf>
    <xf numFmtId="8" fontId="12" fillId="6" borderId="261" xfId="0" applyNumberFormat="1" applyFont="1" applyFill="1" applyBorder="1" applyAlignment="1" applyProtection="1">
      <alignment vertical="center"/>
    </xf>
    <xf numFmtId="8" fontId="12" fillId="6" borderId="262" xfId="0" applyNumberFormat="1" applyFont="1" applyFill="1" applyBorder="1" applyAlignment="1" applyProtection="1">
      <alignment vertical="center"/>
    </xf>
    <xf numFmtId="8" fontId="12" fillId="6" borderId="246" xfId="0" applyNumberFormat="1" applyFont="1" applyFill="1" applyBorder="1" applyAlignment="1" applyProtection="1">
      <alignment vertical="center"/>
    </xf>
    <xf numFmtId="0" fontId="2" fillId="2" borderId="184" xfId="0" applyFont="1" applyFill="1" applyBorder="1" applyAlignment="1" applyProtection="1">
      <alignment vertical="center"/>
    </xf>
    <xf numFmtId="0" fontId="2" fillId="2" borderId="185" xfId="0" applyFont="1" applyFill="1" applyBorder="1" applyAlignment="1" applyProtection="1">
      <alignment vertical="center"/>
    </xf>
    <xf numFmtId="8" fontId="2" fillId="2" borderId="263" xfId="0" applyNumberFormat="1" applyFont="1" applyFill="1" applyBorder="1" applyAlignment="1" applyProtection="1">
      <alignment vertical="center"/>
    </xf>
    <xf numFmtId="8" fontId="2" fillId="2" borderId="264" xfId="0" applyNumberFormat="1" applyFont="1" applyFill="1" applyBorder="1" applyAlignment="1" applyProtection="1">
      <alignment vertical="center"/>
    </xf>
    <xf numFmtId="8" fontId="2" fillId="2" borderId="265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2" borderId="266" xfId="0" applyNumberFormat="1" applyFont="1" applyFill="1" applyBorder="1" applyAlignment="1" applyProtection="1">
      <alignment vertical="center"/>
    </xf>
    <xf numFmtId="8" fontId="2" fillId="2" borderId="165" xfId="0" applyNumberFormat="1" applyFont="1" applyFill="1" applyBorder="1" applyAlignment="1" applyProtection="1">
      <alignment vertical="center"/>
    </xf>
    <xf numFmtId="8" fontId="2" fillId="2" borderId="188" xfId="0" applyNumberFormat="1" applyFont="1" applyFill="1" applyBorder="1" applyAlignment="1" applyProtection="1">
      <alignment vertical="center"/>
    </xf>
    <xf numFmtId="8" fontId="2" fillId="6" borderId="268" xfId="0" applyNumberFormat="1" applyFont="1" applyFill="1" applyBorder="1" applyAlignment="1" applyProtection="1">
      <alignment vertical="center"/>
    </xf>
    <xf numFmtId="8" fontId="2" fillId="6" borderId="121" xfId="0" applyNumberFormat="1" applyFont="1" applyFill="1" applyBorder="1" applyAlignment="1" applyProtection="1">
      <alignment vertical="center"/>
    </xf>
    <xf numFmtId="8" fontId="2" fillId="6" borderId="269" xfId="0" applyNumberFormat="1" applyFont="1" applyFill="1" applyBorder="1" applyAlignment="1" applyProtection="1">
      <alignment vertical="center"/>
    </xf>
    <xf numFmtId="8" fontId="2" fillId="6" borderId="204" xfId="0" applyNumberFormat="1" applyFont="1" applyFill="1" applyBorder="1" applyAlignment="1" applyProtection="1">
      <alignment vertical="center"/>
    </xf>
    <xf numFmtId="8" fontId="2" fillId="6" borderId="270" xfId="0" applyNumberFormat="1" applyFont="1" applyFill="1" applyBorder="1" applyAlignment="1" applyProtection="1">
      <alignment vertical="center"/>
    </xf>
    <xf numFmtId="8" fontId="2" fillId="6" borderId="194" xfId="0" applyNumberFormat="1" applyFont="1" applyFill="1" applyBorder="1" applyAlignment="1" applyProtection="1">
      <alignment vertical="center"/>
    </xf>
    <xf numFmtId="8" fontId="2" fillId="6" borderId="271" xfId="0" applyNumberFormat="1" applyFont="1" applyFill="1" applyBorder="1" applyAlignment="1" applyProtection="1">
      <alignment vertical="center"/>
    </xf>
    <xf numFmtId="0" fontId="0" fillId="2" borderId="253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55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50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5" xfId="0" applyNumberFormat="1" applyFill="1" applyBorder="1" applyAlignment="1" applyProtection="1">
      <alignment vertical="center"/>
    </xf>
    <xf numFmtId="164" fontId="0" fillId="10" borderId="56" xfId="0" applyNumberFormat="1" applyFill="1" applyBorder="1" applyAlignment="1" applyProtection="1">
      <alignment vertical="center"/>
    </xf>
    <xf numFmtId="10" fontId="0" fillId="11" borderId="100" xfId="0" applyNumberFormat="1" applyFill="1" applyBorder="1" applyAlignment="1" applyProtection="1">
      <alignment vertical="center"/>
    </xf>
    <xf numFmtId="164" fontId="0" fillId="0" borderId="62" xfId="0" applyNumberFormat="1" applyFill="1" applyBorder="1" applyAlignment="1" applyProtection="1">
      <alignment vertical="center"/>
    </xf>
    <xf numFmtId="164" fontId="0" fillId="0" borderId="252" xfId="0" applyNumberFormat="1" applyFill="1" applyBorder="1" applyAlignment="1" applyProtection="1">
      <alignment vertical="center"/>
    </xf>
    <xf numFmtId="0" fontId="0" fillId="0" borderId="98" xfId="0" applyFont="1" applyBorder="1" applyAlignment="1" applyProtection="1">
      <alignment horizontal="center" vertical="center"/>
    </xf>
    <xf numFmtId="164" fontId="0" fillId="0" borderId="166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3" xfId="0" applyNumberFormat="1" applyFill="1" applyBorder="1" applyAlignment="1" applyProtection="1">
      <alignment vertical="center"/>
    </xf>
    <xf numFmtId="164" fontId="0" fillId="0" borderId="278" xfId="0" applyNumberFormat="1" applyBorder="1" applyAlignment="1" applyProtection="1">
      <alignment vertical="center"/>
    </xf>
    <xf numFmtId="164" fontId="0" fillId="7" borderId="272" xfId="0" applyNumberFormat="1" applyFill="1" applyBorder="1" applyAlignment="1" applyProtection="1">
      <alignment vertical="center"/>
      <protection locked="0"/>
    </xf>
    <xf numFmtId="10" fontId="0" fillId="7" borderId="273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52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0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48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0" fontId="0" fillId="7" borderId="54" xfId="0" applyNumberFormat="1" applyFill="1" applyBorder="1" applyAlignment="1" applyProtection="1">
      <alignment vertical="center"/>
      <protection locked="0"/>
    </xf>
    <xf numFmtId="164" fontId="0" fillId="7" borderId="238" xfId="0" applyNumberFormat="1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164" fontId="0" fillId="7" borderId="239" xfId="0" applyNumberFormat="1" applyFill="1" applyBorder="1" applyAlignment="1" applyProtection="1">
      <alignment vertical="center"/>
      <protection locked="0"/>
    </xf>
    <xf numFmtId="164" fontId="0" fillId="7" borderId="50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164" fontId="0" fillId="7" borderId="241" xfId="0" applyNumberFormat="1" applyFill="1" applyBorder="1" applyAlignment="1" applyProtection="1">
      <alignment vertical="center"/>
      <protection locked="0"/>
    </xf>
    <xf numFmtId="0" fontId="0" fillId="7" borderId="142" xfId="0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vertical="center"/>
      <protection locked="0"/>
    </xf>
    <xf numFmtId="0" fontId="0" fillId="7" borderId="177" xfId="0" applyFill="1" applyBorder="1" applyAlignment="1" applyProtection="1">
      <alignment vertical="center"/>
      <protection locked="0"/>
    </xf>
    <xf numFmtId="164" fontId="0" fillId="7" borderId="74" xfId="0" applyNumberFormat="1" applyFill="1" applyBorder="1" applyAlignment="1" applyProtection="1">
      <alignment vertical="center"/>
      <protection locked="0"/>
    </xf>
    <xf numFmtId="164" fontId="0" fillId="7" borderId="108" xfId="0" applyNumberFormat="1" applyFill="1" applyBorder="1" applyAlignment="1" applyProtection="1">
      <alignment vertical="center"/>
      <protection locked="0"/>
    </xf>
    <xf numFmtId="164" fontId="0" fillId="7" borderId="153" xfId="0" applyNumberFormat="1" applyFill="1" applyBorder="1" applyAlignment="1" applyProtection="1">
      <alignment vertical="center"/>
      <protection locked="0"/>
    </xf>
    <xf numFmtId="164" fontId="0" fillId="7" borderId="54" xfId="0" applyNumberFormat="1" applyFill="1" applyBorder="1" applyAlignment="1" applyProtection="1">
      <alignment vertical="center"/>
      <protection locked="0"/>
    </xf>
    <xf numFmtId="164" fontId="0" fillId="7" borderId="141" xfId="0" applyNumberFormat="1" applyFill="1" applyBorder="1" applyAlignment="1" applyProtection="1">
      <alignment vertical="center"/>
      <protection locked="0"/>
    </xf>
    <xf numFmtId="0" fontId="0" fillId="7" borderId="106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62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0" fontId="0" fillId="7" borderId="131" xfId="0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0" fontId="0" fillId="0" borderId="45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74" xfId="0" applyNumberFormat="1" applyFill="1" applyBorder="1" applyAlignment="1" applyProtection="1">
      <alignment vertical="center"/>
    </xf>
    <xf numFmtId="10" fontId="0" fillId="0" borderId="75" xfId="0" applyNumberFormat="1" applyFill="1" applyBorder="1" applyAlignment="1" applyProtection="1">
      <alignment vertical="center"/>
    </xf>
    <xf numFmtId="10" fontId="0" fillId="0" borderId="84" xfId="0" applyNumberFormat="1" applyBorder="1" applyAlignment="1" applyProtection="1">
      <alignment vertical="center"/>
    </xf>
    <xf numFmtId="10" fontId="0" fillId="0" borderId="166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8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7" xfId="0" applyFont="1" applyBorder="1" applyAlignment="1" applyProtection="1">
      <alignment vertical="center" wrapText="1"/>
    </xf>
    <xf numFmtId="0" fontId="6" fillId="0" borderId="33" xfId="0" applyFont="1" applyBorder="1" applyAlignment="1" applyProtection="1">
      <alignment vertical="center" wrapText="1"/>
    </xf>
    <xf numFmtId="0" fontId="6" fillId="0" borderId="158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20" xfId="0" applyFont="1" applyFill="1" applyBorder="1" applyAlignment="1" applyProtection="1">
      <alignment vertical="center"/>
    </xf>
    <xf numFmtId="0" fontId="0" fillId="0" borderId="221" xfId="0" applyFill="1" applyBorder="1" applyAlignment="1" applyProtection="1">
      <alignment vertical="center"/>
    </xf>
    <xf numFmtId="0" fontId="0" fillId="0" borderId="246" xfId="0" applyFill="1" applyBorder="1" applyAlignment="1" applyProtection="1">
      <alignment vertical="center"/>
    </xf>
    <xf numFmtId="0" fontId="2" fillId="0" borderId="115" xfId="0" applyFont="1" applyBorder="1" applyAlignment="1" applyProtection="1">
      <alignment vertical="center" wrapText="1"/>
    </xf>
    <xf numFmtId="164" fontId="0" fillId="0" borderId="44" xfId="0" applyNumberFormat="1" applyFill="1" applyBorder="1" applyAlignment="1" applyProtection="1">
      <alignment vertical="center"/>
    </xf>
    <xf numFmtId="10" fontId="0" fillId="10" borderId="51" xfId="0" applyNumberFormat="1" applyFill="1" applyBorder="1" applyAlignment="1" applyProtection="1">
      <alignment vertical="center"/>
    </xf>
    <xf numFmtId="164" fontId="8" fillId="9" borderId="89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10" fontId="8" fillId="9" borderId="93" xfId="0" applyNumberFormat="1" applyFont="1" applyFill="1" applyBorder="1" applyAlignment="1" applyProtection="1">
      <alignment vertical="center"/>
    </xf>
    <xf numFmtId="10" fontId="8" fillId="9" borderId="113" xfId="0" applyNumberFormat="1" applyFont="1" applyFill="1" applyBorder="1" applyAlignment="1" applyProtection="1">
      <alignment vertical="center"/>
    </xf>
    <xf numFmtId="164" fontId="0" fillId="0" borderId="80" xfId="0" applyNumberFormat="1" applyFill="1" applyBorder="1" applyAlignment="1" applyProtection="1">
      <alignment vertical="center"/>
    </xf>
    <xf numFmtId="164" fontId="0" fillId="0" borderId="83" xfId="0" applyNumberFormat="1" applyFill="1" applyBorder="1" applyAlignment="1" applyProtection="1">
      <alignment vertical="center"/>
    </xf>
    <xf numFmtId="164" fontId="6" fillId="5" borderId="182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6" fillId="5" borderId="183" xfId="0" applyNumberFormat="1" applyFont="1" applyFill="1" applyBorder="1" applyAlignment="1" applyProtection="1">
      <alignment vertical="center"/>
    </xf>
    <xf numFmtId="164" fontId="6" fillId="5" borderId="212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64" fontId="0" fillId="9" borderId="92" xfId="0" applyNumberFormat="1" applyFont="1" applyFill="1" applyBorder="1" applyAlignment="1" applyProtection="1">
      <alignment vertical="center"/>
    </xf>
    <xf numFmtId="10" fontId="0" fillId="9" borderId="93" xfId="0" applyNumberFormat="1" applyFont="1" applyFill="1" applyBorder="1" applyAlignment="1" applyProtection="1">
      <alignment vertical="center"/>
    </xf>
    <xf numFmtId="10" fontId="0" fillId="9" borderId="113" xfId="0" applyNumberFormat="1" applyFon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8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155" xfId="0" applyNumberFormat="1" applyFill="1" applyBorder="1" applyAlignment="1" applyProtection="1">
      <alignment vertical="center"/>
    </xf>
    <xf numFmtId="10" fontId="0" fillId="0" borderId="84" xfId="0" applyNumberFormat="1" applyFill="1" applyBorder="1" applyAlignment="1" applyProtection="1">
      <alignment vertical="center"/>
    </xf>
    <xf numFmtId="10" fontId="0" fillId="0" borderId="214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45" xfId="0" applyNumberFormat="1" applyFill="1" applyBorder="1" applyAlignment="1" applyProtection="1">
      <alignment vertical="center"/>
    </xf>
    <xf numFmtId="10" fontId="0" fillId="0" borderId="216" xfId="0" applyNumberForma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5" xfId="0" applyNumberFormat="1" applyFont="1" applyFill="1" applyBorder="1" applyAlignment="1" applyProtection="1">
      <alignment vertical="center"/>
    </xf>
    <xf numFmtId="10" fontId="6" fillId="5" borderId="67" xfId="0" applyNumberFormat="1" applyFont="1" applyFill="1" applyBorder="1" applyAlignment="1" applyProtection="1">
      <alignment vertical="center"/>
    </xf>
    <xf numFmtId="10" fontId="0" fillId="0" borderId="96" xfId="0" applyNumberFormat="1" applyBorder="1" applyAlignment="1" applyProtection="1">
      <alignment horizontal="right" vertical="center"/>
    </xf>
    <xf numFmtId="10" fontId="0" fillId="0" borderId="281" xfId="0" applyNumberFormat="1" applyFill="1" applyBorder="1" applyAlignment="1" applyProtection="1">
      <alignment vertical="center"/>
    </xf>
    <xf numFmtId="10" fontId="0" fillId="0" borderId="108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2" fillId="0" borderId="2" xfId="0" applyFont="1" applyBorder="1" applyAlignment="1" applyProtection="1">
      <alignment horizontal="right" vertical="center"/>
    </xf>
    <xf numFmtId="0" fontId="7" fillId="0" borderId="87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7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5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8" xfId="0" applyNumberFormat="1" applyFill="1" applyBorder="1" applyAlignment="1" applyProtection="1">
      <alignment vertical="center"/>
    </xf>
    <xf numFmtId="0" fontId="0" fillId="0" borderId="154" xfId="0" applyFill="1" applyBorder="1" applyAlignment="1" applyProtection="1">
      <alignment vertical="center"/>
    </xf>
    <xf numFmtId="0" fontId="0" fillId="0" borderId="55" xfId="0" applyFill="1" applyBorder="1" applyAlignment="1" applyProtection="1">
      <alignment horizontal="right" vertical="center"/>
    </xf>
    <xf numFmtId="0" fontId="0" fillId="0" borderId="154" xfId="0" applyFill="1" applyBorder="1" applyAlignment="1" applyProtection="1">
      <alignment horizontal="right" vertical="center"/>
    </xf>
    <xf numFmtId="164" fontId="0" fillId="0" borderId="48" xfId="0" applyNumberFormat="1" applyFill="1" applyBorder="1" applyAlignment="1" applyProtection="1">
      <alignment vertical="center"/>
    </xf>
    <xf numFmtId="164" fontId="8" fillId="9" borderId="95" xfId="0" applyNumberFormat="1" applyFont="1" applyFill="1" applyBorder="1" applyAlignment="1" applyProtection="1">
      <alignment vertical="center"/>
    </xf>
    <xf numFmtId="164" fontId="0" fillId="0" borderId="141" xfId="0" applyNumberFormat="1" applyFill="1" applyBorder="1" applyAlignment="1" applyProtection="1">
      <alignment vertical="center"/>
    </xf>
    <xf numFmtId="164" fontId="0" fillId="0" borderId="86" xfId="0" applyNumberFormat="1" applyFill="1" applyBorder="1" applyAlignment="1" applyProtection="1">
      <alignment vertical="center"/>
    </xf>
    <xf numFmtId="164" fontId="0" fillId="0" borderId="284" xfId="0" applyNumberFormat="1" applyFill="1" applyBorder="1" applyAlignment="1" applyProtection="1">
      <alignment vertical="center"/>
    </xf>
    <xf numFmtId="164" fontId="0" fillId="0" borderId="285" xfId="0" applyNumberFormat="1" applyFill="1" applyBorder="1" applyAlignment="1" applyProtection="1">
      <alignment vertical="center"/>
    </xf>
    <xf numFmtId="164" fontId="0" fillId="0" borderId="199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7" xfId="0" applyFill="1" applyBorder="1" applyAlignment="1" applyProtection="1">
      <alignment horizontal="left" vertical="center"/>
    </xf>
    <xf numFmtId="164" fontId="0" fillId="2" borderId="50" xfId="0" applyNumberFormat="1" applyFill="1" applyBorder="1" applyAlignment="1" applyProtection="1">
      <alignment vertical="center"/>
    </xf>
    <xf numFmtId="164" fontId="0" fillId="2" borderId="52" xfId="0" applyNumberFormat="1" applyFill="1" applyBorder="1" applyAlignment="1" applyProtection="1">
      <alignment vertical="center"/>
    </xf>
    <xf numFmtId="164" fontId="0" fillId="2" borderId="54" xfId="0" applyNumberFormat="1" applyFill="1" applyBorder="1" applyAlignment="1" applyProtection="1">
      <alignment vertical="center"/>
    </xf>
    <xf numFmtId="164" fontId="0" fillId="2" borderId="58" xfId="0" applyNumberFormat="1" applyFill="1" applyBorder="1" applyAlignment="1" applyProtection="1">
      <alignment vertical="center"/>
    </xf>
    <xf numFmtId="164" fontId="0" fillId="2" borderId="60" xfId="0" applyNumberFormat="1" applyFill="1" applyBorder="1" applyAlignment="1" applyProtection="1">
      <alignment vertical="center"/>
    </xf>
    <xf numFmtId="164" fontId="0" fillId="2" borderId="62" xfId="0" applyNumberFormat="1" applyFill="1" applyBorder="1" applyAlignment="1" applyProtection="1">
      <alignment vertical="center"/>
    </xf>
    <xf numFmtId="0" fontId="0" fillId="2" borderId="55" xfId="0" applyFill="1" applyBorder="1" applyAlignment="1" applyProtection="1">
      <alignment horizontal="left" vertical="center"/>
    </xf>
    <xf numFmtId="0" fontId="0" fillId="2" borderId="102" xfId="0" applyFill="1" applyBorder="1" applyAlignment="1" applyProtection="1">
      <alignment horizontal="left" vertical="center"/>
    </xf>
    <xf numFmtId="0" fontId="0" fillId="2" borderId="283" xfId="0" applyFill="1" applyBorder="1" applyAlignment="1" applyProtection="1">
      <alignment horizontal="left" vertical="center"/>
    </xf>
    <xf numFmtId="10" fontId="0" fillId="0" borderId="44" xfId="0" applyNumberFormat="1" applyFill="1" applyBorder="1" applyAlignment="1" applyProtection="1">
      <alignment vertical="center"/>
    </xf>
    <xf numFmtId="10" fontId="0" fillId="0" borderId="46" xfId="0" applyNumberFormat="1" applyFill="1" applyBorder="1" applyAlignment="1" applyProtection="1">
      <alignment vertical="center"/>
    </xf>
    <xf numFmtId="10" fontId="0" fillId="0" borderId="48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52" xfId="0" applyNumberFormat="1" applyFill="1" applyBorder="1" applyAlignment="1" applyProtection="1">
      <alignment vertical="center"/>
    </xf>
    <xf numFmtId="10" fontId="0" fillId="0" borderId="54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54" xfId="0" applyNumberFormat="1" applyFill="1" applyBorder="1" applyAlignment="1" applyProtection="1">
      <alignment vertical="center"/>
    </xf>
    <xf numFmtId="10" fontId="0" fillId="0" borderId="153" xfId="0" applyNumberFormat="1" applyFill="1" applyBorder="1" applyAlignment="1" applyProtection="1">
      <alignment vertical="center"/>
    </xf>
    <xf numFmtId="165" fontId="0" fillId="0" borderId="50" xfId="0" applyNumberFormat="1" applyFill="1" applyBorder="1" applyAlignment="1" applyProtection="1">
      <alignment vertical="center"/>
    </xf>
    <xf numFmtId="165" fontId="0" fillId="0" borderId="52" xfId="0" applyNumberFormat="1" applyFill="1" applyBorder="1" applyAlignment="1" applyProtection="1">
      <alignment vertical="center"/>
    </xf>
    <xf numFmtId="165" fontId="0" fillId="0" borderId="54" xfId="0" applyNumberFormat="1" applyFill="1" applyBorder="1" applyAlignment="1" applyProtection="1">
      <alignment vertical="center"/>
    </xf>
    <xf numFmtId="3" fontId="0" fillId="0" borderId="58" xfId="0" applyNumberFormat="1" applyFill="1" applyBorder="1" applyAlignment="1" applyProtection="1">
      <alignment vertical="center"/>
    </xf>
    <xf numFmtId="3" fontId="0" fillId="0" borderId="60" xfId="0" applyNumberFormat="1" applyFill="1" applyBorder="1" applyAlignment="1" applyProtection="1">
      <alignment vertical="center"/>
    </xf>
    <xf numFmtId="3" fontId="0" fillId="0" borderId="62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6" xfId="0" applyNumberFormat="1" applyFill="1" applyBorder="1" applyAlignment="1" applyProtection="1">
      <alignment vertical="center"/>
    </xf>
    <xf numFmtId="165" fontId="0" fillId="0" borderId="237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101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5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6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6" fillId="9" borderId="91" xfId="0" applyNumberFormat="1" applyFont="1" applyFill="1" applyBorder="1" applyAlignment="1" applyProtection="1">
      <alignment vertical="center"/>
    </xf>
    <xf numFmtId="164" fontId="0" fillId="9" borderId="88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0" fillId="9" borderId="93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8" fillId="9" borderId="94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6" xfId="0" applyNumberFormat="1" applyFont="1" applyFill="1" applyBorder="1" applyAlignment="1" applyProtection="1">
      <alignment vertical="center"/>
    </xf>
    <xf numFmtId="164" fontId="0" fillId="5" borderId="97" xfId="0" applyNumberFormat="1" applyFont="1" applyFill="1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97" xfId="0" applyNumberFormat="1" applyFont="1" applyFill="1" applyBorder="1" applyAlignment="1" applyProtection="1">
      <alignment vertical="center"/>
    </xf>
    <xf numFmtId="164" fontId="6" fillId="5" borderId="63" xfId="0" applyNumberFormat="1" applyFont="1" applyFill="1" applyBorder="1" applyAlignment="1" applyProtection="1">
      <alignment vertical="center"/>
    </xf>
    <xf numFmtId="164" fontId="6" fillId="5" borderId="89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0" fillId="7" borderId="287" xfId="0" applyNumberFormat="1" applyFill="1" applyBorder="1" applyAlignment="1" applyProtection="1">
      <alignment vertical="center"/>
      <protection locked="0"/>
    </xf>
    <xf numFmtId="0" fontId="0" fillId="7" borderId="287" xfId="0" applyFill="1" applyBorder="1" applyAlignment="1" applyProtection="1">
      <alignment horizontal="center" vertical="center"/>
      <protection locked="0"/>
    </xf>
    <xf numFmtId="0" fontId="0" fillId="7" borderId="288" xfId="0" applyFill="1" applyBorder="1" applyAlignment="1" applyProtection="1">
      <alignment horizontal="center" vertical="center"/>
      <protection locked="0"/>
    </xf>
    <xf numFmtId="164" fontId="0" fillId="0" borderId="284" xfId="0" applyNumberFormat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0" fillId="0" borderId="289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290" xfId="0" applyNumberFormat="1" applyFill="1" applyBorder="1" applyAlignment="1" applyProtection="1">
      <alignment vertical="center"/>
    </xf>
    <xf numFmtId="164" fontId="0" fillId="0" borderId="291" xfId="0" applyNumberFormat="1" applyBorder="1" applyAlignment="1" applyProtection="1">
      <alignment vertical="center"/>
    </xf>
    <xf numFmtId="0" fontId="0" fillId="0" borderId="149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51" xfId="0" applyBorder="1" applyAlignment="1" applyProtection="1">
      <alignment horizontal="right" vertical="center"/>
    </xf>
    <xf numFmtId="0" fontId="2" fillId="0" borderId="115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0" fontId="7" fillId="0" borderId="136" xfId="0" applyFont="1" applyBorder="1" applyAlignment="1" applyProtection="1">
      <alignment horizontal="right" vertical="center"/>
    </xf>
    <xf numFmtId="0" fontId="0" fillId="0" borderId="115" xfId="0" applyBorder="1" applyAlignment="1" applyProtection="1">
      <alignment vertical="center"/>
    </xf>
    <xf numFmtId="164" fontId="0" fillId="5" borderId="112" xfId="0" applyNumberFormat="1" applyFill="1" applyBorder="1" applyAlignment="1" applyProtection="1">
      <alignment vertical="center"/>
    </xf>
    <xf numFmtId="164" fontId="0" fillId="5" borderId="90" xfId="0" applyNumberFormat="1" applyFill="1" applyBorder="1" applyAlignment="1" applyProtection="1">
      <alignment vertical="center"/>
    </xf>
    <xf numFmtId="0" fontId="10" fillId="0" borderId="125" xfId="0" applyFont="1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0" fontId="6" fillId="0" borderId="148" xfId="0" applyFont="1" applyBorder="1" applyAlignment="1" applyProtection="1">
      <alignment horizontal="right" vertical="center"/>
    </xf>
    <xf numFmtId="0" fontId="0" fillId="0" borderId="116" xfId="0" applyBorder="1" applyAlignment="1" applyProtection="1">
      <alignment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6" xfId="0" applyNumberFormat="1" applyBorder="1" applyAlignment="1" applyProtection="1">
      <alignment vertical="center"/>
    </xf>
    <xf numFmtId="164" fontId="0" fillId="0" borderId="117" xfId="0" applyNumberFormat="1" applyBorder="1" applyAlignment="1" applyProtection="1">
      <alignment vertical="center"/>
    </xf>
    <xf numFmtId="0" fontId="0" fillId="0" borderId="119" xfId="0" applyBorder="1" applyAlignment="1" applyProtection="1">
      <alignment vertical="center"/>
    </xf>
    <xf numFmtId="0" fontId="6" fillId="0" borderId="112" xfId="0" applyFont="1" applyBorder="1" applyAlignment="1" applyProtection="1">
      <alignment horizontal="right" vertical="center"/>
    </xf>
    <xf numFmtId="164" fontId="6" fillId="5" borderId="113" xfId="0" applyNumberFormat="1" applyFont="1" applyFill="1" applyBorder="1" applyAlignment="1" applyProtection="1">
      <alignment vertical="center"/>
    </xf>
    <xf numFmtId="0" fontId="0" fillId="0" borderId="69" xfId="0" applyBorder="1" applyAlignment="1" applyProtection="1">
      <alignment vertical="center"/>
    </xf>
    <xf numFmtId="164" fontId="0" fillId="5" borderId="89" xfId="0" applyNumberFormat="1" applyFill="1" applyBorder="1" applyAlignment="1" applyProtection="1">
      <alignment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0" fillId="0" borderId="118" xfId="0" applyNumberFormat="1" applyBorder="1" applyAlignment="1" applyProtection="1">
      <alignment vertical="center"/>
    </xf>
    <xf numFmtId="164" fontId="0" fillId="7" borderId="150" xfId="0" applyNumberFormat="1" applyFill="1" applyBorder="1" applyAlignment="1" applyProtection="1">
      <alignment vertical="center"/>
      <protection locked="0"/>
    </xf>
    <xf numFmtId="1" fontId="0" fillId="7" borderId="43" xfId="0" applyNumberFormat="1" applyFill="1" applyBorder="1" applyAlignment="1" applyProtection="1">
      <alignment horizontal="center" vertical="center"/>
      <protection locked="0"/>
    </xf>
    <xf numFmtId="1" fontId="0" fillId="7" borderId="49" xfId="0" applyNumberFormat="1" applyFill="1" applyBorder="1" applyAlignment="1" applyProtection="1">
      <alignment horizontal="center" vertical="center"/>
      <protection locked="0"/>
    </xf>
    <xf numFmtId="0" fontId="0" fillId="3" borderId="124" xfId="0" applyFill="1" applyBorder="1" applyAlignment="1" applyProtection="1">
      <alignment vertical="center"/>
      <protection locked="0"/>
    </xf>
    <xf numFmtId="1" fontId="0" fillId="7" borderId="135" xfId="0" applyNumberFormat="1" applyFill="1" applyBorder="1" applyAlignment="1" applyProtection="1">
      <alignment horizontal="center" vertical="center"/>
      <protection locked="0"/>
    </xf>
    <xf numFmtId="0" fontId="0" fillId="3" borderId="125" xfId="0" applyFill="1" applyBorder="1" applyAlignment="1" applyProtection="1">
      <alignment vertical="center"/>
      <protection locked="0"/>
    </xf>
    <xf numFmtId="1" fontId="0" fillId="7" borderId="120" xfId="0" applyNumberFormat="1" applyFill="1" applyBorder="1" applyAlignment="1" applyProtection="1">
      <alignment horizontal="center" vertical="center"/>
      <protection locked="0"/>
    </xf>
    <xf numFmtId="164" fontId="0" fillId="9" borderId="92" xfId="0" applyNumberFormat="1" applyFill="1" applyBorder="1" applyAlignment="1" applyProtection="1">
      <alignment vertical="center"/>
    </xf>
    <xf numFmtId="164" fontId="6" fillId="9" borderId="144" xfId="0" applyNumberFormat="1" applyFont="1" applyFill="1" applyBorder="1" applyAlignment="1" applyProtection="1">
      <alignment vertical="center"/>
    </xf>
    <xf numFmtId="164" fontId="6" fillId="9" borderId="146" xfId="0" applyNumberFormat="1" applyFont="1" applyFill="1" applyBorder="1" applyAlignment="1" applyProtection="1">
      <alignment vertical="center"/>
    </xf>
    <xf numFmtId="0" fontId="0" fillId="7" borderId="135" xfId="0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164" fontId="0" fillId="9" borderId="113" xfId="0" applyNumberFormat="1" applyFont="1" applyFill="1" applyBorder="1" applyAlignment="1" applyProtection="1">
      <alignment vertical="center"/>
    </xf>
    <xf numFmtId="0" fontId="0" fillId="0" borderId="56" xfId="0" applyFill="1" applyBorder="1" applyAlignment="1" applyProtection="1">
      <alignment vertical="center"/>
    </xf>
    <xf numFmtId="0" fontId="0" fillId="0" borderId="57" xfId="0" applyFill="1" applyBorder="1" applyAlignment="1" applyProtection="1">
      <alignment vertical="center"/>
    </xf>
    <xf numFmtId="0" fontId="0" fillId="0" borderId="134" xfId="0" applyFill="1" applyBorder="1" applyAlignment="1" applyProtection="1">
      <alignment vertical="center"/>
    </xf>
    <xf numFmtId="0" fontId="0" fillId="0" borderId="135" xfId="0" applyFill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0" borderId="228" xfId="0" applyNumberFormat="1" applyFont="1" applyBorder="1" applyAlignment="1" applyProtection="1">
      <alignment vertical="center"/>
    </xf>
    <xf numFmtId="164" fontId="8" fillId="0" borderId="229" xfId="0" applyNumberFormat="1" applyFont="1" applyBorder="1" applyAlignment="1" applyProtection="1">
      <alignment vertical="center"/>
    </xf>
    <xf numFmtId="164" fontId="8" fillId="0" borderId="230" xfId="0" applyNumberFormat="1" applyFont="1" applyBorder="1" applyAlignment="1" applyProtection="1">
      <alignment vertical="center"/>
    </xf>
    <xf numFmtId="164" fontId="8" fillId="0" borderId="231" xfId="0" applyNumberFormat="1" applyFont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234" xfId="0" applyNumberFormat="1" applyFont="1" applyFill="1" applyBorder="1" applyAlignment="1" applyProtection="1">
      <alignment vertical="center"/>
    </xf>
    <xf numFmtId="164" fontId="8" fillId="9" borderId="236" xfId="0" applyNumberFormat="1" applyFont="1" applyFill="1" applyBorder="1" applyAlignment="1" applyProtection="1">
      <alignment vertical="center"/>
    </xf>
    <xf numFmtId="164" fontId="8" fillId="9" borderId="235" xfId="0" applyNumberFormat="1" applyFont="1" applyFill="1" applyBorder="1" applyAlignment="1" applyProtection="1">
      <alignment vertical="center"/>
    </xf>
    <xf numFmtId="164" fontId="8" fillId="9" borderId="237" xfId="0" applyNumberFormat="1" applyFont="1" applyFill="1" applyBorder="1" applyAlignment="1" applyProtection="1">
      <alignment vertical="center"/>
    </xf>
    <xf numFmtId="164" fontId="8" fillId="9" borderId="112" xfId="0" applyNumberFormat="1" applyFont="1" applyFill="1" applyBorder="1" applyAlignment="1" applyProtection="1">
      <alignment vertical="center"/>
    </xf>
    <xf numFmtId="164" fontId="8" fillId="9" borderId="136" xfId="0" applyNumberFormat="1" applyFont="1" applyFill="1" applyBorder="1" applyAlignment="1" applyProtection="1">
      <alignment vertical="center"/>
    </xf>
    <xf numFmtId="164" fontId="8" fillId="9" borderId="143" xfId="0" applyNumberFormat="1" applyFont="1" applyFill="1" applyBorder="1" applyAlignment="1" applyProtection="1">
      <alignment vertical="center"/>
    </xf>
    <xf numFmtId="164" fontId="8" fillId="9" borderId="223" xfId="0" applyNumberFormat="1" applyFont="1" applyFill="1" applyBorder="1" applyAlignment="1" applyProtection="1">
      <alignment vertical="center"/>
    </xf>
    <xf numFmtId="164" fontId="8" fillId="9" borderId="145" xfId="0" applyNumberFormat="1" applyFont="1" applyFill="1" applyBorder="1" applyAlignment="1" applyProtection="1">
      <alignment vertical="center"/>
    </xf>
    <xf numFmtId="164" fontId="8" fillId="9" borderId="147" xfId="0" applyNumberFormat="1" applyFont="1" applyFill="1" applyBorder="1" applyAlignment="1" applyProtection="1">
      <alignment vertical="center"/>
    </xf>
    <xf numFmtId="164" fontId="6" fillId="5" borderId="191" xfId="0" applyNumberFormat="1" applyFont="1" applyFill="1" applyBorder="1" applyAlignment="1" applyProtection="1">
      <alignment vertical="center"/>
    </xf>
    <xf numFmtId="164" fontId="8" fillId="9" borderId="250" xfId="0" applyNumberFormat="1" applyFont="1" applyFill="1" applyBorder="1" applyAlignment="1" applyProtection="1">
      <alignment vertical="center"/>
    </xf>
    <xf numFmtId="164" fontId="0" fillId="7" borderId="254" xfId="0" applyNumberFormat="1" applyFill="1" applyBorder="1" applyAlignment="1" applyProtection="1">
      <alignment vertical="center"/>
      <protection locked="0"/>
    </xf>
    <xf numFmtId="0" fontId="6" fillId="0" borderId="242" xfId="0" applyFont="1" applyBorder="1" applyAlignment="1" applyProtection="1">
      <alignment horizontal="center" vertical="center" wrapText="1"/>
    </xf>
    <xf numFmtId="0" fontId="6" fillId="0" borderId="243" xfId="0" applyFont="1" applyBorder="1" applyAlignment="1" applyProtection="1">
      <alignment horizontal="center" vertical="center"/>
    </xf>
    <xf numFmtId="10" fontId="0" fillId="0" borderId="110" xfId="0" applyNumberFormat="1" applyBorder="1" applyAlignment="1" applyProtection="1">
      <alignment vertical="center"/>
    </xf>
    <xf numFmtId="8" fontId="0" fillId="0" borderId="214" xfId="0" applyNumberFormat="1" applyBorder="1" applyAlignment="1" applyProtection="1">
      <alignment vertical="center"/>
    </xf>
    <xf numFmtId="10" fontId="0" fillId="0" borderId="124" xfId="0" applyNumberFormat="1" applyBorder="1" applyAlignment="1" applyProtection="1">
      <alignment vertical="center"/>
    </xf>
    <xf numFmtId="8" fontId="0" fillId="0" borderId="245" xfId="0" applyNumberFormat="1" applyBorder="1" applyAlignment="1" applyProtection="1">
      <alignment vertical="center"/>
    </xf>
    <xf numFmtId="10" fontId="0" fillId="0" borderId="125" xfId="0" applyNumberFormat="1" applyBorder="1" applyAlignment="1" applyProtection="1">
      <alignment vertical="center"/>
    </xf>
    <xf numFmtId="8" fontId="0" fillId="0" borderId="215" xfId="0" applyNumberFormat="1" applyBorder="1" applyAlignment="1" applyProtection="1">
      <alignment vertical="center"/>
    </xf>
    <xf numFmtId="8" fontId="0" fillId="0" borderId="244" xfId="0" applyNumberFormat="1" applyBorder="1" applyAlignment="1" applyProtection="1">
      <alignment vertical="center"/>
    </xf>
    <xf numFmtId="0" fontId="0" fillId="4" borderId="110" xfId="0" applyFill="1" applyBorder="1" applyProtection="1"/>
    <xf numFmtId="0" fontId="0" fillId="0" borderId="214" xfId="0" applyBorder="1" applyProtection="1"/>
    <xf numFmtId="0" fontId="0" fillId="8" borderId="124" xfId="0" applyFill="1" applyBorder="1" applyProtection="1"/>
    <xf numFmtId="0" fontId="0" fillId="0" borderId="245" xfId="0" applyBorder="1" applyProtection="1"/>
    <xf numFmtId="0" fontId="0" fillId="7" borderId="110" xfId="0" applyFill="1" applyBorder="1" applyProtection="1"/>
    <xf numFmtId="0" fontId="0" fillId="3" borderId="124" xfId="0" applyFill="1" applyBorder="1" applyProtection="1"/>
    <xf numFmtId="0" fontId="0" fillId="6" borderId="110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4" xfId="0" applyFill="1" applyBorder="1" applyProtection="1"/>
    <xf numFmtId="0" fontId="0" fillId="10" borderId="292" xfId="0" applyFill="1" applyBorder="1" applyProtection="1"/>
    <xf numFmtId="0" fontId="0" fillId="0" borderId="29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105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0" fillId="0" borderId="107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8" xfId="0" applyBorder="1" applyAlignment="1" applyProtection="1">
      <alignment horizontal="left" vertical="top" wrapText="1"/>
    </xf>
    <xf numFmtId="0" fontId="6" fillId="0" borderId="104" xfId="0" applyFont="1" applyBorder="1" applyAlignment="1" applyProtection="1">
      <alignment horizontal="left" vertical="top"/>
    </xf>
    <xf numFmtId="0" fontId="6" fillId="0" borderId="102" xfId="0" applyFont="1" applyBorder="1" applyAlignment="1" applyProtection="1">
      <alignment horizontal="left" vertical="top"/>
    </xf>
    <xf numFmtId="0" fontId="6" fillId="0" borderId="76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2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5" xfId="0" applyFill="1" applyBorder="1" applyAlignment="1" applyProtection="1">
      <alignment horizontal="left" vertical="center"/>
      <protection locked="0"/>
    </xf>
    <xf numFmtId="0" fontId="0" fillId="3" borderId="99" xfId="0" applyFill="1" applyBorder="1" applyAlignment="1" applyProtection="1">
      <alignment horizontal="left" vertical="center"/>
      <protection locked="0"/>
    </xf>
    <xf numFmtId="0" fontId="6" fillId="0" borderId="7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3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6" fillId="0" borderId="39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9" xfId="0" applyFill="1" applyBorder="1" applyAlignment="1" applyProtection="1">
      <alignment horizontal="center" vertical="center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6" fillId="0" borderId="72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5" xfId="0" applyFont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0" fontId="0" fillId="7" borderId="0" xfId="0" applyFill="1" applyBorder="1" applyAlignment="1" applyProtection="1">
      <alignment horizontal="center" vertical="center"/>
      <protection locked="0"/>
    </xf>
    <xf numFmtId="164" fontId="0" fillId="9" borderId="88" xfId="0" applyNumberFormat="1" applyFill="1" applyBorder="1" applyAlignment="1" applyProtection="1">
      <alignment horizontal="center" vertical="center"/>
    </xf>
    <xf numFmtId="0" fontId="0" fillId="9" borderId="122" xfId="0" applyFill="1" applyBorder="1" applyAlignment="1" applyProtection="1">
      <alignment horizontal="center" vertical="center"/>
    </xf>
    <xf numFmtId="164" fontId="0" fillId="7" borderId="134" xfId="0" applyNumberFormat="1" applyFill="1" applyBorder="1" applyAlignment="1" applyProtection="1">
      <alignment horizontal="center"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14" fillId="0" borderId="40" xfId="0" applyFont="1" applyBorder="1" applyAlignment="1" applyProtection="1">
      <alignment horizontal="center" vertical="center" wrapText="1"/>
    </xf>
    <xf numFmtId="0" fontId="14" fillId="0" borderId="41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9" fillId="0" borderId="41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7" borderId="42" xfId="0" applyNumberFormat="1" applyFill="1" applyBorder="1" applyAlignment="1" applyProtection="1">
      <alignment horizontal="center" vertical="center"/>
      <protection locked="0"/>
    </xf>
    <xf numFmtId="0" fontId="0" fillId="0" borderId="116" xfId="0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0" fillId="0" borderId="12" xfId="0" applyBorder="1" applyAlignment="1" applyProtection="1">
      <alignment horizontal="left" vertical="center"/>
    </xf>
    <xf numFmtId="0" fontId="0" fillId="0" borderId="167" xfId="0" applyBorder="1" applyAlignment="1" applyProtection="1">
      <alignment horizontal="left" vertical="center"/>
    </xf>
    <xf numFmtId="0" fontId="0" fillId="0" borderId="162" xfId="0" applyBorder="1" applyAlignment="1" applyProtection="1">
      <alignment horizontal="left" vertical="center"/>
    </xf>
    <xf numFmtId="0" fontId="0" fillId="0" borderId="163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3" xfId="0" applyFill="1" applyBorder="1" applyAlignment="1" applyProtection="1">
      <alignment horizontal="left" vertical="center"/>
    </xf>
    <xf numFmtId="0" fontId="0" fillId="9" borderId="158" xfId="0" applyFill="1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61" xfId="0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7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3" xfId="0" applyFont="1" applyBorder="1" applyAlignment="1" applyProtection="1">
      <alignment horizontal="left" vertical="center"/>
    </xf>
    <xf numFmtId="0" fontId="6" fillId="0" borderId="158" xfId="0" applyFont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7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6" xfId="0" applyBorder="1" applyAlignment="1" applyProtection="1">
      <alignment horizontal="right" vertical="center"/>
    </xf>
    <xf numFmtId="0" fontId="0" fillId="0" borderId="185" xfId="0" applyBorder="1" applyAlignment="1" applyProtection="1">
      <alignment horizontal="left" vertical="center"/>
    </xf>
    <xf numFmtId="0" fontId="0" fillId="0" borderId="186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81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6" xfId="0" applyFont="1" applyFill="1" applyBorder="1" applyAlignment="1" applyProtection="1">
      <alignment horizontal="right" vertical="center"/>
    </xf>
    <xf numFmtId="0" fontId="0" fillId="0" borderId="195" xfId="0" applyBorder="1" applyAlignment="1" applyProtection="1">
      <alignment horizontal="right" vertical="center"/>
    </xf>
    <xf numFmtId="0" fontId="0" fillId="0" borderId="196" xfId="0" applyBorder="1" applyAlignment="1" applyProtection="1">
      <alignment horizontal="right" vertical="center"/>
    </xf>
    <xf numFmtId="0" fontId="0" fillId="0" borderId="207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201" xfId="0" applyBorder="1" applyAlignment="1" applyProtection="1">
      <alignment horizontal="right" vertical="center"/>
    </xf>
    <xf numFmtId="0" fontId="0" fillId="0" borderId="202" xfId="0" applyBorder="1" applyAlignment="1" applyProtection="1">
      <alignment horizontal="right" vertical="center"/>
    </xf>
    <xf numFmtId="0" fontId="0" fillId="0" borderId="208" xfId="0" applyBorder="1" applyAlignment="1" applyProtection="1">
      <alignment horizontal="right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2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69" xfId="0" applyFont="1" applyBorder="1" applyAlignment="1" applyProtection="1">
      <alignment horizontal="center" vertical="center"/>
    </xf>
    <xf numFmtId="0" fontId="10" fillId="0" borderId="201" xfId="0" applyFont="1" applyBorder="1" applyAlignment="1" applyProtection="1">
      <alignment horizontal="right" vertical="center"/>
    </xf>
    <xf numFmtId="0" fontId="10" fillId="0" borderId="202" xfId="0" applyFont="1" applyBorder="1" applyAlignment="1" applyProtection="1">
      <alignment horizontal="right" vertical="center"/>
    </xf>
    <xf numFmtId="0" fontId="0" fillId="0" borderId="154" xfId="0" applyBorder="1" applyAlignment="1" applyProtection="1">
      <alignment horizontal="left" vertical="center"/>
    </xf>
    <xf numFmtId="0" fontId="0" fillId="0" borderId="1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4" xfId="0" applyFont="1" applyBorder="1" applyAlignment="1" applyProtection="1">
      <alignment horizontal="right" vertical="center"/>
    </xf>
    <xf numFmtId="0" fontId="10" fillId="0" borderId="225" xfId="0" applyFont="1" applyBorder="1" applyAlignment="1" applyProtection="1">
      <alignment horizontal="righ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7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3" xfId="0" applyFont="1" applyBorder="1" applyAlignment="1" applyProtection="1">
      <alignment horizontal="left" vertical="center"/>
    </xf>
    <xf numFmtId="0" fontId="0" fillId="0" borderId="256" xfId="0" applyBorder="1" applyAlignment="1" applyProtection="1">
      <alignment horizontal="right" vertical="center"/>
    </xf>
    <xf numFmtId="0" fontId="0" fillId="0" borderId="257" xfId="0" applyBorder="1" applyAlignment="1" applyProtection="1">
      <alignment horizontal="right" vertical="center"/>
    </xf>
    <xf numFmtId="0" fontId="0" fillId="0" borderId="279" xfId="0" applyBorder="1" applyAlignment="1" applyProtection="1">
      <alignment horizontal="right" vertical="center"/>
    </xf>
    <xf numFmtId="0" fontId="0" fillId="0" borderId="224" xfId="0" applyBorder="1" applyAlignment="1" applyProtection="1">
      <alignment horizontal="right" vertical="center"/>
    </xf>
    <xf numFmtId="0" fontId="0" fillId="0" borderId="225" xfId="0" applyBorder="1" applyAlignment="1" applyProtection="1">
      <alignment horizontal="right" vertical="center"/>
    </xf>
    <xf numFmtId="0" fontId="0" fillId="0" borderId="280" xfId="0" applyBorder="1" applyAlignment="1" applyProtection="1">
      <alignment horizontal="right" vertical="center"/>
    </xf>
    <xf numFmtId="0" fontId="0" fillId="3" borderId="77" xfId="0" applyFill="1" applyBorder="1" applyAlignment="1" applyProtection="1">
      <alignment horizontal="left" vertical="center"/>
      <protection locked="0"/>
    </xf>
    <xf numFmtId="0" fontId="0" fillId="3" borderId="217" xfId="0" applyFill="1" applyBorder="1" applyAlignment="1" applyProtection="1">
      <alignment horizontal="left" vertical="center"/>
      <protection locked="0"/>
    </xf>
    <xf numFmtId="0" fontId="0" fillId="3" borderId="218" xfId="0" applyFill="1" applyBorder="1" applyAlignment="1" applyProtection="1">
      <alignment horizontal="left" vertic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67" xfId="0" applyFill="1" applyBorder="1" applyAlignment="1" applyProtection="1">
      <alignment horizontal="center" vertical="center"/>
      <protection locked="0"/>
    </xf>
    <xf numFmtId="0" fontId="10" fillId="0" borderId="87" xfId="0" applyFont="1" applyBorder="1" applyAlignment="1" applyProtection="1">
      <alignment horizontal="right" vertical="center"/>
    </xf>
    <xf numFmtId="0" fontId="10" fillId="0" borderId="219" xfId="0" applyFont="1" applyBorder="1" applyAlignment="1" applyProtection="1">
      <alignment horizontal="right" vertical="center"/>
    </xf>
    <xf numFmtId="0" fontId="10" fillId="0" borderId="122" xfId="0" applyFont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161" xfId="0" applyFill="1" applyBorder="1" applyAlignment="1" applyProtection="1">
      <alignment horizontal="left" vertical="center"/>
      <protection locked="0"/>
    </xf>
    <xf numFmtId="0" fontId="0" fillId="3" borderId="167" xfId="0" applyFill="1" applyBorder="1" applyAlignment="1" applyProtection="1">
      <alignment horizontal="left" vertical="center"/>
      <protection locked="0"/>
    </xf>
    <xf numFmtId="0" fontId="0" fillId="3" borderId="154" xfId="0" applyFill="1" applyBorder="1" applyAlignment="1" applyProtection="1">
      <alignment horizontal="left" vertical="center"/>
      <protection locked="0"/>
    </xf>
    <xf numFmtId="0" fontId="0" fillId="3" borderId="162" xfId="0" applyFill="1" applyBorder="1" applyAlignment="1" applyProtection="1">
      <alignment horizontal="left" vertical="center"/>
      <protection locked="0"/>
    </xf>
    <xf numFmtId="0" fontId="0" fillId="3" borderId="163" xfId="0" applyFill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left" vertical="center"/>
    </xf>
    <xf numFmtId="0" fontId="10" fillId="0" borderId="33" xfId="0" applyFont="1" applyBorder="1" applyAlignment="1" applyProtection="1">
      <alignment horizontal="left" vertical="center"/>
    </xf>
    <xf numFmtId="0" fontId="10" fillId="0" borderId="158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81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161" xfId="0" applyFill="1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left" vertical="center"/>
    </xf>
    <xf numFmtId="0" fontId="10" fillId="0" borderId="221" xfId="0" applyFont="1" applyBorder="1" applyAlignment="1" applyProtection="1">
      <alignment horizontal="left" vertical="center"/>
    </xf>
    <xf numFmtId="0" fontId="10" fillId="0" borderId="222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7" xfId="0" applyFill="1" applyBorder="1" applyAlignment="1" applyProtection="1">
      <alignment horizontal="left" vertical="center"/>
    </xf>
    <xf numFmtId="0" fontId="0" fillId="0" borderId="154" xfId="0" applyFill="1" applyBorder="1" applyAlignment="1" applyProtection="1">
      <alignment horizontal="left" vertical="center"/>
    </xf>
    <xf numFmtId="0" fontId="0" fillId="0" borderId="162" xfId="0" applyFill="1" applyBorder="1" applyAlignment="1" applyProtection="1">
      <alignment horizontal="left" vertical="center"/>
    </xf>
    <xf numFmtId="0" fontId="0" fillId="0" borderId="163" xfId="0" applyFill="1" applyBorder="1" applyAlignment="1" applyProtection="1">
      <alignment horizontal="left" vertical="center"/>
    </xf>
    <xf numFmtId="0" fontId="0" fillId="0" borderId="247" xfId="0" applyFill="1" applyBorder="1" applyAlignment="1" applyProtection="1">
      <alignment horizontal="left" vertical="center"/>
    </xf>
    <xf numFmtId="0" fontId="0" fillId="0" borderId="248" xfId="0" applyFill="1" applyBorder="1" applyAlignment="1" applyProtection="1">
      <alignment horizontal="left" vertical="center"/>
    </xf>
    <xf numFmtId="0" fontId="0" fillId="0" borderId="249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7" xfId="0" applyFill="1" applyBorder="1" applyAlignment="1" applyProtection="1">
      <alignment horizontal="left" vertical="center" wrapText="1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7" xfId="0" applyFill="1" applyBorder="1" applyAlignment="1" applyProtection="1">
      <alignment vertical="center"/>
    </xf>
    <xf numFmtId="0" fontId="0" fillId="0" borderId="154" xfId="0" applyFill="1" applyBorder="1" applyAlignment="1" applyProtection="1">
      <alignment vertical="center"/>
    </xf>
    <xf numFmtId="0" fontId="0" fillId="0" borderId="162" xfId="0" applyFill="1" applyBorder="1" applyAlignment="1" applyProtection="1">
      <alignment vertical="center"/>
    </xf>
    <xf numFmtId="0" fontId="0" fillId="0" borderId="163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7" xfId="0" applyFill="1" applyBorder="1" applyAlignment="1" applyProtection="1">
      <alignment vertical="center" wrapText="1"/>
    </xf>
    <xf numFmtId="0" fontId="0" fillId="0" borderId="201" xfId="0" applyBorder="1" applyAlignment="1" applyProtection="1">
      <alignment horizontal="left" vertical="center"/>
    </xf>
    <xf numFmtId="0" fontId="0" fillId="0" borderId="202" xfId="0" applyBorder="1" applyAlignment="1" applyProtection="1">
      <alignment horizontal="left" vertical="center"/>
    </xf>
    <xf numFmtId="164" fontId="0" fillId="0" borderId="50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74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75" xfId="0" applyNumberFormat="1" applyFill="1" applyBorder="1" applyAlignment="1" applyProtection="1">
      <alignment horizontal="center" vertical="center"/>
    </xf>
    <xf numFmtId="164" fontId="0" fillId="0" borderId="202" xfId="0" applyNumberFormat="1" applyFill="1" applyBorder="1" applyAlignment="1" applyProtection="1">
      <alignment horizontal="center" vertical="center"/>
    </xf>
    <xf numFmtId="164" fontId="0" fillId="0" borderId="208" xfId="0" applyNumberFormat="1" applyFill="1" applyBorder="1" applyAlignment="1" applyProtection="1">
      <alignment horizontal="center" vertical="center"/>
    </xf>
    <xf numFmtId="164" fontId="0" fillId="0" borderId="175" xfId="0" applyNumberFormat="1" applyFill="1" applyBorder="1" applyAlignment="1" applyProtection="1">
      <alignment horizontal="center" vertical="center"/>
    </xf>
    <xf numFmtId="164" fontId="0" fillId="0" borderId="75" xfId="0" applyNumberFormat="1" applyFill="1" applyBorder="1" applyAlignment="1" applyProtection="1">
      <alignment horizontal="center" vertical="center"/>
    </xf>
    <xf numFmtId="164" fontId="0" fillId="0" borderId="276" xfId="0" applyNumberFormat="1" applyFill="1" applyBorder="1" applyAlignment="1" applyProtection="1">
      <alignment horizontal="center" vertical="center"/>
    </xf>
    <xf numFmtId="164" fontId="0" fillId="0" borderId="277" xfId="0" applyNumberFormat="1" applyFill="1" applyBorder="1" applyAlignment="1" applyProtection="1">
      <alignment horizontal="center" vertical="center"/>
    </xf>
    <xf numFmtId="0" fontId="12" fillId="0" borderId="220" xfId="0" applyFont="1" applyBorder="1" applyAlignment="1" applyProtection="1">
      <alignment horizontal="right" vertical="center"/>
    </xf>
    <xf numFmtId="0" fontId="12" fillId="0" borderId="221" xfId="0" applyFont="1" applyBorder="1" applyAlignment="1" applyProtection="1">
      <alignment horizontal="right" vertical="center"/>
    </xf>
    <xf numFmtId="0" fontId="2" fillId="0" borderId="267" xfId="0" applyFont="1" applyBorder="1" applyAlignment="1" applyProtection="1">
      <alignment horizontal="right" vertical="center"/>
    </xf>
    <xf numFmtId="0" fontId="2" fillId="0" borderId="204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61" xfId="0" applyFill="1" applyBorder="1" applyAlignment="1" applyProtection="1">
      <alignment vertical="center"/>
    </xf>
    <xf numFmtId="0" fontId="10" fillId="0" borderId="251" xfId="0" applyFont="1" applyBorder="1" applyAlignment="1" applyProtection="1">
      <alignment horizontal="right" vertical="center"/>
    </xf>
    <xf numFmtId="0" fontId="2" fillId="0" borderId="158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7" xfId="0" applyFont="1" applyBorder="1" applyAlignment="1" applyProtection="1">
      <alignment horizontal="left" vertical="center"/>
    </xf>
    <xf numFmtId="0" fontId="0" fillId="0" borderId="77" xfId="0" applyFill="1" applyBorder="1" applyAlignment="1" applyProtection="1">
      <alignment horizontal="center" vertical="center"/>
    </xf>
    <xf numFmtId="0" fontId="0" fillId="0" borderId="217" xfId="0" applyFill="1" applyBorder="1" applyAlignment="1" applyProtection="1">
      <alignment horizontal="center" vertical="center"/>
    </xf>
    <xf numFmtId="0" fontId="0" fillId="0" borderId="218" xfId="0" applyFill="1" applyBorder="1" applyAlignment="1" applyProtection="1">
      <alignment horizontal="center" vertical="center"/>
    </xf>
    <xf numFmtId="0" fontId="2" fillId="0" borderId="181" xfId="0" applyFont="1" applyBorder="1" applyAlignment="1" applyProtection="1">
      <alignment horizontal="right" vertical="center"/>
    </xf>
    <xf numFmtId="0" fontId="13" fillId="0" borderId="154" xfId="0" applyFont="1" applyBorder="1" applyAlignment="1" applyProtection="1">
      <alignment horizontal="left" vertical="center"/>
    </xf>
    <xf numFmtId="0" fontId="13" fillId="0" borderId="162" xfId="0" applyFont="1" applyBorder="1" applyAlignment="1" applyProtection="1">
      <alignment horizontal="left" vertical="center"/>
    </xf>
    <xf numFmtId="0" fontId="13" fillId="0" borderId="163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61" xfId="0" applyFont="1" applyBorder="1" applyAlignment="1" applyProtection="1">
      <alignment horizontal="left" vertical="center"/>
    </xf>
    <xf numFmtId="0" fontId="0" fillId="0" borderId="247" xfId="0" applyFill="1" applyBorder="1" applyAlignment="1" applyProtection="1">
      <alignment horizontal="center" vertical="center"/>
    </xf>
    <xf numFmtId="0" fontId="0" fillId="0" borderId="248" xfId="0" applyFill="1" applyBorder="1" applyAlignment="1" applyProtection="1">
      <alignment horizontal="center" vertical="center"/>
    </xf>
    <xf numFmtId="0" fontId="0" fillId="0" borderId="249" xfId="0" applyFill="1" applyBorder="1" applyAlignment="1" applyProtection="1">
      <alignment horizontal="center" vertical="center"/>
    </xf>
    <xf numFmtId="0" fontId="0" fillId="0" borderId="97" xfId="0" applyBorder="1" applyAlignment="1" applyProtection="1">
      <alignment horizontal="right" vertical="center"/>
    </xf>
    <xf numFmtId="0" fontId="0" fillId="0" borderId="63" xfId="0" applyBorder="1" applyAlignment="1" applyProtection="1">
      <alignment horizontal="right" vertical="center"/>
    </xf>
    <xf numFmtId="0" fontId="0" fillId="0" borderId="196" xfId="0" applyFill="1" applyBorder="1" applyAlignment="1" applyProtection="1">
      <alignment horizontal="left" vertical="center"/>
    </xf>
    <xf numFmtId="0" fontId="0" fillId="0" borderId="282" xfId="0" applyFill="1" applyBorder="1" applyAlignment="1" applyProtection="1">
      <alignment horizontal="left" vertical="center"/>
    </xf>
    <xf numFmtId="0" fontId="0" fillId="0" borderId="195" xfId="0" applyFill="1" applyBorder="1" applyAlignment="1" applyProtection="1">
      <alignment horizontal="left" vertical="center"/>
    </xf>
    <xf numFmtId="0" fontId="0" fillId="0" borderId="201" xfId="0" applyFill="1" applyBorder="1" applyAlignment="1" applyProtection="1">
      <alignment horizontal="left" vertical="center"/>
    </xf>
    <xf numFmtId="0" fontId="0" fillId="0" borderId="202" xfId="0" applyFill="1" applyBorder="1" applyAlignment="1" applyProtection="1">
      <alignment horizontal="left" vertical="center"/>
    </xf>
    <xf numFmtId="0" fontId="0" fillId="0" borderId="286" xfId="0" applyFill="1" applyBorder="1" applyAlignment="1" applyProtection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Lizenzgebühr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Lizenzgebühr!$B$3</c:f>
              <c:strCache>
                <c:ptCount val="1"/>
                <c:pt idx="0">
                  <c:v>Gebühr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(Lizenzgebühr!$A$4,Lizenzgebühr!$A$5,Lizenzgebühr!$A$7)</c:f>
              <c:numCache>
                <c:formatCode>0.00%</c:formatCode>
                <c:ptCount val="3"/>
                <c:pt idx="0">
                  <c:v>0.05</c:v>
                </c:pt>
                <c:pt idx="1">
                  <c:v>0.3</c:v>
                </c:pt>
                <c:pt idx="2">
                  <c:v>0.55000000000000004</c:v>
                </c:pt>
              </c:numCache>
            </c:numRef>
          </c:cat>
          <c:val>
            <c:numRef>
              <c:f>(Lizenzgebühr!$B$4:$B$5,Lizenzgebühr!$B$7)</c:f>
              <c:numCache>
                <c:formatCode>"€"#,##0.00_);[Red]\("€"#,##0.00\)</c:formatCode>
                <c:ptCount val="3"/>
                <c:pt idx="0">
                  <c:v>500</c:v>
                </c:pt>
                <c:pt idx="1">
                  <c:v>2000</c:v>
                </c:pt>
                <c:pt idx="2">
                  <c:v>3500.0000000000009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9-42F0-8488-DAD81696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349656"/>
        <c:axId val="439353264"/>
      </c:lineChart>
      <c:catAx>
        <c:axId val="43934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Energieersparnis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53264"/>
        <c:crosses val="autoZero"/>
        <c:auto val="1"/>
        <c:lblAlgn val="ctr"/>
        <c:lblOffset val="100"/>
        <c:tickLblSkip val="1"/>
        <c:noMultiLvlLbl val="0"/>
      </c:catAx>
      <c:valAx>
        <c:axId val="439353264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[Red]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4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2" name="Dia_Lizenzgebuehr">
          <a:extLst>
            <a:ext uri="{FF2B5EF4-FFF2-40B4-BE49-F238E27FC236}">
              <a16:creationId xmlns:a16="http://schemas.microsoft.com/office/drawing/2014/main" id="{B764A954-5768-441B-AA30-043CB5CFF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tabSelected="1" view="pageBreakPreview" zoomScale="85" zoomScaleNormal="100" zoomScaleSheetLayoutView="85" workbookViewId="0">
      <selection activeCell="D6" sqref="D6"/>
    </sheetView>
  </sheetViews>
  <sheetFormatPr baseColWidth="10" defaultRowHeight="15" x14ac:dyDescent="0.25"/>
  <cols>
    <col min="1" max="2" width="14.28515625" style="184" customWidth="1"/>
    <col min="3" max="3" width="25.7109375" style="184" bestFit="1" customWidth="1"/>
    <col min="4" max="4" width="34.28515625" style="184" customWidth="1"/>
    <col min="5" max="16384" width="11.42578125" style="184"/>
  </cols>
  <sheetData>
    <row r="1" spans="1:4" ht="27" thickBot="1" x14ac:dyDescent="0.45">
      <c r="A1" s="717" t="s">
        <v>5</v>
      </c>
      <c r="B1" s="718"/>
      <c r="C1" s="718"/>
      <c r="D1" s="719"/>
    </row>
    <row r="2" spans="1:4" ht="7.5" customHeight="1" thickBot="1" x14ac:dyDescent="0.3"/>
    <row r="3" spans="1:4" ht="16.5" thickBot="1" x14ac:dyDescent="0.3">
      <c r="A3" s="720" t="s">
        <v>0</v>
      </c>
      <c r="B3" s="721"/>
      <c r="C3" s="721"/>
      <c r="D3" s="722"/>
    </row>
    <row r="4" spans="1:4" ht="7.5" customHeight="1" x14ac:dyDescent="0.25">
      <c r="A4" s="570"/>
      <c r="B4" s="571"/>
      <c r="C4" s="571"/>
      <c r="D4" s="572"/>
    </row>
    <row r="5" spans="1:4" ht="18.75" customHeight="1" thickBot="1" x14ac:dyDescent="0.3">
      <c r="A5" s="714" t="s">
        <v>10</v>
      </c>
      <c r="B5" s="715"/>
      <c r="C5" s="573" t="s">
        <v>12</v>
      </c>
      <c r="D5" s="574" t="s">
        <v>13</v>
      </c>
    </row>
    <row r="6" spans="1:4" ht="30.75" thickTop="1" x14ac:dyDescent="0.25">
      <c r="A6" s="712" t="s">
        <v>1</v>
      </c>
      <c r="B6" s="713"/>
      <c r="C6" s="86" t="s">
        <v>36</v>
      </c>
      <c r="D6" s="87" t="s">
        <v>245</v>
      </c>
    </row>
    <row r="7" spans="1:4" ht="30" x14ac:dyDescent="0.25">
      <c r="A7" s="723" t="s">
        <v>2</v>
      </c>
      <c r="B7" s="724"/>
      <c r="C7" s="88" t="s">
        <v>37</v>
      </c>
      <c r="D7" s="89" t="s">
        <v>246</v>
      </c>
    </row>
    <row r="8" spans="1:4" ht="30" x14ac:dyDescent="0.25">
      <c r="A8" s="723" t="s">
        <v>3</v>
      </c>
      <c r="B8" s="724"/>
      <c r="C8" s="88" t="s">
        <v>38</v>
      </c>
      <c r="D8" s="89" t="s">
        <v>247</v>
      </c>
    </row>
    <row r="9" spans="1:4" ht="30" x14ac:dyDescent="0.25">
      <c r="A9" s="728" t="s">
        <v>4</v>
      </c>
      <c r="B9" s="729"/>
      <c r="C9" s="90" t="s">
        <v>39</v>
      </c>
      <c r="D9" s="91" t="s">
        <v>15</v>
      </c>
    </row>
    <row r="10" spans="1:4" ht="7.5" customHeight="1" thickBot="1" x14ac:dyDescent="0.3">
      <c r="A10" s="226"/>
      <c r="B10" s="227"/>
      <c r="C10" s="227"/>
      <c r="D10" s="575"/>
    </row>
    <row r="11" spans="1:4" ht="7.5" customHeight="1" thickBot="1" x14ac:dyDescent="0.3">
      <c r="A11" s="576"/>
      <c r="B11" s="576"/>
      <c r="C11" s="576"/>
      <c r="D11" s="576"/>
    </row>
    <row r="12" spans="1:4" ht="16.5" thickBot="1" x14ac:dyDescent="0.3">
      <c r="A12" s="720" t="s">
        <v>14</v>
      </c>
      <c r="B12" s="721"/>
      <c r="C12" s="721"/>
      <c r="D12" s="722"/>
    </row>
    <row r="13" spans="1:4" ht="7.5" customHeight="1" x14ac:dyDescent="0.25">
      <c r="A13" s="577"/>
      <c r="B13" s="578"/>
      <c r="C13" s="578"/>
      <c r="D13" s="579"/>
    </row>
    <row r="14" spans="1:4" ht="18.75" customHeight="1" x14ac:dyDescent="0.25">
      <c r="A14" s="580" t="s">
        <v>11</v>
      </c>
      <c r="B14" s="727" t="s">
        <v>6</v>
      </c>
      <c r="C14" s="727"/>
      <c r="D14" s="92"/>
    </row>
    <row r="15" spans="1:4" ht="37.5" customHeight="1" x14ac:dyDescent="0.25">
      <c r="A15" s="581" t="s">
        <v>16</v>
      </c>
      <c r="B15" s="726" t="s">
        <v>8</v>
      </c>
      <c r="C15" s="726"/>
      <c r="D15" s="93"/>
    </row>
    <row r="16" spans="1:4" ht="20.25" customHeight="1" x14ac:dyDescent="0.25">
      <c r="A16" s="581" t="s">
        <v>9</v>
      </c>
      <c r="B16" s="725" t="s">
        <v>7</v>
      </c>
      <c r="C16" s="725"/>
      <c r="D16" s="94"/>
    </row>
    <row r="17" spans="1:4" x14ac:dyDescent="0.25">
      <c r="A17" s="582" t="s">
        <v>17</v>
      </c>
      <c r="B17" s="716">
        <v>43282</v>
      </c>
      <c r="C17" s="716"/>
      <c r="D17" s="95"/>
    </row>
    <row r="18" spans="1:4" ht="8.25" customHeight="1" thickBot="1" x14ac:dyDescent="0.3">
      <c r="A18" s="226"/>
      <c r="B18" s="227"/>
      <c r="C18" s="227"/>
      <c r="D18" s="575"/>
    </row>
    <row r="21" spans="1:4" ht="15.75" thickBot="1" x14ac:dyDescent="0.3"/>
    <row r="22" spans="1:4" ht="15.75" thickBot="1" x14ac:dyDescent="0.3">
      <c r="B22" s="701" t="s">
        <v>263</v>
      </c>
      <c r="C22" s="702"/>
    </row>
    <row r="23" spans="1:4" ht="15.75" thickBot="1" x14ac:dyDescent="0.3">
      <c r="B23" s="570"/>
      <c r="C23" s="572"/>
    </row>
    <row r="24" spans="1:4" ht="15.75" thickTop="1" x14ac:dyDescent="0.25">
      <c r="B24" s="689"/>
      <c r="C24" s="690" t="s">
        <v>248</v>
      </c>
    </row>
    <row r="25" spans="1:4" ht="15.75" thickBot="1" x14ac:dyDescent="0.3">
      <c r="B25" s="691"/>
      <c r="C25" s="692" t="s">
        <v>249</v>
      </c>
    </row>
    <row r="26" spans="1:4" ht="16.5" thickTop="1" thickBot="1" x14ac:dyDescent="0.3">
      <c r="B26" s="570"/>
      <c r="C26" s="572"/>
    </row>
    <row r="27" spans="1:4" ht="15.75" thickTop="1" x14ac:dyDescent="0.25">
      <c r="B27" s="693"/>
      <c r="C27" s="690" t="s">
        <v>250</v>
      </c>
    </row>
    <row r="28" spans="1:4" ht="15.75" thickBot="1" x14ac:dyDescent="0.3">
      <c r="B28" s="694"/>
      <c r="C28" s="692" t="s">
        <v>251</v>
      </c>
    </row>
    <row r="29" spans="1:4" ht="16.5" thickTop="1" thickBot="1" x14ac:dyDescent="0.3">
      <c r="B29" s="570"/>
      <c r="C29" s="572"/>
    </row>
    <row r="30" spans="1:4" ht="15.75" thickTop="1" x14ac:dyDescent="0.25">
      <c r="B30" s="695"/>
      <c r="C30" s="690" t="s">
        <v>252</v>
      </c>
    </row>
    <row r="31" spans="1:4" x14ac:dyDescent="0.25">
      <c r="B31" s="696"/>
      <c r="C31" s="697" t="s">
        <v>253</v>
      </c>
    </row>
    <row r="32" spans="1:4" ht="15.75" thickBot="1" x14ac:dyDescent="0.3">
      <c r="B32" s="698"/>
      <c r="C32" s="692" t="s">
        <v>254</v>
      </c>
    </row>
    <row r="33" spans="1:7" ht="16.5" thickTop="1" thickBot="1" x14ac:dyDescent="0.3">
      <c r="B33" s="570"/>
      <c r="C33" s="572"/>
    </row>
    <row r="34" spans="1:7" ht="16.5" thickTop="1" thickBot="1" x14ac:dyDescent="0.3">
      <c r="B34" s="699"/>
      <c r="C34" s="700" t="s">
        <v>258</v>
      </c>
    </row>
    <row r="35" spans="1:7" ht="16.5" thickTop="1" thickBot="1" x14ac:dyDescent="0.3">
      <c r="B35" s="226"/>
      <c r="C35" s="575"/>
    </row>
    <row r="40" spans="1:7" x14ac:dyDescent="0.25">
      <c r="A40" s="709" t="s">
        <v>40</v>
      </c>
      <c r="B40" s="710"/>
      <c r="C40" s="710"/>
      <c r="D40" s="711"/>
    </row>
    <row r="41" spans="1:7" ht="30" customHeight="1" x14ac:dyDescent="0.25">
      <c r="A41" s="703" t="s">
        <v>41</v>
      </c>
      <c r="B41" s="704"/>
      <c r="C41" s="704"/>
      <c r="D41" s="705"/>
      <c r="G41" s="583"/>
    </row>
    <row r="42" spans="1:7" ht="7.5" customHeight="1" x14ac:dyDescent="0.25">
      <c r="A42" s="584"/>
      <c r="B42" s="585"/>
      <c r="C42" s="585"/>
      <c r="D42" s="586"/>
    </row>
    <row r="43" spans="1:7" ht="30" customHeight="1" x14ac:dyDescent="0.25">
      <c r="A43" s="706" t="s">
        <v>42</v>
      </c>
      <c r="B43" s="707"/>
      <c r="C43" s="707"/>
      <c r="D43" s="708"/>
    </row>
    <row r="44" spans="1:7" x14ac:dyDescent="0.25">
      <c r="A44" s="587"/>
      <c r="B44" s="587"/>
      <c r="C44" s="587"/>
      <c r="D44" s="587"/>
    </row>
  </sheetData>
  <sheetProtection algorithmName="SHA-512" hashValue="fwjbzIwahBzZELEDc+CCI0cWBD3y6VZJli4m+WeftIzCD0HvNbdshgZ4ywKm9GtMo/bhdz20wUgzP9Mk5Xn1iA==" saltValue="rvR52ErZ6XP1s35H+Q1xLQ==" spinCount="100000" sheet="1" objects="1" scenarios="1" selectLockedCell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40"/>
  <sheetViews>
    <sheetView showGridLines="0" view="pageBreakPreview" zoomScaleNormal="100" zoomScaleSheetLayoutView="100" workbookViewId="0">
      <pane xSplit="5" ySplit="1" topLeftCell="F5" activePane="bottomRight" state="frozen"/>
      <selection pane="topRight" activeCell="F1" sqref="F1"/>
      <selection pane="bottomLeft" activeCell="A2" sqref="A2"/>
      <selection pane="bottomRight" activeCell="A33" sqref="A33"/>
    </sheetView>
  </sheetViews>
  <sheetFormatPr baseColWidth="10" defaultRowHeight="15" outlineLevelRow="2" outlineLevelCol="1" x14ac:dyDescent="0.25"/>
  <cols>
    <col min="1" max="1" width="49.7109375" style="43" bestFit="1" customWidth="1"/>
    <col min="2" max="2" width="18.42578125" style="43" customWidth="1"/>
    <col min="3" max="3" width="7" style="43" bestFit="1" customWidth="1"/>
    <col min="4" max="4" width="6.85546875" style="43" bestFit="1" customWidth="1"/>
    <col min="5" max="5" width="9" style="43" bestFit="1" customWidth="1"/>
    <col min="6" max="17" width="14.28515625" style="43" customWidth="1" outlineLevel="1"/>
    <col min="18" max="18" width="14.28515625" style="43" customWidth="1"/>
    <col min="19" max="22" width="14.28515625" style="43" customWidth="1" outlineLevel="1"/>
    <col min="23" max="25" width="14.28515625" style="43" customWidth="1"/>
    <col min="26" max="16384" width="11.42578125" style="43"/>
  </cols>
  <sheetData>
    <row r="1" spans="1:25" ht="27" thickBot="1" x14ac:dyDescent="0.3">
      <c r="A1" s="754" t="s">
        <v>18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5"/>
      <c r="R1" s="755"/>
      <c r="S1" s="755"/>
      <c r="T1" s="755"/>
      <c r="U1" s="755"/>
      <c r="V1" s="755"/>
      <c r="W1" s="755"/>
      <c r="X1" s="755"/>
      <c r="Y1" s="756"/>
    </row>
    <row r="2" spans="1:25" ht="7.5" customHeight="1" thickBot="1" x14ac:dyDescent="0.3"/>
    <row r="3" spans="1:25" x14ac:dyDescent="0.25">
      <c r="A3" s="739" t="s">
        <v>30</v>
      </c>
      <c r="B3" s="749" t="s">
        <v>19</v>
      </c>
      <c r="C3" s="749" t="s">
        <v>32</v>
      </c>
      <c r="D3" s="749" t="s">
        <v>255</v>
      </c>
      <c r="E3" s="747" t="s">
        <v>256</v>
      </c>
      <c r="F3" s="751" t="s">
        <v>20</v>
      </c>
      <c r="G3" s="731"/>
      <c r="H3" s="731"/>
      <c r="I3" s="731"/>
      <c r="J3" s="731"/>
      <c r="K3" s="731"/>
      <c r="L3" s="731"/>
      <c r="M3" s="731"/>
      <c r="N3" s="731"/>
      <c r="O3" s="731"/>
      <c r="P3" s="731"/>
      <c r="Q3" s="732"/>
      <c r="R3" s="752" t="s">
        <v>20</v>
      </c>
      <c r="S3" s="730" t="s">
        <v>25</v>
      </c>
      <c r="T3" s="731"/>
      <c r="U3" s="731"/>
      <c r="V3" s="732"/>
      <c r="W3" s="733" t="s">
        <v>25</v>
      </c>
      <c r="X3" s="735" t="s">
        <v>26</v>
      </c>
      <c r="Y3" s="737" t="s">
        <v>27</v>
      </c>
    </row>
    <row r="4" spans="1:25" s="5" customFormat="1" ht="15" customHeight="1" thickBot="1" x14ac:dyDescent="0.3">
      <c r="A4" s="740"/>
      <c r="B4" s="750"/>
      <c r="C4" s="750"/>
      <c r="D4" s="750"/>
      <c r="E4" s="748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53"/>
      <c r="S4" s="4" t="s">
        <v>21</v>
      </c>
      <c r="T4" s="2" t="s">
        <v>22</v>
      </c>
      <c r="U4" s="2" t="s">
        <v>23</v>
      </c>
      <c r="V4" s="2" t="s">
        <v>24</v>
      </c>
      <c r="W4" s="734"/>
      <c r="X4" s="736"/>
      <c r="Y4" s="738"/>
    </row>
    <row r="5" spans="1:25" ht="18.75" customHeight="1" outlineLevel="2" thickTop="1" x14ac:dyDescent="0.25">
      <c r="A5" s="23" t="s">
        <v>60</v>
      </c>
      <c r="B5" s="109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7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4">
        <f>SUM(F5:Q5)</f>
        <v>25000</v>
      </c>
      <c r="S5" s="75" t="str">
        <f>IF(AND($E5&gt;12,$E5&lt;=15),$B5,"")</f>
        <v/>
      </c>
      <c r="T5" s="76" t="str">
        <f>IF(AND($E5&gt;15,$E5&lt;=18),$B5,"")</f>
        <v/>
      </c>
      <c r="U5" s="76" t="str">
        <f>IF(AND($E5&gt;18,$E5&lt;=21),$B5,"")</f>
        <v/>
      </c>
      <c r="V5" s="76" t="str">
        <f>IF(AND($E5&gt;21,$E5&lt;=24),$B5,"")</f>
        <v/>
      </c>
      <c r="W5" s="77">
        <f>SUM(S5:V5)</f>
        <v>0</v>
      </c>
      <c r="X5" s="8" t="str">
        <f>IF(AND($E5&gt;24,$E5&lt;=36),$B5,"")</f>
        <v/>
      </c>
      <c r="Y5" s="9" t="str">
        <f>IF(AND($E5&gt;36,$E5&lt;=48),$B5,"")</f>
        <v/>
      </c>
    </row>
    <row r="6" spans="1:25" ht="18.75" customHeight="1" outlineLevel="2" x14ac:dyDescent="0.25">
      <c r="A6" s="24" t="s">
        <v>61</v>
      </c>
      <c r="B6" s="110">
        <v>3000</v>
      </c>
      <c r="C6" s="99">
        <v>5</v>
      </c>
      <c r="D6" s="99">
        <v>1</v>
      </c>
      <c r="E6" s="100">
        <v>1</v>
      </c>
      <c r="F6" s="10">
        <f t="shared" ref="F6:F17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1" t="str">
        <f t="shared" si="0"/>
        <v/>
      </c>
      <c r="R6" s="78">
        <f t="shared" ref="R6:R17" si="2">SUM(F6:Q6)</f>
        <v>3000</v>
      </c>
      <c r="S6" s="79" t="str">
        <f t="shared" ref="S6:S17" si="3">IF(AND($E6&gt;12,$E6&lt;=15),$B6,"")</f>
        <v/>
      </c>
      <c r="T6" s="80" t="str">
        <f t="shared" ref="T6:T17" si="4">IF(AND($E6&gt;15,$E6&lt;=18),$B6,"")</f>
        <v/>
      </c>
      <c r="U6" s="80" t="str">
        <f t="shared" ref="U6:U17" si="5">IF(AND($E6&gt;18,$E6&lt;=21),$B6,"")</f>
        <v/>
      </c>
      <c r="V6" s="80" t="str">
        <f t="shared" ref="V6:V17" si="6">IF(AND($E6&gt;21,$E6&lt;=24),$B6,"")</f>
        <v/>
      </c>
      <c r="W6" s="81">
        <f t="shared" ref="W6:W17" si="7">SUM(S6:V6)</f>
        <v>0</v>
      </c>
      <c r="X6" s="12" t="str">
        <f t="shared" ref="X6:X17" si="8">IF(AND($E6&gt;24,$E6&lt;=36),$B6,"")</f>
        <v/>
      </c>
      <c r="Y6" s="13" t="str">
        <f t="shared" ref="Y6:Y17" si="9">IF(AND($E6&gt;36,$E6&lt;=48),$B6,"")</f>
        <v/>
      </c>
    </row>
    <row r="7" spans="1:25" ht="18.75" customHeight="1" outlineLevel="2" x14ac:dyDescent="0.25">
      <c r="A7" s="24"/>
      <c r="B7" s="110"/>
      <c r="C7" s="99"/>
      <c r="D7" s="99"/>
      <c r="E7" s="100"/>
      <c r="F7" s="10" t="str">
        <f t="shared" si="1"/>
        <v/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1" t="str">
        <f t="shared" si="0"/>
        <v/>
      </c>
      <c r="R7" s="78">
        <f t="shared" ref="R7:R14" si="10">SUM(F7:Q7)</f>
        <v>0</v>
      </c>
      <c r="S7" s="79" t="str">
        <f t="shared" si="3"/>
        <v/>
      </c>
      <c r="T7" s="80" t="str">
        <f t="shared" si="4"/>
        <v/>
      </c>
      <c r="U7" s="80" t="str">
        <f t="shared" si="5"/>
        <v/>
      </c>
      <c r="V7" s="80" t="str">
        <f t="shared" si="6"/>
        <v/>
      </c>
      <c r="W7" s="81">
        <f t="shared" ref="W7:W14" si="11">SUM(S7:V7)</f>
        <v>0</v>
      </c>
      <c r="X7" s="12" t="str">
        <f t="shared" si="8"/>
        <v/>
      </c>
      <c r="Y7" s="13" t="str">
        <f t="shared" si="9"/>
        <v/>
      </c>
    </row>
    <row r="8" spans="1:25" ht="18.75" customHeight="1" outlineLevel="2" x14ac:dyDescent="0.25">
      <c r="A8" s="24" t="s">
        <v>62</v>
      </c>
      <c r="B8" s="110">
        <v>10000</v>
      </c>
      <c r="C8" s="99">
        <v>4</v>
      </c>
      <c r="D8" s="99">
        <v>1</v>
      </c>
      <c r="E8" s="100">
        <v>1</v>
      </c>
      <c r="F8" s="10">
        <f t="shared" si="1"/>
        <v>10000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1" t="str">
        <f t="shared" si="0"/>
        <v/>
      </c>
      <c r="R8" s="78">
        <f t="shared" si="10"/>
        <v>10000</v>
      </c>
      <c r="S8" s="79" t="str">
        <f t="shared" si="3"/>
        <v/>
      </c>
      <c r="T8" s="80" t="str">
        <f t="shared" si="4"/>
        <v/>
      </c>
      <c r="U8" s="80" t="str">
        <f t="shared" si="5"/>
        <v/>
      </c>
      <c r="V8" s="80" t="str">
        <f t="shared" si="6"/>
        <v/>
      </c>
      <c r="W8" s="81">
        <f t="shared" si="11"/>
        <v>0</v>
      </c>
      <c r="X8" s="12" t="str">
        <f t="shared" si="8"/>
        <v/>
      </c>
      <c r="Y8" s="13" t="str">
        <f t="shared" si="9"/>
        <v/>
      </c>
    </row>
    <row r="9" spans="1:25" ht="18.75" customHeight="1" outlineLevel="2" x14ac:dyDescent="0.25">
      <c r="A9" s="24" t="s">
        <v>66</v>
      </c>
      <c r="B9" s="110">
        <v>12000</v>
      </c>
      <c r="C9" s="99">
        <v>4</v>
      </c>
      <c r="D9" s="99">
        <v>1</v>
      </c>
      <c r="E9" s="100">
        <v>1</v>
      </c>
      <c r="F9" s="10">
        <f t="shared" si="1"/>
        <v>12000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1" t="str">
        <f t="shared" si="0"/>
        <v/>
      </c>
      <c r="R9" s="78">
        <f t="shared" si="10"/>
        <v>12000</v>
      </c>
      <c r="S9" s="79" t="str">
        <f t="shared" si="3"/>
        <v/>
      </c>
      <c r="T9" s="80" t="str">
        <f t="shared" si="4"/>
        <v/>
      </c>
      <c r="U9" s="80" t="str">
        <f t="shared" si="5"/>
        <v/>
      </c>
      <c r="V9" s="80" t="str">
        <f t="shared" si="6"/>
        <v/>
      </c>
      <c r="W9" s="81">
        <f t="shared" si="11"/>
        <v>0</v>
      </c>
      <c r="X9" s="12" t="str">
        <f t="shared" si="8"/>
        <v/>
      </c>
      <c r="Y9" s="13" t="str">
        <f t="shared" si="9"/>
        <v/>
      </c>
    </row>
    <row r="10" spans="1:25" ht="18.75" customHeight="1" outlineLevel="2" x14ac:dyDescent="0.25">
      <c r="A10" s="101" t="s">
        <v>63</v>
      </c>
      <c r="B10" s="110">
        <v>8000</v>
      </c>
      <c r="C10" s="99">
        <v>4</v>
      </c>
      <c r="D10" s="99">
        <v>1</v>
      </c>
      <c r="E10" s="100">
        <v>1</v>
      </c>
      <c r="F10" s="10">
        <f t="shared" si="1"/>
        <v>8000</v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1" t="str">
        <f t="shared" si="0"/>
        <v/>
      </c>
      <c r="R10" s="78">
        <f t="shared" si="10"/>
        <v>8000</v>
      </c>
      <c r="S10" s="79" t="str">
        <f t="shared" si="3"/>
        <v/>
      </c>
      <c r="T10" s="80" t="str">
        <f t="shared" si="4"/>
        <v/>
      </c>
      <c r="U10" s="80" t="str">
        <f t="shared" si="5"/>
        <v/>
      </c>
      <c r="V10" s="80" t="str">
        <f t="shared" si="6"/>
        <v/>
      </c>
      <c r="W10" s="81">
        <f t="shared" si="11"/>
        <v>0</v>
      </c>
      <c r="X10" s="12" t="str">
        <f t="shared" si="8"/>
        <v/>
      </c>
      <c r="Y10" s="13" t="str">
        <f t="shared" si="9"/>
        <v/>
      </c>
    </row>
    <row r="11" spans="1:25" ht="18.75" customHeight="1" outlineLevel="2" x14ac:dyDescent="0.25">
      <c r="A11" s="101" t="s">
        <v>63</v>
      </c>
      <c r="B11" s="110">
        <v>8000</v>
      </c>
      <c r="C11" s="99">
        <v>4</v>
      </c>
      <c r="D11" s="99">
        <v>13</v>
      </c>
      <c r="E11" s="100">
        <v>13</v>
      </c>
      <c r="F11" s="10" t="str">
        <f t="shared" si="1"/>
        <v/>
      </c>
      <c r="G11" s="11" t="str">
        <f t="shared" si="0"/>
        <v/>
      </c>
      <c r="H11" s="11" t="str">
        <f t="shared" si="0"/>
        <v/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1" t="str">
        <f t="shared" si="0"/>
        <v/>
      </c>
      <c r="R11" s="78">
        <f t="shared" ref="R11:R13" si="12">SUM(F11:Q11)</f>
        <v>0</v>
      </c>
      <c r="S11" s="79">
        <f t="shared" si="3"/>
        <v>8000</v>
      </c>
      <c r="T11" s="80" t="str">
        <f t="shared" si="4"/>
        <v/>
      </c>
      <c r="U11" s="80" t="str">
        <f t="shared" si="5"/>
        <v/>
      </c>
      <c r="V11" s="80" t="str">
        <f t="shared" si="6"/>
        <v/>
      </c>
      <c r="W11" s="81">
        <f t="shared" ref="W11:W13" si="13">SUM(S11:V11)</f>
        <v>8000</v>
      </c>
      <c r="X11" s="12" t="str">
        <f t="shared" si="8"/>
        <v/>
      </c>
      <c r="Y11" s="13" t="str">
        <f t="shared" si="9"/>
        <v/>
      </c>
    </row>
    <row r="12" spans="1:25" ht="18.75" customHeight="1" outlineLevel="2" x14ac:dyDescent="0.25">
      <c r="A12" s="101" t="s">
        <v>63</v>
      </c>
      <c r="B12" s="110">
        <v>6000</v>
      </c>
      <c r="C12" s="99">
        <v>4</v>
      </c>
      <c r="D12" s="99">
        <v>19</v>
      </c>
      <c r="E12" s="100">
        <v>19</v>
      </c>
      <c r="F12" s="10" t="str">
        <f t="shared" si="1"/>
        <v/>
      </c>
      <c r="G12" s="11" t="str">
        <f t="shared" si="0"/>
        <v/>
      </c>
      <c r="H12" s="11" t="str">
        <f t="shared" si="0"/>
        <v/>
      </c>
      <c r="I12" s="11" t="str">
        <f t="shared" si="0"/>
        <v/>
      </c>
      <c r="J12" s="11" t="str">
        <f t="shared" si="0"/>
        <v/>
      </c>
      <c r="K12" s="11" t="str">
        <f t="shared" si="0"/>
        <v/>
      </c>
      <c r="L12" s="11" t="str">
        <f t="shared" si="0"/>
        <v/>
      </c>
      <c r="M12" s="11" t="str">
        <f t="shared" si="0"/>
        <v/>
      </c>
      <c r="N12" s="11" t="str">
        <f t="shared" si="0"/>
        <v/>
      </c>
      <c r="O12" s="11" t="str">
        <f t="shared" si="0"/>
        <v/>
      </c>
      <c r="P12" s="11" t="str">
        <f t="shared" si="0"/>
        <v/>
      </c>
      <c r="Q12" s="11" t="str">
        <f t="shared" si="0"/>
        <v/>
      </c>
      <c r="R12" s="78">
        <f t="shared" si="12"/>
        <v>0</v>
      </c>
      <c r="S12" s="79" t="str">
        <f t="shared" si="3"/>
        <v/>
      </c>
      <c r="T12" s="80" t="str">
        <f t="shared" si="4"/>
        <v/>
      </c>
      <c r="U12" s="80">
        <f t="shared" si="5"/>
        <v>6000</v>
      </c>
      <c r="V12" s="80" t="str">
        <f t="shared" si="6"/>
        <v/>
      </c>
      <c r="W12" s="81">
        <f t="shared" si="13"/>
        <v>6000</v>
      </c>
      <c r="X12" s="12" t="str">
        <f t="shared" si="8"/>
        <v/>
      </c>
      <c r="Y12" s="13" t="str">
        <f t="shared" si="9"/>
        <v/>
      </c>
    </row>
    <row r="13" spans="1:25" ht="18.75" customHeight="1" outlineLevel="2" x14ac:dyDescent="0.25">
      <c r="A13" s="101" t="s">
        <v>63</v>
      </c>
      <c r="B13" s="110">
        <v>2000</v>
      </c>
      <c r="C13" s="99">
        <v>4</v>
      </c>
      <c r="D13" s="99">
        <v>25</v>
      </c>
      <c r="E13" s="100">
        <v>25</v>
      </c>
      <c r="F13" s="10" t="str">
        <f t="shared" si="1"/>
        <v/>
      </c>
      <c r="G13" s="11" t="str">
        <f t="shared" si="0"/>
        <v/>
      </c>
      <c r="H13" s="11" t="str">
        <f t="shared" si="0"/>
        <v/>
      </c>
      <c r="I13" s="11" t="str">
        <f t="shared" si="0"/>
        <v/>
      </c>
      <c r="J13" s="11" t="str">
        <f t="shared" si="0"/>
        <v/>
      </c>
      <c r="K13" s="11" t="str">
        <f t="shared" si="0"/>
        <v/>
      </c>
      <c r="L13" s="11" t="str">
        <f t="shared" si="0"/>
        <v/>
      </c>
      <c r="M13" s="11" t="str">
        <f t="shared" si="0"/>
        <v/>
      </c>
      <c r="N13" s="11" t="str">
        <f t="shared" si="0"/>
        <v/>
      </c>
      <c r="O13" s="11" t="str">
        <f t="shared" si="0"/>
        <v/>
      </c>
      <c r="P13" s="11" t="str">
        <f t="shared" si="0"/>
        <v/>
      </c>
      <c r="Q13" s="11" t="str">
        <f t="shared" si="0"/>
        <v/>
      </c>
      <c r="R13" s="78">
        <f t="shared" si="12"/>
        <v>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80" t="str">
        <f t="shared" si="6"/>
        <v/>
      </c>
      <c r="W13" s="81">
        <f t="shared" si="13"/>
        <v>0</v>
      </c>
      <c r="X13" s="12">
        <f t="shared" si="8"/>
        <v>2000</v>
      </c>
      <c r="Y13" s="13" t="str">
        <f t="shared" si="9"/>
        <v/>
      </c>
    </row>
    <row r="14" spans="1:25" ht="18.75" customHeight="1" outlineLevel="2" x14ac:dyDescent="0.25">
      <c r="A14" s="24" t="s">
        <v>64</v>
      </c>
      <c r="B14" s="110">
        <v>10000</v>
      </c>
      <c r="C14" s="99">
        <v>4</v>
      </c>
      <c r="D14" s="99">
        <v>2</v>
      </c>
      <c r="E14" s="100">
        <v>3</v>
      </c>
      <c r="F14" s="10" t="str">
        <f t="shared" si="1"/>
        <v/>
      </c>
      <c r="G14" s="11" t="str">
        <f t="shared" si="0"/>
        <v/>
      </c>
      <c r="H14" s="11">
        <f t="shared" si="0"/>
        <v>10000</v>
      </c>
      <c r="I14" s="11" t="str">
        <f t="shared" si="0"/>
        <v/>
      </c>
      <c r="J14" s="11" t="str">
        <f t="shared" si="0"/>
        <v/>
      </c>
      <c r="K14" s="11" t="str">
        <f t="shared" si="0"/>
        <v/>
      </c>
      <c r="L14" s="11" t="str">
        <f t="shared" si="0"/>
        <v/>
      </c>
      <c r="M14" s="11" t="str">
        <f t="shared" si="0"/>
        <v/>
      </c>
      <c r="N14" s="11" t="str">
        <f t="shared" si="0"/>
        <v/>
      </c>
      <c r="O14" s="11" t="str">
        <f t="shared" si="0"/>
        <v/>
      </c>
      <c r="P14" s="11" t="str">
        <f t="shared" si="0"/>
        <v/>
      </c>
      <c r="Q14" s="11" t="str">
        <f t="shared" si="0"/>
        <v/>
      </c>
      <c r="R14" s="78">
        <f t="shared" si="10"/>
        <v>10000</v>
      </c>
      <c r="S14" s="79" t="str">
        <f t="shared" si="3"/>
        <v/>
      </c>
      <c r="T14" s="80" t="str">
        <f t="shared" si="4"/>
        <v/>
      </c>
      <c r="U14" s="80" t="str">
        <f t="shared" si="5"/>
        <v/>
      </c>
      <c r="V14" s="80" t="str">
        <f t="shared" si="6"/>
        <v/>
      </c>
      <c r="W14" s="81">
        <f t="shared" si="11"/>
        <v>0</v>
      </c>
      <c r="X14" s="12" t="str">
        <f t="shared" si="8"/>
        <v/>
      </c>
      <c r="Y14" s="13" t="str">
        <f t="shared" si="9"/>
        <v/>
      </c>
    </row>
    <row r="15" spans="1:25" ht="18.75" customHeight="1" outlineLevel="2" x14ac:dyDescent="0.25">
      <c r="A15" s="25" t="s">
        <v>67</v>
      </c>
      <c r="B15" s="111">
        <v>10000</v>
      </c>
      <c r="C15" s="103">
        <v>5</v>
      </c>
      <c r="D15" s="103">
        <v>5</v>
      </c>
      <c r="E15" s="104">
        <v>6</v>
      </c>
      <c r="F15" s="14" t="str">
        <f t="shared" si="1"/>
        <v/>
      </c>
      <c r="G15" s="15" t="str">
        <f t="shared" si="0"/>
        <v/>
      </c>
      <c r="H15" s="15" t="str">
        <f t="shared" si="0"/>
        <v/>
      </c>
      <c r="I15" s="15" t="str">
        <f t="shared" si="0"/>
        <v/>
      </c>
      <c r="J15" s="15" t="str">
        <f t="shared" si="0"/>
        <v/>
      </c>
      <c r="K15" s="15">
        <f t="shared" si="0"/>
        <v>10000</v>
      </c>
      <c r="L15" s="15" t="str">
        <f t="shared" si="0"/>
        <v/>
      </c>
      <c r="M15" s="15" t="str">
        <f t="shared" si="0"/>
        <v/>
      </c>
      <c r="N15" s="15" t="str">
        <f t="shared" si="0"/>
        <v/>
      </c>
      <c r="O15" s="15" t="str">
        <f t="shared" si="0"/>
        <v/>
      </c>
      <c r="P15" s="15" t="str">
        <f t="shared" si="0"/>
        <v/>
      </c>
      <c r="Q15" s="15" t="str">
        <f t="shared" si="0"/>
        <v/>
      </c>
      <c r="R15" s="82">
        <f t="shared" ref="R15:R16" si="14">SUM(F15:Q15)</f>
        <v>10000</v>
      </c>
      <c r="S15" s="83" t="str">
        <f t="shared" si="3"/>
        <v/>
      </c>
      <c r="T15" s="84" t="str">
        <f t="shared" si="4"/>
        <v/>
      </c>
      <c r="U15" s="84" t="str">
        <f t="shared" si="5"/>
        <v/>
      </c>
      <c r="V15" s="84" t="str">
        <f t="shared" si="6"/>
        <v/>
      </c>
      <c r="W15" s="85">
        <f t="shared" ref="W15:W16" si="15">SUM(S15:V15)</f>
        <v>0</v>
      </c>
      <c r="X15" s="16" t="str">
        <f t="shared" si="8"/>
        <v/>
      </c>
      <c r="Y15" s="17" t="str">
        <f t="shared" si="9"/>
        <v/>
      </c>
    </row>
    <row r="16" spans="1:25" ht="18.75" customHeight="1" outlineLevel="2" x14ac:dyDescent="0.25">
      <c r="A16" s="25" t="s">
        <v>67</v>
      </c>
      <c r="B16" s="111">
        <v>10000</v>
      </c>
      <c r="C16" s="103">
        <v>5</v>
      </c>
      <c r="D16" s="103">
        <v>19</v>
      </c>
      <c r="E16" s="104">
        <v>20</v>
      </c>
      <c r="F16" s="14" t="str">
        <f t="shared" si="1"/>
        <v/>
      </c>
      <c r="G16" s="15" t="str">
        <f t="shared" si="0"/>
        <v/>
      </c>
      <c r="H16" s="15" t="str">
        <f t="shared" si="0"/>
        <v/>
      </c>
      <c r="I16" s="15" t="str">
        <f t="shared" si="0"/>
        <v/>
      </c>
      <c r="J16" s="15" t="str">
        <f t="shared" si="0"/>
        <v/>
      </c>
      <c r="K16" s="15" t="str">
        <f t="shared" si="0"/>
        <v/>
      </c>
      <c r="L16" s="15" t="str">
        <f t="shared" si="0"/>
        <v/>
      </c>
      <c r="M16" s="15" t="str">
        <f t="shared" si="0"/>
        <v/>
      </c>
      <c r="N16" s="15" t="str">
        <f t="shared" si="0"/>
        <v/>
      </c>
      <c r="O16" s="15" t="str">
        <f t="shared" si="0"/>
        <v/>
      </c>
      <c r="P16" s="15" t="str">
        <f t="shared" si="0"/>
        <v/>
      </c>
      <c r="Q16" s="15" t="str">
        <f t="shared" si="0"/>
        <v/>
      </c>
      <c r="R16" s="82">
        <f t="shared" si="14"/>
        <v>0</v>
      </c>
      <c r="S16" s="83" t="str">
        <f t="shared" si="3"/>
        <v/>
      </c>
      <c r="T16" s="84" t="str">
        <f t="shared" si="4"/>
        <v/>
      </c>
      <c r="U16" s="84">
        <f t="shared" si="5"/>
        <v>10000</v>
      </c>
      <c r="V16" s="84" t="str">
        <f t="shared" si="6"/>
        <v/>
      </c>
      <c r="W16" s="85">
        <f t="shared" si="15"/>
        <v>10000</v>
      </c>
      <c r="X16" s="16" t="str">
        <f t="shared" si="8"/>
        <v/>
      </c>
      <c r="Y16" s="17" t="str">
        <f t="shared" si="9"/>
        <v/>
      </c>
    </row>
    <row r="17" spans="1:25" ht="18.75" customHeight="1" outlineLevel="2" thickBot="1" x14ac:dyDescent="0.3">
      <c r="A17" s="25"/>
      <c r="B17" s="111"/>
      <c r="C17" s="103"/>
      <c r="D17" s="103"/>
      <c r="E17" s="104"/>
      <c r="F17" s="14" t="str">
        <f t="shared" si="1"/>
        <v/>
      </c>
      <c r="G17" s="15" t="str">
        <f t="shared" si="0"/>
        <v/>
      </c>
      <c r="H17" s="15" t="str">
        <f t="shared" si="0"/>
        <v/>
      </c>
      <c r="I17" s="15" t="str">
        <f t="shared" si="0"/>
        <v/>
      </c>
      <c r="J17" s="15" t="str">
        <f t="shared" si="0"/>
        <v/>
      </c>
      <c r="K17" s="15" t="str">
        <f t="shared" si="0"/>
        <v/>
      </c>
      <c r="L17" s="15" t="str">
        <f t="shared" si="0"/>
        <v/>
      </c>
      <c r="M17" s="15" t="str">
        <f t="shared" si="0"/>
        <v/>
      </c>
      <c r="N17" s="15" t="str">
        <f t="shared" si="0"/>
        <v/>
      </c>
      <c r="O17" s="15" t="str">
        <f t="shared" si="0"/>
        <v/>
      </c>
      <c r="P17" s="15" t="str">
        <f t="shared" si="0"/>
        <v/>
      </c>
      <c r="Q17" s="15" t="str">
        <f t="shared" si="0"/>
        <v/>
      </c>
      <c r="R17" s="82">
        <f t="shared" si="2"/>
        <v>0</v>
      </c>
      <c r="S17" s="83" t="str">
        <f t="shared" si="3"/>
        <v/>
      </c>
      <c r="T17" s="84" t="str">
        <f t="shared" si="4"/>
        <v/>
      </c>
      <c r="U17" s="84" t="str">
        <f t="shared" si="5"/>
        <v/>
      </c>
      <c r="V17" s="84" t="str">
        <f t="shared" si="6"/>
        <v/>
      </c>
      <c r="W17" s="85">
        <f t="shared" si="7"/>
        <v>0</v>
      </c>
      <c r="X17" s="16" t="str">
        <f t="shared" si="8"/>
        <v/>
      </c>
      <c r="Y17" s="17" t="str">
        <f t="shared" si="9"/>
        <v/>
      </c>
    </row>
    <row r="18" spans="1:25" ht="7.5" customHeight="1" outlineLevel="2" thickTop="1" thickBot="1" x14ac:dyDescent="0.3">
      <c r="A18" s="26"/>
      <c r="B18" s="27"/>
      <c r="C18" s="27"/>
      <c r="D18" s="27"/>
      <c r="E18" s="28"/>
      <c r="F18" s="29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1"/>
      <c r="R18" s="32"/>
      <c r="S18" s="33"/>
      <c r="T18" s="30"/>
      <c r="U18" s="30"/>
      <c r="V18" s="30"/>
      <c r="W18" s="34"/>
      <c r="X18" s="35"/>
      <c r="Y18" s="36"/>
    </row>
    <row r="19" spans="1:25" ht="18.75" customHeight="1" outlineLevel="1" thickBot="1" x14ac:dyDescent="0.3">
      <c r="A19" s="522" t="s">
        <v>28</v>
      </c>
      <c r="B19" s="590">
        <f>SUM(B5:B18)</f>
        <v>104000</v>
      </c>
      <c r="C19" s="44"/>
      <c r="D19" s="45"/>
      <c r="E19" s="46"/>
      <c r="F19" s="479">
        <f t="shared" ref="F19:Y19" si="16">SUM(F5:F18)</f>
        <v>58000</v>
      </c>
      <c r="G19" s="593">
        <f t="shared" si="16"/>
        <v>0</v>
      </c>
      <c r="H19" s="593">
        <f t="shared" si="16"/>
        <v>10000</v>
      </c>
      <c r="I19" s="593">
        <f t="shared" si="16"/>
        <v>0</v>
      </c>
      <c r="J19" s="593">
        <f t="shared" si="16"/>
        <v>0</v>
      </c>
      <c r="K19" s="593">
        <f t="shared" si="16"/>
        <v>10000</v>
      </c>
      <c r="L19" s="593">
        <f t="shared" si="16"/>
        <v>0</v>
      </c>
      <c r="M19" s="593">
        <f t="shared" si="16"/>
        <v>0</v>
      </c>
      <c r="N19" s="593">
        <f t="shared" si="16"/>
        <v>0</v>
      </c>
      <c r="O19" s="593">
        <f t="shared" si="16"/>
        <v>0</v>
      </c>
      <c r="P19" s="593">
        <f t="shared" si="16"/>
        <v>0</v>
      </c>
      <c r="Q19" s="593">
        <f t="shared" si="16"/>
        <v>0</v>
      </c>
      <c r="R19" s="594">
        <f t="shared" si="16"/>
        <v>78000</v>
      </c>
      <c r="S19" s="481">
        <f t="shared" si="16"/>
        <v>8000</v>
      </c>
      <c r="T19" s="593">
        <f t="shared" si="16"/>
        <v>0</v>
      </c>
      <c r="U19" s="593">
        <f t="shared" si="16"/>
        <v>16000</v>
      </c>
      <c r="V19" s="593">
        <f t="shared" si="16"/>
        <v>0</v>
      </c>
      <c r="W19" s="595">
        <f t="shared" si="16"/>
        <v>24000</v>
      </c>
      <c r="X19" s="596">
        <f t="shared" si="16"/>
        <v>2000</v>
      </c>
      <c r="Y19" s="534">
        <f t="shared" si="16"/>
        <v>0</v>
      </c>
    </row>
    <row r="20" spans="1:25" ht="7.5" customHeight="1" outlineLevel="1" x14ac:dyDescent="0.25">
      <c r="A20" s="741"/>
      <c r="B20" s="742"/>
      <c r="C20" s="742"/>
      <c r="D20" s="742"/>
      <c r="E20" s="742"/>
      <c r="F20" s="742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  <c r="U20" s="742"/>
      <c r="V20" s="742"/>
      <c r="W20" s="742"/>
      <c r="X20" s="742"/>
      <c r="Y20" s="743"/>
    </row>
    <row r="21" spans="1:25" ht="18.75" customHeight="1" outlineLevel="1" thickBot="1" x14ac:dyDescent="0.3">
      <c r="A21" s="47" t="s">
        <v>29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9"/>
    </row>
    <row r="22" spans="1:25" ht="18.75" customHeight="1" outlineLevel="2" thickTop="1" x14ac:dyDescent="0.25">
      <c r="A22" s="23" t="s">
        <v>143</v>
      </c>
      <c r="B22" s="18">
        <v>20000</v>
      </c>
      <c r="C22" s="19">
        <v>20</v>
      </c>
      <c r="D22" s="19">
        <v>1</v>
      </c>
      <c r="E22" s="20">
        <v>10</v>
      </c>
      <c r="F22" s="6" t="str">
        <f>IF($E22=F$4,$B22,"")</f>
        <v/>
      </c>
      <c r="G22" s="7" t="str">
        <f t="shared" ref="G22:Q22" si="17">IF($E22=G$4,$B22,"")</f>
        <v/>
      </c>
      <c r="H22" s="7" t="str">
        <f t="shared" si="17"/>
        <v/>
      </c>
      <c r="I22" s="7" t="str">
        <f t="shared" si="17"/>
        <v/>
      </c>
      <c r="J22" s="7" t="str">
        <f t="shared" si="17"/>
        <v/>
      </c>
      <c r="K22" s="7" t="str">
        <f t="shared" si="17"/>
        <v/>
      </c>
      <c r="L22" s="7" t="str">
        <f t="shared" si="17"/>
        <v/>
      </c>
      <c r="M22" s="7" t="str">
        <f t="shared" si="17"/>
        <v/>
      </c>
      <c r="N22" s="7" t="str">
        <f t="shared" si="17"/>
        <v/>
      </c>
      <c r="O22" s="7">
        <f t="shared" si="17"/>
        <v>20000</v>
      </c>
      <c r="P22" s="7" t="str">
        <f t="shared" si="17"/>
        <v/>
      </c>
      <c r="Q22" s="7" t="str">
        <f t="shared" si="17"/>
        <v/>
      </c>
      <c r="R22" s="74">
        <f>SUM(F22:Q22)</f>
        <v>20000</v>
      </c>
      <c r="S22" s="75" t="str">
        <f>IF(AND($E22&gt;12,$E22&lt;=15),$B22,"")</f>
        <v/>
      </c>
      <c r="T22" s="76" t="str">
        <f>IF(AND($E22&gt;15,$E22&lt;=18),$B22,"")</f>
        <v/>
      </c>
      <c r="U22" s="76" t="str">
        <f>IF(AND($E22&gt;18,$E22&lt;=21),$B22,"")</f>
        <v/>
      </c>
      <c r="V22" s="76" t="str">
        <f>IF(AND($E22&gt;21,$E22&lt;=24),$B22,"")</f>
        <v/>
      </c>
      <c r="W22" s="77">
        <f>SUM(S22:V22)</f>
        <v>0</v>
      </c>
      <c r="X22" s="8" t="str">
        <f>IF(AND($E22&gt;24,$E22&lt;=36),$B22,"")</f>
        <v/>
      </c>
      <c r="Y22" s="9" t="str">
        <f>IF(AND($E22&gt;36,$E22&lt;=48),$B22,"")</f>
        <v/>
      </c>
    </row>
    <row r="23" spans="1:25" ht="18.75" customHeight="1" outlineLevel="2" x14ac:dyDescent="0.25">
      <c r="A23" s="112"/>
      <c r="B23" s="113"/>
      <c r="C23" s="114"/>
      <c r="D23" s="114"/>
      <c r="E23" s="115"/>
      <c r="F23" s="116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8"/>
      <c r="S23" s="119"/>
      <c r="T23" s="120"/>
      <c r="U23" s="120"/>
      <c r="V23" s="120"/>
      <c r="W23" s="121"/>
      <c r="X23" s="122"/>
      <c r="Y23" s="123"/>
    </row>
    <row r="24" spans="1:25" ht="18.75" customHeight="1" outlineLevel="2" thickBot="1" x14ac:dyDescent="0.3">
      <c r="A24" s="25"/>
      <c r="B24" s="21"/>
      <c r="C24" s="21"/>
      <c r="D24" s="21"/>
      <c r="E24" s="22"/>
      <c r="F24" s="14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82">
        <f t="shared" ref="R24" si="18">SUM(F24:Q24)</f>
        <v>0</v>
      </c>
      <c r="S24" s="83" t="str">
        <f t="shared" ref="S24" si="19">IF(AND($E24&gt;12,$E24&lt;=15),$B24,"")</f>
        <v/>
      </c>
      <c r="T24" s="84" t="str">
        <f t="shared" ref="T24" si="20">IF(AND($E24&gt;15,$E24&lt;=18),$B24,"")</f>
        <v/>
      </c>
      <c r="U24" s="84" t="str">
        <f t="shared" ref="U24" si="21">IF(AND($E24&gt;18,$E24&lt;=21),$B24,"")</f>
        <v/>
      </c>
      <c r="V24" s="84" t="str">
        <f t="shared" ref="V24" si="22">IF(AND($E24&gt;21,$E24&lt;=24),$B24,"")</f>
        <v/>
      </c>
      <c r="W24" s="85">
        <f t="shared" ref="W24" si="23">SUM(S24:V24)</f>
        <v>0</v>
      </c>
      <c r="X24" s="16"/>
      <c r="Y24" s="17"/>
    </row>
    <row r="25" spans="1:25" ht="7.5" customHeight="1" outlineLevel="2" thickTop="1" thickBot="1" x14ac:dyDescent="0.3">
      <c r="A25" s="26"/>
      <c r="B25" s="27"/>
      <c r="C25" s="27"/>
      <c r="D25" s="27"/>
      <c r="E25" s="28"/>
      <c r="F25" s="29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1"/>
      <c r="R25" s="32"/>
      <c r="S25" s="33"/>
      <c r="T25" s="30"/>
      <c r="U25" s="30"/>
      <c r="V25" s="30"/>
      <c r="W25" s="34"/>
      <c r="X25" s="35"/>
      <c r="Y25" s="36"/>
    </row>
    <row r="26" spans="1:25" ht="18.75" customHeight="1" outlineLevel="1" thickBot="1" x14ac:dyDescent="0.3">
      <c r="A26" s="522" t="s">
        <v>28</v>
      </c>
      <c r="B26" s="590">
        <f>SUM(B20:B25)</f>
        <v>20000</v>
      </c>
      <c r="C26" s="44"/>
      <c r="D26" s="45"/>
      <c r="E26" s="46"/>
      <c r="F26" s="479">
        <f>SUM(F20:F25)</f>
        <v>0</v>
      </c>
      <c r="G26" s="593">
        <f t="shared" ref="G26" si="24">SUM(G20:G25)</f>
        <v>0</v>
      </c>
      <c r="H26" s="593">
        <f t="shared" ref="H26" si="25">SUM(H20:H25)</f>
        <v>0</v>
      </c>
      <c r="I26" s="593">
        <f t="shared" ref="I26" si="26">SUM(I20:I25)</f>
        <v>0</v>
      </c>
      <c r="J26" s="593">
        <f t="shared" ref="J26" si="27">SUM(J20:J25)</f>
        <v>0</v>
      </c>
      <c r="K26" s="593">
        <f t="shared" ref="K26" si="28">SUM(K20:K25)</f>
        <v>0</v>
      </c>
      <c r="L26" s="593">
        <f t="shared" ref="L26" si="29">SUM(L20:L25)</f>
        <v>0</v>
      </c>
      <c r="M26" s="593">
        <f t="shared" ref="M26" si="30">SUM(M20:M25)</f>
        <v>0</v>
      </c>
      <c r="N26" s="593">
        <f t="shared" ref="N26" si="31">SUM(N20:N25)</f>
        <v>0</v>
      </c>
      <c r="O26" s="593">
        <f t="shared" ref="O26" si="32">SUM(O20:O25)</f>
        <v>20000</v>
      </c>
      <c r="P26" s="593">
        <f t="shared" ref="P26" si="33">SUM(P20:P25)</f>
        <v>0</v>
      </c>
      <c r="Q26" s="593">
        <f t="shared" ref="Q26" si="34">SUM(Q20:Q25)</f>
        <v>0</v>
      </c>
      <c r="R26" s="594">
        <f t="shared" ref="R26" si="35">SUM(R20:R25)</f>
        <v>20000</v>
      </c>
      <c r="S26" s="481">
        <f t="shared" ref="S26" si="36">SUM(S20:S25)</f>
        <v>0</v>
      </c>
      <c r="T26" s="593">
        <f t="shared" ref="T26" si="37">SUM(T20:T25)</f>
        <v>0</v>
      </c>
      <c r="U26" s="593">
        <f t="shared" ref="U26" si="38">SUM(U20:U25)</f>
        <v>0</v>
      </c>
      <c r="V26" s="593">
        <f t="shared" ref="V26" si="39">SUM(V20:V25)</f>
        <v>0</v>
      </c>
      <c r="W26" s="595">
        <f t="shared" ref="W26" si="40">SUM(W20:W25)</f>
        <v>0</v>
      </c>
      <c r="X26" s="596">
        <f t="shared" ref="X26" si="41">SUM(X20:X25)</f>
        <v>0</v>
      </c>
      <c r="Y26" s="534">
        <f t="shared" ref="Y26" si="42">SUM(Y20:Y25)</f>
        <v>0</v>
      </c>
    </row>
    <row r="27" spans="1:25" ht="7.5" customHeight="1" outlineLevel="1" thickBot="1" x14ac:dyDescent="0.3">
      <c r="A27" s="50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9"/>
    </row>
    <row r="28" spans="1:25" s="51" customFormat="1" ht="18.75" customHeight="1" thickBot="1" x14ac:dyDescent="0.3">
      <c r="A28" s="597" t="s">
        <v>33</v>
      </c>
      <c r="B28" s="598">
        <f>B26+B19</f>
        <v>124000</v>
      </c>
      <c r="C28" s="54"/>
      <c r="D28" s="54"/>
      <c r="E28" s="137"/>
      <c r="F28" s="601">
        <f>F26+F19</f>
        <v>58000</v>
      </c>
      <c r="G28" s="602">
        <f t="shared" ref="G28:Y28" si="43">G26+G19</f>
        <v>0</v>
      </c>
      <c r="H28" s="602">
        <f t="shared" si="43"/>
        <v>10000</v>
      </c>
      <c r="I28" s="602">
        <f t="shared" si="43"/>
        <v>0</v>
      </c>
      <c r="J28" s="602">
        <f t="shared" si="43"/>
        <v>0</v>
      </c>
      <c r="K28" s="602">
        <f t="shared" si="43"/>
        <v>10000</v>
      </c>
      <c r="L28" s="602">
        <f t="shared" si="43"/>
        <v>0</v>
      </c>
      <c r="M28" s="602">
        <f t="shared" si="43"/>
        <v>0</v>
      </c>
      <c r="N28" s="602">
        <f t="shared" si="43"/>
        <v>0</v>
      </c>
      <c r="O28" s="602">
        <f t="shared" si="43"/>
        <v>20000</v>
      </c>
      <c r="P28" s="602">
        <f t="shared" si="43"/>
        <v>0</v>
      </c>
      <c r="Q28" s="602">
        <f t="shared" si="43"/>
        <v>0</v>
      </c>
      <c r="R28" s="600">
        <f t="shared" si="43"/>
        <v>98000</v>
      </c>
      <c r="S28" s="487">
        <f t="shared" si="43"/>
        <v>8000</v>
      </c>
      <c r="T28" s="602">
        <f t="shared" si="43"/>
        <v>0</v>
      </c>
      <c r="U28" s="602">
        <f t="shared" si="43"/>
        <v>16000</v>
      </c>
      <c r="V28" s="602">
        <f t="shared" si="43"/>
        <v>0</v>
      </c>
      <c r="W28" s="600">
        <f t="shared" si="43"/>
        <v>24000</v>
      </c>
      <c r="X28" s="362">
        <f t="shared" si="43"/>
        <v>2000</v>
      </c>
      <c r="Y28" s="364">
        <f t="shared" si="43"/>
        <v>0</v>
      </c>
    </row>
    <row r="29" spans="1:25" ht="7.5" customHeight="1" thickBot="1" x14ac:dyDescent="0.3">
      <c r="A29" s="744"/>
      <c r="B29" s="745"/>
      <c r="C29" s="745"/>
      <c r="D29" s="745"/>
      <c r="E29" s="745"/>
      <c r="F29" s="745"/>
      <c r="G29" s="745"/>
      <c r="H29" s="745"/>
      <c r="I29" s="745"/>
      <c r="J29" s="745"/>
      <c r="K29" s="745"/>
      <c r="L29" s="745"/>
      <c r="M29" s="745"/>
      <c r="N29" s="745"/>
      <c r="O29" s="745"/>
      <c r="P29" s="745"/>
      <c r="Q29" s="745"/>
      <c r="R29" s="745"/>
      <c r="S29" s="745"/>
      <c r="T29" s="745"/>
      <c r="U29" s="745"/>
      <c r="V29" s="745"/>
      <c r="W29" s="745"/>
      <c r="X29" s="745"/>
      <c r="Y29" s="746"/>
    </row>
    <row r="30" spans="1:25" ht="15" customHeight="1" x14ac:dyDescent="0.25">
      <c r="A30" s="739" t="s">
        <v>261</v>
      </c>
      <c r="B30" s="749" t="s">
        <v>19</v>
      </c>
      <c r="C30" s="749" t="s">
        <v>32</v>
      </c>
      <c r="D30" s="749" t="s">
        <v>255</v>
      </c>
      <c r="E30" s="747" t="s">
        <v>256</v>
      </c>
      <c r="F30" s="751" t="s">
        <v>20</v>
      </c>
      <c r="G30" s="731"/>
      <c r="H30" s="731"/>
      <c r="I30" s="731"/>
      <c r="J30" s="731"/>
      <c r="K30" s="731"/>
      <c r="L30" s="731"/>
      <c r="M30" s="731"/>
      <c r="N30" s="731"/>
      <c r="O30" s="731"/>
      <c r="P30" s="731"/>
      <c r="Q30" s="732"/>
      <c r="R30" s="752" t="s">
        <v>20</v>
      </c>
      <c r="S30" s="730" t="s">
        <v>25</v>
      </c>
      <c r="T30" s="731"/>
      <c r="U30" s="731"/>
      <c r="V30" s="732"/>
      <c r="W30" s="733" t="s">
        <v>25</v>
      </c>
      <c r="X30" s="735" t="s">
        <v>26</v>
      </c>
      <c r="Y30" s="737" t="s">
        <v>27</v>
      </c>
    </row>
    <row r="31" spans="1:25" ht="15" customHeight="1" thickBot="1" x14ac:dyDescent="0.3">
      <c r="A31" s="740"/>
      <c r="B31" s="750"/>
      <c r="C31" s="750"/>
      <c r="D31" s="750"/>
      <c r="E31" s="748"/>
      <c r="F31" s="1">
        <v>1</v>
      </c>
      <c r="G31" s="2">
        <v>2</v>
      </c>
      <c r="H31" s="2">
        <v>3</v>
      </c>
      <c r="I31" s="2">
        <v>4</v>
      </c>
      <c r="J31" s="2">
        <v>5</v>
      </c>
      <c r="K31" s="2">
        <v>6</v>
      </c>
      <c r="L31" s="2">
        <v>7</v>
      </c>
      <c r="M31" s="2">
        <v>8</v>
      </c>
      <c r="N31" s="2">
        <v>9</v>
      </c>
      <c r="O31" s="2">
        <v>10</v>
      </c>
      <c r="P31" s="2">
        <v>11</v>
      </c>
      <c r="Q31" s="3">
        <v>12</v>
      </c>
      <c r="R31" s="753"/>
      <c r="S31" s="4" t="s">
        <v>21</v>
      </c>
      <c r="T31" s="2" t="s">
        <v>22</v>
      </c>
      <c r="U31" s="2" t="s">
        <v>23</v>
      </c>
      <c r="V31" s="2" t="s">
        <v>24</v>
      </c>
      <c r="W31" s="734"/>
      <c r="X31" s="736"/>
      <c r="Y31" s="738"/>
    </row>
    <row r="32" spans="1:25" ht="18.75" customHeight="1" outlineLevel="1" thickTop="1" x14ac:dyDescent="0.25">
      <c r="A32" s="23" t="s">
        <v>96</v>
      </c>
      <c r="B32" s="606">
        <v>35000</v>
      </c>
      <c r="C32" s="607">
        <v>4</v>
      </c>
      <c r="D32" s="607">
        <v>2</v>
      </c>
      <c r="E32" s="608">
        <v>3</v>
      </c>
      <c r="F32" s="609" t="str">
        <f>IF($E32=F$31,$B32,"")</f>
        <v/>
      </c>
      <c r="G32" s="610" t="str">
        <f t="shared" ref="G32:Q36" si="44">IF($E32=G$31,$B32,"")</f>
        <v/>
      </c>
      <c r="H32" s="610">
        <f t="shared" si="44"/>
        <v>35000</v>
      </c>
      <c r="I32" s="610" t="str">
        <f t="shared" si="44"/>
        <v/>
      </c>
      <c r="J32" s="610" t="str">
        <f t="shared" si="44"/>
        <v/>
      </c>
      <c r="K32" s="610" t="str">
        <f t="shared" si="44"/>
        <v/>
      </c>
      <c r="L32" s="610" t="str">
        <f t="shared" si="44"/>
        <v/>
      </c>
      <c r="M32" s="610" t="str">
        <f t="shared" si="44"/>
        <v/>
      </c>
      <c r="N32" s="610" t="str">
        <f t="shared" si="44"/>
        <v/>
      </c>
      <c r="O32" s="610" t="str">
        <f t="shared" si="44"/>
        <v/>
      </c>
      <c r="P32" s="610" t="str">
        <f t="shared" si="44"/>
        <v/>
      </c>
      <c r="Q32" s="610" t="str">
        <f t="shared" si="44"/>
        <v/>
      </c>
      <c r="R32" s="611">
        <f>SUM(F32:Q32)</f>
        <v>35000</v>
      </c>
      <c r="S32" s="538" t="str">
        <f>IF(AND($E32&gt;12,$E32&lt;=15),$B32,"")</f>
        <v/>
      </c>
      <c r="T32" s="612" t="str">
        <f>IF(AND($E32&gt;15,$E32&lt;=18),$B32,"")</f>
        <v/>
      </c>
      <c r="U32" s="612" t="str">
        <f>IF(AND($E32&gt;18,$E32&lt;=21),$B32,"")</f>
        <v/>
      </c>
      <c r="V32" s="612" t="str">
        <f>IF(AND($E32&gt;21,$E32&lt;=24),$B32,"")</f>
        <v/>
      </c>
      <c r="W32" s="613">
        <f>SUM(S32:V32)</f>
        <v>0</v>
      </c>
      <c r="X32" s="614" t="str">
        <f>IF(AND($E32&gt;24,$E32&lt;=36),$B32,"")</f>
        <v/>
      </c>
      <c r="Y32" s="248" t="str">
        <f>IF(AND($E32&gt;36,$E32&lt;=48),$B32,"")</f>
        <v/>
      </c>
    </row>
    <row r="33" spans="1:25" ht="18.75" customHeight="1" outlineLevel="1" x14ac:dyDescent="0.25">
      <c r="A33" s="24" t="s">
        <v>96</v>
      </c>
      <c r="B33" s="98">
        <v>35000</v>
      </c>
      <c r="C33" s="99">
        <v>4</v>
      </c>
      <c r="D33" s="99">
        <v>13</v>
      </c>
      <c r="E33" s="100">
        <v>14</v>
      </c>
      <c r="F33" s="10" t="str">
        <f t="shared" ref="F33:F36" si="45">IF($E33=F$31,$B33,"")</f>
        <v/>
      </c>
      <c r="G33" s="11" t="str">
        <f t="shared" si="44"/>
        <v/>
      </c>
      <c r="H33" s="11" t="str">
        <f t="shared" si="44"/>
        <v/>
      </c>
      <c r="I33" s="11" t="str">
        <f t="shared" si="44"/>
        <v/>
      </c>
      <c r="J33" s="11" t="str">
        <f t="shared" si="44"/>
        <v/>
      </c>
      <c r="K33" s="11" t="str">
        <f t="shared" si="44"/>
        <v/>
      </c>
      <c r="L33" s="11" t="str">
        <f t="shared" si="44"/>
        <v/>
      </c>
      <c r="M33" s="11" t="str">
        <f t="shared" si="44"/>
        <v/>
      </c>
      <c r="N33" s="11" t="str">
        <f t="shared" si="44"/>
        <v/>
      </c>
      <c r="O33" s="11" t="str">
        <f t="shared" si="44"/>
        <v/>
      </c>
      <c r="P33" s="11" t="str">
        <f t="shared" si="44"/>
        <v/>
      </c>
      <c r="Q33" s="11" t="str">
        <f t="shared" si="44"/>
        <v/>
      </c>
      <c r="R33" s="78">
        <f t="shared" ref="R33:R36" si="46">SUM(F33:Q33)</f>
        <v>0</v>
      </c>
      <c r="S33" s="79">
        <f t="shared" ref="S33:S36" si="47">IF(AND($E33&gt;12,$E33&lt;=15),$B33,"")</f>
        <v>35000</v>
      </c>
      <c r="T33" s="80" t="str">
        <f t="shared" ref="T33:T36" si="48">IF(AND($E33&gt;15,$E33&lt;=18),$B33,"")</f>
        <v/>
      </c>
      <c r="U33" s="80" t="str">
        <f t="shared" ref="U33:U36" si="49">IF(AND($E33&gt;18,$E33&lt;=21),$B33,"")</f>
        <v/>
      </c>
      <c r="V33" s="80" t="str">
        <f t="shared" ref="V33:V36" si="50">IF(AND($E33&gt;21,$E33&lt;=24),$B33,"")</f>
        <v/>
      </c>
      <c r="W33" s="81">
        <f t="shared" ref="W33:W36" si="51">SUM(S33:V33)</f>
        <v>35000</v>
      </c>
      <c r="X33" s="12" t="str">
        <f t="shared" ref="X33:X36" si="52">IF(AND($E33&gt;24,$E33&lt;=36),$B33,"")</f>
        <v/>
      </c>
      <c r="Y33" s="13" t="str">
        <f t="shared" ref="Y33:Y36" si="53">IF(AND($E33&gt;36,$E33&lt;=48),$B33,"")</f>
        <v/>
      </c>
    </row>
    <row r="34" spans="1:25" ht="18.75" customHeight="1" outlineLevel="1" x14ac:dyDescent="0.25">
      <c r="A34" s="24" t="s">
        <v>97</v>
      </c>
      <c r="B34" s="98">
        <v>25000</v>
      </c>
      <c r="C34" s="99">
        <v>4</v>
      </c>
      <c r="D34" s="99">
        <v>13</v>
      </c>
      <c r="E34" s="100">
        <v>14</v>
      </c>
      <c r="F34" s="10" t="str">
        <f t="shared" si="45"/>
        <v/>
      </c>
      <c r="G34" s="11" t="str">
        <f t="shared" si="44"/>
        <v/>
      </c>
      <c r="H34" s="11" t="str">
        <f t="shared" si="44"/>
        <v/>
      </c>
      <c r="I34" s="11" t="str">
        <f t="shared" si="44"/>
        <v/>
      </c>
      <c r="J34" s="11" t="str">
        <f t="shared" si="44"/>
        <v/>
      </c>
      <c r="K34" s="11" t="str">
        <f t="shared" si="44"/>
        <v/>
      </c>
      <c r="L34" s="11" t="str">
        <f t="shared" si="44"/>
        <v/>
      </c>
      <c r="M34" s="11" t="str">
        <f t="shared" si="44"/>
        <v/>
      </c>
      <c r="N34" s="11" t="str">
        <f t="shared" si="44"/>
        <v/>
      </c>
      <c r="O34" s="11" t="str">
        <f t="shared" si="44"/>
        <v/>
      </c>
      <c r="P34" s="11" t="str">
        <f t="shared" si="44"/>
        <v/>
      </c>
      <c r="Q34" s="11" t="str">
        <f t="shared" si="44"/>
        <v/>
      </c>
      <c r="R34" s="78">
        <f t="shared" si="46"/>
        <v>0</v>
      </c>
      <c r="S34" s="79">
        <f t="shared" si="47"/>
        <v>25000</v>
      </c>
      <c r="T34" s="80" t="str">
        <f t="shared" si="48"/>
        <v/>
      </c>
      <c r="U34" s="80" t="str">
        <f t="shared" si="49"/>
        <v/>
      </c>
      <c r="V34" s="80" t="str">
        <f t="shared" si="50"/>
        <v/>
      </c>
      <c r="W34" s="81">
        <f t="shared" si="51"/>
        <v>25000</v>
      </c>
      <c r="X34" s="12" t="str">
        <f t="shared" si="52"/>
        <v/>
      </c>
      <c r="Y34" s="13" t="str">
        <f t="shared" si="53"/>
        <v/>
      </c>
    </row>
    <row r="35" spans="1:25" ht="18.75" customHeight="1" outlineLevel="1" x14ac:dyDescent="0.25">
      <c r="A35" s="24" t="s">
        <v>97</v>
      </c>
      <c r="B35" s="98">
        <v>25000</v>
      </c>
      <c r="C35" s="99">
        <v>4</v>
      </c>
      <c r="D35" s="99">
        <v>25</v>
      </c>
      <c r="E35" s="100">
        <v>26</v>
      </c>
      <c r="F35" s="10" t="str">
        <f t="shared" si="45"/>
        <v/>
      </c>
      <c r="G35" s="11" t="str">
        <f t="shared" si="44"/>
        <v/>
      </c>
      <c r="H35" s="11" t="str">
        <f t="shared" si="44"/>
        <v/>
      </c>
      <c r="I35" s="11" t="str">
        <f t="shared" si="44"/>
        <v/>
      </c>
      <c r="J35" s="11" t="str">
        <f t="shared" si="44"/>
        <v/>
      </c>
      <c r="K35" s="11" t="str">
        <f t="shared" si="44"/>
        <v/>
      </c>
      <c r="L35" s="11" t="str">
        <f t="shared" si="44"/>
        <v/>
      </c>
      <c r="M35" s="11" t="str">
        <f t="shared" si="44"/>
        <v/>
      </c>
      <c r="N35" s="11" t="str">
        <f t="shared" si="44"/>
        <v/>
      </c>
      <c r="O35" s="11" t="str">
        <f t="shared" si="44"/>
        <v/>
      </c>
      <c r="P35" s="11" t="str">
        <f t="shared" si="44"/>
        <v/>
      </c>
      <c r="Q35" s="11" t="str">
        <f t="shared" si="44"/>
        <v/>
      </c>
      <c r="R35" s="78">
        <f t="shared" si="46"/>
        <v>0</v>
      </c>
      <c r="S35" s="79" t="str">
        <f t="shared" si="47"/>
        <v/>
      </c>
      <c r="T35" s="80" t="str">
        <f t="shared" si="48"/>
        <v/>
      </c>
      <c r="U35" s="80" t="str">
        <f t="shared" si="49"/>
        <v/>
      </c>
      <c r="V35" s="80" t="str">
        <f t="shared" si="50"/>
        <v/>
      </c>
      <c r="W35" s="81">
        <f t="shared" si="51"/>
        <v>0</v>
      </c>
      <c r="X35" s="12">
        <f t="shared" si="52"/>
        <v>25000</v>
      </c>
      <c r="Y35" s="13" t="str">
        <f t="shared" si="53"/>
        <v/>
      </c>
    </row>
    <row r="36" spans="1:25" ht="18.75" customHeight="1" outlineLevel="1" thickBot="1" x14ac:dyDescent="0.3">
      <c r="A36" s="138"/>
      <c r="B36" s="139"/>
      <c r="C36" s="139"/>
      <c r="D36" s="139"/>
      <c r="E36" s="140"/>
      <c r="F36" s="141" t="str">
        <f t="shared" si="45"/>
        <v/>
      </c>
      <c r="G36" s="142" t="str">
        <f t="shared" si="44"/>
        <v/>
      </c>
      <c r="H36" s="142" t="str">
        <f t="shared" si="44"/>
        <v/>
      </c>
      <c r="I36" s="142" t="str">
        <f t="shared" si="44"/>
        <v/>
      </c>
      <c r="J36" s="142" t="str">
        <f t="shared" si="44"/>
        <v/>
      </c>
      <c r="K36" s="142" t="str">
        <f t="shared" si="44"/>
        <v/>
      </c>
      <c r="L36" s="142" t="str">
        <f t="shared" si="44"/>
        <v/>
      </c>
      <c r="M36" s="142" t="str">
        <f t="shared" si="44"/>
        <v/>
      </c>
      <c r="N36" s="142" t="str">
        <f t="shared" si="44"/>
        <v/>
      </c>
      <c r="O36" s="142" t="str">
        <f t="shared" si="44"/>
        <v/>
      </c>
      <c r="P36" s="142" t="str">
        <f t="shared" si="44"/>
        <v/>
      </c>
      <c r="Q36" s="142" t="str">
        <f t="shared" si="44"/>
        <v/>
      </c>
      <c r="R36" s="143">
        <f t="shared" si="46"/>
        <v>0</v>
      </c>
      <c r="S36" s="144" t="str">
        <f t="shared" si="47"/>
        <v/>
      </c>
      <c r="T36" s="145" t="str">
        <f t="shared" si="48"/>
        <v/>
      </c>
      <c r="U36" s="145" t="str">
        <f t="shared" si="49"/>
        <v/>
      </c>
      <c r="V36" s="145" t="str">
        <f t="shared" si="50"/>
        <v/>
      </c>
      <c r="W36" s="146">
        <f t="shared" si="51"/>
        <v>0</v>
      </c>
      <c r="X36" s="147" t="str">
        <f t="shared" si="52"/>
        <v/>
      </c>
      <c r="Y36" s="148" t="str">
        <f t="shared" si="53"/>
        <v/>
      </c>
    </row>
    <row r="37" spans="1:25" ht="7.5" customHeight="1" outlineLevel="1" thickTop="1" thickBot="1" x14ac:dyDescent="0.3">
      <c r="A37" s="26"/>
      <c r="B37" s="27"/>
      <c r="C37" s="27"/>
      <c r="D37" s="27"/>
      <c r="E37" s="28"/>
      <c r="F37" s="29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1"/>
      <c r="R37" s="32"/>
      <c r="S37" s="33"/>
      <c r="T37" s="30"/>
      <c r="U37" s="30"/>
      <c r="V37" s="30"/>
      <c r="W37" s="34"/>
      <c r="X37" s="35"/>
      <c r="Y37" s="36"/>
    </row>
    <row r="38" spans="1:25" ht="18.75" customHeight="1" thickBot="1" x14ac:dyDescent="0.3">
      <c r="A38" s="37" t="s">
        <v>34</v>
      </c>
      <c r="B38" s="38">
        <f>SUM(B32:B37)</f>
        <v>120000</v>
      </c>
      <c r="C38" s="66"/>
      <c r="D38" s="67"/>
      <c r="E38" s="68"/>
      <c r="F38" s="603">
        <f>SUM(F32:F37)</f>
        <v>0</v>
      </c>
      <c r="G38" s="604">
        <f t="shared" ref="G38:Y38" si="54">SUM(G32:G37)</f>
        <v>0</v>
      </c>
      <c r="H38" s="604">
        <f t="shared" si="54"/>
        <v>35000</v>
      </c>
      <c r="I38" s="604">
        <f t="shared" si="54"/>
        <v>0</v>
      </c>
      <c r="J38" s="604">
        <f t="shared" si="54"/>
        <v>0</v>
      </c>
      <c r="K38" s="604">
        <f t="shared" si="54"/>
        <v>0</v>
      </c>
      <c r="L38" s="604">
        <f t="shared" si="54"/>
        <v>0</v>
      </c>
      <c r="M38" s="604">
        <f t="shared" si="54"/>
        <v>0</v>
      </c>
      <c r="N38" s="604">
        <f t="shared" si="54"/>
        <v>0</v>
      </c>
      <c r="O38" s="604">
        <f t="shared" si="54"/>
        <v>0</v>
      </c>
      <c r="P38" s="604">
        <f t="shared" si="54"/>
        <v>0</v>
      </c>
      <c r="Q38" s="604">
        <f t="shared" si="54"/>
        <v>0</v>
      </c>
      <c r="R38" s="39">
        <f t="shared" si="54"/>
        <v>35000</v>
      </c>
      <c r="S38" s="605">
        <f t="shared" si="54"/>
        <v>60000</v>
      </c>
      <c r="T38" s="604">
        <f t="shared" si="54"/>
        <v>0</v>
      </c>
      <c r="U38" s="604">
        <f t="shared" si="54"/>
        <v>0</v>
      </c>
      <c r="V38" s="604">
        <f t="shared" si="54"/>
        <v>0</v>
      </c>
      <c r="W38" s="40">
        <f t="shared" si="54"/>
        <v>60000</v>
      </c>
      <c r="X38" s="41">
        <f t="shared" si="54"/>
        <v>25000</v>
      </c>
      <c r="Y38" s="42">
        <f t="shared" si="54"/>
        <v>0</v>
      </c>
    </row>
    <row r="39" spans="1:25" ht="7.5" customHeight="1" thickBot="1" x14ac:dyDescent="0.3">
      <c r="A39" s="741"/>
      <c r="B39" s="742"/>
      <c r="C39" s="742"/>
      <c r="D39" s="742"/>
      <c r="E39" s="742"/>
      <c r="F39" s="742"/>
      <c r="G39" s="742"/>
      <c r="H39" s="742"/>
      <c r="I39" s="742"/>
      <c r="J39" s="742"/>
      <c r="K39" s="742"/>
      <c r="L39" s="742"/>
      <c r="M39" s="742"/>
      <c r="N39" s="742"/>
      <c r="O39" s="742"/>
      <c r="P39" s="742"/>
      <c r="Q39" s="742"/>
      <c r="R39" s="742"/>
      <c r="S39" s="742"/>
      <c r="T39" s="742"/>
      <c r="U39" s="742"/>
      <c r="V39" s="742"/>
      <c r="W39" s="742"/>
      <c r="X39" s="742"/>
      <c r="Y39" s="743"/>
    </row>
    <row r="40" spans="1:25" ht="22.5" customHeight="1" thickBot="1" x14ac:dyDescent="0.3">
      <c r="A40" s="518" t="s">
        <v>35</v>
      </c>
      <c r="B40" s="64">
        <f>B38+B28</f>
        <v>244000</v>
      </c>
      <c r="C40" s="65"/>
      <c r="D40" s="65"/>
      <c r="E40" s="149"/>
      <c r="F40" s="58">
        <f t="shared" ref="F40:Y40" si="55">F38+F28</f>
        <v>58000</v>
      </c>
      <c r="G40" s="59">
        <f t="shared" si="55"/>
        <v>0</v>
      </c>
      <c r="H40" s="59">
        <f t="shared" si="55"/>
        <v>45000</v>
      </c>
      <c r="I40" s="59">
        <f t="shared" si="55"/>
        <v>0</v>
      </c>
      <c r="J40" s="59">
        <f t="shared" si="55"/>
        <v>0</v>
      </c>
      <c r="K40" s="59">
        <f t="shared" si="55"/>
        <v>10000</v>
      </c>
      <c r="L40" s="59">
        <f t="shared" si="55"/>
        <v>0</v>
      </c>
      <c r="M40" s="59">
        <f t="shared" si="55"/>
        <v>0</v>
      </c>
      <c r="N40" s="59">
        <f t="shared" si="55"/>
        <v>0</v>
      </c>
      <c r="O40" s="59">
        <f t="shared" si="55"/>
        <v>20000</v>
      </c>
      <c r="P40" s="59">
        <f t="shared" si="55"/>
        <v>0</v>
      </c>
      <c r="Q40" s="59">
        <f t="shared" si="55"/>
        <v>0</v>
      </c>
      <c r="R40" s="60">
        <f t="shared" si="55"/>
        <v>133000</v>
      </c>
      <c r="S40" s="61">
        <f t="shared" si="55"/>
        <v>68000</v>
      </c>
      <c r="T40" s="59">
        <f t="shared" si="55"/>
        <v>0</v>
      </c>
      <c r="U40" s="59">
        <f t="shared" si="55"/>
        <v>16000</v>
      </c>
      <c r="V40" s="59">
        <f t="shared" si="55"/>
        <v>0</v>
      </c>
      <c r="W40" s="60">
        <f t="shared" si="55"/>
        <v>84000</v>
      </c>
      <c r="X40" s="62">
        <f t="shared" si="55"/>
        <v>27000</v>
      </c>
      <c r="Y40" s="63">
        <f t="shared" si="55"/>
        <v>0</v>
      </c>
    </row>
  </sheetData>
  <sheetProtection algorithmName="SHA-512" hashValue="N9bph8bnxNB5Ada/FGpCZDDVHvWINZ2YLjGBOLzhGrl0yypZzXDCYGhcnPUrv0eCIgjSrv5+ABslvkokwgDSKg==" saltValue="Q4yQ8aXjFybv84ZzfelFhg==" spinCount="100000" sheet="1" objects="1" scenarios="1" selectLockedCells="1"/>
  <mergeCells count="26">
    <mergeCell ref="A1:Y1"/>
    <mergeCell ref="R3:R4"/>
    <mergeCell ref="W3:W4"/>
    <mergeCell ref="S3:V3"/>
    <mergeCell ref="F3:Q3"/>
    <mergeCell ref="A20:Y20"/>
    <mergeCell ref="A29:Y29"/>
    <mergeCell ref="A39:Y39"/>
    <mergeCell ref="X3:X4"/>
    <mergeCell ref="Y3:Y4"/>
    <mergeCell ref="A3:A4"/>
    <mergeCell ref="E3:E4"/>
    <mergeCell ref="D3:D4"/>
    <mergeCell ref="C3:C4"/>
    <mergeCell ref="B3:B4"/>
    <mergeCell ref="B30:B31"/>
    <mergeCell ref="C30:C31"/>
    <mergeCell ref="D30:D31"/>
    <mergeCell ref="E30:E31"/>
    <mergeCell ref="F30:Q30"/>
    <mergeCell ref="R30:R31"/>
    <mergeCell ref="S30:V30"/>
    <mergeCell ref="W30:W31"/>
    <mergeCell ref="X30:X31"/>
    <mergeCell ref="Y30:Y31"/>
    <mergeCell ref="A30:A31"/>
  </mergeCells>
  <dataValidations count="1">
    <dataValidation type="whole" allowBlank="1" showInputMessage="1" showErrorMessage="1" sqref="D22:E25 D32:E37 D5:E18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53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64"/>
  <sheetViews>
    <sheetView showGridLines="0" view="pageBreakPreview" zoomScale="60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J176" sqref="J176"/>
    </sheetView>
  </sheetViews>
  <sheetFormatPr baseColWidth="10" defaultRowHeight="15" outlineLevelCol="1" x14ac:dyDescent="0.25"/>
  <cols>
    <col min="1" max="1" width="51.42578125" style="43" bestFit="1" customWidth="1"/>
    <col min="2" max="2" width="11.42578125" style="43"/>
    <col min="3" max="3" width="8.140625" style="43" bestFit="1" customWidth="1"/>
    <col min="4" max="4" width="9.28515625" style="43" bestFit="1" customWidth="1"/>
    <col min="5" max="15" width="11.42578125" style="43" customWidth="1" outlineLevel="1"/>
    <col min="16" max="16" width="10.5703125" style="43" customWidth="1" outlineLevel="1"/>
    <col min="17" max="17" width="13" style="43" bestFit="1" customWidth="1"/>
    <col min="18" max="21" width="11.42578125" style="43" hidden="1" customWidth="1" outlineLevel="1"/>
    <col min="22" max="22" width="13" style="43" bestFit="1" customWidth="1" collapsed="1"/>
    <col min="23" max="24" width="13" style="43" bestFit="1" customWidth="1"/>
    <col min="25" max="25" width="11.42578125" style="43"/>
    <col min="26" max="26" width="16.5703125" style="43" bestFit="1" customWidth="1"/>
    <col min="27" max="16384" width="11.42578125" style="43"/>
  </cols>
  <sheetData>
    <row r="1" spans="1:24" ht="27" thickBot="1" x14ac:dyDescent="0.3">
      <c r="A1" s="754" t="s">
        <v>43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5"/>
      <c r="R1" s="755"/>
      <c r="S1" s="755"/>
      <c r="T1" s="755"/>
      <c r="U1" s="755"/>
      <c r="V1" s="755"/>
      <c r="W1" s="755"/>
      <c r="X1" s="756"/>
    </row>
    <row r="2" spans="1:24" ht="15.75" thickBot="1" x14ac:dyDescent="0.3"/>
    <row r="3" spans="1:24" x14ac:dyDescent="0.25">
      <c r="A3" s="615" t="s">
        <v>95</v>
      </c>
      <c r="B3" s="642">
        <v>30</v>
      </c>
    </row>
    <row r="4" spans="1:24" x14ac:dyDescent="0.25">
      <c r="A4" s="616" t="s">
        <v>93</v>
      </c>
      <c r="B4" s="162">
        <v>0.34</v>
      </c>
    </row>
    <row r="5" spans="1:24" ht="15.75" thickBot="1" x14ac:dyDescent="0.3">
      <c r="A5" s="617" t="s">
        <v>89</v>
      </c>
      <c r="B5" s="163">
        <v>0.05</v>
      </c>
    </row>
    <row r="6" spans="1:24" ht="22.5" customHeight="1" thickBot="1" x14ac:dyDescent="0.3">
      <c r="A6" s="618" t="s">
        <v>90</v>
      </c>
      <c r="B6" s="776" t="s">
        <v>54</v>
      </c>
      <c r="C6" s="777"/>
      <c r="D6" s="766" t="s">
        <v>257</v>
      </c>
      <c r="E6" s="731" t="s">
        <v>20</v>
      </c>
      <c r="F6" s="731"/>
      <c r="G6" s="731"/>
      <c r="H6" s="731"/>
      <c r="I6" s="731"/>
      <c r="J6" s="731"/>
      <c r="K6" s="731"/>
      <c r="L6" s="731"/>
      <c r="M6" s="731"/>
      <c r="N6" s="731"/>
      <c r="O6" s="731"/>
      <c r="P6" s="732"/>
      <c r="Q6" s="752" t="s">
        <v>20</v>
      </c>
      <c r="R6" s="730" t="s">
        <v>25</v>
      </c>
      <c r="S6" s="731"/>
      <c r="T6" s="731"/>
      <c r="U6" s="732"/>
      <c r="V6" s="733" t="s">
        <v>25</v>
      </c>
      <c r="W6" s="735" t="s">
        <v>26</v>
      </c>
      <c r="X6" s="737" t="s">
        <v>27</v>
      </c>
    </row>
    <row r="7" spans="1:24" ht="18.75" customHeight="1" thickBot="1" x14ac:dyDescent="0.3">
      <c r="A7" s="619" t="s">
        <v>52</v>
      </c>
      <c r="B7" s="778"/>
      <c r="C7" s="778"/>
      <c r="D7" s="767"/>
      <c r="E7" s="124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53"/>
      <c r="R7" s="4" t="s">
        <v>21</v>
      </c>
      <c r="S7" s="2" t="s">
        <v>22</v>
      </c>
      <c r="T7" s="2" t="s">
        <v>23</v>
      </c>
      <c r="U7" s="2" t="s">
        <v>24</v>
      </c>
      <c r="V7" s="734"/>
      <c r="W7" s="736"/>
      <c r="X7" s="738"/>
    </row>
    <row r="8" spans="1:24" ht="18.75" customHeight="1" thickTop="1" x14ac:dyDescent="0.25">
      <c r="A8" s="96" t="s">
        <v>1</v>
      </c>
      <c r="B8" s="779">
        <v>3000</v>
      </c>
      <c r="C8" s="779"/>
      <c r="D8" s="643">
        <v>1</v>
      </c>
      <c r="E8" s="6">
        <f>IF($D8="","",IF($D8&lt;=E$7,$B8,""))</f>
        <v>3000</v>
      </c>
      <c r="F8" s="7">
        <f t="shared" ref="F8:P11" si="0">IF($D8="","",IF($D8&lt;=F$7,$B8,""))</f>
        <v>3000</v>
      </c>
      <c r="G8" s="7">
        <f t="shared" si="0"/>
        <v>3000</v>
      </c>
      <c r="H8" s="7">
        <f t="shared" si="0"/>
        <v>3000</v>
      </c>
      <c r="I8" s="7">
        <f t="shared" si="0"/>
        <v>3000</v>
      </c>
      <c r="J8" s="7">
        <f t="shared" si="0"/>
        <v>3000</v>
      </c>
      <c r="K8" s="7">
        <f t="shared" si="0"/>
        <v>3000</v>
      </c>
      <c r="L8" s="7">
        <f t="shared" si="0"/>
        <v>3000</v>
      </c>
      <c r="M8" s="7">
        <f t="shared" si="0"/>
        <v>3000</v>
      </c>
      <c r="N8" s="7">
        <f t="shared" si="0"/>
        <v>3000</v>
      </c>
      <c r="O8" s="7">
        <f t="shared" si="0"/>
        <v>3000</v>
      </c>
      <c r="P8" s="7">
        <f t="shared" si="0"/>
        <v>3000</v>
      </c>
      <c r="Q8" s="283">
        <f>SUM(E8:P8)</f>
        <v>36000</v>
      </c>
      <c r="R8" s="325">
        <f>IF($D8="","",IF(AND($D8&lt;=15,$D8&gt;12),(15-$D8+1)*$B8*(1+$B$5)^1,IF(AND($D8&lt;=15,$D8&lt;=12),3*$B8*(1+$B$5)^1,"")))</f>
        <v>9450</v>
      </c>
      <c r="S8" s="7">
        <f t="shared" ref="S8:U11" si="1">IF($D8="","",IF(AND($D8&lt;=15,$D8&gt;12),(15-$D8+1)*$B8*(1+$B$5)^1,IF(AND($D8&lt;=15,$D8&lt;=12),3*$B8*(1+$B$5)^1,"")))</f>
        <v>9450</v>
      </c>
      <c r="T8" s="7">
        <f t="shared" si="1"/>
        <v>9450</v>
      </c>
      <c r="U8" s="7">
        <f t="shared" si="1"/>
        <v>9450</v>
      </c>
      <c r="V8" s="283">
        <f>SUM(R8:U8)</f>
        <v>37800</v>
      </c>
      <c r="W8" s="8">
        <f>IF($D8="","",IF(AND($D8&lt;=36,$D8&gt;24),(36-$D8+1)*$B8*(1+$B$5)^2,IF(AND($D8&lt;=36,$D8&lt;=24),(36-24)*$B8*(1+$B$5)^2,"")))</f>
        <v>39690</v>
      </c>
      <c r="X8" s="9">
        <f>IF($D8="","",IF(AND($D8&lt;=48,$D8&gt;36),(48-$D8+1)*$B8*(1+$B$5)^3,IF(AND($D8&lt;=48,$D8&lt;=36),(48-36)*$B8*(1+$B$5)^3,"")))</f>
        <v>41674.500000000007</v>
      </c>
    </row>
    <row r="9" spans="1:24" ht="18.75" customHeight="1" x14ac:dyDescent="0.25">
      <c r="A9" s="97" t="s">
        <v>2</v>
      </c>
      <c r="B9" s="760">
        <v>3000</v>
      </c>
      <c r="C9" s="760"/>
      <c r="D9" s="644">
        <v>1</v>
      </c>
      <c r="E9" s="10">
        <f t="shared" ref="E9:E11" si="2">IF($D9="","",IF($D9&lt;=E$7,$B9,""))</f>
        <v>3000</v>
      </c>
      <c r="F9" s="11">
        <f t="shared" si="0"/>
        <v>3000</v>
      </c>
      <c r="G9" s="11">
        <f t="shared" si="0"/>
        <v>3000</v>
      </c>
      <c r="H9" s="11">
        <f t="shared" si="0"/>
        <v>3000</v>
      </c>
      <c r="I9" s="11">
        <f t="shared" si="0"/>
        <v>3000</v>
      </c>
      <c r="J9" s="11">
        <f t="shared" si="0"/>
        <v>3000</v>
      </c>
      <c r="K9" s="11">
        <f t="shared" si="0"/>
        <v>3000</v>
      </c>
      <c r="L9" s="11">
        <f t="shared" si="0"/>
        <v>3000</v>
      </c>
      <c r="M9" s="11">
        <f t="shared" si="0"/>
        <v>3000</v>
      </c>
      <c r="N9" s="11">
        <f t="shared" si="0"/>
        <v>3000</v>
      </c>
      <c r="O9" s="11">
        <f t="shared" si="0"/>
        <v>3000</v>
      </c>
      <c r="P9" s="11">
        <f t="shared" si="0"/>
        <v>3000</v>
      </c>
      <c r="Q9" s="620">
        <f t="shared" ref="Q9:Q11" si="3">SUM(E9:P9)</f>
        <v>36000</v>
      </c>
      <c r="R9" s="326">
        <f t="shared" ref="R9:R11" si="4">IF($D9="","",IF(AND($D9&lt;=15,$D9&gt;12),(15-$D9+1)*$B9*(1+$B$5)^1,IF(AND($D9&lt;=15,$D9&lt;=12),3*$B9*(1+$B$5)^1,"")))</f>
        <v>9450</v>
      </c>
      <c r="S9" s="11">
        <f t="shared" si="1"/>
        <v>9450</v>
      </c>
      <c r="T9" s="11">
        <f t="shared" si="1"/>
        <v>9450</v>
      </c>
      <c r="U9" s="11">
        <f t="shared" si="1"/>
        <v>9450</v>
      </c>
      <c r="V9" s="620">
        <f t="shared" ref="V9:V11" si="5">SUM(R9:U9)</f>
        <v>37800</v>
      </c>
      <c r="W9" s="12">
        <f t="shared" ref="W9:W11" si="6">IF($D9="","",IF(AND($D9&lt;=36,$D9&gt;24),(36-$D9+1)*$B9*(1+$B$5)^2,IF(AND($D9&lt;=36,$D9&lt;=24),(36-24)*$B9*(1+$B$5)^2,"")))</f>
        <v>39690</v>
      </c>
      <c r="X9" s="13">
        <f t="shared" ref="X9:X11" si="7">IF($D9="","",IF(AND($D9&lt;=48,$D9&gt;36),(48-$D9+1)*$B9*(1+$B$5)^3,IF(AND($D9&lt;=48,$D9&lt;=36),(48-36)*$B9*(1+$B$5)^3,"")))</f>
        <v>41674.500000000007</v>
      </c>
    </row>
    <row r="10" spans="1:24" ht="18.75" customHeight="1" x14ac:dyDescent="0.25">
      <c r="A10" s="97" t="s">
        <v>3</v>
      </c>
      <c r="B10" s="760">
        <v>3000</v>
      </c>
      <c r="C10" s="760"/>
      <c r="D10" s="644">
        <v>1</v>
      </c>
      <c r="E10" s="10">
        <f t="shared" si="2"/>
        <v>3000</v>
      </c>
      <c r="F10" s="11">
        <f t="shared" si="0"/>
        <v>3000</v>
      </c>
      <c r="G10" s="11">
        <f t="shared" si="0"/>
        <v>3000</v>
      </c>
      <c r="H10" s="11">
        <f t="shared" si="0"/>
        <v>3000</v>
      </c>
      <c r="I10" s="11">
        <f t="shared" si="0"/>
        <v>3000</v>
      </c>
      <c r="J10" s="11">
        <f t="shared" si="0"/>
        <v>3000</v>
      </c>
      <c r="K10" s="11">
        <f t="shared" si="0"/>
        <v>3000</v>
      </c>
      <c r="L10" s="11">
        <f t="shared" si="0"/>
        <v>3000</v>
      </c>
      <c r="M10" s="11">
        <f t="shared" si="0"/>
        <v>3000</v>
      </c>
      <c r="N10" s="11">
        <f t="shared" si="0"/>
        <v>3000</v>
      </c>
      <c r="O10" s="11">
        <f t="shared" si="0"/>
        <v>3000</v>
      </c>
      <c r="P10" s="11">
        <f t="shared" si="0"/>
        <v>3000</v>
      </c>
      <c r="Q10" s="620">
        <f t="shared" si="3"/>
        <v>36000</v>
      </c>
      <c r="R10" s="326">
        <f t="shared" si="4"/>
        <v>9450</v>
      </c>
      <c r="S10" s="11">
        <f t="shared" si="1"/>
        <v>9450</v>
      </c>
      <c r="T10" s="11">
        <f t="shared" si="1"/>
        <v>9450</v>
      </c>
      <c r="U10" s="11">
        <f t="shared" si="1"/>
        <v>9450</v>
      </c>
      <c r="V10" s="620">
        <f t="shared" si="5"/>
        <v>37800</v>
      </c>
      <c r="W10" s="12">
        <f t="shared" si="6"/>
        <v>39690</v>
      </c>
      <c r="X10" s="13">
        <f t="shared" si="7"/>
        <v>41674.500000000007</v>
      </c>
    </row>
    <row r="11" spans="1:24" ht="18.75" customHeight="1" thickBot="1" x14ac:dyDescent="0.3">
      <c r="A11" s="645" t="s">
        <v>4</v>
      </c>
      <c r="B11" s="764">
        <v>3000</v>
      </c>
      <c r="C11" s="764"/>
      <c r="D11" s="646">
        <v>1</v>
      </c>
      <c r="E11" s="141">
        <f t="shared" si="2"/>
        <v>3000</v>
      </c>
      <c r="F11" s="142">
        <f t="shared" si="0"/>
        <v>3000</v>
      </c>
      <c r="G11" s="142">
        <f t="shared" si="0"/>
        <v>3000</v>
      </c>
      <c r="H11" s="142">
        <f t="shared" si="0"/>
        <v>3000</v>
      </c>
      <c r="I11" s="142">
        <f t="shared" si="0"/>
        <v>3000</v>
      </c>
      <c r="J11" s="142">
        <f t="shared" si="0"/>
        <v>3000</v>
      </c>
      <c r="K11" s="142">
        <f t="shared" si="0"/>
        <v>3000</v>
      </c>
      <c r="L11" s="142">
        <f t="shared" si="0"/>
        <v>3000</v>
      </c>
      <c r="M11" s="142">
        <f t="shared" si="0"/>
        <v>3000</v>
      </c>
      <c r="N11" s="142">
        <f t="shared" si="0"/>
        <v>3000</v>
      </c>
      <c r="O11" s="142">
        <f t="shared" si="0"/>
        <v>3000</v>
      </c>
      <c r="P11" s="142">
        <f t="shared" si="0"/>
        <v>3000</v>
      </c>
      <c r="Q11" s="621">
        <f t="shared" si="3"/>
        <v>36000</v>
      </c>
      <c r="R11" s="173">
        <f t="shared" si="4"/>
        <v>9450</v>
      </c>
      <c r="S11" s="142">
        <f t="shared" si="1"/>
        <v>9450</v>
      </c>
      <c r="T11" s="142">
        <f t="shared" si="1"/>
        <v>9450</v>
      </c>
      <c r="U11" s="142">
        <f t="shared" si="1"/>
        <v>9450</v>
      </c>
      <c r="V11" s="621">
        <f t="shared" si="5"/>
        <v>37800</v>
      </c>
      <c r="W11" s="147">
        <f t="shared" si="6"/>
        <v>39690</v>
      </c>
      <c r="X11" s="148">
        <f t="shared" si="7"/>
        <v>41674.500000000007</v>
      </c>
    </row>
    <row r="12" spans="1:24" ht="7.5" customHeight="1" thickTop="1" thickBot="1" x14ac:dyDescent="0.3">
      <c r="A12" s="647"/>
      <c r="B12" s="765"/>
      <c r="C12" s="765"/>
      <c r="D12" s="648"/>
      <c r="E12" s="370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346"/>
      <c r="R12" s="348"/>
      <c r="S12" s="345"/>
      <c r="T12" s="345"/>
      <c r="U12" s="345"/>
      <c r="V12" s="346"/>
      <c r="W12" s="347"/>
      <c r="X12" s="349"/>
    </row>
    <row r="13" spans="1:24" ht="18.75" customHeight="1" thickBot="1" x14ac:dyDescent="0.3">
      <c r="A13" s="622" t="s">
        <v>91</v>
      </c>
      <c r="B13" s="762">
        <f>SUM(Q13,V13,W13,X13)/48</f>
        <v>12930.375</v>
      </c>
      <c r="C13" s="763"/>
      <c r="D13" s="623"/>
      <c r="E13" s="352">
        <f>SUM(E8:E11)</f>
        <v>12000</v>
      </c>
      <c r="F13" s="353">
        <f t="shared" ref="F13:X13" si="8">SUM(F8:F11)</f>
        <v>12000</v>
      </c>
      <c r="G13" s="353">
        <f t="shared" si="8"/>
        <v>12000</v>
      </c>
      <c r="H13" s="353">
        <f t="shared" si="8"/>
        <v>12000</v>
      </c>
      <c r="I13" s="353">
        <f t="shared" si="8"/>
        <v>12000</v>
      </c>
      <c r="J13" s="353">
        <f t="shared" si="8"/>
        <v>12000</v>
      </c>
      <c r="K13" s="353">
        <f t="shared" si="8"/>
        <v>12000</v>
      </c>
      <c r="L13" s="353">
        <f t="shared" si="8"/>
        <v>12000</v>
      </c>
      <c r="M13" s="353">
        <f t="shared" si="8"/>
        <v>12000</v>
      </c>
      <c r="N13" s="353">
        <f t="shared" si="8"/>
        <v>12000</v>
      </c>
      <c r="O13" s="353">
        <f t="shared" si="8"/>
        <v>12000</v>
      </c>
      <c r="P13" s="353">
        <f t="shared" si="8"/>
        <v>12000</v>
      </c>
      <c r="Q13" s="588">
        <f t="shared" si="8"/>
        <v>144000</v>
      </c>
      <c r="R13" s="649">
        <f>SUM(R8:R11)</f>
        <v>37800</v>
      </c>
      <c r="S13" s="353">
        <f t="shared" si="8"/>
        <v>37800</v>
      </c>
      <c r="T13" s="353">
        <f t="shared" si="8"/>
        <v>37800</v>
      </c>
      <c r="U13" s="353">
        <f t="shared" si="8"/>
        <v>37800</v>
      </c>
      <c r="V13" s="588">
        <f t="shared" si="8"/>
        <v>151200</v>
      </c>
      <c r="W13" s="354">
        <f t="shared" si="8"/>
        <v>158760</v>
      </c>
      <c r="X13" s="355">
        <f t="shared" si="8"/>
        <v>166698.00000000003</v>
      </c>
    </row>
    <row r="14" spans="1:24" ht="7.5" customHeight="1" thickBot="1" x14ac:dyDescent="0.3">
      <c r="A14" s="757"/>
      <c r="B14" s="758"/>
      <c r="C14" s="758"/>
      <c r="D14" s="758"/>
      <c r="E14" s="758"/>
      <c r="F14" s="758"/>
      <c r="G14" s="758"/>
      <c r="H14" s="758"/>
      <c r="I14" s="758"/>
      <c r="J14" s="758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9"/>
    </row>
    <row r="15" spans="1:24" ht="18.75" customHeight="1" thickBot="1" x14ac:dyDescent="0.3">
      <c r="A15" s="626" t="s">
        <v>53</v>
      </c>
      <c r="B15" s="343"/>
      <c r="C15" s="343"/>
      <c r="D15" s="627"/>
    </row>
    <row r="16" spans="1:24" ht="15.75" thickTop="1" x14ac:dyDescent="0.25">
      <c r="A16" s="96" t="s">
        <v>65</v>
      </c>
      <c r="B16" s="779">
        <v>1700</v>
      </c>
      <c r="C16" s="779"/>
      <c r="D16" s="20">
        <v>2</v>
      </c>
      <c r="E16" s="6" t="str">
        <f t="shared" ref="E16:P16" si="9">IF($D16="","",IF($D16&lt;=E$7,$B16,""))</f>
        <v/>
      </c>
      <c r="F16" s="7">
        <f t="shared" si="9"/>
        <v>1700</v>
      </c>
      <c r="G16" s="7">
        <f t="shared" si="9"/>
        <v>1700</v>
      </c>
      <c r="H16" s="7">
        <f t="shared" si="9"/>
        <v>1700</v>
      </c>
      <c r="I16" s="7">
        <f t="shared" si="9"/>
        <v>1700</v>
      </c>
      <c r="J16" s="7">
        <f t="shared" si="9"/>
        <v>1700</v>
      </c>
      <c r="K16" s="7">
        <f t="shared" si="9"/>
        <v>1700</v>
      </c>
      <c r="L16" s="7">
        <f t="shared" si="9"/>
        <v>1700</v>
      </c>
      <c r="M16" s="7">
        <f t="shared" si="9"/>
        <v>1700</v>
      </c>
      <c r="N16" s="7">
        <f t="shared" si="9"/>
        <v>1700</v>
      </c>
      <c r="O16" s="7">
        <f t="shared" si="9"/>
        <v>1700</v>
      </c>
      <c r="P16" s="7">
        <f t="shared" si="9"/>
        <v>1700</v>
      </c>
      <c r="Q16" s="283">
        <f>SUM(E16:P16)</f>
        <v>18700</v>
      </c>
      <c r="R16" s="325">
        <f>IF($D16="","",IF(AND($D16&lt;=15,$D16&gt;12),(15-$D16+1)*$B16*(1+$B$5)^1,IF(AND($D16&lt;=15,$D16&lt;=12),3*$B16*(1+$B$5)^1,"")))</f>
        <v>5355</v>
      </c>
      <c r="S16" s="7">
        <f>IF($D16="","",IF(AND($D16&lt;=15,$D16&gt;12),(15-$D16+1)*$B16*(1+$B$5)^1,IF(AND($D16&lt;=15,$D16&lt;=12),3*$B16*(1+$B$5)^1,"")))</f>
        <v>5355</v>
      </c>
      <c r="T16" s="7">
        <f>IF($D16="","",IF(AND($D16&lt;=15,$D16&gt;12),(15-$D16+1)*$B16*(1+$B$5)^1,IF(AND($D16&lt;=15,$D16&lt;=12),3*$B16*(1+$B$5)^1,"")))</f>
        <v>5355</v>
      </c>
      <c r="U16" s="7">
        <f>IF($D16="","",IF(AND($D16&lt;=15,$D16&gt;12),(15-$D16+1)*$B16*(1+$B$5)^1,IF(AND($D16&lt;=15,$D16&lt;=12),3*$B16*(1+$B$5)^1,"")))</f>
        <v>5355</v>
      </c>
      <c r="V16" s="283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7" t="s">
        <v>74</v>
      </c>
      <c r="B17" s="760">
        <v>2700</v>
      </c>
      <c r="C17" s="760"/>
      <c r="D17" s="100">
        <v>3</v>
      </c>
      <c r="E17" s="10" t="str">
        <f t="shared" ref="E17:E26" si="10">IF($D17="","",IF($D17&lt;=E$7,$B17,""))</f>
        <v/>
      </c>
      <c r="F17" s="11" t="str">
        <f t="shared" ref="F17:P25" si="11">IF($D17="","",IF($D17&lt;=F$7,$B17,""))</f>
        <v/>
      </c>
      <c r="G17" s="11">
        <f t="shared" si="11"/>
        <v>2700</v>
      </c>
      <c r="H17" s="11">
        <f t="shared" si="11"/>
        <v>2700</v>
      </c>
      <c r="I17" s="11">
        <f t="shared" si="11"/>
        <v>2700</v>
      </c>
      <c r="J17" s="11">
        <f t="shared" si="11"/>
        <v>2700</v>
      </c>
      <c r="K17" s="11">
        <f t="shared" si="11"/>
        <v>2700</v>
      </c>
      <c r="L17" s="11">
        <f t="shared" si="11"/>
        <v>2700</v>
      </c>
      <c r="M17" s="11">
        <f t="shared" si="11"/>
        <v>2700</v>
      </c>
      <c r="N17" s="11">
        <f t="shared" si="11"/>
        <v>2700</v>
      </c>
      <c r="O17" s="11">
        <f t="shared" si="11"/>
        <v>2700</v>
      </c>
      <c r="P17" s="11">
        <f t="shared" si="11"/>
        <v>2700</v>
      </c>
      <c r="Q17" s="620">
        <f t="shared" ref="Q17:Q26" si="12">SUM(E17:P17)</f>
        <v>27000</v>
      </c>
      <c r="R17" s="326">
        <f t="shared" ref="R17:R26" si="13">IF($D17="","",IF(AND($D17&lt;=15,$D17&gt;12),(15-$D17+1)*$B17*(1+$B$5)^1,IF(AND($D17&lt;=15,$D17&lt;=12),3*$B17*(1+$B$5)^1,"")))</f>
        <v>8505</v>
      </c>
      <c r="S17" s="11">
        <f t="shared" ref="S17:U26" si="14">IF($D17="","",IF(AND($D17&lt;=15,$D17&gt;12),(15-$D17+1)*$B17*(1+$B$5)^1,IF(AND($D17&lt;=15,$D17&lt;=12),3*$B17*(1+$B$5)^1,"")))</f>
        <v>8505</v>
      </c>
      <c r="T17" s="11">
        <f t="shared" si="14"/>
        <v>8505</v>
      </c>
      <c r="U17" s="11">
        <f t="shared" si="14"/>
        <v>8505</v>
      </c>
      <c r="V17" s="620">
        <f t="shared" ref="V17:V26" si="15">SUM(R17:U17)</f>
        <v>34020</v>
      </c>
      <c r="W17" s="12">
        <f t="shared" ref="W17:W26" si="16">IF($D17="","",IF(AND($D17&lt;=36,$D17&gt;24),(36-$D17+1)*$B17*(1+$B$5)^2,IF(AND($D17&lt;=36,$D17&lt;=24),(36-24)*$B17*(1+$B$5)^2,"")))</f>
        <v>35721</v>
      </c>
      <c r="X17" s="13">
        <f t="shared" ref="X17:X26" si="17">IF($D17="","",IF(AND($D17&lt;=48,$D17&gt;36),(48-$D17+1)*$B17*(1+$B$5)^3,IF(AND($D17&lt;=48,$D17&lt;=36),(48-36)*$B17*(1+$B$5)^3,"")))</f>
        <v>37507.050000000003</v>
      </c>
    </row>
    <row r="18" spans="1:26" x14ac:dyDescent="0.25">
      <c r="A18" s="101" t="s">
        <v>74</v>
      </c>
      <c r="B18" s="760">
        <v>2700</v>
      </c>
      <c r="C18" s="760"/>
      <c r="D18" s="100">
        <v>13</v>
      </c>
      <c r="E18" s="10" t="str">
        <f t="shared" si="10"/>
        <v/>
      </c>
      <c r="F18" s="11" t="str">
        <f t="shared" si="11"/>
        <v/>
      </c>
      <c r="G18" s="11" t="str">
        <f t="shared" si="11"/>
        <v/>
      </c>
      <c r="H18" s="11" t="str">
        <f t="shared" si="11"/>
        <v/>
      </c>
      <c r="I18" s="11" t="str">
        <f t="shared" si="11"/>
        <v/>
      </c>
      <c r="J18" s="11" t="str">
        <f t="shared" si="11"/>
        <v/>
      </c>
      <c r="K18" s="11" t="str">
        <f t="shared" si="11"/>
        <v/>
      </c>
      <c r="L18" s="11" t="str">
        <f t="shared" si="11"/>
        <v/>
      </c>
      <c r="M18" s="11" t="str">
        <f t="shared" si="11"/>
        <v/>
      </c>
      <c r="N18" s="11" t="str">
        <f t="shared" si="11"/>
        <v/>
      </c>
      <c r="O18" s="11" t="str">
        <f t="shared" si="11"/>
        <v/>
      </c>
      <c r="P18" s="11" t="str">
        <f t="shared" si="11"/>
        <v/>
      </c>
      <c r="Q18" s="620">
        <f t="shared" si="12"/>
        <v>0</v>
      </c>
      <c r="R18" s="326">
        <f t="shared" si="13"/>
        <v>8505</v>
      </c>
      <c r="S18" s="11">
        <f t="shared" si="14"/>
        <v>8505</v>
      </c>
      <c r="T18" s="11">
        <f t="shared" si="14"/>
        <v>8505</v>
      </c>
      <c r="U18" s="11">
        <f t="shared" si="14"/>
        <v>8505</v>
      </c>
      <c r="V18" s="620">
        <f t="shared" si="15"/>
        <v>34020</v>
      </c>
      <c r="W18" s="12">
        <f t="shared" si="16"/>
        <v>35721</v>
      </c>
      <c r="X18" s="13">
        <f t="shared" si="17"/>
        <v>37507.050000000003</v>
      </c>
    </row>
    <row r="19" spans="1:26" x14ac:dyDescent="0.25">
      <c r="A19" s="101" t="s">
        <v>74</v>
      </c>
      <c r="B19" s="760">
        <v>2700</v>
      </c>
      <c r="C19" s="760"/>
      <c r="D19" s="104">
        <v>19</v>
      </c>
      <c r="E19" s="14" t="str">
        <f t="shared" si="10"/>
        <v/>
      </c>
      <c r="F19" s="15" t="str">
        <f t="shared" si="11"/>
        <v/>
      </c>
      <c r="G19" s="15" t="str">
        <f t="shared" si="11"/>
        <v/>
      </c>
      <c r="H19" s="15" t="str">
        <f t="shared" si="11"/>
        <v/>
      </c>
      <c r="I19" s="15" t="str">
        <f t="shared" si="11"/>
        <v/>
      </c>
      <c r="J19" s="15" t="str">
        <f t="shared" si="11"/>
        <v/>
      </c>
      <c r="K19" s="15" t="str">
        <f t="shared" si="11"/>
        <v/>
      </c>
      <c r="L19" s="15" t="str">
        <f t="shared" si="11"/>
        <v/>
      </c>
      <c r="M19" s="15" t="str">
        <f t="shared" si="11"/>
        <v/>
      </c>
      <c r="N19" s="15" t="str">
        <f t="shared" si="11"/>
        <v/>
      </c>
      <c r="O19" s="15" t="str">
        <f t="shared" si="11"/>
        <v/>
      </c>
      <c r="P19" s="15" t="str">
        <f t="shared" si="11"/>
        <v/>
      </c>
      <c r="Q19" s="285">
        <f t="shared" si="12"/>
        <v>0</v>
      </c>
      <c r="R19" s="628" t="str">
        <f t="shared" si="13"/>
        <v/>
      </c>
      <c r="S19" s="15" t="str">
        <f t="shared" si="14"/>
        <v/>
      </c>
      <c r="T19" s="15" t="str">
        <f t="shared" si="14"/>
        <v/>
      </c>
      <c r="U19" s="15" t="str">
        <f t="shared" si="14"/>
        <v/>
      </c>
      <c r="V19" s="285">
        <f t="shared" si="15"/>
        <v>0</v>
      </c>
      <c r="W19" s="16">
        <f t="shared" si="16"/>
        <v>35721</v>
      </c>
      <c r="X19" s="17">
        <f t="shared" si="17"/>
        <v>37507.050000000003</v>
      </c>
    </row>
    <row r="20" spans="1:26" x14ac:dyDescent="0.25">
      <c r="A20" s="101" t="s">
        <v>75</v>
      </c>
      <c r="B20" s="760">
        <v>2700</v>
      </c>
      <c r="C20" s="760"/>
      <c r="D20" s="104">
        <v>4</v>
      </c>
      <c r="E20" s="14" t="str">
        <f t="shared" si="10"/>
        <v/>
      </c>
      <c r="F20" s="15" t="str">
        <f t="shared" si="11"/>
        <v/>
      </c>
      <c r="G20" s="15" t="str">
        <f t="shared" si="11"/>
        <v/>
      </c>
      <c r="H20" s="15">
        <f t="shared" si="11"/>
        <v>2700</v>
      </c>
      <c r="I20" s="15">
        <f t="shared" si="11"/>
        <v>2700</v>
      </c>
      <c r="J20" s="15">
        <f t="shared" si="11"/>
        <v>2700</v>
      </c>
      <c r="K20" s="15">
        <f t="shared" si="11"/>
        <v>2700</v>
      </c>
      <c r="L20" s="15">
        <f t="shared" si="11"/>
        <v>2700</v>
      </c>
      <c r="M20" s="15">
        <f t="shared" si="11"/>
        <v>2700</v>
      </c>
      <c r="N20" s="15">
        <f t="shared" si="11"/>
        <v>2700</v>
      </c>
      <c r="O20" s="15">
        <f t="shared" si="11"/>
        <v>2700</v>
      </c>
      <c r="P20" s="15">
        <f t="shared" si="11"/>
        <v>2700</v>
      </c>
      <c r="Q20" s="285">
        <f t="shared" si="12"/>
        <v>24300</v>
      </c>
      <c r="R20" s="628">
        <f t="shared" si="13"/>
        <v>8505</v>
      </c>
      <c r="S20" s="15">
        <f t="shared" si="14"/>
        <v>8505</v>
      </c>
      <c r="T20" s="15">
        <f t="shared" si="14"/>
        <v>8505</v>
      </c>
      <c r="U20" s="15">
        <f t="shared" si="14"/>
        <v>8505</v>
      </c>
      <c r="V20" s="285">
        <f t="shared" si="15"/>
        <v>34020</v>
      </c>
      <c r="W20" s="16">
        <f t="shared" si="16"/>
        <v>35721</v>
      </c>
      <c r="X20" s="17">
        <f t="shared" si="17"/>
        <v>37507.050000000003</v>
      </c>
    </row>
    <row r="21" spans="1:26" x14ac:dyDescent="0.25">
      <c r="A21" s="101" t="s">
        <v>75</v>
      </c>
      <c r="B21" s="760">
        <v>2700</v>
      </c>
      <c r="C21" s="760"/>
      <c r="D21" s="104">
        <v>13</v>
      </c>
      <c r="E21" s="14" t="str">
        <f t="shared" si="10"/>
        <v/>
      </c>
      <c r="F21" s="15" t="str">
        <f t="shared" si="11"/>
        <v/>
      </c>
      <c r="G21" s="15" t="str">
        <f t="shared" si="11"/>
        <v/>
      </c>
      <c r="H21" s="15" t="str">
        <f t="shared" si="11"/>
        <v/>
      </c>
      <c r="I21" s="15" t="str">
        <f t="shared" si="11"/>
        <v/>
      </c>
      <c r="J21" s="15" t="str">
        <f t="shared" si="11"/>
        <v/>
      </c>
      <c r="K21" s="15" t="str">
        <f t="shared" si="11"/>
        <v/>
      </c>
      <c r="L21" s="15" t="str">
        <f t="shared" si="11"/>
        <v/>
      </c>
      <c r="M21" s="15" t="str">
        <f t="shared" si="11"/>
        <v/>
      </c>
      <c r="N21" s="15" t="str">
        <f t="shared" si="11"/>
        <v/>
      </c>
      <c r="O21" s="15" t="str">
        <f t="shared" si="11"/>
        <v/>
      </c>
      <c r="P21" s="15" t="str">
        <f t="shared" si="11"/>
        <v/>
      </c>
      <c r="Q21" s="285">
        <f t="shared" si="12"/>
        <v>0</v>
      </c>
      <c r="R21" s="628">
        <f t="shared" si="13"/>
        <v>8505</v>
      </c>
      <c r="S21" s="15">
        <f t="shared" si="14"/>
        <v>8505</v>
      </c>
      <c r="T21" s="15">
        <f t="shared" si="14"/>
        <v>8505</v>
      </c>
      <c r="U21" s="15">
        <f t="shared" si="14"/>
        <v>8505</v>
      </c>
      <c r="V21" s="285">
        <f t="shared" si="15"/>
        <v>34020</v>
      </c>
      <c r="W21" s="16">
        <f t="shared" si="16"/>
        <v>35721</v>
      </c>
      <c r="X21" s="17">
        <f t="shared" si="17"/>
        <v>37507.050000000003</v>
      </c>
    </row>
    <row r="22" spans="1:26" x14ac:dyDescent="0.25">
      <c r="A22" s="101" t="s">
        <v>75</v>
      </c>
      <c r="B22" s="760">
        <v>2700</v>
      </c>
      <c r="C22" s="760"/>
      <c r="D22" s="104">
        <v>19</v>
      </c>
      <c r="E22" s="14" t="str">
        <f t="shared" si="10"/>
        <v/>
      </c>
      <c r="F22" s="15" t="str">
        <f t="shared" si="11"/>
        <v/>
      </c>
      <c r="G22" s="15" t="str">
        <f t="shared" si="11"/>
        <v/>
      </c>
      <c r="H22" s="15" t="str">
        <f t="shared" si="11"/>
        <v/>
      </c>
      <c r="I22" s="15" t="str">
        <f t="shared" si="11"/>
        <v/>
      </c>
      <c r="J22" s="15" t="str">
        <f t="shared" si="11"/>
        <v/>
      </c>
      <c r="K22" s="15" t="str">
        <f t="shared" si="11"/>
        <v/>
      </c>
      <c r="L22" s="15" t="str">
        <f t="shared" si="11"/>
        <v/>
      </c>
      <c r="M22" s="15" t="str">
        <f t="shared" si="11"/>
        <v/>
      </c>
      <c r="N22" s="15" t="str">
        <f t="shared" si="11"/>
        <v/>
      </c>
      <c r="O22" s="15" t="str">
        <f t="shared" si="11"/>
        <v/>
      </c>
      <c r="P22" s="15" t="str">
        <f t="shared" si="11"/>
        <v/>
      </c>
      <c r="Q22" s="285">
        <f t="shared" si="12"/>
        <v>0</v>
      </c>
      <c r="R22" s="628" t="str">
        <f t="shared" si="13"/>
        <v/>
      </c>
      <c r="S22" s="15" t="str">
        <f t="shared" si="14"/>
        <v/>
      </c>
      <c r="T22" s="15" t="str">
        <f t="shared" si="14"/>
        <v/>
      </c>
      <c r="U22" s="15" t="str">
        <f t="shared" si="14"/>
        <v/>
      </c>
      <c r="V22" s="285">
        <f t="shared" si="15"/>
        <v>0</v>
      </c>
      <c r="W22" s="16">
        <f t="shared" si="16"/>
        <v>35721</v>
      </c>
      <c r="X22" s="17">
        <f t="shared" si="17"/>
        <v>37507.050000000003</v>
      </c>
    </row>
    <row r="23" spans="1:26" x14ac:dyDescent="0.25">
      <c r="A23" s="101" t="s">
        <v>92</v>
      </c>
      <c r="B23" s="760">
        <v>2500</v>
      </c>
      <c r="C23" s="760"/>
      <c r="D23" s="104">
        <v>13</v>
      </c>
      <c r="E23" s="14" t="str">
        <f t="shared" si="10"/>
        <v/>
      </c>
      <c r="F23" s="15" t="str">
        <f t="shared" si="11"/>
        <v/>
      </c>
      <c r="G23" s="15" t="str">
        <f t="shared" si="11"/>
        <v/>
      </c>
      <c r="H23" s="15" t="str">
        <f t="shared" si="11"/>
        <v/>
      </c>
      <c r="I23" s="15" t="str">
        <f t="shared" si="11"/>
        <v/>
      </c>
      <c r="J23" s="15" t="str">
        <f t="shared" si="11"/>
        <v/>
      </c>
      <c r="K23" s="15" t="str">
        <f t="shared" si="11"/>
        <v/>
      </c>
      <c r="L23" s="15" t="str">
        <f t="shared" si="11"/>
        <v/>
      </c>
      <c r="M23" s="15" t="str">
        <f t="shared" si="11"/>
        <v/>
      </c>
      <c r="N23" s="15" t="str">
        <f t="shared" si="11"/>
        <v/>
      </c>
      <c r="O23" s="15" t="str">
        <f t="shared" si="11"/>
        <v/>
      </c>
      <c r="P23" s="15" t="str">
        <f t="shared" si="11"/>
        <v/>
      </c>
      <c r="Q23" s="285">
        <f t="shared" si="12"/>
        <v>0</v>
      </c>
      <c r="R23" s="628">
        <f t="shared" si="13"/>
        <v>7875</v>
      </c>
      <c r="S23" s="15">
        <f t="shared" si="14"/>
        <v>7875</v>
      </c>
      <c r="T23" s="15">
        <f t="shared" si="14"/>
        <v>7875</v>
      </c>
      <c r="U23" s="15">
        <f t="shared" si="14"/>
        <v>7875</v>
      </c>
      <c r="V23" s="285">
        <f t="shared" si="15"/>
        <v>31500</v>
      </c>
      <c r="W23" s="16">
        <f t="shared" si="16"/>
        <v>33075</v>
      </c>
      <c r="X23" s="17">
        <f t="shared" si="17"/>
        <v>34728.750000000007</v>
      </c>
    </row>
    <row r="24" spans="1:26" x14ac:dyDescent="0.25">
      <c r="A24" s="101" t="s">
        <v>92</v>
      </c>
      <c r="B24" s="760">
        <v>2500</v>
      </c>
      <c r="C24" s="760"/>
      <c r="D24" s="104">
        <v>25</v>
      </c>
      <c r="E24" s="14" t="str">
        <f t="shared" si="10"/>
        <v/>
      </c>
      <c r="F24" s="15" t="str">
        <f t="shared" si="11"/>
        <v/>
      </c>
      <c r="G24" s="15" t="str">
        <f t="shared" si="11"/>
        <v/>
      </c>
      <c r="H24" s="15" t="str">
        <f t="shared" si="11"/>
        <v/>
      </c>
      <c r="I24" s="15" t="str">
        <f t="shared" si="11"/>
        <v/>
      </c>
      <c r="J24" s="15" t="str">
        <f t="shared" si="11"/>
        <v/>
      </c>
      <c r="K24" s="15" t="str">
        <f t="shared" si="11"/>
        <v/>
      </c>
      <c r="L24" s="15" t="str">
        <f t="shared" si="11"/>
        <v/>
      </c>
      <c r="M24" s="15" t="str">
        <f t="shared" si="11"/>
        <v/>
      </c>
      <c r="N24" s="15" t="str">
        <f t="shared" si="11"/>
        <v/>
      </c>
      <c r="O24" s="15" t="str">
        <f t="shared" si="11"/>
        <v/>
      </c>
      <c r="P24" s="15" t="str">
        <f t="shared" si="11"/>
        <v/>
      </c>
      <c r="Q24" s="285">
        <f t="shared" si="12"/>
        <v>0</v>
      </c>
      <c r="R24" s="628" t="str">
        <f t="shared" si="13"/>
        <v/>
      </c>
      <c r="S24" s="15" t="str">
        <f t="shared" si="14"/>
        <v/>
      </c>
      <c r="T24" s="15" t="str">
        <f t="shared" si="14"/>
        <v/>
      </c>
      <c r="U24" s="15" t="str">
        <f t="shared" si="14"/>
        <v/>
      </c>
      <c r="V24" s="285">
        <f t="shared" si="15"/>
        <v>0</v>
      </c>
      <c r="W24" s="16">
        <f t="shared" si="16"/>
        <v>33075</v>
      </c>
      <c r="X24" s="17">
        <f t="shared" si="17"/>
        <v>34728.750000000007</v>
      </c>
    </row>
    <row r="25" spans="1:26" x14ac:dyDescent="0.25">
      <c r="A25" s="101"/>
      <c r="B25" s="760"/>
      <c r="C25" s="760"/>
      <c r="D25" s="104"/>
      <c r="E25" s="14" t="str">
        <f t="shared" si="10"/>
        <v/>
      </c>
      <c r="F25" s="15" t="str">
        <f t="shared" si="11"/>
        <v/>
      </c>
      <c r="G25" s="15" t="str">
        <f t="shared" si="11"/>
        <v/>
      </c>
      <c r="H25" s="15" t="str">
        <f t="shared" si="11"/>
        <v/>
      </c>
      <c r="I25" s="15" t="str">
        <f t="shared" si="11"/>
        <v/>
      </c>
      <c r="J25" s="15" t="str">
        <f t="shared" si="11"/>
        <v/>
      </c>
      <c r="K25" s="15" t="str">
        <f t="shared" si="11"/>
        <v/>
      </c>
      <c r="L25" s="15" t="str">
        <f t="shared" si="11"/>
        <v/>
      </c>
      <c r="M25" s="15" t="str">
        <f t="shared" si="11"/>
        <v/>
      </c>
      <c r="N25" s="15" t="str">
        <f t="shared" si="11"/>
        <v/>
      </c>
      <c r="O25" s="15" t="str">
        <f t="shared" si="11"/>
        <v/>
      </c>
      <c r="P25" s="15" t="str">
        <f t="shared" si="11"/>
        <v/>
      </c>
      <c r="Q25" s="285">
        <f t="shared" si="12"/>
        <v>0</v>
      </c>
      <c r="R25" s="628" t="str">
        <f t="shared" si="13"/>
        <v/>
      </c>
      <c r="S25" s="15" t="str">
        <f t="shared" si="14"/>
        <v/>
      </c>
      <c r="T25" s="15" t="str">
        <f t="shared" si="14"/>
        <v/>
      </c>
      <c r="U25" s="15" t="str">
        <f t="shared" si="14"/>
        <v/>
      </c>
      <c r="V25" s="285">
        <f t="shared" si="15"/>
        <v>0</v>
      </c>
      <c r="W25" s="16" t="str">
        <f t="shared" si="16"/>
        <v/>
      </c>
      <c r="X25" s="17" t="str">
        <f t="shared" si="17"/>
        <v/>
      </c>
    </row>
    <row r="26" spans="1:26" ht="15.75" thickBot="1" x14ac:dyDescent="0.3">
      <c r="A26" s="645"/>
      <c r="B26" s="764"/>
      <c r="C26" s="764"/>
      <c r="D26" s="652"/>
      <c r="E26" s="141" t="str">
        <f t="shared" si="10"/>
        <v/>
      </c>
      <c r="F26" s="142" t="str">
        <f>IF($D26="","",IF($D26&lt;=F$7,$B26,""))</f>
        <v/>
      </c>
      <c r="G26" s="142" t="str">
        <f>IF($D26="","",IF($D26&lt;=G$7,$B26,""))</f>
        <v/>
      </c>
      <c r="H26" s="142" t="str">
        <f t="shared" ref="H26:P26" si="18">IF($D26="","",IF($D26&lt;=H$7,$B26,""))</f>
        <v/>
      </c>
      <c r="I26" s="142" t="str">
        <f t="shared" si="18"/>
        <v/>
      </c>
      <c r="J26" s="142" t="str">
        <f t="shared" si="18"/>
        <v/>
      </c>
      <c r="K26" s="142" t="str">
        <f t="shared" si="18"/>
        <v/>
      </c>
      <c r="L26" s="142" t="str">
        <f t="shared" si="18"/>
        <v/>
      </c>
      <c r="M26" s="142" t="str">
        <f t="shared" si="18"/>
        <v/>
      </c>
      <c r="N26" s="142" t="str">
        <f t="shared" si="18"/>
        <v/>
      </c>
      <c r="O26" s="142" t="str">
        <f t="shared" si="18"/>
        <v/>
      </c>
      <c r="P26" s="142" t="str">
        <f t="shared" si="18"/>
        <v/>
      </c>
      <c r="Q26" s="621">
        <f t="shared" si="12"/>
        <v>0</v>
      </c>
      <c r="R26" s="173" t="str">
        <f t="shared" si="13"/>
        <v/>
      </c>
      <c r="S26" s="142" t="str">
        <f t="shared" si="14"/>
        <v/>
      </c>
      <c r="T26" s="142" t="str">
        <f t="shared" si="14"/>
        <v/>
      </c>
      <c r="U26" s="142" t="str">
        <f t="shared" si="14"/>
        <v/>
      </c>
      <c r="V26" s="621">
        <f t="shared" si="15"/>
        <v>0</v>
      </c>
      <c r="W26" s="147" t="str">
        <f t="shared" si="16"/>
        <v/>
      </c>
      <c r="X26" s="148" t="str">
        <f t="shared" si="17"/>
        <v/>
      </c>
    </row>
    <row r="27" spans="1:26" ht="7.5" customHeight="1" thickTop="1" thickBot="1" x14ac:dyDescent="0.3">
      <c r="A27" s="647"/>
      <c r="B27" s="761"/>
      <c r="C27" s="761"/>
      <c r="D27" s="653"/>
      <c r="E27" s="370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346"/>
      <c r="R27" s="348"/>
      <c r="S27" s="345"/>
      <c r="T27" s="345"/>
      <c r="U27" s="345"/>
      <c r="V27" s="346"/>
      <c r="W27" s="347"/>
      <c r="X27" s="349"/>
    </row>
    <row r="28" spans="1:26" ht="18.75" customHeight="1" thickBot="1" x14ac:dyDescent="0.3">
      <c r="A28" s="622" t="s">
        <v>91</v>
      </c>
      <c r="B28" s="762">
        <f>SUM(Q28,V28,W28,X28)/48</f>
        <v>18335.048958333333</v>
      </c>
      <c r="C28" s="763"/>
      <c r="D28" s="623"/>
      <c r="E28" s="357">
        <f>SUM(E16:E26)</f>
        <v>0</v>
      </c>
      <c r="F28" s="358">
        <f t="shared" ref="F28:Q28" si="19">SUM(F16:F26)</f>
        <v>1700</v>
      </c>
      <c r="G28" s="358">
        <f t="shared" si="19"/>
        <v>4400</v>
      </c>
      <c r="H28" s="358">
        <f t="shared" si="19"/>
        <v>7100</v>
      </c>
      <c r="I28" s="358">
        <f t="shared" si="19"/>
        <v>7100</v>
      </c>
      <c r="J28" s="358">
        <f t="shared" si="19"/>
        <v>7100</v>
      </c>
      <c r="K28" s="358">
        <f t="shared" si="19"/>
        <v>7100</v>
      </c>
      <c r="L28" s="358">
        <f t="shared" si="19"/>
        <v>7100</v>
      </c>
      <c r="M28" s="358">
        <f t="shared" si="19"/>
        <v>7100</v>
      </c>
      <c r="N28" s="358">
        <f t="shared" si="19"/>
        <v>7100</v>
      </c>
      <c r="O28" s="358">
        <f t="shared" si="19"/>
        <v>7100</v>
      </c>
      <c r="P28" s="358">
        <f t="shared" si="19"/>
        <v>7100</v>
      </c>
      <c r="Q28" s="650">
        <f t="shared" si="19"/>
        <v>70000</v>
      </c>
      <c r="R28" s="359">
        <f>SUM(R16:R26)</f>
        <v>47250</v>
      </c>
      <c r="S28" s="358">
        <f t="shared" ref="S28:X28" si="20">SUM(S16:S26)</f>
        <v>47250</v>
      </c>
      <c r="T28" s="358">
        <f t="shared" si="20"/>
        <v>47250</v>
      </c>
      <c r="U28" s="358">
        <f t="shared" si="20"/>
        <v>47250</v>
      </c>
      <c r="V28" s="650">
        <f t="shared" si="20"/>
        <v>189000</v>
      </c>
      <c r="W28" s="651">
        <f t="shared" si="20"/>
        <v>302967</v>
      </c>
      <c r="X28" s="360">
        <f t="shared" si="20"/>
        <v>318115.34999999998</v>
      </c>
    </row>
    <row r="29" spans="1:26" ht="7.5" customHeight="1" thickBot="1" x14ac:dyDescent="0.3">
      <c r="A29" s="757"/>
      <c r="B29" s="758"/>
      <c r="C29" s="758"/>
      <c r="D29" s="758"/>
      <c r="E29" s="758"/>
      <c r="F29" s="758"/>
      <c r="G29" s="758"/>
      <c r="H29" s="758"/>
      <c r="I29" s="758"/>
      <c r="J29" s="758"/>
      <c r="K29" s="758"/>
      <c r="L29" s="758"/>
      <c r="M29" s="758"/>
      <c r="N29" s="758"/>
      <c r="O29" s="758"/>
      <c r="P29" s="758"/>
      <c r="Q29" s="758"/>
      <c r="R29" s="758"/>
      <c r="S29" s="758"/>
      <c r="T29" s="758"/>
      <c r="U29" s="758"/>
      <c r="V29" s="758"/>
      <c r="W29" s="758"/>
      <c r="X29" s="759"/>
    </row>
    <row r="30" spans="1:26" ht="18.75" customHeight="1" thickBot="1" x14ac:dyDescent="0.3">
      <c r="A30" s="629" t="s">
        <v>91</v>
      </c>
      <c r="B30" s="768">
        <f>SUM(Q30,V30,W30,X30)/48</f>
        <v>31265.423958333336</v>
      </c>
      <c r="C30" s="769"/>
      <c r="D30" s="630"/>
      <c r="E30" s="599">
        <f>SUM(E13+E28)</f>
        <v>12000</v>
      </c>
      <c r="F30" s="361">
        <f t="shared" ref="F30:X30" si="21">SUM(F13+F28)</f>
        <v>13700</v>
      </c>
      <c r="G30" s="361">
        <f t="shared" si="21"/>
        <v>16400</v>
      </c>
      <c r="H30" s="361">
        <f t="shared" si="21"/>
        <v>19100</v>
      </c>
      <c r="I30" s="361">
        <f t="shared" si="21"/>
        <v>19100</v>
      </c>
      <c r="J30" s="361">
        <f t="shared" si="21"/>
        <v>19100</v>
      </c>
      <c r="K30" s="361">
        <f t="shared" si="21"/>
        <v>19100</v>
      </c>
      <c r="L30" s="361">
        <f t="shared" si="21"/>
        <v>19100</v>
      </c>
      <c r="M30" s="361">
        <f t="shared" si="21"/>
        <v>19100</v>
      </c>
      <c r="N30" s="361">
        <f t="shared" si="21"/>
        <v>19100</v>
      </c>
      <c r="O30" s="361">
        <f t="shared" si="21"/>
        <v>19100</v>
      </c>
      <c r="P30" s="361">
        <f t="shared" si="21"/>
        <v>19100</v>
      </c>
      <c r="Q30" s="600">
        <f t="shared" si="21"/>
        <v>214000</v>
      </c>
      <c r="R30" s="363">
        <f t="shared" si="21"/>
        <v>85050</v>
      </c>
      <c r="S30" s="361">
        <f t="shared" si="21"/>
        <v>85050</v>
      </c>
      <c r="T30" s="361">
        <f t="shared" si="21"/>
        <v>85050</v>
      </c>
      <c r="U30" s="361">
        <f t="shared" si="21"/>
        <v>85050</v>
      </c>
      <c r="V30" s="600">
        <f t="shared" si="21"/>
        <v>340200</v>
      </c>
      <c r="W30" s="362">
        <f t="shared" si="21"/>
        <v>461727</v>
      </c>
      <c r="X30" s="364">
        <f t="shared" si="21"/>
        <v>484813.35</v>
      </c>
    </row>
    <row r="31" spans="1:26" ht="15.75" thickBot="1" x14ac:dyDescent="0.3">
      <c r="B31" s="631"/>
      <c r="C31" s="632"/>
    </row>
    <row r="32" spans="1:26" ht="15" customHeight="1" x14ac:dyDescent="0.25">
      <c r="A32" s="772" t="s">
        <v>114</v>
      </c>
      <c r="B32" s="770" t="s">
        <v>116</v>
      </c>
      <c r="C32" s="770" t="s">
        <v>45</v>
      </c>
      <c r="D32" s="774" t="s">
        <v>256</v>
      </c>
      <c r="E32" s="751" t="s">
        <v>20</v>
      </c>
      <c r="F32" s="731"/>
      <c r="G32" s="731"/>
      <c r="H32" s="731"/>
      <c r="I32" s="731"/>
      <c r="J32" s="731"/>
      <c r="K32" s="731"/>
      <c r="L32" s="731"/>
      <c r="M32" s="731"/>
      <c r="N32" s="731"/>
      <c r="O32" s="731"/>
      <c r="P32" s="732"/>
      <c r="Q32" s="752" t="s">
        <v>20</v>
      </c>
      <c r="R32" s="730" t="s">
        <v>25</v>
      </c>
      <c r="S32" s="731"/>
      <c r="T32" s="731"/>
      <c r="U32" s="732"/>
      <c r="V32" s="733" t="s">
        <v>25</v>
      </c>
      <c r="W32" s="735" t="s">
        <v>26</v>
      </c>
      <c r="X32" s="737" t="s">
        <v>27</v>
      </c>
      <c r="Z32" s="780" t="s">
        <v>50</v>
      </c>
    </row>
    <row r="33" spans="1:26" ht="15.75" thickBot="1" x14ac:dyDescent="0.3">
      <c r="A33" s="773"/>
      <c r="B33" s="771"/>
      <c r="C33" s="771"/>
      <c r="D33" s="775"/>
      <c r="E33" s="1">
        <v>1</v>
      </c>
      <c r="F33" s="2">
        <v>2</v>
      </c>
      <c r="G33" s="2">
        <v>3</v>
      </c>
      <c r="H33" s="2">
        <v>4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v>11</v>
      </c>
      <c r="P33" s="3">
        <v>12</v>
      </c>
      <c r="Q33" s="753"/>
      <c r="R33" s="4" t="s">
        <v>21</v>
      </c>
      <c r="S33" s="2" t="s">
        <v>22</v>
      </c>
      <c r="T33" s="2" t="s">
        <v>23</v>
      </c>
      <c r="U33" s="2" t="s">
        <v>24</v>
      </c>
      <c r="V33" s="734"/>
      <c r="W33" s="736"/>
      <c r="X33" s="738"/>
      <c r="Z33" s="781"/>
    </row>
    <row r="34" spans="1:26" ht="18.75" customHeight="1" thickTop="1" x14ac:dyDescent="0.25">
      <c r="A34" s="130" t="s">
        <v>55</v>
      </c>
      <c r="B34" s="76">
        <f>Z34</f>
        <v>41895.668104166667</v>
      </c>
      <c r="C34" s="125" t="s">
        <v>46</v>
      </c>
      <c r="D34" s="126" t="s">
        <v>49</v>
      </c>
      <c r="E34" s="6">
        <f>E30*(1+$B$4)</f>
        <v>16080.000000000002</v>
      </c>
      <c r="F34" s="7">
        <f t="shared" ref="F34:X34" si="22">F30*(1+$B$4)</f>
        <v>18358</v>
      </c>
      <c r="G34" s="7">
        <f t="shared" si="22"/>
        <v>21976</v>
      </c>
      <c r="H34" s="7">
        <f t="shared" si="22"/>
        <v>25594</v>
      </c>
      <c r="I34" s="7">
        <f t="shared" si="22"/>
        <v>25594</v>
      </c>
      <c r="J34" s="7">
        <f t="shared" si="22"/>
        <v>25594</v>
      </c>
      <c r="K34" s="7">
        <f t="shared" si="22"/>
        <v>25594</v>
      </c>
      <c r="L34" s="7">
        <f t="shared" si="22"/>
        <v>25594</v>
      </c>
      <c r="M34" s="7">
        <f t="shared" si="22"/>
        <v>25594</v>
      </c>
      <c r="N34" s="7">
        <f t="shared" si="22"/>
        <v>25594</v>
      </c>
      <c r="O34" s="7">
        <f t="shared" si="22"/>
        <v>25594</v>
      </c>
      <c r="P34" s="7">
        <f t="shared" si="22"/>
        <v>25594</v>
      </c>
      <c r="Q34" s="283">
        <f>SUM(E34:P34)</f>
        <v>286760</v>
      </c>
      <c r="R34" s="325">
        <f t="shared" si="22"/>
        <v>113967</v>
      </c>
      <c r="S34" s="325">
        <f t="shared" si="22"/>
        <v>113967</v>
      </c>
      <c r="T34" s="325">
        <f t="shared" si="22"/>
        <v>113967</v>
      </c>
      <c r="U34" s="325">
        <f t="shared" si="22"/>
        <v>113967</v>
      </c>
      <c r="V34" s="283">
        <f>SUM(R34:U34)</f>
        <v>455868</v>
      </c>
      <c r="W34" s="8">
        <f t="shared" si="22"/>
        <v>618714.18000000005</v>
      </c>
      <c r="X34" s="9">
        <f t="shared" si="22"/>
        <v>649649.88899999997</v>
      </c>
      <c r="Z34" s="633">
        <f>((Q34+V34+W34+X34)/4)/12</f>
        <v>41895.668104166667</v>
      </c>
    </row>
    <row r="35" spans="1:26" ht="18.75" customHeight="1" x14ac:dyDescent="0.25">
      <c r="A35" s="131" t="s">
        <v>56</v>
      </c>
      <c r="B35" s="80">
        <f>Z35</f>
        <v>6982.6113506944448</v>
      </c>
      <c r="C35" s="127" t="s">
        <v>47</v>
      </c>
      <c r="D35" s="100">
        <v>5</v>
      </c>
      <c r="E35" s="10">
        <f>($Q$34/12)*IF($D35=IF(MOD(E$33,6)=0,6,MOD(E$33,6)),1,0)</f>
        <v>0</v>
      </c>
      <c r="F35" s="11">
        <f t="shared" ref="F35:P35" si="23">($Q$34/12)*IF($D35=IF(MOD(F$33,6)=0,6,MOD(F$33,6)),1,0)</f>
        <v>0</v>
      </c>
      <c r="G35" s="11">
        <f t="shared" si="23"/>
        <v>0</v>
      </c>
      <c r="H35" s="11">
        <f t="shared" si="23"/>
        <v>0</v>
      </c>
      <c r="I35" s="11">
        <f t="shared" si="23"/>
        <v>23896.666666666668</v>
      </c>
      <c r="J35" s="11">
        <f t="shared" si="23"/>
        <v>0</v>
      </c>
      <c r="K35" s="11">
        <f t="shared" si="23"/>
        <v>0</v>
      </c>
      <c r="L35" s="11">
        <f t="shared" si="23"/>
        <v>0</v>
      </c>
      <c r="M35" s="11">
        <f t="shared" si="23"/>
        <v>0</v>
      </c>
      <c r="N35" s="11">
        <f t="shared" si="23"/>
        <v>0</v>
      </c>
      <c r="O35" s="11">
        <f t="shared" si="23"/>
        <v>23896.666666666668</v>
      </c>
      <c r="P35" s="11">
        <f t="shared" si="23"/>
        <v>0</v>
      </c>
      <c r="Q35" s="620">
        <f t="shared" ref="Q35" si="24">SUM(E35:P35)</f>
        <v>47793.333333333336</v>
      </c>
      <c r="R35" s="326" t="str">
        <f>IF(AND($D35&gt;=1,$D35&lt;=3),$V$34/12,"")</f>
        <v/>
      </c>
      <c r="S35" s="11">
        <f>IF(AND($D35&gt;=4,$D35&lt;=6),$V$34/12,"")</f>
        <v>37989</v>
      </c>
      <c r="T35" s="11" t="str">
        <f>IF(AND($D35&gt;=1,$D35&lt;=3),$V$34/12,"")</f>
        <v/>
      </c>
      <c r="U35" s="11">
        <f>IF(AND($D35&gt;=4,$D35&lt;=6),$V$34/12,"")</f>
        <v>37989</v>
      </c>
      <c r="V35" s="620">
        <f t="shared" ref="V35:V36" si="25">SUM(R35:U35)</f>
        <v>75978</v>
      </c>
      <c r="W35" s="12">
        <f>W34/12*2</f>
        <v>103119.03000000001</v>
      </c>
      <c r="X35" s="13">
        <f>X34/12*2</f>
        <v>108274.98149999999</v>
      </c>
      <c r="Z35" s="634">
        <f>((Q35+V35+W35+X35)/4)/12</f>
        <v>6982.6113506944448</v>
      </c>
    </row>
    <row r="36" spans="1:26" ht="18.75" customHeight="1" thickBot="1" x14ac:dyDescent="0.3">
      <c r="A36" s="134" t="s">
        <v>94</v>
      </c>
      <c r="B36" s="120">
        <f>Z36</f>
        <v>318.75</v>
      </c>
      <c r="C36" s="135" t="s">
        <v>46</v>
      </c>
      <c r="D36" s="136" t="s">
        <v>49</v>
      </c>
      <c r="E36" s="14">
        <f>COUNT(E$8:E$12,E$16:E$27)*$B$3</f>
        <v>120</v>
      </c>
      <c r="F36" s="15">
        <f t="shared" ref="F36:P36" si="26">COUNT(F$8:F$12,F$16:F$27)*$B$3</f>
        <v>150</v>
      </c>
      <c r="G36" s="15">
        <f t="shared" si="26"/>
        <v>180</v>
      </c>
      <c r="H36" s="15">
        <f t="shared" si="26"/>
        <v>210</v>
      </c>
      <c r="I36" s="15">
        <f t="shared" si="26"/>
        <v>210</v>
      </c>
      <c r="J36" s="15">
        <f t="shared" si="26"/>
        <v>210</v>
      </c>
      <c r="K36" s="15">
        <f t="shared" si="26"/>
        <v>210</v>
      </c>
      <c r="L36" s="15">
        <f t="shared" si="26"/>
        <v>210</v>
      </c>
      <c r="M36" s="15">
        <f t="shared" si="26"/>
        <v>210</v>
      </c>
      <c r="N36" s="15">
        <f t="shared" si="26"/>
        <v>210</v>
      </c>
      <c r="O36" s="15">
        <f t="shared" si="26"/>
        <v>210</v>
      </c>
      <c r="P36" s="15">
        <f t="shared" si="26"/>
        <v>210</v>
      </c>
      <c r="Q36" s="285">
        <f t="shared" ref="Q36" si="27">SUM(E36:P36)</f>
        <v>2340</v>
      </c>
      <c r="R36" s="628">
        <f>(COUNT(R$8:R$12,R$16:R$27)*3)*$B$3</f>
        <v>900</v>
      </c>
      <c r="S36" s="15">
        <f t="shared" ref="S36:U36" si="28">(COUNT(S$8:S$12,S$16:S$27)*3)*$B$3</f>
        <v>900</v>
      </c>
      <c r="T36" s="15">
        <f t="shared" si="28"/>
        <v>900</v>
      </c>
      <c r="U36" s="15">
        <f t="shared" si="28"/>
        <v>900</v>
      </c>
      <c r="V36" s="285">
        <f t="shared" si="25"/>
        <v>3600</v>
      </c>
      <c r="W36" s="16">
        <f>(COUNT(W$8:W$12,W$16:W$27)*12)*$B$3</f>
        <v>4680</v>
      </c>
      <c r="X36" s="17">
        <f>(COUNT(X$8:X$12,X$16:X$27)*12)*$B$3</f>
        <v>4680</v>
      </c>
      <c r="Z36" s="634">
        <f>((Q36+V36+W36+X36)/4)/12</f>
        <v>318.75</v>
      </c>
    </row>
    <row r="37" spans="1:26" ht="7.5" customHeight="1" thickTop="1" thickBot="1" x14ac:dyDescent="0.3">
      <c r="A37" s="132"/>
      <c r="B37" s="133"/>
      <c r="C37" s="128"/>
      <c r="D37" s="129"/>
      <c r="E37" s="29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2"/>
      <c r="R37" s="33"/>
      <c r="S37" s="30"/>
      <c r="T37" s="30"/>
      <c r="U37" s="30"/>
      <c r="V37" s="32"/>
      <c r="W37" s="35"/>
      <c r="X37" s="36"/>
      <c r="Z37" s="635"/>
    </row>
    <row r="38" spans="1:26" ht="18.75" customHeight="1" thickBot="1" x14ac:dyDescent="0.3">
      <c r="A38" s="636" t="s">
        <v>57</v>
      </c>
      <c r="B38" s="637">
        <f>Z38</f>
        <v>49197.029454861113</v>
      </c>
      <c r="D38" s="638"/>
      <c r="E38" s="624">
        <f>SUM(E34:E37)</f>
        <v>16200.000000000002</v>
      </c>
      <c r="F38" s="625">
        <f t="shared" ref="F38:X38" si="29">SUM(F34:F37)</f>
        <v>18508</v>
      </c>
      <c r="G38" s="625">
        <f t="shared" si="29"/>
        <v>22156</v>
      </c>
      <c r="H38" s="625">
        <f t="shared" si="29"/>
        <v>25804</v>
      </c>
      <c r="I38" s="625">
        <f t="shared" si="29"/>
        <v>49700.666666666672</v>
      </c>
      <c r="J38" s="625">
        <f t="shared" si="29"/>
        <v>25804</v>
      </c>
      <c r="K38" s="625">
        <f t="shared" si="29"/>
        <v>25804</v>
      </c>
      <c r="L38" s="625">
        <f t="shared" si="29"/>
        <v>25804</v>
      </c>
      <c r="M38" s="625">
        <f t="shared" si="29"/>
        <v>25804</v>
      </c>
      <c r="N38" s="625">
        <f t="shared" si="29"/>
        <v>25804</v>
      </c>
      <c r="O38" s="625">
        <f t="shared" si="29"/>
        <v>49700.666666666672</v>
      </c>
      <c r="P38" s="625">
        <f t="shared" si="29"/>
        <v>25804</v>
      </c>
      <c r="Q38" s="39">
        <f t="shared" si="29"/>
        <v>336893.33333333331</v>
      </c>
      <c r="R38" s="639">
        <f t="shared" si="29"/>
        <v>114867</v>
      </c>
      <c r="S38" s="625">
        <f t="shared" si="29"/>
        <v>152856</v>
      </c>
      <c r="T38" s="625">
        <f t="shared" si="29"/>
        <v>114867</v>
      </c>
      <c r="U38" s="625">
        <f t="shared" si="29"/>
        <v>152856</v>
      </c>
      <c r="V38" s="39">
        <f t="shared" si="29"/>
        <v>535446</v>
      </c>
      <c r="W38" s="41">
        <f t="shared" si="29"/>
        <v>726513.21000000008</v>
      </c>
      <c r="X38" s="42">
        <f t="shared" si="29"/>
        <v>762604.87049999996</v>
      </c>
      <c r="Z38" s="640">
        <f>SUM(Z34:Z37)</f>
        <v>49197.029454861113</v>
      </c>
    </row>
    <row r="39" spans="1:26" ht="15.75" thickBot="1" x14ac:dyDescent="0.3">
      <c r="B39" s="631"/>
      <c r="C39" s="632"/>
    </row>
    <row r="40" spans="1:26" ht="15" customHeight="1" x14ac:dyDescent="0.25">
      <c r="A40" s="772" t="s">
        <v>44</v>
      </c>
      <c r="B40" s="770" t="s">
        <v>19</v>
      </c>
      <c r="C40" s="770" t="s">
        <v>45</v>
      </c>
      <c r="D40" s="774" t="s">
        <v>256</v>
      </c>
      <c r="E40" s="751" t="s">
        <v>20</v>
      </c>
      <c r="F40" s="731"/>
      <c r="G40" s="731"/>
      <c r="H40" s="731"/>
      <c r="I40" s="731"/>
      <c r="J40" s="731"/>
      <c r="K40" s="731"/>
      <c r="L40" s="731"/>
      <c r="M40" s="731"/>
      <c r="N40" s="731"/>
      <c r="O40" s="731"/>
      <c r="P40" s="732"/>
      <c r="Q40" s="752" t="s">
        <v>20</v>
      </c>
      <c r="R40" s="730" t="s">
        <v>25</v>
      </c>
      <c r="S40" s="731"/>
      <c r="T40" s="731"/>
      <c r="U40" s="732"/>
      <c r="V40" s="733" t="s">
        <v>25</v>
      </c>
      <c r="W40" s="735" t="s">
        <v>26</v>
      </c>
      <c r="X40" s="737" t="s">
        <v>27</v>
      </c>
      <c r="Z40" s="780" t="s">
        <v>50</v>
      </c>
    </row>
    <row r="41" spans="1:26" ht="15.75" thickBot="1" x14ac:dyDescent="0.3">
      <c r="A41" s="773"/>
      <c r="B41" s="771"/>
      <c r="C41" s="771"/>
      <c r="D41" s="775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53"/>
      <c r="R41" s="4" t="s">
        <v>21</v>
      </c>
      <c r="S41" s="2" t="s">
        <v>22</v>
      </c>
      <c r="T41" s="2" t="s">
        <v>23</v>
      </c>
      <c r="U41" s="2" t="s">
        <v>24</v>
      </c>
      <c r="V41" s="734"/>
      <c r="W41" s="736"/>
      <c r="X41" s="738"/>
      <c r="Z41" s="781"/>
    </row>
    <row r="42" spans="1:26" ht="18.75" customHeight="1" thickTop="1" x14ac:dyDescent="0.25">
      <c r="A42" s="96"/>
      <c r="B42" s="18"/>
      <c r="C42" s="19"/>
      <c r="D42" s="20"/>
      <c r="E42" s="6">
        <f>IF(AND($C42="j",$D42=E$41),$B42,IF($C42="h",$B42*IF($D42=IF(MOD(E$41,6)=0,6,MOD(E$41,6)),1,0),IF($C42="q",$B42*IF($D42=IF(MOD(E$41,3)=0,3,MOD(E$41,3)),1,0),IF($C42="z",$B42*IF($D42=IF(MOD(E$41,2)=0,2,MOD(E$41,2)),1,0),IF($C42="m",$B42,0)))))</f>
        <v>0</v>
      </c>
      <c r="F42" s="7">
        <f t="shared" ref="F42:P45" si="30">IF(AND($C42="j",$D42=F$41),$B42,IF($C42="h",$B42*IF($D42=IF(MOD(F$41,6)=0,6,MOD(F$41,6)),1,0),IF($C42="q",$B42*IF($D42=IF(MOD(F$41,3)=0,3,MOD(F$41,3)),1,0),IF($C42="z",$B42*IF($D42=IF(MOD(F$41,2)=0,2,MOD(F$41,2)),1,0),IF($C42="m",$B42,0)))))</f>
        <v>0</v>
      </c>
      <c r="G42" s="7">
        <f t="shared" si="30"/>
        <v>0</v>
      </c>
      <c r="H42" s="7">
        <f t="shared" si="30"/>
        <v>0</v>
      </c>
      <c r="I42" s="7">
        <f t="shared" si="30"/>
        <v>0</v>
      </c>
      <c r="J42" s="7">
        <f t="shared" si="30"/>
        <v>0</v>
      </c>
      <c r="K42" s="7">
        <f t="shared" si="30"/>
        <v>0</v>
      </c>
      <c r="L42" s="7">
        <f t="shared" si="30"/>
        <v>0</v>
      </c>
      <c r="M42" s="7">
        <f t="shared" si="30"/>
        <v>0</v>
      </c>
      <c r="N42" s="7">
        <f t="shared" si="30"/>
        <v>0</v>
      </c>
      <c r="O42" s="7">
        <f t="shared" si="30"/>
        <v>0</v>
      </c>
      <c r="P42" s="7">
        <f t="shared" si="30"/>
        <v>0</v>
      </c>
      <c r="Q42" s="283">
        <f>SUM(E42:P42)</f>
        <v>0</v>
      </c>
      <c r="R42" s="325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7">
        <f>IF(AND($C42="j",$D42&gt;=10,$D42&lt;=12),$B42,IF(AND($C42="h",$D42&gt;=4,$D42&lt;=6),$B42,IF(AND($C42="q",$D42&gt;=1,$D42&lt;=3),$B42,IF($C42="z",IF($D42=2,2*$B42,$B42),IF($C42="m",3*$B42,0)))))</f>
        <v>0</v>
      </c>
      <c r="V42" s="283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633">
        <f>Q42/12</f>
        <v>0</v>
      </c>
    </row>
    <row r="43" spans="1:26" ht="18.75" customHeight="1" x14ac:dyDescent="0.25">
      <c r="A43" s="97"/>
      <c r="B43" s="98"/>
      <c r="C43" s="99"/>
      <c r="D43" s="100"/>
      <c r="E43" s="10">
        <f t="shared" ref="E43:E45" si="31">IF(AND($C43="j",$D43=E$41),$B43,IF($C43="h",$B43*IF($D43=IF(MOD(E$41,6)=0,6,MOD(E$41,6)),1,0),IF($C43="q",$B43*IF($D43=IF(MOD(E$41,3)=0,3,MOD(E$41,3)),1,0),IF($C43="z",$B43*IF($D43=IF(MOD(E$41,2)=0,2,MOD(E$41,2)),1,0),IF($C43="m",$B43,0)))))</f>
        <v>0</v>
      </c>
      <c r="F43" s="11">
        <f t="shared" si="30"/>
        <v>0</v>
      </c>
      <c r="G43" s="11">
        <f t="shared" si="30"/>
        <v>0</v>
      </c>
      <c r="H43" s="11">
        <f t="shared" si="30"/>
        <v>0</v>
      </c>
      <c r="I43" s="11">
        <f t="shared" si="30"/>
        <v>0</v>
      </c>
      <c r="J43" s="11">
        <f t="shared" si="30"/>
        <v>0</v>
      </c>
      <c r="K43" s="11">
        <f t="shared" si="30"/>
        <v>0</v>
      </c>
      <c r="L43" s="11">
        <f t="shared" si="30"/>
        <v>0</v>
      </c>
      <c r="M43" s="11">
        <f t="shared" si="30"/>
        <v>0</v>
      </c>
      <c r="N43" s="11">
        <f t="shared" si="30"/>
        <v>0</v>
      </c>
      <c r="O43" s="11">
        <f t="shared" si="30"/>
        <v>0</v>
      </c>
      <c r="P43" s="11">
        <f t="shared" si="30"/>
        <v>0</v>
      </c>
      <c r="Q43" s="620">
        <f t="shared" ref="Q43:Q45" si="32">SUM(E43:P43)</f>
        <v>0</v>
      </c>
      <c r="R43" s="326">
        <f t="shared" ref="R43:R45" si="33">IF(AND($C43="j",$D43&gt;=1,$D43&lt;=3),$B43,IF(AND($C43="h",$D43&gt;=1,$D43&lt;=3),$B43,IF(AND($C43="q",$D43&gt;=1,$D43&lt;=3),$B43,IF($C43="z",IF($D43=1,2*$B43,$B43),IF($C43="m",3*$B43,0)))))</f>
        <v>0</v>
      </c>
      <c r="S43" s="11">
        <f t="shared" ref="S43:S45" si="34">IF(AND($C43="j",$D43&gt;=4,$D43&lt;=6),$B43,IF(AND($C43="h",$D43&gt;=4,$D43&lt;=6),$B43,IF(AND($C43="q",$D43&gt;=1,$D43&lt;=3),$B43,IF($C43="z",IF($D43=2,2*$B43,$B43),IF($C43="m",3*$B43,0)))))</f>
        <v>0</v>
      </c>
      <c r="T43" s="11">
        <f t="shared" ref="T43:T45" si="35">IF(AND($C43="j",$D43&gt;=7,$D43&lt;=9),$B43,IF(AND($C43="h",$D43&gt;=1,$D43&lt;=3),$B43,IF(AND($C43="q",$D43&gt;=1,$D43&lt;=3),$B43,IF($C43="z",IF($D43=1,2*$B43,$B43),IF($C43="m",3*$B43,0)))))</f>
        <v>0</v>
      </c>
      <c r="U43" s="11">
        <f t="shared" ref="U43:U45" si="36">IF(AND($C43="j",$D43&gt;=10,$D43&lt;=12),$B43,IF(AND($C43="h",$D43&gt;=4,$D43&lt;=6),$B43,IF(AND($C43="q",$D43&gt;=1,$D43&lt;=3),$B43,IF($C43="z",IF($D43=2,2*$B43,$B43),IF($C43="m",3*$B43,0)))))</f>
        <v>0</v>
      </c>
      <c r="V43" s="620">
        <f t="shared" ref="V43:V45" si="37">SUM(R43:U43)</f>
        <v>0</v>
      </c>
      <c r="W43" s="12">
        <f t="shared" ref="W43:X45" si="38">IF($C43="j",$B43,IF($C43="h",2*$B43,IF($C43="q",4*$B43,IF($C43="z",6*$B43,12*$B43))))</f>
        <v>0</v>
      </c>
      <c r="X43" s="13">
        <f t="shared" si="38"/>
        <v>0</v>
      </c>
      <c r="Z43" s="634">
        <f t="shared" ref="Z43:Z45" si="39">Q43/12</f>
        <v>0</v>
      </c>
    </row>
    <row r="44" spans="1:26" ht="18.75" customHeight="1" x14ac:dyDescent="0.25">
      <c r="A44" s="97"/>
      <c r="B44" s="98"/>
      <c r="C44" s="99"/>
      <c r="D44" s="100"/>
      <c r="E44" s="10">
        <f t="shared" si="31"/>
        <v>0</v>
      </c>
      <c r="F44" s="11">
        <f t="shared" si="30"/>
        <v>0</v>
      </c>
      <c r="G44" s="11">
        <f t="shared" si="30"/>
        <v>0</v>
      </c>
      <c r="H44" s="11">
        <f t="shared" si="30"/>
        <v>0</v>
      </c>
      <c r="I44" s="11">
        <f t="shared" si="30"/>
        <v>0</v>
      </c>
      <c r="J44" s="11">
        <f t="shared" si="30"/>
        <v>0</v>
      </c>
      <c r="K44" s="11">
        <f t="shared" si="30"/>
        <v>0</v>
      </c>
      <c r="L44" s="11">
        <f t="shared" si="30"/>
        <v>0</v>
      </c>
      <c r="M44" s="11">
        <f t="shared" si="30"/>
        <v>0</v>
      </c>
      <c r="N44" s="11">
        <f t="shared" si="30"/>
        <v>0</v>
      </c>
      <c r="O44" s="11">
        <f t="shared" si="30"/>
        <v>0</v>
      </c>
      <c r="P44" s="11">
        <f t="shared" si="30"/>
        <v>0</v>
      </c>
      <c r="Q44" s="620">
        <f t="shared" si="32"/>
        <v>0</v>
      </c>
      <c r="R44" s="326">
        <f t="shared" si="33"/>
        <v>0</v>
      </c>
      <c r="S44" s="11">
        <f t="shared" si="34"/>
        <v>0</v>
      </c>
      <c r="T44" s="11">
        <f t="shared" si="35"/>
        <v>0</v>
      </c>
      <c r="U44" s="11">
        <f t="shared" si="36"/>
        <v>0</v>
      </c>
      <c r="V44" s="620">
        <f t="shared" si="37"/>
        <v>0</v>
      </c>
      <c r="W44" s="12">
        <f t="shared" si="38"/>
        <v>0</v>
      </c>
      <c r="X44" s="13">
        <f t="shared" si="38"/>
        <v>0</v>
      </c>
      <c r="Z44" s="634">
        <f t="shared" si="39"/>
        <v>0</v>
      </c>
    </row>
    <row r="45" spans="1:26" ht="18.75" customHeight="1" thickBot="1" x14ac:dyDescent="0.3">
      <c r="A45" s="101"/>
      <c r="B45" s="102"/>
      <c r="C45" s="103"/>
      <c r="D45" s="104"/>
      <c r="E45" s="14">
        <f t="shared" si="31"/>
        <v>0</v>
      </c>
      <c r="F45" s="15">
        <f t="shared" si="30"/>
        <v>0</v>
      </c>
      <c r="G45" s="15">
        <f t="shared" si="30"/>
        <v>0</v>
      </c>
      <c r="H45" s="15">
        <f t="shared" si="30"/>
        <v>0</v>
      </c>
      <c r="I45" s="15">
        <f t="shared" si="30"/>
        <v>0</v>
      </c>
      <c r="J45" s="15">
        <f t="shared" si="30"/>
        <v>0</v>
      </c>
      <c r="K45" s="15">
        <f t="shared" si="30"/>
        <v>0</v>
      </c>
      <c r="L45" s="15">
        <f t="shared" si="30"/>
        <v>0</v>
      </c>
      <c r="M45" s="15">
        <f t="shared" si="30"/>
        <v>0</v>
      </c>
      <c r="N45" s="15">
        <f t="shared" si="30"/>
        <v>0</v>
      </c>
      <c r="O45" s="15">
        <f t="shared" si="30"/>
        <v>0</v>
      </c>
      <c r="P45" s="15">
        <f t="shared" si="30"/>
        <v>0</v>
      </c>
      <c r="Q45" s="285">
        <f t="shared" si="32"/>
        <v>0</v>
      </c>
      <c r="R45" s="628">
        <f t="shared" si="33"/>
        <v>0</v>
      </c>
      <c r="S45" s="15">
        <f t="shared" si="34"/>
        <v>0</v>
      </c>
      <c r="T45" s="15">
        <f t="shared" si="35"/>
        <v>0</v>
      </c>
      <c r="U45" s="15">
        <f t="shared" si="36"/>
        <v>0</v>
      </c>
      <c r="V45" s="285">
        <f t="shared" si="37"/>
        <v>0</v>
      </c>
      <c r="W45" s="16">
        <f t="shared" si="38"/>
        <v>0</v>
      </c>
      <c r="X45" s="17">
        <f t="shared" si="38"/>
        <v>0</v>
      </c>
      <c r="Z45" s="641">
        <f t="shared" si="39"/>
        <v>0</v>
      </c>
    </row>
    <row r="46" spans="1:26" ht="7.5" customHeight="1" thickTop="1" thickBot="1" x14ac:dyDescent="0.3">
      <c r="A46" s="105"/>
      <c r="B46" s="106"/>
      <c r="C46" s="107"/>
      <c r="D46" s="108"/>
      <c r="E46" s="29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2"/>
      <c r="R46" s="33"/>
      <c r="S46" s="30"/>
      <c r="T46" s="30"/>
      <c r="U46" s="30"/>
      <c r="V46" s="32"/>
      <c r="W46" s="35"/>
      <c r="X46" s="36"/>
      <c r="Z46" s="635"/>
    </row>
    <row r="47" spans="1:26" ht="18.75" customHeight="1" thickBot="1" x14ac:dyDescent="0.3">
      <c r="A47" s="636" t="s">
        <v>51</v>
      </c>
      <c r="B47" s="637">
        <f>Z47</f>
        <v>0</v>
      </c>
      <c r="E47" s="624">
        <f>SUM(E42:E45)</f>
        <v>0</v>
      </c>
      <c r="F47" s="625">
        <f t="shared" ref="F47:X47" si="40">SUM(F42:F45)</f>
        <v>0</v>
      </c>
      <c r="G47" s="625">
        <f t="shared" si="40"/>
        <v>0</v>
      </c>
      <c r="H47" s="625">
        <f t="shared" si="40"/>
        <v>0</v>
      </c>
      <c r="I47" s="625">
        <f t="shared" si="40"/>
        <v>0</v>
      </c>
      <c r="J47" s="625">
        <f t="shared" si="40"/>
        <v>0</v>
      </c>
      <c r="K47" s="625">
        <f t="shared" si="40"/>
        <v>0</v>
      </c>
      <c r="L47" s="625">
        <f t="shared" si="40"/>
        <v>0</v>
      </c>
      <c r="M47" s="625">
        <f t="shared" si="40"/>
        <v>0</v>
      </c>
      <c r="N47" s="625">
        <f t="shared" si="40"/>
        <v>0</v>
      </c>
      <c r="O47" s="625">
        <f t="shared" si="40"/>
        <v>0</v>
      </c>
      <c r="P47" s="625">
        <f t="shared" si="40"/>
        <v>0</v>
      </c>
      <c r="Q47" s="39">
        <f t="shared" si="40"/>
        <v>0</v>
      </c>
      <c r="R47" s="639">
        <f t="shared" si="40"/>
        <v>0</v>
      </c>
      <c r="S47" s="625">
        <f t="shared" si="40"/>
        <v>0</v>
      </c>
      <c r="T47" s="625">
        <f t="shared" si="40"/>
        <v>0</v>
      </c>
      <c r="U47" s="625">
        <f t="shared" si="40"/>
        <v>0</v>
      </c>
      <c r="V47" s="39">
        <f t="shared" si="40"/>
        <v>0</v>
      </c>
      <c r="W47" s="41">
        <f t="shared" si="40"/>
        <v>0</v>
      </c>
      <c r="X47" s="42">
        <f t="shared" si="40"/>
        <v>0</v>
      </c>
      <c r="Z47" s="640">
        <f>SUM(Z42:Z45)</f>
        <v>0</v>
      </c>
    </row>
    <row r="48" spans="1:26" ht="15.75" thickBot="1" x14ac:dyDescent="0.3"/>
    <row r="49" spans="1:26" ht="15" customHeight="1" x14ac:dyDescent="0.25">
      <c r="A49" s="772" t="s">
        <v>58</v>
      </c>
      <c r="B49" s="770" t="s">
        <v>19</v>
      </c>
      <c r="C49" s="770" t="s">
        <v>45</v>
      </c>
      <c r="D49" s="774" t="s">
        <v>256</v>
      </c>
      <c r="E49" s="751" t="s">
        <v>20</v>
      </c>
      <c r="F49" s="731"/>
      <c r="G49" s="731"/>
      <c r="H49" s="731"/>
      <c r="I49" s="731"/>
      <c r="J49" s="731"/>
      <c r="K49" s="731"/>
      <c r="L49" s="731"/>
      <c r="M49" s="731"/>
      <c r="N49" s="731"/>
      <c r="O49" s="731"/>
      <c r="P49" s="732"/>
      <c r="Q49" s="752" t="s">
        <v>20</v>
      </c>
      <c r="R49" s="730" t="s">
        <v>25</v>
      </c>
      <c r="S49" s="731"/>
      <c r="T49" s="731"/>
      <c r="U49" s="732"/>
      <c r="V49" s="733" t="s">
        <v>25</v>
      </c>
      <c r="W49" s="735" t="s">
        <v>26</v>
      </c>
      <c r="X49" s="737" t="s">
        <v>27</v>
      </c>
      <c r="Z49" s="780" t="s">
        <v>50</v>
      </c>
    </row>
    <row r="50" spans="1:26" ht="15.75" thickBot="1" x14ac:dyDescent="0.3">
      <c r="A50" s="773"/>
      <c r="B50" s="771"/>
      <c r="C50" s="771"/>
      <c r="D50" s="775"/>
      <c r="E50" s="1">
        <v>1</v>
      </c>
      <c r="F50" s="2">
        <v>2</v>
      </c>
      <c r="G50" s="2">
        <v>3</v>
      </c>
      <c r="H50" s="2">
        <v>4</v>
      </c>
      <c r="I50" s="2">
        <v>5</v>
      </c>
      <c r="J50" s="2">
        <v>6</v>
      </c>
      <c r="K50" s="2">
        <v>7</v>
      </c>
      <c r="L50" s="2">
        <v>8</v>
      </c>
      <c r="M50" s="2">
        <v>9</v>
      </c>
      <c r="N50" s="2">
        <v>10</v>
      </c>
      <c r="O50" s="2">
        <v>11</v>
      </c>
      <c r="P50" s="3">
        <v>12</v>
      </c>
      <c r="Q50" s="753"/>
      <c r="R50" s="4" t="s">
        <v>21</v>
      </c>
      <c r="S50" s="2" t="s">
        <v>22</v>
      </c>
      <c r="T50" s="2" t="s">
        <v>23</v>
      </c>
      <c r="U50" s="2" t="s">
        <v>24</v>
      </c>
      <c r="V50" s="734"/>
      <c r="W50" s="736"/>
      <c r="X50" s="738"/>
      <c r="Z50" s="781"/>
    </row>
    <row r="51" spans="1:26" ht="18.75" customHeight="1" thickTop="1" x14ac:dyDescent="0.25">
      <c r="A51" s="96"/>
      <c r="B51" s="18"/>
      <c r="C51" s="19"/>
      <c r="D51" s="20"/>
      <c r="E51" s="6">
        <f>IF(AND($C51="j",$D51=E$41),$B51,IF($C51="h",$B51*IF($D51=IF(MOD(E$41,6)=0,6,MOD(E$41,6)),1,0),IF($C51="q",$B51*IF($D51=IF(MOD(E$41,3)=0,3,MOD(E$41,3)),1,0),IF($C51="z",$B51*IF($D51=IF(MOD(E$41,2)=0,2,MOD(E$41,2)),1,0),IF($C51="m",$B51,0)))))</f>
        <v>0</v>
      </c>
      <c r="F51" s="7">
        <f t="shared" ref="F51:P54" si="41">IF(AND($C51="j",$D51=F$41),$B51,IF($C51="h",$B51*IF($D51=IF(MOD(F$41,6)=0,6,MOD(F$41,6)),1,0),IF($C51="q",$B51*IF($D51=IF(MOD(F$41,3)=0,3,MOD(F$41,3)),1,0),IF($C51="z",$B51*IF($D51=IF(MOD(F$41,2)=0,2,MOD(F$41,2)),1,0),IF($C51="m",$B51,0)))))</f>
        <v>0</v>
      </c>
      <c r="G51" s="7">
        <f t="shared" si="41"/>
        <v>0</v>
      </c>
      <c r="H51" s="7">
        <f t="shared" si="41"/>
        <v>0</v>
      </c>
      <c r="I51" s="7">
        <f t="shared" si="41"/>
        <v>0</v>
      </c>
      <c r="J51" s="7">
        <f t="shared" si="41"/>
        <v>0</v>
      </c>
      <c r="K51" s="7">
        <f t="shared" si="41"/>
        <v>0</v>
      </c>
      <c r="L51" s="7">
        <f t="shared" si="41"/>
        <v>0</v>
      </c>
      <c r="M51" s="7">
        <f t="shared" si="41"/>
        <v>0</v>
      </c>
      <c r="N51" s="7">
        <f t="shared" si="41"/>
        <v>0</v>
      </c>
      <c r="O51" s="7">
        <f t="shared" si="41"/>
        <v>0</v>
      </c>
      <c r="P51" s="7">
        <f t="shared" si="41"/>
        <v>0</v>
      </c>
      <c r="Q51" s="283">
        <f>SUM(E51:P51)</f>
        <v>0</v>
      </c>
      <c r="R51" s="325">
        <f>IF(AND($C51="j",$D51&gt;=1,$D51&lt;=3),$B51,IF(AND($C51="h",$D51&gt;=1,$D51&lt;=3),$B51,IF(AND($C51="q",$D51&gt;=1,$D51&lt;=3),$B51,IF($C51="z",IF($D51=1,2*$B51,$B51),IF($C51="m",3*$B51,0)))))</f>
        <v>0</v>
      </c>
      <c r="S51" s="7">
        <f>IF(AND($C51="j",$D51&gt;=4,$D51&lt;=6),$B51,IF(AND($C51="h",$D51&gt;=4,$D51&lt;=6),$B51,IF(AND($C51="q",$D51&gt;=1,$D51&lt;=3),$B51,IF($C51="z",IF($D51=2,2*$B51,$B51),IF($C51="m",3*$B51,0)))))</f>
        <v>0</v>
      </c>
      <c r="T51" s="7">
        <f>IF(AND($C51="j",$D51&gt;=7,$D51&lt;=9),$B51,IF(AND($C51="h",$D51&gt;=1,$D51&lt;=3),$B51,IF(AND($C51="q",$D51&gt;=1,$D51&lt;=3),$B51,IF($C51="z",IF($D51=1,2*$B51,$B51),IF($C51="m",3*$B51,0)))))</f>
        <v>0</v>
      </c>
      <c r="U51" s="7">
        <f>IF(AND($C51="j",$D51&gt;=10,$D51&lt;=12),$B51,IF(AND($C51="h",$D51&gt;=4,$D51&lt;=6),$B51,IF(AND($C51="q",$D51&gt;=1,$D51&lt;=3),$B51,IF($C51="z",IF($D51=2,2*$B51,$B51),IF($C51="m",3*$B51,0)))))</f>
        <v>0</v>
      </c>
      <c r="V51" s="283">
        <f>SUM(R51:U51)</f>
        <v>0</v>
      </c>
      <c r="W51" s="8">
        <f>IF($C51="j",$B51,IF($C51="h",2*$B51,IF($C51="q",4*$B51,IF($C51="z",6*$B51,12*$B51))))</f>
        <v>0</v>
      </c>
      <c r="X51" s="9">
        <f>IF($C51="j",$B51,IF($C51="h",2*$B51,IF($C51="q",4*$B51,IF($C51="z",6*$B51,12*$B51))))</f>
        <v>0</v>
      </c>
      <c r="Z51" s="633">
        <f>Q51/12</f>
        <v>0</v>
      </c>
    </row>
    <row r="52" spans="1:26" ht="18.75" customHeight="1" x14ac:dyDescent="0.25">
      <c r="A52" s="97"/>
      <c r="B52" s="98"/>
      <c r="C52" s="99"/>
      <c r="D52" s="100"/>
      <c r="E52" s="10">
        <f t="shared" ref="E52:E54" si="42">IF(AND($C52="j",$D52=E$41),$B52,IF($C52="h",$B52*IF($D52=IF(MOD(E$41,6)=0,6,MOD(E$41,6)),1,0),IF($C52="q",$B52*IF($D52=IF(MOD(E$41,3)=0,3,MOD(E$41,3)),1,0),IF($C52="z",$B52*IF($D52=IF(MOD(E$41,2)=0,2,MOD(E$41,2)),1,0),IF($C52="m",$B52,0)))))</f>
        <v>0</v>
      </c>
      <c r="F52" s="11">
        <f t="shared" si="41"/>
        <v>0</v>
      </c>
      <c r="G52" s="11">
        <f t="shared" si="41"/>
        <v>0</v>
      </c>
      <c r="H52" s="11">
        <f t="shared" si="41"/>
        <v>0</v>
      </c>
      <c r="I52" s="11">
        <f t="shared" si="41"/>
        <v>0</v>
      </c>
      <c r="J52" s="11">
        <f t="shared" si="41"/>
        <v>0</v>
      </c>
      <c r="K52" s="11">
        <f t="shared" si="41"/>
        <v>0</v>
      </c>
      <c r="L52" s="11">
        <f t="shared" si="41"/>
        <v>0</v>
      </c>
      <c r="M52" s="11">
        <f t="shared" si="41"/>
        <v>0</v>
      </c>
      <c r="N52" s="11">
        <f t="shared" si="41"/>
        <v>0</v>
      </c>
      <c r="O52" s="11">
        <f t="shared" si="41"/>
        <v>0</v>
      </c>
      <c r="P52" s="11">
        <f t="shared" si="41"/>
        <v>0</v>
      </c>
      <c r="Q52" s="620">
        <f t="shared" ref="Q52:Q54" si="43">SUM(E52:P52)</f>
        <v>0</v>
      </c>
      <c r="R52" s="326">
        <f t="shared" ref="R52:R54" si="44">IF(AND($C52="j",$D52&gt;=1,$D52&lt;=3),$B52,IF(AND($C52="h",$D52&gt;=1,$D52&lt;=3),$B52,IF(AND($C52="q",$D52&gt;=1,$D52&lt;=3),$B52,IF($C52="z",IF($D52=1,2*$B52,$B52),IF($C52="m",3*$B52,0)))))</f>
        <v>0</v>
      </c>
      <c r="S52" s="11">
        <f t="shared" ref="S52:S54" si="45">IF(AND($C52="j",$D52&gt;=4,$D52&lt;=6),$B52,IF(AND($C52="h",$D52&gt;=4,$D52&lt;=6),$B52,IF(AND($C52="q",$D52&gt;=1,$D52&lt;=3),$B52,IF($C52="z",IF($D52=2,2*$B52,$B52),IF($C52="m",3*$B52,0)))))</f>
        <v>0</v>
      </c>
      <c r="T52" s="11">
        <f t="shared" ref="T52:T54" si="46">IF(AND($C52="j",$D52&gt;=7,$D52&lt;=9),$B52,IF(AND($C52="h",$D52&gt;=1,$D52&lt;=3),$B52,IF(AND($C52="q",$D52&gt;=1,$D52&lt;=3),$B52,IF($C52="z",IF($D52=1,2*$B52,$B52),IF($C52="m",3*$B52,0)))))</f>
        <v>0</v>
      </c>
      <c r="U52" s="11">
        <f t="shared" ref="U52:U54" si="47">IF(AND($C52="j",$D52&gt;=10,$D52&lt;=12),$B52,IF(AND($C52="h",$D52&gt;=4,$D52&lt;=6),$B52,IF(AND($C52="q",$D52&gt;=1,$D52&lt;=3),$B52,IF($C52="z",IF($D52=2,2*$B52,$B52),IF($C52="m",3*$B52,0)))))</f>
        <v>0</v>
      </c>
      <c r="V52" s="620">
        <f t="shared" ref="V52:V54" si="48">SUM(R52:U52)</f>
        <v>0</v>
      </c>
      <c r="W52" s="12">
        <f t="shared" ref="W52:X54" si="49">IF($C52="j",$B52,IF($C52="h",2*$B52,IF($C52="q",4*$B52,IF($C52="z",6*$B52,12*$B52))))</f>
        <v>0</v>
      </c>
      <c r="X52" s="13">
        <f t="shared" si="49"/>
        <v>0</v>
      </c>
      <c r="Z52" s="634">
        <f t="shared" ref="Z52:Z54" si="50">Q52/12</f>
        <v>0</v>
      </c>
    </row>
    <row r="53" spans="1:26" ht="18.75" customHeight="1" x14ac:dyDescent="0.25">
      <c r="A53" s="97"/>
      <c r="B53" s="98"/>
      <c r="C53" s="99"/>
      <c r="D53" s="100"/>
      <c r="E53" s="10">
        <f t="shared" si="42"/>
        <v>0</v>
      </c>
      <c r="F53" s="11">
        <f t="shared" si="41"/>
        <v>0</v>
      </c>
      <c r="G53" s="11">
        <f t="shared" si="41"/>
        <v>0</v>
      </c>
      <c r="H53" s="11">
        <f t="shared" si="41"/>
        <v>0</v>
      </c>
      <c r="I53" s="11">
        <f t="shared" si="41"/>
        <v>0</v>
      </c>
      <c r="J53" s="11">
        <f t="shared" si="41"/>
        <v>0</v>
      </c>
      <c r="K53" s="11">
        <f t="shared" si="41"/>
        <v>0</v>
      </c>
      <c r="L53" s="11">
        <f t="shared" si="41"/>
        <v>0</v>
      </c>
      <c r="M53" s="11">
        <f t="shared" si="41"/>
        <v>0</v>
      </c>
      <c r="N53" s="11">
        <f t="shared" si="41"/>
        <v>0</v>
      </c>
      <c r="O53" s="11">
        <f t="shared" si="41"/>
        <v>0</v>
      </c>
      <c r="P53" s="11">
        <f t="shared" si="41"/>
        <v>0</v>
      </c>
      <c r="Q53" s="620">
        <f t="shared" si="43"/>
        <v>0</v>
      </c>
      <c r="R53" s="326">
        <f t="shared" si="44"/>
        <v>0</v>
      </c>
      <c r="S53" s="11">
        <f t="shared" si="45"/>
        <v>0</v>
      </c>
      <c r="T53" s="11">
        <f t="shared" si="46"/>
        <v>0</v>
      </c>
      <c r="U53" s="11">
        <f t="shared" si="47"/>
        <v>0</v>
      </c>
      <c r="V53" s="620">
        <f t="shared" si="48"/>
        <v>0</v>
      </c>
      <c r="W53" s="12">
        <f t="shared" si="49"/>
        <v>0</v>
      </c>
      <c r="X53" s="13">
        <f t="shared" si="49"/>
        <v>0</v>
      </c>
      <c r="Z53" s="634">
        <f t="shared" si="50"/>
        <v>0</v>
      </c>
    </row>
    <row r="54" spans="1:26" ht="18.75" customHeight="1" thickBot="1" x14ac:dyDescent="0.3">
      <c r="A54" s="101"/>
      <c r="B54" s="102"/>
      <c r="C54" s="103"/>
      <c r="D54" s="104"/>
      <c r="E54" s="14">
        <f t="shared" si="42"/>
        <v>0</v>
      </c>
      <c r="F54" s="15">
        <f t="shared" si="41"/>
        <v>0</v>
      </c>
      <c r="G54" s="15">
        <f t="shared" si="41"/>
        <v>0</v>
      </c>
      <c r="H54" s="15">
        <f t="shared" si="41"/>
        <v>0</v>
      </c>
      <c r="I54" s="15">
        <f t="shared" si="41"/>
        <v>0</v>
      </c>
      <c r="J54" s="15">
        <f t="shared" si="41"/>
        <v>0</v>
      </c>
      <c r="K54" s="15">
        <f t="shared" si="41"/>
        <v>0</v>
      </c>
      <c r="L54" s="15">
        <f t="shared" si="41"/>
        <v>0</v>
      </c>
      <c r="M54" s="15">
        <f t="shared" si="41"/>
        <v>0</v>
      </c>
      <c r="N54" s="15">
        <f t="shared" si="41"/>
        <v>0</v>
      </c>
      <c r="O54" s="15">
        <f t="shared" si="41"/>
        <v>0</v>
      </c>
      <c r="P54" s="15">
        <f t="shared" si="41"/>
        <v>0</v>
      </c>
      <c r="Q54" s="285">
        <f t="shared" si="43"/>
        <v>0</v>
      </c>
      <c r="R54" s="628">
        <f t="shared" si="44"/>
        <v>0</v>
      </c>
      <c r="S54" s="15">
        <f t="shared" si="45"/>
        <v>0</v>
      </c>
      <c r="T54" s="15">
        <f t="shared" si="46"/>
        <v>0</v>
      </c>
      <c r="U54" s="15">
        <f t="shared" si="47"/>
        <v>0</v>
      </c>
      <c r="V54" s="285">
        <f t="shared" si="48"/>
        <v>0</v>
      </c>
      <c r="W54" s="16">
        <f t="shared" si="49"/>
        <v>0</v>
      </c>
      <c r="X54" s="17">
        <f t="shared" si="49"/>
        <v>0</v>
      </c>
      <c r="Z54" s="641">
        <f t="shared" si="50"/>
        <v>0</v>
      </c>
    </row>
    <row r="55" spans="1:26" ht="7.5" customHeight="1" thickTop="1" thickBot="1" x14ac:dyDescent="0.3">
      <c r="A55" s="105"/>
      <c r="B55" s="106"/>
      <c r="C55" s="107"/>
      <c r="D55" s="108"/>
      <c r="E55" s="29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2"/>
      <c r="R55" s="33"/>
      <c r="S55" s="30"/>
      <c r="T55" s="30"/>
      <c r="U55" s="30"/>
      <c r="V55" s="32"/>
      <c r="W55" s="35"/>
      <c r="X55" s="36"/>
      <c r="Z55" s="635"/>
    </row>
    <row r="56" spans="1:26" ht="18.75" customHeight="1" thickBot="1" x14ac:dyDescent="0.3">
      <c r="A56" s="636" t="s">
        <v>51</v>
      </c>
      <c r="B56" s="637">
        <f>Z56</f>
        <v>0</v>
      </c>
      <c r="D56" s="638"/>
      <c r="E56" s="624">
        <f>SUM(E51:E55)</f>
        <v>0</v>
      </c>
      <c r="F56" s="625">
        <f t="shared" ref="F56:X56" si="51">SUM(F51:F54)</f>
        <v>0</v>
      </c>
      <c r="G56" s="625">
        <f t="shared" si="51"/>
        <v>0</v>
      </c>
      <c r="H56" s="625">
        <f t="shared" si="51"/>
        <v>0</v>
      </c>
      <c r="I56" s="625">
        <f t="shared" si="51"/>
        <v>0</v>
      </c>
      <c r="J56" s="625">
        <f t="shared" si="51"/>
        <v>0</v>
      </c>
      <c r="K56" s="625">
        <f t="shared" si="51"/>
        <v>0</v>
      </c>
      <c r="L56" s="625">
        <f t="shared" si="51"/>
        <v>0</v>
      </c>
      <c r="M56" s="625">
        <f t="shared" si="51"/>
        <v>0</v>
      </c>
      <c r="N56" s="625">
        <f t="shared" si="51"/>
        <v>0</v>
      </c>
      <c r="O56" s="625">
        <f t="shared" si="51"/>
        <v>0</v>
      </c>
      <c r="P56" s="625">
        <f t="shared" si="51"/>
        <v>0</v>
      </c>
      <c r="Q56" s="39">
        <f t="shared" si="51"/>
        <v>0</v>
      </c>
      <c r="R56" s="639">
        <f t="shared" si="51"/>
        <v>0</v>
      </c>
      <c r="S56" s="625">
        <f t="shared" si="51"/>
        <v>0</v>
      </c>
      <c r="T56" s="625">
        <f t="shared" si="51"/>
        <v>0</v>
      </c>
      <c r="U56" s="625">
        <f t="shared" si="51"/>
        <v>0</v>
      </c>
      <c r="V56" s="39">
        <f t="shared" si="51"/>
        <v>0</v>
      </c>
      <c r="W56" s="41">
        <f t="shared" si="51"/>
        <v>0</v>
      </c>
      <c r="X56" s="42">
        <f t="shared" si="51"/>
        <v>0</v>
      </c>
      <c r="Z56" s="640">
        <f>SUM(Z51:Z54)</f>
        <v>0</v>
      </c>
    </row>
    <row r="57" spans="1:26" ht="15.75" thickBot="1" x14ac:dyDescent="0.3"/>
    <row r="58" spans="1:26" ht="15" customHeight="1" x14ac:dyDescent="0.25">
      <c r="A58" s="772" t="s">
        <v>59</v>
      </c>
      <c r="B58" s="770" t="s">
        <v>19</v>
      </c>
      <c r="C58" s="770" t="s">
        <v>45</v>
      </c>
      <c r="D58" s="774" t="s">
        <v>256</v>
      </c>
      <c r="E58" s="751" t="s">
        <v>20</v>
      </c>
      <c r="F58" s="731"/>
      <c r="G58" s="731"/>
      <c r="H58" s="731"/>
      <c r="I58" s="731"/>
      <c r="J58" s="731"/>
      <c r="K58" s="731"/>
      <c r="L58" s="731"/>
      <c r="M58" s="731"/>
      <c r="N58" s="731"/>
      <c r="O58" s="731"/>
      <c r="P58" s="732"/>
      <c r="Q58" s="752" t="s">
        <v>20</v>
      </c>
      <c r="R58" s="730" t="s">
        <v>25</v>
      </c>
      <c r="S58" s="731"/>
      <c r="T58" s="731"/>
      <c r="U58" s="732"/>
      <c r="V58" s="733" t="s">
        <v>25</v>
      </c>
      <c r="W58" s="735" t="s">
        <v>26</v>
      </c>
      <c r="X58" s="737" t="s">
        <v>27</v>
      </c>
      <c r="Z58" s="780" t="s">
        <v>50</v>
      </c>
    </row>
    <row r="59" spans="1:26" ht="15.75" thickBot="1" x14ac:dyDescent="0.3">
      <c r="A59" s="773"/>
      <c r="B59" s="771"/>
      <c r="C59" s="771"/>
      <c r="D59" s="775"/>
      <c r="E59" s="1">
        <v>1</v>
      </c>
      <c r="F59" s="2">
        <v>2</v>
      </c>
      <c r="G59" s="2">
        <v>3</v>
      </c>
      <c r="H59" s="2">
        <v>4</v>
      </c>
      <c r="I59" s="2">
        <v>5</v>
      </c>
      <c r="J59" s="2">
        <v>6</v>
      </c>
      <c r="K59" s="2">
        <v>7</v>
      </c>
      <c r="L59" s="2">
        <v>8</v>
      </c>
      <c r="M59" s="2">
        <v>9</v>
      </c>
      <c r="N59" s="2">
        <v>10</v>
      </c>
      <c r="O59" s="2">
        <v>11</v>
      </c>
      <c r="P59" s="3">
        <v>12</v>
      </c>
      <c r="Q59" s="753"/>
      <c r="R59" s="4" t="s">
        <v>21</v>
      </c>
      <c r="S59" s="2" t="s">
        <v>22</v>
      </c>
      <c r="T59" s="2" t="s">
        <v>23</v>
      </c>
      <c r="U59" s="2" t="s">
        <v>24</v>
      </c>
      <c r="V59" s="734"/>
      <c r="W59" s="736"/>
      <c r="X59" s="738"/>
      <c r="Z59" s="781"/>
    </row>
    <row r="60" spans="1:26" ht="18.75" customHeight="1" thickTop="1" x14ac:dyDescent="0.25">
      <c r="A60" s="96" t="s">
        <v>68</v>
      </c>
      <c r="B60" s="18">
        <v>1026</v>
      </c>
      <c r="C60" s="19" t="s">
        <v>46</v>
      </c>
      <c r="D60" s="20" t="s">
        <v>49</v>
      </c>
      <c r="E60" s="6">
        <f>IF(AND($C60="j",$D60=E$41),$B60,IF($C60="h",$B60*IF($D60=IF(MOD(E$41,6)=0,6,MOD(E$41,6)),1,0),IF($C60="q",$B60*IF($D60=IF(MOD(E$41,3)=0,3,MOD(E$41,3)),1,0),IF($C60="z",$B60*IF($D60=IF(MOD(E$41,2)=0,2,MOD(E$41,2)),1,0),IF($C60="m",$B60,0)))))</f>
        <v>1026</v>
      </c>
      <c r="F60" s="7">
        <f t="shared" ref="F60:P63" si="52">IF(AND($C60="j",$D60=F$41),$B60,IF($C60="h",$B60*IF($D60=IF(MOD(F$41,6)=0,6,MOD(F$41,6)),1,0),IF($C60="q",$B60*IF($D60=IF(MOD(F$41,3)=0,3,MOD(F$41,3)),1,0),IF($C60="z",$B60*IF($D60=IF(MOD(F$41,2)=0,2,MOD(F$41,2)),1,0),IF($C60="m",$B60,0)))))</f>
        <v>1026</v>
      </c>
      <c r="G60" s="7">
        <f t="shared" si="52"/>
        <v>1026</v>
      </c>
      <c r="H60" s="7">
        <f t="shared" si="52"/>
        <v>1026</v>
      </c>
      <c r="I60" s="7">
        <f t="shared" si="52"/>
        <v>1026</v>
      </c>
      <c r="J60" s="7">
        <f t="shared" si="52"/>
        <v>1026</v>
      </c>
      <c r="K60" s="7">
        <f t="shared" si="52"/>
        <v>1026</v>
      </c>
      <c r="L60" s="7">
        <f t="shared" si="52"/>
        <v>1026</v>
      </c>
      <c r="M60" s="7">
        <f t="shared" si="52"/>
        <v>1026</v>
      </c>
      <c r="N60" s="7">
        <f t="shared" si="52"/>
        <v>1026</v>
      </c>
      <c r="O60" s="7">
        <f t="shared" si="52"/>
        <v>1026</v>
      </c>
      <c r="P60" s="7">
        <f t="shared" si="52"/>
        <v>1026</v>
      </c>
      <c r="Q60" s="283">
        <f>SUM(E60:P60)</f>
        <v>12312</v>
      </c>
      <c r="R60" s="325">
        <f>IF(AND($C60="j",$D60&gt;=1,$D60&lt;=3),$B60,IF(AND($C60="h",$D60&gt;=1,$D60&lt;=3),$B60,IF(AND($C60="q",$D60&gt;=1,$D60&lt;=3),$B60,IF($C60="z",IF($D60=1,2*$B60,$B60),IF($C60="m",3*$B60,0)))))</f>
        <v>3078</v>
      </c>
      <c r="S60" s="7">
        <f>IF(AND($C60="j",$D60&gt;=4,$D60&lt;=6),$B60,IF(AND($C60="h",$D60&gt;=4,$D60&lt;=6),$B60,IF(AND($C60="q",$D60&gt;=1,$D60&lt;=3),$B60,IF($C60="z",IF($D60=2,2*$B60,$B60),IF($C60="m",3*$B60,0)))))</f>
        <v>3078</v>
      </c>
      <c r="T60" s="7">
        <f>IF(AND($C60="j",$D60&gt;=7,$D60&lt;=9),$B60,IF(AND($C60="h",$D60&gt;=1,$D60&lt;=3),$B60,IF(AND($C60="q",$D60&gt;=1,$D60&lt;=3),$B60,IF($C60="z",IF($D60=1,2*$B60,$B60),IF($C60="m",3*$B60,0)))))</f>
        <v>3078</v>
      </c>
      <c r="U60" s="7">
        <f>IF(AND($C60="j",$D60&gt;=10,$D60&lt;=12),$B60,IF(AND($C60="h",$D60&gt;=4,$D60&lt;=6),$B60,IF(AND($C60="q",$D60&gt;=1,$D60&lt;=3),$B60,IF($C60="z",IF($D60=2,2*$B60,$B60),IF($C60="m",3*$B60,0)))))</f>
        <v>3078</v>
      </c>
      <c r="V60" s="283">
        <f>SUM(R60:U60)</f>
        <v>12312</v>
      </c>
      <c r="W60" s="8">
        <f>IF($C60="j",$B60,IF($C60="h",2*$B60,IF($C60="q",4*$B60,IF($C60="z",6*$B60,12*$B60))))</f>
        <v>12312</v>
      </c>
      <c r="X60" s="9">
        <f>IF($C60="j",$B60,IF($C60="h",2*$B60,IF($C60="q",4*$B60,IF($C60="z",6*$B60,12*$B60))))</f>
        <v>12312</v>
      </c>
      <c r="Z60" s="633">
        <f>Q60/12</f>
        <v>1026</v>
      </c>
    </row>
    <row r="61" spans="1:26" ht="18.75" customHeight="1" x14ac:dyDescent="0.25">
      <c r="A61" s="97" t="s">
        <v>69</v>
      </c>
      <c r="B61" s="98">
        <v>45</v>
      </c>
      <c r="C61" s="99" t="s">
        <v>46</v>
      </c>
      <c r="D61" s="100" t="s">
        <v>49</v>
      </c>
      <c r="E61" s="10">
        <f t="shared" ref="E61:E63" si="53">IF(AND($C61="j",$D61=E$41),$B61,IF($C61="h",$B61*IF($D61=IF(MOD(E$41,6)=0,6,MOD(E$41,6)),1,0),IF($C61="q",$B61*IF($D61=IF(MOD(E$41,3)=0,3,MOD(E$41,3)),1,0),IF($C61="z",$B61*IF($D61=IF(MOD(E$41,2)=0,2,MOD(E$41,2)),1,0),IF($C61="m",$B61,0)))))</f>
        <v>45</v>
      </c>
      <c r="F61" s="11">
        <f t="shared" si="52"/>
        <v>45</v>
      </c>
      <c r="G61" s="11">
        <f t="shared" si="52"/>
        <v>45</v>
      </c>
      <c r="H61" s="11">
        <f t="shared" si="52"/>
        <v>45</v>
      </c>
      <c r="I61" s="11">
        <f t="shared" si="52"/>
        <v>45</v>
      </c>
      <c r="J61" s="11">
        <f t="shared" si="52"/>
        <v>45</v>
      </c>
      <c r="K61" s="11">
        <f t="shared" si="52"/>
        <v>45</v>
      </c>
      <c r="L61" s="11">
        <f t="shared" si="52"/>
        <v>45</v>
      </c>
      <c r="M61" s="11">
        <f t="shared" si="52"/>
        <v>45</v>
      </c>
      <c r="N61" s="11">
        <f t="shared" si="52"/>
        <v>45</v>
      </c>
      <c r="O61" s="11">
        <f t="shared" si="52"/>
        <v>45</v>
      </c>
      <c r="P61" s="11">
        <f t="shared" si="52"/>
        <v>45</v>
      </c>
      <c r="Q61" s="620">
        <f t="shared" ref="Q61:Q63" si="54">SUM(E61:P61)</f>
        <v>540</v>
      </c>
      <c r="R61" s="326">
        <f t="shared" ref="R61:R63" si="55">IF(AND($C61="j",$D61&gt;=1,$D61&lt;=3),$B61,IF(AND($C61="h",$D61&gt;=1,$D61&lt;=3),$B61,IF(AND($C61="q",$D61&gt;=1,$D61&lt;=3),$B61,IF($C61="z",IF($D61=1,2*$B61,$B61),IF($C61="m",3*$B61,0)))))</f>
        <v>135</v>
      </c>
      <c r="S61" s="11">
        <f t="shared" ref="S61:S63" si="56">IF(AND($C61="j",$D61&gt;=4,$D61&lt;=6),$B61,IF(AND($C61="h",$D61&gt;=4,$D61&lt;=6),$B61,IF(AND($C61="q",$D61&gt;=1,$D61&lt;=3),$B61,IF($C61="z",IF($D61=2,2*$B61,$B61),IF($C61="m",3*$B61,0)))))</f>
        <v>135</v>
      </c>
      <c r="T61" s="11">
        <f t="shared" ref="T61:T63" si="57">IF(AND($C61="j",$D61&gt;=7,$D61&lt;=9),$B61,IF(AND($C61="h",$D61&gt;=1,$D61&lt;=3),$B61,IF(AND($C61="q",$D61&gt;=1,$D61&lt;=3),$B61,IF($C61="z",IF($D61=1,2*$B61,$B61),IF($C61="m",3*$B61,0)))))</f>
        <v>135</v>
      </c>
      <c r="U61" s="11">
        <f t="shared" ref="U61:U63" si="58">IF(AND($C61="j",$D61&gt;=10,$D61&lt;=12),$B61,IF(AND($C61="h",$D61&gt;=4,$D61&lt;=6),$B61,IF(AND($C61="q",$D61&gt;=1,$D61&lt;=3),$B61,IF($C61="z",IF($D61=2,2*$B61,$B61),IF($C61="m",3*$B61,0)))))</f>
        <v>135</v>
      </c>
      <c r="V61" s="620">
        <f t="shared" ref="V61:V63" si="59">SUM(R61:U61)</f>
        <v>540</v>
      </c>
      <c r="W61" s="12">
        <f t="shared" ref="W61:X63" si="60">IF($C61="j",$B61,IF($C61="h",2*$B61,IF($C61="q",4*$B61,IF($C61="z",6*$B61,12*$B61))))</f>
        <v>540</v>
      </c>
      <c r="X61" s="13">
        <f t="shared" si="60"/>
        <v>540</v>
      </c>
      <c r="Z61" s="634">
        <f t="shared" ref="Z61:Z63" si="61">Q61/12</f>
        <v>45</v>
      </c>
    </row>
    <row r="62" spans="1:26" ht="18.75" customHeight="1" x14ac:dyDescent="0.25">
      <c r="A62" s="97" t="s">
        <v>117</v>
      </c>
      <c r="B62" s="98">
        <v>200</v>
      </c>
      <c r="C62" s="99" t="s">
        <v>46</v>
      </c>
      <c r="D62" s="100" t="s">
        <v>49</v>
      </c>
      <c r="E62" s="10">
        <f t="shared" si="53"/>
        <v>200</v>
      </c>
      <c r="F62" s="11">
        <f t="shared" si="52"/>
        <v>200</v>
      </c>
      <c r="G62" s="11">
        <f t="shared" si="52"/>
        <v>200</v>
      </c>
      <c r="H62" s="11">
        <f t="shared" si="52"/>
        <v>200</v>
      </c>
      <c r="I62" s="11">
        <f t="shared" si="52"/>
        <v>200</v>
      </c>
      <c r="J62" s="11">
        <f t="shared" si="52"/>
        <v>200</v>
      </c>
      <c r="K62" s="11">
        <f t="shared" si="52"/>
        <v>200</v>
      </c>
      <c r="L62" s="11">
        <f t="shared" si="52"/>
        <v>200</v>
      </c>
      <c r="M62" s="11">
        <f t="shared" si="52"/>
        <v>200</v>
      </c>
      <c r="N62" s="11">
        <f t="shared" si="52"/>
        <v>200</v>
      </c>
      <c r="O62" s="11">
        <f t="shared" si="52"/>
        <v>200</v>
      </c>
      <c r="P62" s="11">
        <f t="shared" si="52"/>
        <v>200</v>
      </c>
      <c r="Q62" s="620">
        <f t="shared" si="54"/>
        <v>2400</v>
      </c>
      <c r="R62" s="326">
        <f t="shared" si="55"/>
        <v>600</v>
      </c>
      <c r="S62" s="11">
        <f t="shared" si="56"/>
        <v>600</v>
      </c>
      <c r="T62" s="11">
        <f t="shared" si="57"/>
        <v>600</v>
      </c>
      <c r="U62" s="11">
        <f t="shared" si="58"/>
        <v>600</v>
      </c>
      <c r="V62" s="620">
        <f t="shared" si="59"/>
        <v>2400</v>
      </c>
      <c r="W62" s="12">
        <f t="shared" si="60"/>
        <v>2400</v>
      </c>
      <c r="X62" s="13">
        <f t="shared" si="60"/>
        <v>2400</v>
      </c>
      <c r="Z62" s="634">
        <f t="shared" si="61"/>
        <v>200</v>
      </c>
    </row>
    <row r="63" spans="1:26" ht="18.75" customHeight="1" thickBot="1" x14ac:dyDescent="0.3">
      <c r="A63" s="101"/>
      <c r="B63" s="102"/>
      <c r="C63" s="103"/>
      <c r="D63" s="104"/>
      <c r="E63" s="14">
        <f t="shared" si="53"/>
        <v>0</v>
      </c>
      <c r="F63" s="15">
        <f t="shared" si="52"/>
        <v>0</v>
      </c>
      <c r="G63" s="15">
        <f t="shared" si="52"/>
        <v>0</v>
      </c>
      <c r="H63" s="15">
        <f t="shared" si="52"/>
        <v>0</v>
      </c>
      <c r="I63" s="15">
        <f t="shared" si="52"/>
        <v>0</v>
      </c>
      <c r="J63" s="15">
        <f t="shared" si="52"/>
        <v>0</v>
      </c>
      <c r="K63" s="15">
        <f t="shared" si="52"/>
        <v>0</v>
      </c>
      <c r="L63" s="15">
        <f t="shared" si="52"/>
        <v>0</v>
      </c>
      <c r="M63" s="15">
        <f t="shared" si="52"/>
        <v>0</v>
      </c>
      <c r="N63" s="15">
        <f t="shared" si="52"/>
        <v>0</v>
      </c>
      <c r="O63" s="15">
        <f t="shared" si="52"/>
        <v>0</v>
      </c>
      <c r="P63" s="15">
        <f t="shared" si="52"/>
        <v>0</v>
      </c>
      <c r="Q63" s="285">
        <f t="shared" si="54"/>
        <v>0</v>
      </c>
      <c r="R63" s="628">
        <f t="shared" si="55"/>
        <v>0</v>
      </c>
      <c r="S63" s="15">
        <f t="shared" si="56"/>
        <v>0</v>
      </c>
      <c r="T63" s="15">
        <f t="shared" si="57"/>
        <v>0</v>
      </c>
      <c r="U63" s="15">
        <f t="shared" si="58"/>
        <v>0</v>
      </c>
      <c r="V63" s="285">
        <f t="shared" si="59"/>
        <v>0</v>
      </c>
      <c r="W63" s="16">
        <f t="shared" si="60"/>
        <v>0</v>
      </c>
      <c r="X63" s="17">
        <f t="shared" si="60"/>
        <v>0</v>
      </c>
      <c r="Z63" s="641">
        <f t="shared" si="61"/>
        <v>0</v>
      </c>
    </row>
    <row r="64" spans="1:26" ht="7.5" customHeight="1" thickTop="1" thickBot="1" x14ac:dyDescent="0.3">
      <c r="A64" s="105"/>
      <c r="B64" s="106"/>
      <c r="C64" s="107"/>
      <c r="D64" s="108"/>
      <c r="E64" s="29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2"/>
      <c r="R64" s="33"/>
      <c r="S64" s="30"/>
      <c r="T64" s="30"/>
      <c r="U64" s="30"/>
      <c r="V64" s="32"/>
      <c r="W64" s="35"/>
      <c r="X64" s="36"/>
      <c r="Z64" s="635"/>
    </row>
    <row r="65" spans="1:26" ht="18.75" customHeight="1" thickBot="1" x14ac:dyDescent="0.3">
      <c r="A65" s="636" t="s">
        <v>51</v>
      </c>
      <c r="B65" s="637">
        <f>Z65</f>
        <v>1271</v>
      </c>
      <c r="D65" s="638"/>
      <c r="E65" s="624">
        <f>SUM(E60:E64)</f>
        <v>1271</v>
      </c>
      <c r="F65" s="625">
        <f t="shared" ref="F65:X65" si="62">SUM(F60:F64)</f>
        <v>1271</v>
      </c>
      <c r="G65" s="625">
        <f t="shared" si="62"/>
        <v>1271</v>
      </c>
      <c r="H65" s="625">
        <f t="shared" si="62"/>
        <v>1271</v>
      </c>
      <c r="I65" s="625">
        <f t="shared" si="62"/>
        <v>1271</v>
      </c>
      <c r="J65" s="625">
        <f t="shared" si="62"/>
        <v>1271</v>
      </c>
      <c r="K65" s="625">
        <f t="shared" si="62"/>
        <v>1271</v>
      </c>
      <c r="L65" s="625">
        <f t="shared" si="62"/>
        <v>1271</v>
      </c>
      <c r="M65" s="625">
        <f t="shared" si="62"/>
        <v>1271</v>
      </c>
      <c r="N65" s="625">
        <f t="shared" si="62"/>
        <v>1271</v>
      </c>
      <c r="O65" s="625">
        <f t="shared" si="62"/>
        <v>1271</v>
      </c>
      <c r="P65" s="625">
        <f t="shared" si="62"/>
        <v>1271</v>
      </c>
      <c r="Q65" s="39">
        <f t="shared" si="62"/>
        <v>15252</v>
      </c>
      <c r="R65" s="639">
        <f t="shared" si="62"/>
        <v>3813</v>
      </c>
      <c r="S65" s="625">
        <f t="shared" si="62"/>
        <v>3813</v>
      </c>
      <c r="T65" s="625">
        <f t="shared" si="62"/>
        <v>3813</v>
      </c>
      <c r="U65" s="625">
        <f t="shared" si="62"/>
        <v>3813</v>
      </c>
      <c r="V65" s="39">
        <f t="shared" si="62"/>
        <v>15252</v>
      </c>
      <c r="W65" s="41">
        <f t="shared" si="62"/>
        <v>15252</v>
      </c>
      <c r="X65" s="42">
        <f t="shared" si="62"/>
        <v>15252</v>
      </c>
      <c r="Z65" s="640">
        <f>SUM(Z60:Z64)</f>
        <v>1271</v>
      </c>
    </row>
    <row r="66" spans="1:26" ht="15.75" thickBot="1" x14ac:dyDescent="0.3"/>
    <row r="67" spans="1:26" ht="15" customHeight="1" x14ac:dyDescent="0.25">
      <c r="A67" s="772" t="s">
        <v>70</v>
      </c>
      <c r="B67" s="770" t="s">
        <v>19</v>
      </c>
      <c r="C67" s="770" t="s">
        <v>45</v>
      </c>
      <c r="D67" s="774" t="s">
        <v>256</v>
      </c>
      <c r="E67" s="751" t="s">
        <v>20</v>
      </c>
      <c r="F67" s="731"/>
      <c r="G67" s="731"/>
      <c r="H67" s="731"/>
      <c r="I67" s="731"/>
      <c r="J67" s="731"/>
      <c r="K67" s="731"/>
      <c r="L67" s="731"/>
      <c r="M67" s="731"/>
      <c r="N67" s="731"/>
      <c r="O67" s="731"/>
      <c r="P67" s="732"/>
      <c r="Q67" s="752" t="s">
        <v>20</v>
      </c>
      <c r="R67" s="730" t="s">
        <v>25</v>
      </c>
      <c r="S67" s="731"/>
      <c r="T67" s="731"/>
      <c r="U67" s="732"/>
      <c r="V67" s="733" t="s">
        <v>25</v>
      </c>
      <c r="W67" s="735" t="s">
        <v>26</v>
      </c>
      <c r="X67" s="737" t="s">
        <v>27</v>
      </c>
      <c r="Z67" s="780" t="s">
        <v>50</v>
      </c>
    </row>
    <row r="68" spans="1:26" ht="15.75" thickBot="1" x14ac:dyDescent="0.3">
      <c r="A68" s="773"/>
      <c r="B68" s="771"/>
      <c r="C68" s="771"/>
      <c r="D68" s="775"/>
      <c r="E68" s="1">
        <v>1</v>
      </c>
      <c r="F68" s="2">
        <v>2</v>
      </c>
      <c r="G68" s="2">
        <v>3</v>
      </c>
      <c r="H68" s="2">
        <v>4</v>
      </c>
      <c r="I68" s="2">
        <v>5</v>
      </c>
      <c r="J68" s="2">
        <v>6</v>
      </c>
      <c r="K68" s="2">
        <v>7</v>
      </c>
      <c r="L68" s="2">
        <v>8</v>
      </c>
      <c r="M68" s="2">
        <v>9</v>
      </c>
      <c r="N68" s="2">
        <v>10</v>
      </c>
      <c r="O68" s="2">
        <v>11</v>
      </c>
      <c r="P68" s="3">
        <v>12</v>
      </c>
      <c r="Q68" s="753"/>
      <c r="R68" s="4" t="s">
        <v>21</v>
      </c>
      <c r="S68" s="2" t="s">
        <v>22</v>
      </c>
      <c r="T68" s="2" t="s">
        <v>23</v>
      </c>
      <c r="U68" s="2" t="s">
        <v>24</v>
      </c>
      <c r="V68" s="734"/>
      <c r="W68" s="736"/>
      <c r="X68" s="738"/>
      <c r="Z68" s="781"/>
    </row>
    <row r="69" spans="1:26" ht="18.75" customHeight="1" thickTop="1" x14ac:dyDescent="0.25">
      <c r="A69" s="96" t="s">
        <v>118</v>
      </c>
      <c r="B69" s="18">
        <v>2000</v>
      </c>
      <c r="C69" s="19" t="s">
        <v>48</v>
      </c>
      <c r="D69" s="20">
        <v>12</v>
      </c>
      <c r="E69" s="6">
        <f>IF(AND($C69="j",$D69=E$41),$B69,IF($C69="h",$B69*IF($D69=IF(MOD(E$41,6)=0,6,MOD(E$41,6)),1,0),IF($C69="q",$B69*IF($D69=IF(MOD(E$41,3)=0,3,MOD(E$41,3)),1,0),IF($C69="z",$B69*IF($D69=IF(MOD(E$41,2)=0,2,MOD(E$41,2)),1,0),IF($C69="m",$B69,0)))))</f>
        <v>0</v>
      </c>
      <c r="F69" s="7">
        <f t="shared" ref="F69:P72" si="63">IF(AND($C69="j",$D69=F$41),$B69,IF($C69="h",$B69*IF($D69=IF(MOD(F$41,6)=0,6,MOD(F$41,6)),1,0),IF($C69="q",$B69*IF($D69=IF(MOD(F$41,3)=0,3,MOD(F$41,3)),1,0),IF($C69="z",$B69*IF($D69=IF(MOD(F$41,2)=0,2,MOD(F$41,2)),1,0),IF($C69="m",$B69,0)))))</f>
        <v>0</v>
      </c>
      <c r="G69" s="7">
        <f t="shared" si="63"/>
        <v>0</v>
      </c>
      <c r="H69" s="7">
        <f t="shared" si="63"/>
        <v>0</v>
      </c>
      <c r="I69" s="7">
        <f t="shared" si="63"/>
        <v>0</v>
      </c>
      <c r="J69" s="7">
        <f t="shared" si="63"/>
        <v>0</v>
      </c>
      <c r="K69" s="7">
        <f t="shared" si="63"/>
        <v>0</v>
      </c>
      <c r="L69" s="7">
        <f t="shared" si="63"/>
        <v>0</v>
      </c>
      <c r="M69" s="7">
        <f t="shared" si="63"/>
        <v>0</v>
      </c>
      <c r="N69" s="7">
        <f t="shared" si="63"/>
        <v>0</v>
      </c>
      <c r="O69" s="7">
        <f t="shared" si="63"/>
        <v>0</v>
      </c>
      <c r="P69" s="7">
        <f t="shared" si="63"/>
        <v>2000</v>
      </c>
      <c r="Q69" s="283">
        <f>SUM(E69:P69)</f>
        <v>2000</v>
      </c>
      <c r="R69" s="325">
        <f>IF(AND($C69="j",$D69&gt;=1,$D69&lt;=3),$B69,IF(AND($C69="h",$D69&gt;=1,$D69&lt;=3),$B69,IF(AND($C69="q",$D69&gt;=1,$D69&lt;=3),$B69,IF($C69="z",IF($D69=1,2*$B69,$B69),IF($C69="m",3*$B69,0)))))</f>
        <v>0</v>
      </c>
      <c r="S69" s="7">
        <f>IF(AND($C69="j",$D69&gt;=4,$D69&lt;=6),$B69,IF(AND($C69="h",$D69&gt;=4,$D69&lt;=6),$B69,IF(AND($C69="q",$D69&gt;=1,$D69&lt;=3),$B69,IF($C69="z",IF($D69=2,2*$B69,$B69),IF($C69="m",3*$B69,0)))))</f>
        <v>0</v>
      </c>
      <c r="T69" s="7">
        <f>IF(AND($C69="j",$D69&gt;=7,$D69&lt;=9),$B69,IF(AND($C69="h",$D69&gt;=1,$D69&lt;=3),$B69,IF(AND($C69="q",$D69&gt;=1,$D69&lt;=3),$B69,IF($C69="z",IF($D69=1,2*$B69,$B69),IF($C69="m",3*$B69,0)))))</f>
        <v>0</v>
      </c>
      <c r="U69" s="7">
        <f>IF(AND($C69="j",$D69&gt;=10,$D69&lt;=12),$B69,IF(AND($C69="h",$D69&gt;=4,$D69&lt;=6),$B69,IF(AND($C69="q",$D69&gt;=1,$D69&lt;=3),$B69,IF($C69="z",IF($D69=2,2*$B69,$B69),IF($C69="m",3*$B69,0)))))</f>
        <v>2000</v>
      </c>
      <c r="V69" s="283">
        <f>SUM(R69:U69)</f>
        <v>2000</v>
      </c>
      <c r="W69" s="8">
        <f>IF($C69="j",$B69,IF($C69="h",2*$B69,IF($C69="q",4*$B69,IF($C69="z",6*$B69,12*$B69))))</f>
        <v>2000</v>
      </c>
      <c r="X69" s="9">
        <f>IF($C69="j",$B69,IF($C69="h",2*$B69,IF($C69="q",4*$B69,IF($C69="z",6*$B69,12*$B69))))</f>
        <v>2000</v>
      </c>
      <c r="Z69" s="633">
        <f>Q69/12</f>
        <v>166.66666666666666</v>
      </c>
    </row>
    <row r="70" spans="1:26" ht="18.75" customHeight="1" x14ac:dyDescent="0.25">
      <c r="A70" s="97"/>
      <c r="B70" s="98"/>
      <c r="C70" s="99"/>
      <c r="D70" s="100"/>
      <c r="E70" s="10">
        <f t="shared" ref="E70:E72" si="64">IF(AND($C70="j",$D70=E$41),$B70,IF($C70="h",$B70*IF($D70=IF(MOD(E$41,6)=0,6,MOD(E$41,6)),1,0),IF($C70="q",$B70*IF($D70=IF(MOD(E$41,3)=0,3,MOD(E$41,3)),1,0),IF($C70="z",$B70*IF($D70=IF(MOD(E$41,2)=0,2,MOD(E$41,2)),1,0),IF($C70="m",$B70,0)))))</f>
        <v>0</v>
      </c>
      <c r="F70" s="11">
        <f t="shared" si="63"/>
        <v>0</v>
      </c>
      <c r="G70" s="11">
        <f t="shared" si="63"/>
        <v>0</v>
      </c>
      <c r="H70" s="11">
        <f t="shared" si="63"/>
        <v>0</v>
      </c>
      <c r="I70" s="11">
        <f t="shared" si="63"/>
        <v>0</v>
      </c>
      <c r="J70" s="11">
        <f t="shared" si="63"/>
        <v>0</v>
      </c>
      <c r="K70" s="11">
        <f t="shared" si="63"/>
        <v>0</v>
      </c>
      <c r="L70" s="11">
        <f t="shared" si="63"/>
        <v>0</v>
      </c>
      <c r="M70" s="11">
        <f t="shared" si="63"/>
        <v>0</v>
      </c>
      <c r="N70" s="11">
        <f t="shared" si="63"/>
        <v>0</v>
      </c>
      <c r="O70" s="11">
        <f t="shared" si="63"/>
        <v>0</v>
      </c>
      <c r="P70" s="11">
        <f t="shared" si="63"/>
        <v>0</v>
      </c>
      <c r="Q70" s="620">
        <f t="shared" ref="Q70:Q72" si="65">SUM(E70:P70)</f>
        <v>0</v>
      </c>
      <c r="R70" s="326">
        <f t="shared" ref="R70:R72" si="66">IF(AND($C70="j",$D70&gt;=1,$D70&lt;=3),$B70,IF(AND($C70="h",$D70&gt;=1,$D70&lt;=3),$B70,IF(AND($C70="q",$D70&gt;=1,$D70&lt;=3),$B70,IF($C70="z",IF($D70=1,2*$B70,$B70),IF($C70="m",3*$B70,0)))))</f>
        <v>0</v>
      </c>
      <c r="S70" s="11">
        <f t="shared" ref="S70:S72" si="67">IF(AND($C70="j",$D70&gt;=4,$D70&lt;=6),$B70,IF(AND($C70="h",$D70&gt;=4,$D70&lt;=6),$B70,IF(AND($C70="q",$D70&gt;=1,$D70&lt;=3),$B70,IF($C70="z",IF($D70=2,2*$B70,$B70),IF($C70="m",3*$B70,0)))))</f>
        <v>0</v>
      </c>
      <c r="T70" s="11">
        <f t="shared" ref="T70:T72" si="68">IF(AND($C70="j",$D70&gt;=7,$D70&lt;=9),$B70,IF(AND($C70="h",$D70&gt;=1,$D70&lt;=3),$B70,IF(AND($C70="q",$D70&gt;=1,$D70&lt;=3),$B70,IF($C70="z",IF($D70=1,2*$B70,$B70),IF($C70="m",3*$B70,0)))))</f>
        <v>0</v>
      </c>
      <c r="U70" s="11">
        <f t="shared" ref="U70:U72" si="69">IF(AND($C70="j",$D70&gt;=10,$D70&lt;=12),$B70,IF(AND($C70="h",$D70&gt;=4,$D70&lt;=6),$B70,IF(AND($C70="q",$D70&gt;=1,$D70&lt;=3),$B70,IF($C70="z",IF($D70=2,2*$B70,$B70),IF($C70="m",3*$B70,0)))))</f>
        <v>0</v>
      </c>
      <c r="V70" s="620">
        <f t="shared" ref="V70:V72" si="70">SUM(R70:U70)</f>
        <v>0</v>
      </c>
      <c r="W70" s="12">
        <f t="shared" ref="W70:X72" si="71">IF($C70="j",$B70,IF($C70="h",2*$B70,IF($C70="q",4*$B70,IF($C70="z",6*$B70,12*$B70))))</f>
        <v>0</v>
      </c>
      <c r="X70" s="13">
        <f t="shared" si="71"/>
        <v>0</v>
      </c>
      <c r="Z70" s="634">
        <f t="shared" ref="Z70:Z72" si="72">Q70/12</f>
        <v>0</v>
      </c>
    </row>
    <row r="71" spans="1:26" ht="18.75" customHeight="1" x14ac:dyDescent="0.25">
      <c r="A71" s="97"/>
      <c r="B71" s="98"/>
      <c r="C71" s="99"/>
      <c r="D71" s="100"/>
      <c r="E71" s="10">
        <f t="shared" si="64"/>
        <v>0</v>
      </c>
      <c r="F71" s="11">
        <f t="shared" si="63"/>
        <v>0</v>
      </c>
      <c r="G71" s="11">
        <f t="shared" si="63"/>
        <v>0</v>
      </c>
      <c r="H71" s="11">
        <f t="shared" si="63"/>
        <v>0</v>
      </c>
      <c r="I71" s="11">
        <f t="shared" si="63"/>
        <v>0</v>
      </c>
      <c r="J71" s="11">
        <f t="shared" si="63"/>
        <v>0</v>
      </c>
      <c r="K71" s="11">
        <f t="shared" si="63"/>
        <v>0</v>
      </c>
      <c r="L71" s="11">
        <f t="shared" si="63"/>
        <v>0</v>
      </c>
      <c r="M71" s="11">
        <f t="shared" si="63"/>
        <v>0</v>
      </c>
      <c r="N71" s="11">
        <f t="shared" si="63"/>
        <v>0</v>
      </c>
      <c r="O71" s="11">
        <f t="shared" si="63"/>
        <v>0</v>
      </c>
      <c r="P71" s="11">
        <f t="shared" si="63"/>
        <v>0</v>
      </c>
      <c r="Q71" s="620">
        <f t="shared" si="65"/>
        <v>0</v>
      </c>
      <c r="R71" s="326">
        <f t="shared" si="66"/>
        <v>0</v>
      </c>
      <c r="S71" s="11">
        <f t="shared" si="67"/>
        <v>0</v>
      </c>
      <c r="T71" s="11">
        <f t="shared" si="68"/>
        <v>0</v>
      </c>
      <c r="U71" s="11">
        <f t="shared" si="69"/>
        <v>0</v>
      </c>
      <c r="V71" s="620">
        <f t="shared" si="70"/>
        <v>0</v>
      </c>
      <c r="W71" s="12">
        <f t="shared" si="71"/>
        <v>0</v>
      </c>
      <c r="X71" s="13">
        <f t="shared" si="71"/>
        <v>0</v>
      </c>
      <c r="Z71" s="634">
        <f t="shared" si="72"/>
        <v>0</v>
      </c>
    </row>
    <row r="72" spans="1:26" ht="18.75" customHeight="1" thickBot="1" x14ac:dyDescent="0.3">
      <c r="A72" s="101"/>
      <c r="B72" s="102"/>
      <c r="C72" s="103"/>
      <c r="D72" s="104"/>
      <c r="E72" s="14">
        <f t="shared" si="64"/>
        <v>0</v>
      </c>
      <c r="F72" s="15">
        <f t="shared" si="63"/>
        <v>0</v>
      </c>
      <c r="G72" s="15">
        <f t="shared" si="63"/>
        <v>0</v>
      </c>
      <c r="H72" s="15">
        <f t="shared" si="63"/>
        <v>0</v>
      </c>
      <c r="I72" s="15">
        <f t="shared" si="63"/>
        <v>0</v>
      </c>
      <c r="J72" s="15">
        <f t="shared" si="63"/>
        <v>0</v>
      </c>
      <c r="K72" s="15">
        <f t="shared" si="63"/>
        <v>0</v>
      </c>
      <c r="L72" s="15">
        <f t="shared" si="63"/>
        <v>0</v>
      </c>
      <c r="M72" s="15">
        <f t="shared" si="63"/>
        <v>0</v>
      </c>
      <c r="N72" s="15">
        <f t="shared" si="63"/>
        <v>0</v>
      </c>
      <c r="O72" s="15">
        <f t="shared" si="63"/>
        <v>0</v>
      </c>
      <c r="P72" s="15">
        <f t="shared" si="63"/>
        <v>0</v>
      </c>
      <c r="Q72" s="285">
        <f t="shared" si="65"/>
        <v>0</v>
      </c>
      <c r="R72" s="628">
        <f t="shared" si="66"/>
        <v>0</v>
      </c>
      <c r="S72" s="15">
        <f t="shared" si="67"/>
        <v>0</v>
      </c>
      <c r="T72" s="15">
        <f t="shared" si="68"/>
        <v>0</v>
      </c>
      <c r="U72" s="15">
        <f t="shared" si="69"/>
        <v>0</v>
      </c>
      <c r="V72" s="285">
        <f t="shared" si="70"/>
        <v>0</v>
      </c>
      <c r="W72" s="16">
        <f t="shared" si="71"/>
        <v>0</v>
      </c>
      <c r="X72" s="17">
        <f t="shared" si="71"/>
        <v>0</v>
      </c>
      <c r="Z72" s="641">
        <f t="shared" si="72"/>
        <v>0</v>
      </c>
    </row>
    <row r="73" spans="1:26" ht="7.5" customHeight="1" thickTop="1" thickBot="1" x14ac:dyDescent="0.3">
      <c r="A73" s="105"/>
      <c r="B73" s="106"/>
      <c r="C73" s="107"/>
      <c r="D73" s="108"/>
      <c r="E73" s="29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2"/>
      <c r="R73" s="33"/>
      <c r="S73" s="30"/>
      <c r="T73" s="30"/>
      <c r="U73" s="30"/>
      <c r="V73" s="32"/>
      <c r="W73" s="35"/>
      <c r="X73" s="36"/>
      <c r="Z73" s="635"/>
    </row>
    <row r="74" spans="1:26" ht="18.75" customHeight="1" thickBot="1" x14ac:dyDescent="0.3">
      <c r="A74" s="636" t="s">
        <v>51</v>
      </c>
      <c r="B74" s="637">
        <f>Z74</f>
        <v>166.66666666666666</v>
      </c>
      <c r="D74" s="638"/>
      <c r="E74" s="624">
        <f>SUM(E69:E72)</f>
        <v>0</v>
      </c>
      <c r="F74" s="625">
        <f t="shared" ref="F74:X74" si="73">SUM(F69:F72)</f>
        <v>0</v>
      </c>
      <c r="G74" s="625">
        <f t="shared" si="73"/>
        <v>0</v>
      </c>
      <c r="H74" s="625">
        <f t="shared" si="73"/>
        <v>0</v>
      </c>
      <c r="I74" s="625">
        <f t="shared" si="73"/>
        <v>0</v>
      </c>
      <c r="J74" s="625">
        <f t="shared" si="73"/>
        <v>0</v>
      </c>
      <c r="K74" s="625">
        <f t="shared" si="73"/>
        <v>0</v>
      </c>
      <c r="L74" s="625">
        <f t="shared" si="73"/>
        <v>0</v>
      </c>
      <c r="M74" s="625">
        <f t="shared" si="73"/>
        <v>0</v>
      </c>
      <c r="N74" s="625">
        <f t="shared" si="73"/>
        <v>0</v>
      </c>
      <c r="O74" s="625">
        <f t="shared" si="73"/>
        <v>0</v>
      </c>
      <c r="P74" s="625">
        <f t="shared" si="73"/>
        <v>2000</v>
      </c>
      <c r="Q74" s="39">
        <f t="shared" si="73"/>
        <v>2000</v>
      </c>
      <c r="R74" s="639">
        <f t="shared" si="73"/>
        <v>0</v>
      </c>
      <c r="S74" s="625">
        <f t="shared" si="73"/>
        <v>0</v>
      </c>
      <c r="T74" s="625">
        <f t="shared" si="73"/>
        <v>0</v>
      </c>
      <c r="U74" s="625">
        <f t="shared" si="73"/>
        <v>2000</v>
      </c>
      <c r="V74" s="39">
        <f t="shared" si="73"/>
        <v>2000</v>
      </c>
      <c r="W74" s="41">
        <f t="shared" si="73"/>
        <v>2000</v>
      </c>
      <c r="X74" s="42">
        <f t="shared" si="73"/>
        <v>2000</v>
      </c>
      <c r="Z74" s="640">
        <f>SUM(Z69:Z72)</f>
        <v>166.66666666666666</v>
      </c>
    </row>
    <row r="75" spans="1:26" ht="15.75" thickBot="1" x14ac:dyDescent="0.3"/>
    <row r="76" spans="1:26" ht="15" customHeight="1" x14ac:dyDescent="0.25">
      <c r="A76" s="772" t="s">
        <v>71</v>
      </c>
      <c r="B76" s="770" t="s">
        <v>72</v>
      </c>
      <c r="C76" s="770" t="s">
        <v>45</v>
      </c>
      <c r="D76" s="774" t="s">
        <v>256</v>
      </c>
      <c r="E76" s="751" t="s">
        <v>20</v>
      </c>
      <c r="F76" s="731"/>
      <c r="G76" s="731"/>
      <c r="H76" s="731"/>
      <c r="I76" s="731"/>
      <c r="J76" s="731"/>
      <c r="K76" s="731"/>
      <c r="L76" s="731"/>
      <c r="M76" s="731"/>
      <c r="N76" s="731"/>
      <c r="O76" s="731"/>
      <c r="P76" s="732"/>
      <c r="Q76" s="752" t="s">
        <v>20</v>
      </c>
      <c r="R76" s="730" t="s">
        <v>25</v>
      </c>
      <c r="S76" s="731"/>
      <c r="T76" s="731"/>
      <c r="U76" s="732"/>
      <c r="V76" s="733" t="s">
        <v>25</v>
      </c>
      <c r="W76" s="735" t="s">
        <v>26</v>
      </c>
      <c r="X76" s="737" t="s">
        <v>27</v>
      </c>
      <c r="Z76" s="780" t="s">
        <v>50</v>
      </c>
    </row>
    <row r="77" spans="1:26" ht="15.75" thickBot="1" x14ac:dyDescent="0.3">
      <c r="A77" s="773"/>
      <c r="B77" s="771"/>
      <c r="C77" s="771"/>
      <c r="D77" s="775"/>
      <c r="E77" s="1">
        <v>1</v>
      </c>
      <c r="F77" s="2">
        <v>2</v>
      </c>
      <c r="G77" s="2">
        <v>3</v>
      </c>
      <c r="H77" s="2">
        <v>4</v>
      </c>
      <c r="I77" s="2">
        <v>5</v>
      </c>
      <c r="J77" s="2">
        <v>6</v>
      </c>
      <c r="K77" s="2">
        <v>7</v>
      </c>
      <c r="L77" s="2">
        <v>8</v>
      </c>
      <c r="M77" s="2">
        <v>9</v>
      </c>
      <c r="N77" s="2">
        <v>10</v>
      </c>
      <c r="O77" s="2">
        <v>11</v>
      </c>
      <c r="P77" s="3">
        <v>12</v>
      </c>
      <c r="Q77" s="753"/>
      <c r="R77" s="4" t="s">
        <v>21</v>
      </c>
      <c r="S77" s="2" t="s">
        <v>22</v>
      </c>
      <c r="T77" s="2" t="s">
        <v>23</v>
      </c>
      <c r="U77" s="2" t="s">
        <v>24</v>
      </c>
      <c r="V77" s="734"/>
      <c r="W77" s="736"/>
      <c r="X77" s="738"/>
      <c r="Z77" s="781"/>
    </row>
    <row r="78" spans="1:26" ht="18.75" customHeight="1" thickTop="1" x14ac:dyDescent="0.25">
      <c r="A78" s="96" t="s">
        <v>115</v>
      </c>
      <c r="B78" s="18">
        <v>1500</v>
      </c>
      <c r="C78" s="19" t="s">
        <v>48</v>
      </c>
      <c r="D78" s="20">
        <v>1</v>
      </c>
      <c r="E78" s="6">
        <f>IF(AND($C78="j",$D78=E$41),$B78,IF($C78="h",$B78*IF($D78=IF(MOD(E$41,6)=0,6,MOD(E$41,6)),1,0),IF($C78="q",$B78*IF($D78=IF(MOD(E$41,3)=0,3,MOD(E$41,3)),1,0),IF($C78="z",$B78*IF($D78=IF(MOD(E$41,2)=0,2,MOD(E$41,2)),1,0),IF($C78="m",$B78,0)))))</f>
        <v>1500</v>
      </c>
      <c r="F78" s="7">
        <f t="shared" ref="F78:P81" si="74">IF(AND($C78="j",$D78=F$41),$B78,IF($C78="h",$B78*IF($D78=IF(MOD(F$41,6)=0,6,MOD(F$41,6)),1,0),IF($C78="q",$B78*IF($D78=IF(MOD(F$41,3)=0,3,MOD(F$41,3)),1,0),IF($C78="z",$B78*IF($D78=IF(MOD(F$41,2)=0,2,MOD(F$41,2)),1,0),IF($C78="m",$B78,0)))))</f>
        <v>0</v>
      </c>
      <c r="G78" s="7">
        <f t="shared" si="74"/>
        <v>0</v>
      </c>
      <c r="H78" s="7">
        <f t="shared" si="74"/>
        <v>0</v>
      </c>
      <c r="I78" s="7">
        <f t="shared" si="74"/>
        <v>0</v>
      </c>
      <c r="J78" s="7">
        <f t="shared" si="74"/>
        <v>0</v>
      </c>
      <c r="K78" s="7">
        <f t="shared" si="74"/>
        <v>0</v>
      </c>
      <c r="L78" s="7">
        <f t="shared" si="74"/>
        <v>0</v>
      </c>
      <c r="M78" s="7">
        <f t="shared" si="74"/>
        <v>0</v>
      </c>
      <c r="N78" s="7">
        <f t="shared" si="74"/>
        <v>0</v>
      </c>
      <c r="O78" s="7">
        <f t="shared" si="74"/>
        <v>0</v>
      </c>
      <c r="P78" s="7">
        <f t="shared" si="74"/>
        <v>0</v>
      </c>
      <c r="Q78" s="283">
        <f>SUM(E78:P78)</f>
        <v>1500</v>
      </c>
      <c r="R78" s="325">
        <f>IF(AND($C78="j",$D78&gt;=1,$D78&lt;=3),$B78,IF(AND($C78="h",$D78&gt;=1,$D78&lt;=3),$B78,IF(AND($C78="q",$D78&gt;=1,$D78&lt;=3),$B78,IF($C78="z",IF($D78=1,2*$B78,$B78),IF($C78="m",3*$B78,0)))))</f>
        <v>1500</v>
      </c>
      <c r="S78" s="7">
        <f>IF(AND($C78="j",$D78&gt;=4,$D78&lt;=6),$B78,IF(AND($C78="h",$D78&gt;=4,$D78&lt;=6),$B78,IF(AND($C78="q",$D78&gt;=1,$D78&lt;=3),$B78,IF($C78="z",IF($D78=2,2*$B78,$B78),IF($C78="m",3*$B78,0)))))</f>
        <v>0</v>
      </c>
      <c r="T78" s="7">
        <f>IF(AND($C78="j",$D78&gt;=7,$D78&lt;=9),$B78,IF(AND($C78="h",$D78&gt;=1,$D78&lt;=3),$B78,IF(AND($C78="q",$D78&gt;=1,$D78&lt;=3),$B78,IF($C78="z",IF($D78=1,2*$B78,$B78),IF($C78="m",3*$B78,0)))))</f>
        <v>0</v>
      </c>
      <c r="U78" s="7">
        <f>IF(AND($C78="j",$D78&gt;=10,$D78&lt;=12),$B78,IF(AND($C78="h",$D78&gt;=4,$D78&lt;=6),$B78,IF(AND($C78="q",$D78&gt;=1,$D78&lt;=3),$B78,IF($C78="z",IF($D78=2,2*$B78,$B78),IF($C78="m",3*$B78,0)))))</f>
        <v>0</v>
      </c>
      <c r="V78" s="283">
        <f>SUM(R78:U78)</f>
        <v>1500</v>
      </c>
      <c r="W78" s="8">
        <f>IF($C78="j",$B78,IF($C78="h",2*$B78,IF($C78="q",4*$B78,IF($C78="z",6*$B78,12*$B78))))</f>
        <v>1500</v>
      </c>
      <c r="X78" s="9">
        <f>IF($C78="j",$B78,IF($C78="h",2*$B78,IF($C78="q",4*$B78,IF($C78="z",6*$B78,12*$B78))))</f>
        <v>1500</v>
      </c>
      <c r="Z78" s="633">
        <f>Q78/12</f>
        <v>125</v>
      </c>
    </row>
    <row r="79" spans="1:26" ht="18.75" customHeight="1" x14ac:dyDescent="0.25">
      <c r="A79" s="97" t="s">
        <v>80</v>
      </c>
      <c r="B79" s="98">
        <v>500</v>
      </c>
      <c r="C79" s="99" t="s">
        <v>46</v>
      </c>
      <c r="D79" s="100" t="s">
        <v>49</v>
      </c>
      <c r="E79" s="10">
        <f t="shared" ref="E79:E81" si="75">IF(AND($C79="j",$D79=E$41),$B79,IF($C79="h",$B79*IF($D79=IF(MOD(E$41,6)=0,6,MOD(E$41,6)),1,0),IF($C79="q",$B79*IF($D79=IF(MOD(E$41,3)=0,3,MOD(E$41,3)),1,0),IF($C79="z",$B79*IF($D79=IF(MOD(E$41,2)=0,2,MOD(E$41,2)),1,0),IF($C79="m",$B79,0)))))</f>
        <v>500</v>
      </c>
      <c r="F79" s="11">
        <f t="shared" si="74"/>
        <v>500</v>
      </c>
      <c r="G79" s="11">
        <f t="shared" si="74"/>
        <v>500</v>
      </c>
      <c r="H79" s="11">
        <f t="shared" si="74"/>
        <v>500</v>
      </c>
      <c r="I79" s="11">
        <f t="shared" si="74"/>
        <v>500</v>
      </c>
      <c r="J79" s="11">
        <f t="shared" si="74"/>
        <v>500</v>
      </c>
      <c r="K79" s="11">
        <f t="shared" si="74"/>
        <v>500</v>
      </c>
      <c r="L79" s="11">
        <f t="shared" si="74"/>
        <v>500</v>
      </c>
      <c r="M79" s="11">
        <f t="shared" si="74"/>
        <v>500</v>
      </c>
      <c r="N79" s="11">
        <f t="shared" si="74"/>
        <v>500</v>
      </c>
      <c r="O79" s="11">
        <f t="shared" si="74"/>
        <v>500</v>
      </c>
      <c r="P79" s="11">
        <f t="shared" si="74"/>
        <v>500</v>
      </c>
      <c r="Q79" s="620">
        <f t="shared" ref="Q79:Q81" si="76">SUM(E79:P79)</f>
        <v>6000</v>
      </c>
      <c r="R79" s="326">
        <f t="shared" ref="R79:R81" si="77">IF(AND($C79="j",$D79&gt;=1,$D79&lt;=3),$B79,IF(AND($C79="h",$D79&gt;=1,$D79&lt;=3),$B79,IF(AND($C79="q",$D79&gt;=1,$D79&lt;=3),$B79,IF($C79="z",IF($D79=1,2*$B79,$B79),IF($C79="m",3*$B79,0)))))</f>
        <v>1500</v>
      </c>
      <c r="S79" s="11">
        <f t="shared" ref="S79:S81" si="78">IF(AND($C79="j",$D79&gt;=4,$D79&lt;=6),$B79,IF(AND($C79="h",$D79&gt;=4,$D79&lt;=6),$B79,IF(AND($C79="q",$D79&gt;=1,$D79&lt;=3),$B79,IF($C79="z",IF($D79=2,2*$B79,$B79),IF($C79="m",3*$B79,0)))))</f>
        <v>1500</v>
      </c>
      <c r="T79" s="11">
        <f t="shared" ref="T79:T81" si="79">IF(AND($C79="j",$D79&gt;=7,$D79&lt;=9),$B79,IF(AND($C79="h",$D79&gt;=1,$D79&lt;=3),$B79,IF(AND($C79="q",$D79&gt;=1,$D79&lt;=3),$B79,IF($C79="z",IF($D79=1,2*$B79,$B79),IF($C79="m",3*$B79,0)))))</f>
        <v>1500</v>
      </c>
      <c r="U79" s="11">
        <f t="shared" ref="U79:U81" si="80">IF(AND($C79="j",$D79&gt;=10,$D79&lt;=12),$B79,IF(AND($C79="h",$D79&gt;=4,$D79&lt;=6),$B79,IF(AND($C79="q",$D79&gt;=1,$D79&lt;=3),$B79,IF($C79="z",IF($D79=2,2*$B79,$B79),IF($C79="m",3*$B79,0)))))</f>
        <v>1500</v>
      </c>
      <c r="V79" s="620">
        <f t="shared" ref="V79:V81" si="81">SUM(R79:U79)</f>
        <v>6000</v>
      </c>
      <c r="W79" s="12">
        <f t="shared" ref="W79:X81" si="82">IF($C79="j",$B79,IF($C79="h",2*$B79,IF($C79="q",4*$B79,IF($C79="z",6*$B79,12*$B79))))</f>
        <v>6000</v>
      </c>
      <c r="X79" s="13">
        <f t="shared" si="82"/>
        <v>6000</v>
      </c>
      <c r="Z79" s="634">
        <f t="shared" ref="Z79:Z81" si="83">Q79/12</f>
        <v>500</v>
      </c>
    </row>
    <row r="80" spans="1:26" ht="18.75" customHeight="1" x14ac:dyDescent="0.25">
      <c r="A80" s="97"/>
      <c r="B80" s="98"/>
      <c r="C80" s="99"/>
      <c r="D80" s="100"/>
      <c r="E80" s="10">
        <f t="shared" si="75"/>
        <v>0</v>
      </c>
      <c r="F80" s="11">
        <f t="shared" si="74"/>
        <v>0</v>
      </c>
      <c r="G80" s="11">
        <f t="shared" si="74"/>
        <v>0</v>
      </c>
      <c r="H80" s="11">
        <f t="shared" si="74"/>
        <v>0</v>
      </c>
      <c r="I80" s="11">
        <f t="shared" si="74"/>
        <v>0</v>
      </c>
      <c r="J80" s="11">
        <f t="shared" si="74"/>
        <v>0</v>
      </c>
      <c r="K80" s="11">
        <f t="shared" si="74"/>
        <v>0</v>
      </c>
      <c r="L80" s="11">
        <f t="shared" si="74"/>
        <v>0</v>
      </c>
      <c r="M80" s="11">
        <f t="shared" si="74"/>
        <v>0</v>
      </c>
      <c r="N80" s="11">
        <f t="shared" si="74"/>
        <v>0</v>
      </c>
      <c r="O80" s="11">
        <f t="shared" si="74"/>
        <v>0</v>
      </c>
      <c r="P80" s="11">
        <f t="shared" si="74"/>
        <v>0</v>
      </c>
      <c r="Q80" s="620">
        <f t="shared" si="76"/>
        <v>0</v>
      </c>
      <c r="R80" s="326">
        <f t="shared" si="77"/>
        <v>0</v>
      </c>
      <c r="S80" s="11">
        <f t="shared" si="78"/>
        <v>0</v>
      </c>
      <c r="T80" s="11">
        <f t="shared" si="79"/>
        <v>0</v>
      </c>
      <c r="U80" s="11">
        <f t="shared" si="80"/>
        <v>0</v>
      </c>
      <c r="V80" s="620">
        <f t="shared" si="81"/>
        <v>0</v>
      </c>
      <c r="W80" s="12">
        <f t="shared" si="82"/>
        <v>0</v>
      </c>
      <c r="X80" s="13">
        <f t="shared" si="82"/>
        <v>0</v>
      </c>
      <c r="Z80" s="634">
        <f t="shared" si="83"/>
        <v>0</v>
      </c>
    </row>
    <row r="81" spans="1:26" ht="18.75" customHeight="1" thickBot="1" x14ac:dyDescent="0.3">
      <c r="A81" s="101"/>
      <c r="B81" s="102"/>
      <c r="C81" s="103"/>
      <c r="D81" s="104"/>
      <c r="E81" s="14">
        <f t="shared" si="75"/>
        <v>0</v>
      </c>
      <c r="F81" s="15">
        <f t="shared" si="74"/>
        <v>0</v>
      </c>
      <c r="G81" s="15">
        <f t="shared" si="74"/>
        <v>0</v>
      </c>
      <c r="H81" s="15">
        <f t="shared" si="74"/>
        <v>0</v>
      </c>
      <c r="I81" s="15">
        <f t="shared" si="74"/>
        <v>0</v>
      </c>
      <c r="J81" s="15">
        <f t="shared" si="74"/>
        <v>0</v>
      </c>
      <c r="K81" s="15">
        <f t="shared" si="74"/>
        <v>0</v>
      </c>
      <c r="L81" s="15">
        <f t="shared" si="74"/>
        <v>0</v>
      </c>
      <c r="M81" s="15">
        <f t="shared" si="74"/>
        <v>0</v>
      </c>
      <c r="N81" s="15">
        <f t="shared" si="74"/>
        <v>0</v>
      </c>
      <c r="O81" s="15">
        <f t="shared" si="74"/>
        <v>0</v>
      </c>
      <c r="P81" s="15">
        <f t="shared" si="74"/>
        <v>0</v>
      </c>
      <c r="Q81" s="285">
        <f t="shared" si="76"/>
        <v>0</v>
      </c>
      <c r="R81" s="628">
        <f t="shared" si="77"/>
        <v>0</v>
      </c>
      <c r="S81" s="15">
        <f t="shared" si="78"/>
        <v>0</v>
      </c>
      <c r="T81" s="15">
        <f t="shared" si="79"/>
        <v>0</v>
      </c>
      <c r="U81" s="15">
        <f t="shared" si="80"/>
        <v>0</v>
      </c>
      <c r="V81" s="285">
        <f t="shared" si="81"/>
        <v>0</v>
      </c>
      <c r="W81" s="16">
        <f t="shared" si="82"/>
        <v>0</v>
      </c>
      <c r="X81" s="17">
        <f t="shared" si="82"/>
        <v>0</v>
      </c>
      <c r="Z81" s="641">
        <f t="shared" si="83"/>
        <v>0</v>
      </c>
    </row>
    <row r="82" spans="1:26" ht="7.5" customHeight="1" thickTop="1" thickBot="1" x14ac:dyDescent="0.3">
      <c r="A82" s="105"/>
      <c r="B82" s="106"/>
      <c r="C82" s="107"/>
      <c r="D82" s="108"/>
      <c r="E82" s="29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2"/>
      <c r="R82" s="33"/>
      <c r="S82" s="30"/>
      <c r="T82" s="30"/>
      <c r="U82" s="30"/>
      <c r="V82" s="32"/>
      <c r="W82" s="35"/>
      <c r="X82" s="36"/>
      <c r="Z82" s="635"/>
    </row>
    <row r="83" spans="1:26" ht="18.75" customHeight="1" thickBot="1" x14ac:dyDescent="0.3">
      <c r="A83" s="636" t="s">
        <v>51</v>
      </c>
      <c r="B83" s="637">
        <f>Z83</f>
        <v>625</v>
      </c>
      <c r="D83" s="638"/>
      <c r="E83" s="624">
        <f>SUM(E78:E81)</f>
        <v>2000</v>
      </c>
      <c r="F83" s="625">
        <f t="shared" ref="F83:X83" si="84">SUM(F78:F81)</f>
        <v>500</v>
      </c>
      <c r="G83" s="625">
        <f t="shared" si="84"/>
        <v>500</v>
      </c>
      <c r="H83" s="625">
        <f t="shared" si="84"/>
        <v>500</v>
      </c>
      <c r="I83" s="625">
        <f t="shared" si="84"/>
        <v>500</v>
      </c>
      <c r="J83" s="625">
        <f t="shared" si="84"/>
        <v>500</v>
      </c>
      <c r="K83" s="625">
        <f t="shared" si="84"/>
        <v>500</v>
      </c>
      <c r="L83" s="625">
        <f t="shared" si="84"/>
        <v>500</v>
      </c>
      <c r="M83" s="625">
        <f t="shared" si="84"/>
        <v>500</v>
      </c>
      <c r="N83" s="625">
        <f t="shared" si="84"/>
        <v>500</v>
      </c>
      <c r="O83" s="625">
        <f t="shared" si="84"/>
        <v>500</v>
      </c>
      <c r="P83" s="625">
        <f t="shared" si="84"/>
        <v>500</v>
      </c>
      <c r="Q83" s="39">
        <f t="shared" si="84"/>
        <v>7500</v>
      </c>
      <c r="R83" s="639">
        <f t="shared" si="84"/>
        <v>3000</v>
      </c>
      <c r="S83" s="625">
        <f t="shared" si="84"/>
        <v>1500</v>
      </c>
      <c r="T83" s="625">
        <f t="shared" si="84"/>
        <v>1500</v>
      </c>
      <c r="U83" s="625">
        <f t="shared" si="84"/>
        <v>1500</v>
      </c>
      <c r="V83" s="39">
        <f t="shared" si="84"/>
        <v>7500</v>
      </c>
      <c r="W83" s="41">
        <f t="shared" si="84"/>
        <v>7500</v>
      </c>
      <c r="X83" s="42">
        <f t="shared" si="84"/>
        <v>7500</v>
      </c>
      <c r="Z83" s="640">
        <f>SUM(Z78:Z81)</f>
        <v>625</v>
      </c>
    </row>
    <row r="84" spans="1:26" ht="15.75" thickBot="1" x14ac:dyDescent="0.3"/>
    <row r="85" spans="1:26" ht="15" customHeight="1" x14ac:dyDescent="0.25">
      <c r="A85" s="772" t="s">
        <v>73</v>
      </c>
      <c r="B85" s="770" t="s">
        <v>19</v>
      </c>
      <c r="C85" s="770" t="s">
        <v>45</v>
      </c>
      <c r="D85" s="774" t="s">
        <v>256</v>
      </c>
      <c r="E85" s="751" t="s">
        <v>20</v>
      </c>
      <c r="F85" s="731"/>
      <c r="G85" s="731"/>
      <c r="H85" s="731"/>
      <c r="I85" s="731"/>
      <c r="J85" s="731"/>
      <c r="K85" s="731"/>
      <c r="L85" s="731"/>
      <c r="M85" s="731"/>
      <c r="N85" s="731"/>
      <c r="O85" s="731"/>
      <c r="P85" s="732"/>
      <c r="Q85" s="752" t="s">
        <v>20</v>
      </c>
      <c r="R85" s="730" t="s">
        <v>25</v>
      </c>
      <c r="S85" s="731"/>
      <c r="T85" s="731"/>
      <c r="U85" s="732"/>
      <c r="V85" s="733" t="s">
        <v>25</v>
      </c>
      <c r="W85" s="735" t="s">
        <v>26</v>
      </c>
      <c r="X85" s="737" t="s">
        <v>27</v>
      </c>
      <c r="Z85" s="780" t="s">
        <v>50</v>
      </c>
    </row>
    <row r="86" spans="1:26" ht="15.75" thickBot="1" x14ac:dyDescent="0.3">
      <c r="A86" s="773"/>
      <c r="B86" s="771"/>
      <c r="C86" s="771"/>
      <c r="D86" s="775"/>
      <c r="E86" s="1">
        <v>1</v>
      </c>
      <c r="F86" s="2">
        <v>2</v>
      </c>
      <c r="G86" s="2">
        <v>3</v>
      </c>
      <c r="H86" s="2">
        <v>4</v>
      </c>
      <c r="I86" s="2">
        <v>5</v>
      </c>
      <c r="J86" s="2">
        <v>6</v>
      </c>
      <c r="K86" s="2">
        <v>7</v>
      </c>
      <c r="L86" s="2">
        <v>8</v>
      </c>
      <c r="M86" s="2">
        <v>9</v>
      </c>
      <c r="N86" s="2">
        <v>10</v>
      </c>
      <c r="O86" s="2">
        <v>11</v>
      </c>
      <c r="P86" s="3">
        <v>12</v>
      </c>
      <c r="Q86" s="753"/>
      <c r="R86" s="4" t="s">
        <v>21</v>
      </c>
      <c r="S86" s="2" t="s">
        <v>22</v>
      </c>
      <c r="T86" s="2" t="s">
        <v>23</v>
      </c>
      <c r="U86" s="2" t="s">
        <v>24</v>
      </c>
      <c r="V86" s="734"/>
      <c r="W86" s="736"/>
      <c r="X86" s="738"/>
      <c r="Z86" s="781"/>
    </row>
    <row r="87" spans="1:26" ht="18.75" customHeight="1" thickTop="1" x14ac:dyDescent="0.25">
      <c r="A87" s="96" t="s">
        <v>135</v>
      </c>
      <c r="B87" s="18">
        <v>2000</v>
      </c>
      <c r="C87" s="19" t="s">
        <v>46</v>
      </c>
      <c r="D87" s="20" t="s">
        <v>49</v>
      </c>
      <c r="E87" s="6">
        <f>IF(AND($C87="j",$D87=E$41),$B87,IF($C87="h",$B87*IF($D87=IF(MOD(E$41,6)=0,6,MOD(E$41,6)),1,0),IF($C87="q",$B87*IF($D87=IF(MOD(E$41,3)=0,3,MOD(E$41,3)),1,0),IF($C87="z",$B87*IF($D87=IF(MOD(E$41,2)=0,2,MOD(E$41,2)),1,0),IF($C87="m",$B87,0)))))</f>
        <v>2000</v>
      </c>
      <c r="F87" s="7">
        <f t="shared" ref="F87:P90" si="85">IF(AND($C87="j",$D87=F$41),$B87,IF($C87="h",$B87*IF($D87=IF(MOD(F$41,6)=0,6,MOD(F$41,6)),1,0),IF($C87="q",$B87*IF($D87=IF(MOD(F$41,3)=0,3,MOD(F$41,3)),1,0),IF($C87="z",$B87*IF($D87=IF(MOD(F$41,2)=0,2,MOD(F$41,2)),1,0),IF($C87="m",$B87,0)))))</f>
        <v>2000</v>
      </c>
      <c r="G87" s="7">
        <f t="shared" si="85"/>
        <v>2000</v>
      </c>
      <c r="H87" s="7">
        <f t="shared" si="85"/>
        <v>2000</v>
      </c>
      <c r="I87" s="7">
        <f t="shared" si="85"/>
        <v>2000</v>
      </c>
      <c r="J87" s="7">
        <f t="shared" si="85"/>
        <v>2000</v>
      </c>
      <c r="K87" s="7">
        <f t="shared" si="85"/>
        <v>2000</v>
      </c>
      <c r="L87" s="7">
        <f t="shared" si="85"/>
        <v>2000</v>
      </c>
      <c r="M87" s="7">
        <f t="shared" si="85"/>
        <v>2000</v>
      </c>
      <c r="N87" s="7">
        <f t="shared" si="85"/>
        <v>2000</v>
      </c>
      <c r="O87" s="7">
        <f t="shared" si="85"/>
        <v>2000</v>
      </c>
      <c r="P87" s="7">
        <f t="shared" si="85"/>
        <v>2000</v>
      </c>
      <c r="Q87" s="283">
        <f>SUM(E87:P87)</f>
        <v>24000</v>
      </c>
      <c r="R87" s="325">
        <f>IF(AND($C87="j",$D87&gt;=1,$D87&lt;=3),$B87,IF(AND($C87="h",$D87&gt;=1,$D87&lt;=3),$B87,IF(AND($C87="q",$D87&gt;=1,$D87&lt;=3),$B87,IF($C87="z",IF($D87=1,2*$B87,$B87),IF($C87="m",3*$B87,0)))))</f>
        <v>6000</v>
      </c>
      <c r="S87" s="7">
        <f>IF(AND($C87="j",$D87&gt;=4,$D87&lt;=6),$B87,IF(AND($C87="h",$D87&gt;=4,$D87&lt;=6),$B87,IF(AND($C87="q",$D87&gt;=1,$D87&lt;=3),$B87,IF($C87="z",IF($D87=2,2*$B87,$B87),IF($C87="m",3*$B87,0)))))</f>
        <v>6000</v>
      </c>
      <c r="T87" s="7">
        <f>IF(AND($C87="j",$D87&gt;=7,$D87&lt;=9),$B87,IF(AND($C87="h",$D87&gt;=1,$D87&lt;=3),$B87,IF(AND($C87="q",$D87&gt;=1,$D87&lt;=3),$B87,IF($C87="z",IF($D87=1,2*$B87,$B87),IF($C87="m",3*$B87,0)))))</f>
        <v>6000</v>
      </c>
      <c r="U87" s="7">
        <f>IF(AND($C87="j",$D87&gt;=10,$D87&lt;=12),$B87,IF(AND($C87="h",$D87&gt;=4,$D87&lt;=6),$B87,IF(AND($C87="q",$D87&gt;=1,$D87&lt;=3),$B87,IF($C87="z",IF($D87=2,2*$B87,$B87),IF($C87="m",3*$B87,0)))))</f>
        <v>6000</v>
      </c>
      <c r="V87" s="283">
        <f>SUM(R87:U87)</f>
        <v>24000</v>
      </c>
      <c r="W87" s="8">
        <f>IF($C87="j",$B87,IF($C87="h",2*$B87,IF($C87="q",4*$B87,IF($C87="z",6*$B87,12*$B87))))</f>
        <v>24000</v>
      </c>
      <c r="X87" s="9">
        <f>IF($C87="j",$B87,IF($C87="h",2*$B87,IF($C87="q",4*$B87,IF($C87="z",6*$B87,12*$B87))))</f>
        <v>24000</v>
      </c>
      <c r="Z87" s="633">
        <f>Q87/12</f>
        <v>2000</v>
      </c>
    </row>
    <row r="88" spans="1:26" ht="18.75" customHeight="1" x14ac:dyDescent="0.25">
      <c r="A88" s="97" t="s">
        <v>118</v>
      </c>
      <c r="B88" s="98">
        <v>200</v>
      </c>
      <c r="C88" s="99" t="s">
        <v>46</v>
      </c>
      <c r="D88" s="100" t="s">
        <v>49</v>
      </c>
      <c r="E88" s="10">
        <f t="shared" ref="E88:E90" si="86">IF(AND($C88="j",$D88=E$41),$B88,IF($C88="h",$B88*IF($D88=IF(MOD(E$41,6)=0,6,MOD(E$41,6)),1,0),IF($C88="q",$B88*IF($D88=IF(MOD(E$41,3)=0,3,MOD(E$41,3)),1,0),IF($C88="z",$B88*IF($D88=IF(MOD(E$41,2)=0,2,MOD(E$41,2)),1,0),IF($C88="m",$B88,0)))))</f>
        <v>200</v>
      </c>
      <c r="F88" s="11">
        <f t="shared" si="85"/>
        <v>200</v>
      </c>
      <c r="G88" s="11">
        <f t="shared" si="85"/>
        <v>200</v>
      </c>
      <c r="H88" s="11">
        <f t="shared" si="85"/>
        <v>200</v>
      </c>
      <c r="I88" s="11">
        <f t="shared" si="85"/>
        <v>200</v>
      </c>
      <c r="J88" s="11">
        <f t="shared" si="85"/>
        <v>200</v>
      </c>
      <c r="K88" s="11">
        <f t="shared" si="85"/>
        <v>200</v>
      </c>
      <c r="L88" s="11">
        <f t="shared" si="85"/>
        <v>200</v>
      </c>
      <c r="M88" s="11">
        <f t="shared" si="85"/>
        <v>200</v>
      </c>
      <c r="N88" s="11">
        <f t="shared" si="85"/>
        <v>200</v>
      </c>
      <c r="O88" s="11">
        <f t="shared" si="85"/>
        <v>200</v>
      </c>
      <c r="P88" s="11">
        <f t="shared" si="85"/>
        <v>200</v>
      </c>
      <c r="Q88" s="620">
        <f t="shared" ref="Q88:Q90" si="87">SUM(E88:P88)</f>
        <v>2400</v>
      </c>
      <c r="R88" s="326">
        <f t="shared" ref="R88:R90" si="88">IF(AND($C88="j",$D88&gt;=1,$D88&lt;=3),$B88,IF(AND($C88="h",$D88&gt;=1,$D88&lt;=3),$B88,IF(AND($C88="q",$D88&gt;=1,$D88&lt;=3),$B88,IF($C88="z",IF($D88=1,2*$B88,$B88),IF($C88="m",3*$B88,0)))))</f>
        <v>600</v>
      </c>
      <c r="S88" s="11">
        <f t="shared" ref="S88:S90" si="89">IF(AND($C88="j",$D88&gt;=4,$D88&lt;=6),$B88,IF(AND($C88="h",$D88&gt;=4,$D88&lt;=6),$B88,IF(AND($C88="q",$D88&gt;=1,$D88&lt;=3),$B88,IF($C88="z",IF($D88=2,2*$B88,$B88),IF($C88="m",3*$B88,0)))))</f>
        <v>600</v>
      </c>
      <c r="T88" s="11">
        <f t="shared" ref="T88:T90" si="90">IF(AND($C88="j",$D88&gt;=7,$D88&lt;=9),$B88,IF(AND($C88="h",$D88&gt;=1,$D88&lt;=3),$B88,IF(AND($C88="q",$D88&gt;=1,$D88&lt;=3),$B88,IF($C88="z",IF($D88=1,2*$B88,$B88),IF($C88="m",3*$B88,0)))))</f>
        <v>600</v>
      </c>
      <c r="U88" s="11">
        <f t="shared" ref="U88:U90" si="91">IF(AND($C88="j",$D88&gt;=10,$D88&lt;=12),$B88,IF(AND($C88="h",$D88&gt;=4,$D88&lt;=6),$B88,IF(AND($C88="q",$D88&gt;=1,$D88&lt;=3),$B88,IF($C88="z",IF($D88=2,2*$B88,$B88),IF($C88="m",3*$B88,0)))))</f>
        <v>600</v>
      </c>
      <c r="V88" s="620">
        <f t="shared" ref="V88:V90" si="92">SUM(R88:U88)</f>
        <v>2400</v>
      </c>
      <c r="W88" s="12">
        <f t="shared" ref="W88:X90" si="93">IF($C88="j",$B88,IF($C88="h",2*$B88,IF($C88="q",4*$B88,IF($C88="z",6*$B88,12*$B88))))</f>
        <v>2400</v>
      </c>
      <c r="X88" s="13">
        <f t="shared" si="93"/>
        <v>2400</v>
      </c>
      <c r="Z88" s="634">
        <f t="shared" ref="Z88:Z90" si="94">Q88/12</f>
        <v>200</v>
      </c>
    </row>
    <row r="89" spans="1:26" ht="18.75" customHeight="1" x14ac:dyDescent="0.25">
      <c r="A89" s="97"/>
      <c r="B89" s="98"/>
      <c r="C89" s="99"/>
      <c r="D89" s="100"/>
      <c r="E89" s="10">
        <f t="shared" si="86"/>
        <v>0</v>
      </c>
      <c r="F89" s="11">
        <f t="shared" si="85"/>
        <v>0</v>
      </c>
      <c r="G89" s="11">
        <f t="shared" si="85"/>
        <v>0</v>
      </c>
      <c r="H89" s="11">
        <f t="shared" si="85"/>
        <v>0</v>
      </c>
      <c r="I89" s="11">
        <f t="shared" si="85"/>
        <v>0</v>
      </c>
      <c r="J89" s="11">
        <f t="shared" si="85"/>
        <v>0</v>
      </c>
      <c r="K89" s="11">
        <f t="shared" si="85"/>
        <v>0</v>
      </c>
      <c r="L89" s="11">
        <f t="shared" si="85"/>
        <v>0</v>
      </c>
      <c r="M89" s="11">
        <f t="shared" si="85"/>
        <v>0</v>
      </c>
      <c r="N89" s="11">
        <f t="shared" si="85"/>
        <v>0</v>
      </c>
      <c r="O89" s="11">
        <f t="shared" si="85"/>
        <v>0</v>
      </c>
      <c r="P89" s="11">
        <f t="shared" si="85"/>
        <v>0</v>
      </c>
      <c r="Q89" s="620">
        <f t="shared" si="87"/>
        <v>0</v>
      </c>
      <c r="R89" s="326">
        <f t="shared" si="88"/>
        <v>0</v>
      </c>
      <c r="S89" s="11">
        <f t="shared" si="89"/>
        <v>0</v>
      </c>
      <c r="T89" s="11">
        <f t="shared" si="90"/>
        <v>0</v>
      </c>
      <c r="U89" s="11">
        <f t="shared" si="91"/>
        <v>0</v>
      </c>
      <c r="V89" s="620">
        <f t="shared" si="92"/>
        <v>0</v>
      </c>
      <c r="W89" s="12">
        <f t="shared" si="93"/>
        <v>0</v>
      </c>
      <c r="X89" s="13">
        <f t="shared" si="93"/>
        <v>0</v>
      </c>
      <c r="Z89" s="634">
        <f t="shared" si="94"/>
        <v>0</v>
      </c>
    </row>
    <row r="90" spans="1:26" ht="18.75" customHeight="1" thickBot="1" x14ac:dyDescent="0.3">
      <c r="A90" s="101"/>
      <c r="B90" s="102"/>
      <c r="C90" s="103"/>
      <c r="D90" s="104"/>
      <c r="E90" s="14">
        <f t="shared" si="86"/>
        <v>0</v>
      </c>
      <c r="F90" s="15">
        <f t="shared" si="85"/>
        <v>0</v>
      </c>
      <c r="G90" s="15">
        <f t="shared" si="85"/>
        <v>0</v>
      </c>
      <c r="H90" s="15">
        <f t="shared" si="85"/>
        <v>0</v>
      </c>
      <c r="I90" s="15">
        <f t="shared" si="85"/>
        <v>0</v>
      </c>
      <c r="J90" s="15">
        <f t="shared" si="85"/>
        <v>0</v>
      </c>
      <c r="K90" s="15">
        <f t="shared" si="85"/>
        <v>0</v>
      </c>
      <c r="L90" s="15">
        <f t="shared" si="85"/>
        <v>0</v>
      </c>
      <c r="M90" s="15">
        <f t="shared" si="85"/>
        <v>0</v>
      </c>
      <c r="N90" s="15">
        <f t="shared" si="85"/>
        <v>0</v>
      </c>
      <c r="O90" s="15">
        <f t="shared" si="85"/>
        <v>0</v>
      </c>
      <c r="P90" s="15">
        <f t="shared" si="85"/>
        <v>0</v>
      </c>
      <c r="Q90" s="285">
        <f t="shared" si="87"/>
        <v>0</v>
      </c>
      <c r="R90" s="628">
        <f t="shared" si="88"/>
        <v>0</v>
      </c>
      <c r="S90" s="15">
        <f t="shared" si="89"/>
        <v>0</v>
      </c>
      <c r="T90" s="15">
        <f t="shared" si="90"/>
        <v>0</v>
      </c>
      <c r="U90" s="15">
        <f t="shared" si="91"/>
        <v>0</v>
      </c>
      <c r="V90" s="285">
        <f t="shared" si="92"/>
        <v>0</v>
      </c>
      <c r="W90" s="16">
        <f t="shared" si="93"/>
        <v>0</v>
      </c>
      <c r="X90" s="17">
        <f t="shared" si="93"/>
        <v>0</v>
      </c>
      <c r="Z90" s="641">
        <f t="shared" si="94"/>
        <v>0</v>
      </c>
    </row>
    <row r="91" spans="1:26" ht="7.5" customHeight="1" thickTop="1" thickBot="1" x14ac:dyDescent="0.3">
      <c r="A91" s="105"/>
      <c r="B91" s="106"/>
      <c r="C91" s="107"/>
      <c r="D91" s="108"/>
      <c r="E91" s="29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2"/>
      <c r="R91" s="33"/>
      <c r="S91" s="30"/>
      <c r="T91" s="30"/>
      <c r="U91" s="30"/>
      <c r="V91" s="32"/>
      <c r="W91" s="35"/>
      <c r="X91" s="36"/>
      <c r="Z91" s="635"/>
    </row>
    <row r="92" spans="1:26" ht="18.75" customHeight="1" thickBot="1" x14ac:dyDescent="0.3">
      <c r="A92" s="636" t="s">
        <v>51</v>
      </c>
      <c r="B92" s="637">
        <f>Z92</f>
        <v>2200</v>
      </c>
      <c r="D92" s="638"/>
      <c r="E92" s="624">
        <f>SUM(E87:E90)</f>
        <v>2200</v>
      </c>
      <c r="F92" s="625">
        <f t="shared" ref="F92:X92" si="95">SUM(F87:F90)</f>
        <v>2200</v>
      </c>
      <c r="G92" s="625">
        <f t="shared" si="95"/>
        <v>2200</v>
      </c>
      <c r="H92" s="625">
        <f t="shared" si="95"/>
        <v>2200</v>
      </c>
      <c r="I92" s="625">
        <f t="shared" si="95"/>
        <v>2200</v>
      </c>
      <c r="J92" s="625">
        <f t="shared" si="95"/>
        <v>2200</v>
      </c>
      <c r="K92" s="625">
        <f t="shared" si="95"/>
        <v>2200</v>
      </c>
      <c r="L92" s="625">
        <f t="shared" si="95"/>
        <v>2200</v>
      </c>
      <c r="M92" s="625">
        <f t="shared" si="95"/>
        <v>2200</v>
      </c>
      <c r="N92" s="625">
        <f t="shared" si="95"/>
        <v>2200</v>
      </c>
      <c r="O92" s="625">
        <f t="shared" si="95"/>
        <v>2200</v>
      </c>
      <c r="P92" s="625">
        <f t="shared" si="95"/>
        <v>2200</v>
      </c>
      <c r="Q92" s="39">
        <f t="shared" si="95"/>
        <v>26400</v>
      </c>
      <c r="R92" s="639">
        <f t="shared" si="95"/>
        <v>6600</v>
      </c>
      <c r="S92" s="625">
        <f t="shared" si="95"/>
        <v>6600</v>
      </c>
      <c r="T92" s="625">
        <f t="shared" si="95"/>
        <v>6600</v>
      </c>
      <c r="U92" s="625">
        <f t="shared" si="95"/>
        <v>6600</v>
      </c>
      <c r="V92" s="39">
        <f t="shared" si="95"/>
        <v>26400</v>
      </c>
      <c r="W92" s="41">
        <f t="shared" si="95"/>
        <v>26400</v>
      </c>
      <c r="X92" s="42">
        <f t="shared" si="95"/>
        <v>26400</v>
      </c>
      <c r="Z92" s="640">
        <f>SUM(Z87:Z90)</f>
        <v>2200</v>
      </c>
    </row>
    <row r="93" spans="1:26" ht="15.75" thickBot="1" x14ac:dyDescent="0.3"/>
    <row r="94" spans="1:26" ht="15" customHeight="1" x14ac:dyDescent="0.25">
      <c r="A94" s="772" t="s">
        <v>76</v>
      </c>
      <c r="B94" s="770" t="s">
        <v>19</v>
      </c>
      <c r="C94" s="770" t="s">
        <v>45</v>
      </c>
      <c r="D94" s="774" t="s">
        <v>256</v>
      </c>
      <c r="E94" s="751" t="s">
        <v>20</v>
      </c>
      <c r="F94" s="731"/>
      <c r="G94" s="731"/>
      <c r="H94" s="731"/>
      <c r="I94" s="731"/>
      <c r="J94" s="731"/>
      <c r="K94" s="731"/>
      <c r="L94" s="731"/>
      <c r="M94" s="731"/>
      <c r="N94" s="731"/>
      <c r="O94" s="731"/>
      <c r="P94" s="732"/>
      <c r="Q94" s="752" t="s">
        <v>20</v>
      </c>
      <c r="R94" s="730" t="s">
        <v>25</v>
      </c>
      <c r="S94" s="731"/>
      <c r="T94" s="731"/>
      <c r="U94" s="732"/>
      <c r="V94" s="733" t="s">
        <v>25</v>
      </c>
      <c r="W94" s="735" t="s">
        <v>26</v>
      </c>
      <c r="X94" s="737" t="s">
        <v>27</v>
      </c>
      <c r="Z94" s="780" t="s">
        <v>50</v>
      </c>
    </row>
    <row r="95" spans="1:26" ht="15.75" thickBot="1" x14ac:dyDescent="0.3">
      <c r="A95" s="773"/>
      <c r="B95" s="771"/>
      <c r="C95" s="771"/>
      <c r="D95" s="775"/>
      <c r="E95" s="1">
        <v>1</v>
      </c>
      <c r="F95" s="2">
        <v>2</v>
      </c>
      <c r="G95" s="2">
        <v>3</v>
      </c>
      <c r="H95" s="2">
        <v>4</v>
      </c>
      <c r="I95" s="2">
        <v>5</v>
      </c>
      <c r="J95" s="2">
        <v>6</v>
      </c>
      <c r="K95" s="2">
        <v>7</v>
      </c>
      <c r="L95" s="2">
        <v>8</v>
      </c>
      <c r="M95" s="2">
        <v>9</v>
      </c>
      <c r="N95" s="2">
        <v>10</v>
      </c>
      <c r="O95" s="2">
        <v>11</v>
      </c>
      <c r="P95" s="3">
        <v>12</v>
      </c>
      <c r="Q95" s="753"/>
      <c r="R95" s="4" t="s">
        <v>21</v>
      </c>
      <c r="S95" s="2" t="s">
        <v>22</v>
      </c>
      <c r="T95" s="2" t="s">
        <v>23</v>
      </c>
      <c r="U95" s="2" t="s">
        <v>24</v>
      </c>
      <c r="V95" s="734"/>
      <c r="W95" s="736"/>
      <c r="X95" s="738"/>
      <c r="Z95" s="781"/>
    </row>
    <row r="96" spans="1:26" ht="18.75" customHeight="1" thickTop="1" x14ac:dyDescent="0.25">
      <c r="A96" s="96" t="s">
        <v>77</v>
      </c>
      <c r="B96" s="18">
        <v>88</v>
      </c>
      <c r="C96" s="19" t="s">
        <v>46</v>
      </c>
      <c r="D96" s="20" t="s">
        <v>49</v>
      </c>
      <c r="E96" s="6">
        <f>IF(AND($C96="j",$D96=E$41),$B96,IF($C96="h",$B96*IF($D96=IF(MOD(E$41,6)=0,6,MOD(E$41,6)),1,0),IF($C96="q",$B96*IF($D96=IF(MOD(E$41,3)=0,3,MOD(E$41,3)),1,0),IF($C96="z",$B96*IF($D96=IF(MOD(E$41,2)=0,2,MOD(E$41,2)),1,0),IF($C96="m",$B96,0)))))</f>
        <v>88</v>
      </c>
      <c r="F96" s="7">
        <f t="shared" ref="F96:P99" si="96">IF(AND($C96="j",$D96=F$41),$B96,IF($C96="h",$B96*IF($D96=IF(MOD(F$41,6)=0,6,MOD(F$41,6)),1,0),IF($C96="q",$B96*IF($D96=IF(MOD(F$41,3)=0,3,MOD(F$41,3)),1,0),IF($C96="z",$B96*IF($D96=IF(MOD(F$41,2)=0,2,MOD(F$41,2)),1,0),IF($C96="m",$B96,0)))))</f>
        <v>88</v>
      </c>
      <c r="G96" s="7">
        <f t="shared" si="96"/>
        <v>88</v>
      </c>
      <c r="H96" s="7">
        <f t="shared" si="96"/>
        <v>88</v>
      </c>
      <c r="I96" s="7">
        <f t="shared" si="96"/>
        <v>88</v>
      </c>
      <c r="J96" s="7">
        <f t="shared" si="96"/>
        <v>88</v>
      </c>
      <c r="K96" s="7">
        <f t="shared" si="96"/>
        <v>88</v>
      </c>
      <c r="L96" s="7">
        <f t="shared" si="96"/>
        <v>88</v>
      </c>
      <c r="M96" s="7">
        <f t="shared" si="96"/>
        <v>88</v>
      </c>
      <c r="N96" s="7">
        <f t="shared" si="96"/>
        <v>88</v>
      </c>
      <c r="O96" s="7">
        <f t="shared" si="96"/>
        <v>88</v>
      </c>
      <c r="P96" s="7">
        <f t="shared" si="96"/>
        <v>88</v>
      </c>
      <c r="Q96" s="283">
        <f>SUM(E96:P96)</f>
        <v>1056</v>
      </c>
      <c r="R96" s="325">
        <f>IF(AND($C96="j",$D96&gt;=1,$D96&lt;=3),$B96,IF(AND($C96="h",$D96&gt;=1,$D96&lt;=3),$B96,IF(AND($C96="q",$D96&gt;=1,$D96&lt;=3),$B96,IF($C96="z",IF($D96=1,2*$B96,$B96),IF($C96="m",3*$B96,0)))))</f>
        <v>264</v>
      </c>
      <c r="S96" s="7">
        <f>IF(AND($C96="j",$D96&gt;=4,$D96&lt;=6),$B96,IF(AND($C96="h",$D96&gt;=4,$D96&lt;=6),$B96,IF(AND($C96="q",$D96&gt;=1,$D96&lt;=3),$B96,IF($C96="z",IF($D96=2,2*$B96,$B96),IF($C96="m",3*$B96,0)))))</f>
        <v>264</v>
      </c>
      <c r="T96" s="7">
        <f>IF(AND($C96="j",$D96&gt;=7,$D96&lt;=9),$B96,IF(AND($C96="h",$D96&gt;=1,$D96&lt;=3),$B96,IF(AND($C96="q",$D96&gt;=1,$D96&lt;=3),$B96,IF($C96="z",IF($D96=1,2*$B96,$B96),IF($C96="m",3*$B96,0)))))</f>
        <v>264</v>
      </c>
      <c r="U96" s="7">
        <f>IF(AND($C96="j",$D96&gt;=10,$D96&lt;=12),$B96,IF(AND($C96="h",$D96&gt;=4,$D96&lt;=6),$B96,IF(AND($C96="q",$D96&gt;=1,$D96&lt;=3),$B96,IF($C96="z",IF($D96=2,2*$B96,$B96),IF($C96="m",3*$B96,0)))))</f>
        <v>264</v>
      </c>
      <c r="V96" s="283">
        <f>SUM(R96:U96)</f>
        <v>1056</v>
      </c>
      <c r="W96" s="8">
        <f>IF($C96="j",$B96,IF($C96="h",2*$B96,IF($C96="q",4*$B96,IF($C96="z",6*$B96,12*$B96))))</f>
        <v>1056</v>
      </c>
      <c r="X96" s="9">
        <f>IF($C96="j",$B96,IF($C96="h",2*$B96,IF($C96="q",4*$B96,IF($C96="z",6*$B96,12*$B96))))</f>
        <v>1056</v>
      </c>
      <c r="Z96" s="633">
        <f>Q96/12</f>
        <v>88</v>
      </c>
    </row>
    <row r="97" spans="1:26" ht="18.75" customHeight="1" x14ac:dyDescent="0.25">
      <c r="A97" s="97" t="s">
        <v>78</v>
      </c>
      <c r="B97" s="98">
        <v>300</v>
      </c>
      <c r="C97" s="99" t="s">
        <v>46</v>
      </c>
      <c r="D97" s="100" t="s">
        <v>49</v>
      </c>
      <c r="E97" s="10">
        <f t="shared" ref="E97:E99" si="97">IF(AND($C97="j",$D97=E$41),$B97,IF($C97="h",$B97*IF($D97=IF(MOD(E$41,6)=0,6,MOD(E$41,6)),1,0),IF($C97="q",$B97*IF($D97=IF(MOD(E$41,3)=0,3,MOD(E$41,3)),1,0),IF($C97="z",$B97*IF($D97=IF(MOD(E$41,2)=0,2,MOD(E$41,2)),1,0),IF($C97="m",$B97,0)))))</f>
        <v>300</v>
      </c>
      <c r="F97" s="11">
        <f t="shared" si="96"/>
        <v>300</v>
      </c>
      <c r="G97" s="11">
        <f t="shared" si="96"/>
        <v>300</v>
      </c>
      <c r="H97" s="11">
        <f t="shared" si="96"/>
        <v>300</v>
      </c>
      <c r="I97" s="11">
        <f t="shared" si="96"/>
        <v>300</v>
      </c>
      <c r="J97" s="11">
        <f t="shared" si="96"/>
        <v>300</v>
      </c>
      <c r="K97" s="11">
        <f t="shared" si="96"/>
        <v>300</v>
      </c>
      <c r="L97" s="11">
        <f t="shared" si="96"/>
        <v>300</v>
      </c>
      <c r="M97" s="11">
        <f t="shared" si="96"/>
        <v>300</v>
      </c>
      <c r="N97" s="11">
        <f t="shared" si="96"/>
        <v>300</v>
      </c>
      <c r="O97" s="11">
        <f t="shared" si="96"/>
        <v>300</v>
      </c>
      <c r="P97" s="11">
        <f t="shared" si="96"/>
        <v>300</v>
      </c>
      <c r="Q97" s="620">
        <f t="shared" ref="Q97:Q99" si="98">SUM(E97:P97)</f>
        <v>3600</v>
      </c>
      <c r="R97" s="326">
        <f t="shared" ref="R97:R99" si="99">IF(AND($C97="j",$D97&gt;=1,$D97&lt;=3),$B97,IF(AND($C97="h",$D97&gt;=1,$D97&lt;=3),$B97,IF(AND($C97="q",$D97&gt;=1,$D97&lt;=3),$B97,IF($C97="z",IF($D97=1,2*$B97,$B97),IF($C97="m",3*$B97,0)))))</f>
        <v>900</v>
      </c>
      <c r="S97" s="11">
        <f t="shared" ref="S97:S99" si="100">IF(AND($C97="j",$D97&gt;=4,$D97&lt;=6),$B97,IF(AND($C97="h",$D97&gt;=4,$D97&lt;=6),$B97,IF(AND($C97="q",$D97&gt;=1,$D97&lt;=3),$B97,IF($C97="z",IF($D97=2,2*$B97,$B97),IF($C97="m",3*$B97,0)))))</f>
        <v>900</v>
      </c>
      <c r="T97" s="11">
        <f t="shared" ref="T97:T99" si="101">IF(AND($C97="j",$D97&gt;=7,$D97&lt;=9),$B97,IF(AND($C97="h",$D97&gt;=1,$D97&lt;=3),$B97,IF(AND($C97="q",$D97&gt;=1,$D97&lt;=3),$B97,IF($C97="z",IF($D97=1,2*$B97,$B97),IF($C97="m",3*$B97,0)))))</f>
        <v>900</v>
      </c>
      <c r="U97" s="11">
        <f t="shared" ref="U97:U99" si="102">IF(AND($C97="j",$D97&gt;=10,$D97&lt;=12),$B97,IF(AND($C97="h",$D97&gt;=4,$D97&lt;=6),$B97,IF(AND($C97="q",$D97&gt;=1,$D97&lt;=3),$B97,IF($C97="z",IF($D97=2,2*$B97,$B97),IF($C97="m",3*$B97,0)))))</f>
        <v>900</v>
      </c>
      <c r="V97" s="620">
        <f t="shared" ref="V97:V99" si="103">SUM(R97:U97)</f>
        <v>3600</v>
      </c>
      <c r="W97" s="12">
        <f t="shared" ref="W97:X99" si="104">IF($C97="j",$B97,IF($C97="h",2*$B97,IF($C97="q",4*$B97,IF($C97="z",6*$B97,12*$B97))))</f>
        <v>3600</v>
      </c>
      <c r="X97" s="13">
        <f t="shared" si="104"/>
        <v>3600</v>
      </c>
      <c r="Z97" s="634">
        <f t="shared" ref="Z97:Z99" si="105">Q97/12</f>
        <v>300</v>
      </c>
    </row>
    <row r="98" spans="1:26" ht="18.75" customHeight="1" x14ac:dyDescent="0.25">
      <c r="A98" s="97"/>
      <c r="B98" s="98"/>
      <c r="C98" s="99"/>
      <c r="D98" s="100"/>
      <c r="E98" s="10">
        <f t="shared" si="97"/>
        <v>0</v>
      </c>
      <c r="F98" s="11">
        <f t="shared" si="96"/>
        <v>0</v>
      </c>
      <c r="G98" s="11">
        <f t="shared" si="96"/>
        <v>0</v>
      </c>
      <c r="H98" s="11">
        <f t="shared" si="96"/>
        <v>0</v>
      </c>
      <c r="I98" s="11">
        <f t="shared" si="96"/>
        <v>0</v>
      </c>
      <c r="J98" s="11">
        <f t="shared" si="96"/>
        <v>0</v>
      </c>
      <c r="K98" s="11">
        <f t="shared" si="96"/>
        <v>0</v>
      </c>
      <c r="L98" s="11">
        <f t="shared" si="96"/>
        <v>0</v>
      </c>
      <c r="M98" s="11">
        <f t="shared" si="96"/>
        <v>0</v>
      </c>
      <c r="N98" s="11">
        <f t="shared" si="96"/>
        <v>0</v>
      </c>
      <c r="O98" s="11">
        <f t="shared" si="96"/>
        <v>0</v>
      </c>
      <c r="P98" s="11">
        <f t="shared" si="96"/>
        <v>0</v>
      </c>
      <c r="Q98" s="620">
        <f t="shared" si="98"/>
        <v>0</v>
      </c>
      <c r="R98" s="326">
        <f t="shared" si="99"/>
        <v>0</v>
      </c>
      <c r="S98" s="11">
        <f t="shared" si="100"/>
        <v>0</v>
      </c>
      <c r="T98" s="11">
        <f t="shared" si="101"/>
        <v>0</v>
      </c>
      <c r="U98" s="11">
        <f t="shared" si="102"/>
        <v>0</v>
      </c>
      <c r="V98" s="620">
        <f t="shared" si="103"/>
        <v>0</v>
      </c>
      <c r="W98" s="12">
        <f t="shared" si="104"/>
        <v>0</v>
      </c>
      <c r="X98" s="13">
        <f t="shared" si="104"/>
        <v>0</v>
      </c>
      <c r="Z98" s="634">
        <f t="shared" si="105"/>
        <v>0</v>
      </c>
    </row>
    <row r="99" spans="1:26" ht="18.75" customHeight="1" thickBot="1" x14ac:dyDescent="0.3">
      <c r="A99" s="101"/>
      <c r="B99" s="102"/>
      <c r="C99" s="103"/>
      <c r="D99" s="104"/>
      <c r="E99" s="14">
        <f t="shared" si="97"/>
        <v>0</v>
      </c>
      <c r="F99" s="15">
        <f t="shared" si="96"/>
        <v>0</v>
      </c>
      <c r="G99" s="15">
        <f t="shared" si="96"/>
        <v>0</v>
      </c>
      <c r="H99" s="15">
        <f t="shared" si="96"/>
        <v>0</v>
      </c>
      <c r="I99" s="15">
        <f t="shared" si="96"/>
        <v>0</v>
      </c>
      <c r="J99" s="15">
        <f t="shared" si="96"/>
        <v>0</v>
      </c>
      <c r="K99" s="15">
        <f t="shared" si="96"/>
        <v>0</v>
      </c>
      <c r="L99" s="15">
        <f t="shared" si="96"/>
        <v>0</v>
      </c>
      <c r="M99" s="15">
        <f t="shared" si="96"/>
        <v>0</v>
      </c>
      <c r="N99" s="15">
        <f t="shared" si="96"/>
        <v>0</v>
      </c>
      <c r="O99" s="15">
        <f t="shared" si="96"/>
        <v>0</v>
      </c>
      <c r="P99" s="15">
        <f t="shared" si="96"/>
        <v>0</v>
      </c>
      <c r="Q99" s="285">
        <f t="shared" si="98"/>
        <v>0</v>
      </c>
      <c r="R99" s="628">
        <f t="shared" si="99"/>
        <v>0</v>
      </c>
      <c r="S99" s="15">
        <f t="shared" si="100"/>
        <v>0</v>
      </c>
      <c r="T99" s="15">
        <f t="shared" si="101"/>
        <v>0</v>
      </c>
      <c r="U99" s="15">
        <f t="shared" si="102"/>
        <v>0</v>
      </c>
      <c r="V99" s="285">
        <f t="shared" si="103"/>
        <v>0</v>
      </c>
      <c r="W99" s="16">
        <f t="shared" si="104"/>
        <v>0</v>
      </c>
      <c r="X99" s="17">
        <f t="shared" si="104"/>
        <v>0</v>
      </c>
      <c r="Z99" s="641">
        <f t="shared" si="105"/>
        <v>0</v>
      </c>
    </row>
    <row r="100" spans="1:26" ht="7.5" customHeight="1" thickTop="1" thickBot="1" x14ac:dyDescent="0.3">
      <c r="A100" s="105"/>
      <c r="B100" s="106"/>
      <c r="C100" s="107"/>
      <c r="D100" s="108"/>
      <c r="E100" s="29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2"/>
      <c r="R100" s="33"/>
      <c r="S100" s="30"/>
      <c r="T100" s="30"/>
      <c r="U100" s="30"/>
      <c r="V100" s="32"/>
      <c r="W100" s="35"/>
      <c r="X100" s="36"/>
      <c r="Z100" s="635"/>
    </row>
    <row r="101" spans="1:26" ht="18.75" customHeight="1" thickBot="1" x14ac:dyDescent="0.3">
      <c r="A101" s="636" t="s">
        <v>51</v>
      </c>
      <c r="B101" s="637">
        <f>Z101</f>
        <v>388</v>
      </c>
      <c r="D101" s="638"/>
      <c r="E101" s="624">
        <f>SUM(E96:E99)</f>
        <v>388</v>
      </c>
      <c r="F101" s="625">
        <f t="shared" ref="F101:X101" si="106">SUM(F96:F99)</f>
        <v>388</v>
      </c>
      <c r="G101" s="625">
        <f t="shared" si="106"/>
        <v>388</v>
      </c>
      <c r="H101" s="625">
        <f t="shared" si="106"/>
        <v>388</v>
      </c>
      <c r="I101" s="625">
        <f t="shared" si="106"/>
        <v>388</v>
      </c>
      <c r="J101" s="625">
        <f t="shared" si="106"/>
        <v>388</v>
      </c>
      <c r="K101" s="625">
        <f t="shared" si="106"/>
        <v>388</v>
      </c>
      <c r="L101" s="625">
        <f t="shared" si="106"/>
        <v>388</v>
      </c>
      <c r="M101" s="625">
        <f t="shared" si="106"/>
        <v>388</v>
      </c>
      <c r="N101" s="625">
        <f t="shared" si="106"/>
        <v>388</v>
      </c>
      <c r="O101" s="625">
        <f t="shared" si="106"/>
        <v>388</v>
      </c>
      <c r="P101" s="625">
        <f t="shared" si="106"/>
        <v>388</v>
      </c>
      <c r="Q101" s="39">
        <f t="shared" si="106"/>
        <v>4656</v>
      </c>
      <c r="R101" s="639">
        <f t="shared" si="106"/>
        <v>1164</v>
      </c>
      <c r="S101" s="625">
        <f t="shared" si="106"/>
        <v>1164</v>
      </c>
      <c r="T101" s="625">
        <f t="shared" si="106"/>
        <v>1164</v>
      </c>
      <c r="U101" s="625">
        <f t="shared" si="106"/>
        <v>1164</v>
      </c>
      <c r="V101" s="39">
        <f t="shared" si="106"/>
        <v>4656</v>
      </c>
      <c r="W101" s="41">
        <f t="shared" si="106"/>
        <v>4656</v>
      </c>
      <c r="X101" s="42">
        <f t="shared" si="106"/>
        <v>4656</v>
      </c>
      <c r="Z101" s="640">
        <f>SUM(Z96:Z99)</f>
        <v>388</v>
      </c>
    </row>
    <row r="102" spans="1:26" ht="15.75" thickBot="1" x14ac:dyDescent="0.3"/>
    <row r="103" spans="1:26" ht="15" customHeight="1" x14ac:dyDescent="0.25">
      <c r="A103" s="772" t="s">
        <v>79</v>
      </c>
      <c r="B103" s="770" t="s">
        <v>19</v>
      </c>
      <c r="C103" s="770" t="s">
        <v>45</v>
      </c>
      <c r="D103" s="774" t="s">
        <v>256</v>
      </c>
      <c r="E103" s="751" t="s">
        <v>20</v>
      </c>
      <c r="F103" s="731"/>
      <c r="G103" s="731"/>
      <c r="H103" s="731"/>
      <c r="I103" s="731"/>
      <c r="J103" s="731"/>
      <c r="K103" s="731"/>
      <c r="L103" s="731"/>
      <c r="M103" s="731"/>
      <c r="N103" s="731"/>
      <c r="O103" s="731"/>
      <c r="P103" s="732"/>
      <c r="Q103" s="752" t="s">
        <v>20</v>
      </c>
      <c r="R103" s="730" t="s">
        <v>25</v>
      </c>
      <c r="S103" s="731"/>
      <c r="T103" s="731"/>
      <c r="U103" s="732"/>
      <c r="V103" s="733" t="s">
        <v>25</v>
      </c>
      <c r="W103" s="735" t="s">
        <v>26</v>
      </c>
      <c r="X103" s="737" t="s">
        <v>27</v>
      </c>
      <c r="Z103" s="780" t="s">
        <v>50</v>
      </c>
    </row>
    <row r="104" spans="1:26" ht="15.75" thickBot="1" x14ac:dyDescent="0.3">
      <c r="A104" s="773"/>
      <c r="B104" s="771"/>
      <c r="C104" s="771"/>
      <c r="D104" s="775"/>
      <c r="E104" s="1">
        <v>1</v>
      </c>
      <c r="F104" s="2">
        <v>2</v>
      </c>
      <c r="G104" s="2">
        <v>3</v>
      </c>
      <c r="H104" s="2">
        <v>4</v>
      </c>
      <c r="I104" s="2">
        <v>5</v>
      </c>
      <c r="J104" s="2">
        <v>6</v>
      </c>
      <c r="K104" s="2">
        <v>7</v>
      </c>
      <c r="L104" s="2">
        <v>8</v>
      </c>
      <c r="M104" s="2">
        <v>9</v>
      </c>
      <c r="N104" s="2">
        <v>10</v>
      </c>
      <c r="O104" s="2">
        <v>11</v>
      </c>
      <c r="P104" s="3">
        <v>12</v>
      </c>
      <c r="Q104" s="753"/>
      <c r="R104" s="4" t="s">
        <v>21</v>
      </c>
      <c r="S104" s="2" t="s">
        <v>22</v>
      </c>
      <c r="T104" s="2" t="s">
        <v>23</v>
      </c>
      <c r="U104" s="2" t="s">
        <v>24</v>
      </c>
      <c r="V104" s="734"/>
      <c r="W104" s="736"/>
      <c r="X104" s="738"/>
      <c r="Z104" s="781"/>
    </row>
    <row r="105" spans="1:26" ht="18.75" customHeight="1" thickTop="1" x14ac:dyDescent="0.25">
      <c r="A105" s="130" t="s">
        <v>87</v>
      </c>
      <c r="B105" s="18">
        <v>2000</v>
      </c>
      <c r="C105" s="125" t="s">
        <v>48</v>
      </c>
      <c r="D105" s="126">
        <v>3</v>
      </c>
      <c r="E105" s="6">
        <f>IF(AND($C105="j",$D105=E$41),$B105,IF($C105="h",$B105*IF($D105=IF(MOD(E$41,6)=0,6,MOD(E$41,6)),1,0),IF($C105="q",$B105*IF($D105=IF(MOD(E$41,3)=0,3,MOD(E$41,3)),1,0),IF($C105="z",$B105*IF($D105=IF(MOD(E$41,2)=0,2,MOD(E$41,2)),1,0),IF($C105="m",$B105,0)))))</f>
        <v>0</v>
      </c>
      <c r="F105" s="7">
        <f t="shared" ref="F105:P108" si="107">IF(AND($C105="j",$D105=F$41),$B105,IF($C105="h",$B105*IF($D105=IF(MOD(F$41,6)=0,6,MOD(F$41,6)),1,0),IF($C105="q",$B105*IF($D105=IF(MOD(F$41,3)=0,3,MOD(F$41,3)),1,0),IF($C105="z",$B105*IF($D105=IF(MOD(F$41,2)=0,2,MOD(F$41,2)),1,0),IF($C105="m",$B105,0)))))</f>
        <v>0</v>
      </c>
      <c r="G105" s="7">
        <f t="shared" si="107"/>
        <v>2000</v>
      </c>
      <c r="H105" s="7">
        <f t="shared" si="107"/>
        <v>0</v>
      </c>
      <c r="I105" s="7">
        <f t="shared" si="107"/>
        <v>0</v>
      </c>
      <c r="J105" s="7">
        <f t="shared" si="107"/>
        <v>0</v>
      </c>
      <c r="K105" s="7">
        <f t="shared" si="107"/>
        <v>0</v>
      </c>
      <c r="L105" s="7">
        <f t="shared" si="107"/>
        <v>0</v>
      </c>
      <c r="M105" s="7">
        <f t="shared" si="107"/>
        <v>0</v>
      </c>
      <c r="N105" s="7">
        <f t="shared" si="107"/>
        <v>0</v>
      </c>
      <c r="O105" s="7">
        <f t="shared" si="107"/>
        <v>0</v>
      </c>
      <c r="P105" s="7">
        <f t="shared" si="107"/>
        <v>0</v>
      </c>
      <c r="Q105" s="283">
        <f>SUM(E105:P105)</f>
        <v>2000</v>
      </c>
      <c r="R105" s="325">
        <v>0</v>
      </c>
      <c r="S105" s="7">
        <v>0</v>
      </c>
      <c r="T105" s="7">
        <v>0</v>
      </c>
      <c r="U105" s="7">
        <v>0</v>
      </c>
      <c r="V105" s="283">
        <f>SUM(R105:U105)</f>
        <v>0</v>
      </c>
      <c r="W105" s="8">
        <v>0</v>
      </c>
      <c r="X105" s="9">
        <v>0</v>
      </c>
      <c r="Z105" s="633">
        <f>Q105/12</f>
        <v>166.66666666666666</v>
      </c>
    </row>
    <row r="106" spans="1:26" ht="18.75" customHeight="1" x14ac:dyDescent="0.25">
      <c r="A106" s="97" t="s">
        <v>88</v>
      </c>
      <c r="B106" s="98">
        <v>3000</v>
      </c>
      <c r="C106" s="99" t="s">
        <v>48</v>
      </c>
      <c r="D106" s="100">
        <v>10</v>
      </c>
      <c r="E106" s="10">
        <f t="shared" ref="E106:P108" si="108">IF(AND($C106="j",$D106=E$41),$B106,IF($C106="h",$B106*IF($D106=IF(MOD(E$41,6)=0,6,MOD(E$41,6)),1,0),IF($C106="q",$B106*IF($D106=IF(MOD(E$41,3)=0,3,MOD(E$41,3)),1,0),IF($C106="z",$B106*IF($D106=IF(MOD(E$41,2)=0,2,MOD(E$41,2)),1,0),IF($C106="m",$B106,0)))))</f>
        <v>0</v>
      </c>
      <c r="F106" s="11">
        <f t="shared" si="107"/>
        <v>0</v>
      </c>
      <c r="G106" s="11">
        <f t="shared" si="107"/>
        <v>0</v>
      </c>
      <c r="H106" s="11">
        <f t="shared" si="107"/>
        <v>0</v>
      </c>
      <c r="I106" s="11">
        <f t="shared" si="107"/>
        <v>0</v>
      </c>
      <c r="J106" s="11">
        <f t="shared" si="107"/>
        <v>0</v>
      </c>
      <c r="K106" s="11">
        <f t="shared" si="107"/>
        <v>0</v>
      </c>
      <c r="L106" s="11">
        <f t="shared" si="107"/>
        <v>0</v>
      </c>
      <c r="M106" s="11">
        <f t="shared" si="107"/>
        <v>0</v>
      </c>
      <c r="N106" s="11">
        <f t="shared" si="107"/>
        <v>3000</v>
      </c>
      <c r="O106" s="11">
        <f t="shared" si="107"/>
        <v>0</v>
      </c>
      <c r="P106" s="11">
        <f t="shared" si="107"/>
        <v>0</v>
      </c>
      <c r="Q106" s="620">
        <f t="shared" ref="Q106:Q108" si="109">SUM(E106:P106)</f>
        <v>3000</v>
      </c>
      <c r="R106" s="326">
        <f t="shared" ref="R106:R108" si="110">IF(AND($C106="j",$D106&gt;=1,$D106&lt;=3),$B106,IF(AND($C106="h",$D106&gt;=1,$D106&lt;=3),$B106,IF(AND($C106="q",$D106&gt;=1,$D106&lt;=3),$B106,IF($C106="z",IF($D106=1,2*$B106,$B106),IF($C106="m",3*$B106,0)))))</f>
        <v>0</v>
      </c>
      <c r="S106" s="11">
        <f t="shared" ref="S106:S108" si="111">IF(AND($C106="j",$D106&gt;=4,$D106&lt;=6),$B106,IF(AND($C106="h",$D106&gt;=4,$D106&lt;=6),$B106,IF(AND($C106="q",$D106&gt;=1,$D106&lt;=3),$B106,IF($C106="z",IF($D106=2,2*$B106,$B106),IF($C106="m",3*$B106,0)))))</f>
        <v>0</v>
      </c>
      <c r="T106" s="11">
        <f t="shared" ref="T106:T108" si="112">IF(AND($C106="j",$D106&gt;=7,$D106&lt;=9),$B106,IF(AND($C106="h",$D106&gt;=1,$D106&lt;=3),$B106,IF(AND($C106="q",$D106&gt;=1,$D106&lt;=3),$B106,IF($C106="z",IF($D106=1,2*$B106,$B106),IF($C106="m",3*$B106,0)))))</f>
        <v>0</v>
      </c>
      <c r="U106" s="11">
        <f t="shared" ref="U106:U108" si="113">IF(AND($C106="j",$D106&gt;=10,$D106&lt;=12),$B106,IF(AND($C106="h",$D106&gt;=4,$D106&lt;=6),$B106,IF(AND($C106="q",$D106&gt;=1,$D106&lt;=3),$B106,IF($C106="z",IF($D106=2,2*$B106,$B106),IF($C106="m",3*$B106,0)))))</f>
        <v>3000</v>
      </c>
      <c r="V106" s="620">
        <f t="shared" ref="V106:V108" si="114">SUM(R106:U106)</f>
        <v>3000</v>
      </c>
      <c r="W106" s="12">
        <f t="shared" ref="W106:X108" si="115">IF($C106="j",$B106,IF($C106="h",2*$B106,IF($C106="q",4*$B106,IF($C106="z",6*$B106,12*$B106))))</f>
        <v>3000</v>
      </c>
      <c r="X106" s="13">
        <f t="shared" si="115"/>
        <v>3000</v>
      </c>
      <c r="Z106" s="634">
        <f t="shared" ref="Z106:Z108" si="116">Q106/12</f>
        <v>250</v>
      </c>
    </row>
    <row r="107" spans="1:26" ht="18.75" customHeight="1" x14ac:dyDescent="0.25">
      <c r="A107" s="101" t="s">
        <v>94</v>
      </c>
      <c r="B107" s="102">
        <v>300</v>
      </c>
      <c r="C107" s="103" t="s">
        <v>46</v>
      </c>
      <c r="D107" s="104" t="s">
        <v>49</v>
      </c>
      <c r="E107" s="10">
        <f t="shared" si="108"/>
        <v>300</v>
      </c>
      <c r="F107" s="15">
        <f t="shared" si="108"/>
        <v>300</v>
      </c>
      <c r="G107" s="15">
        <f t="shared" si="108"/>
        <v>300</v>
      </c>
      <c r="H107" s="15">
        <f t="shared" si="108"/>
        <v>300</v>
      </c>
      <c r="I107" s="15">
        <f t="shared" si="108"/>
        <v>300</v>
      </c>
      <c r="J107" s="15">
        <f t="shared" si="108"/>
        <v>300</v>
      </c>
      <c r="K107" s="15">
        <f t="shared" si="108"/>
        <v>300</v>
      </c>
      <c r="L107" s="15">
        <f t="shared" si="108"/>
        <v>300</v>
      </c>
      <c r="M107" s="15">
        <f t="shared" si="108"/>
        <v>300</v>
      </c>
      <c r="N107" s="15">
        <f t="shared" si="108"/>
        <v>300</v>
      </c>
      <c r="O107" s="15">
        <f t="shared" si="108"/>
        <v>300</v>
      </c>
      <c r="P107" s="15">
        <f t="shared" si="108"/>
        <v>300</v>
      </c>
      <c r="Q107" s="620">
        <f t="shared" ref="Q107" si="117">SUM(E107:P107)</f>
        <v>3600</v>
      </c>
      <c r="R107" s="326">
        <f t="shared" si="110"/>
        <v>900</v>
      </c>
      <c r="S107" s="11">
        <f t="shared" si="111"/>
        <v>900</v>
      </c>
      <c r="T107" s="11">
        <f t="shared" si="112"/>
        <v>900</v>
      </c>
      <c r="U107" s="11">
        <f t="shared" si="113"/>
        <v>900</v>
      </c>
      <c r="V107" s="620">
        <f t="shared" ref="V107" si="118">SUM(R107:U107)</f>
        <v>3600</v>
      </c>
      <c r="W107" s="12">
        <f t="shared" si="115"/>
        <v>3600</v>
      </c>
      <c r="X107" s="13">
        <f t="shared" si="115"/>
        <v>3600</v>
      </c>
      <c r="Z107" s="634">
        <f t="shared" si="116"/>
        <v>300</v>
      </c>
    </row>
    <row r="108" spans="1:26" ht="18.75" customHeight="1" thickBot="1" x14ac:dyDescent="0.3">
      <c r="A108" s="101"/>
      <c r="B108" s="102"/>
      <c r="C108" s="103"/>
      <c r="D108" s="104"/>
      <c r="E108" s="14">
        <f t="shared" si="108"/>
        <v>0</v>
      </c>
      <c r="F108" s="15">
        <f t="shared" si="107"/>
        <v>0</v>
      </c>
      <c r="G108" s="15">
        <f t="shared" si="107"/>
        <v>0</v>
      </c>
      <c r="H108" s="15">
        <f t="shared" si="107"/>
        <v>0</v>
      </c>
      <c r="I108" s="15">
        <f t="shared" si="107"/>
        <v>0</v>
      </c>
      <c r="J108" s="15">
        <f t="shared" si="107"/>
        <v>0</v>
      </c>
      <c r="K108" s="15">
        <f t="shared" si="107"/>
        <v>0</v>
      </c>
      <c r="L108" s="15">
        <f t="shared" si="107"/>
        <v>0</v>
      </c>
      <c r="M108" s="15">
        <f t="shared" si="107"/>
        <v>0</v>
      </c>
      <c r="N108" s="15">
        <f t="shared" si="107"/>
        <v>0</v>
      </c>
      <c r="O108" s="15">
        <f t="shared" si="107"/>
        <v>0</v>
      </c>
      <c r="P108" s="15">
        <f t="shared" si="107"/>
        <v>0</v>
      </c>
      <c r="Q108" s="285">
        <f t="shared" si="109"/>
        <v>0</v>
      </c>
      <c r="R108" s="628">
        <f t="shared" si="110"/>
        <v>0</v>
      </c>
      <c r="S108" s="15">
        <f t="shared" si="111"/>
        <v>0</v>
      </c>
      <c r="T108" s="15">
        <f t="shared" si="112"/>
        <v>0</v>
      </c>
      <c r="U108" s="15">
        <f t="shared" si="113"/>
        <v>0</v>
      </c>
      <c r="V108" s="285">
        <f t="shared" si="114"/>
        <v>0</v>
      </c>
      <c r="W108" s="16">
        <f t="shared" si="115"/>
        <v>0</v>
      </c>
      <c r="X108" s="17">
        <f t="shared" si="115"/>
        <v>0</v>
      </c>
      <c r="Z108" s="641">
        <f t="shared" si="116"/>
        <v>0</v>
      </c>
    </row>
    <row r="109" spans="1:26" ht="7.5" customHeight="1" thickTop="1" thickBot="1" x14ac:dyDescent="0.3">
      <c r="A109" s="105"/>
      <c r="B109" s="106"/>
      <c r="C109" s="107"/>
      <c r="D109" s="108"/>
      <c r="E109" s="29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2"/>
      <c r="R109" s="33"/>
      <c r="S109" s="30"/>
      <c r="T109" s="30"/>
      <c r="U109" s="30"/>
      <c r="V109" s="32"/>
      <c r="W109" s="35"/>
      <c r="X109" s="36"/>
      <c r="Z109" s="635"/>
    </row>
    <row r="110" spans="1:26" ht="18.75" customHeight="1" thickBot="1" x14ac:dyDescent="0.3">
      <c r="A110" s="636" t="s">
        <v>51</v>
      </c>
      <c r="B110" s="637">
        <f>Z110</f>
        <v>716.66666666666663</v>
      </c>
      <c r="D110" s="638"/>
      <c r="E110" s="624">
        <f t="shared" ref="E110:X110" si="119">SUM(E105:E108)</f>
        <v>300</v>
      </c>
      <c r="F110" s="625">
        <f t="shared" si="119"/>
        <v>300</v>
      </c>
      <c r="G110" s="625">
        <f t="shared" si="119"/>
        <v>2300</v>
      </c>
      <c r="H110" s="625">
        <f t="shared" si="119"/>
        <v>300</v>
      </c>
      <c r="I110" s="625">
        <f t="shared" si="119"/>
        <v>300</v>
      </c>
      <c r="J110" s="625">
        <f t="shared" si="119"/>
        <v>300</v>
      </c>
      <c r="K110" s="625">
        <f t="shared" si="119"/>
        <v>300</v>
      </c>
      <c r="L110" s="625">
        <f t="shared" si="119"/>
        <v>300</v>
      </c>
      <c r="M110" s="625">
        <f t="shared" si="119"/>
        <v>300</v>
      </c>
      <c r="N110" s="625">
        <f t="shared" si="119"/>
        <v>3300</v>
      </c>
      <c r="O110" s="625">
        <f t="shared" si="119"/>
        <v>300</v>
      </c>
      <c r="P110" s="625">
        <f t="shared" si="119"/>
        <v>300</v>
      </c>
      <c r="Q110" s="39">
        <f t="shared" si="119"/>
        <v>8600</v>
      </c>
      <c r="R110" s="639">
        <f t="shared" si="119"/>
        <v>900</v>
      </c>
      <c r="S110" s="625">
        <f t="shared" si="119"/>
        <v>900</v>
      </c>
      <c r="T110" s="625">
        <f t="shared" si="119"/>
        <v>900</v>
      </c>
      <c r="U110" s="625">
        <f t="shared" si="119"/>
        <v>3900</v>
      </c>
      <c r="V110" s="39">
        <f t="shared" si="119"/>
        <v>6600</v>
      </c>
      <c r="W110" s="41">
        <f t="shared" si="119"/>
        <v>6600</v>
      </c>
      <c r="X110" s="42">
        <f t="shared" si="119"/>
        <v>6600</v>
      </c>
      <c r="Z110" s="640">
        <f>SUM(Z105:Z108)</f>
        <v>716.66666666666663</v>
      </c>
    </row>
    <row r="111" spans="1:26" ht="15.75" thickBot="1" x14ac:dyDescent="0.3"/>
    <row r="112" spans="1:26" ht="15" customHeight="1" x14ac:dyDescent="0.25">
      <c r="A112" s="772" t="s">
        <v>81</v>
      </c>
      <c r="B112" s="770" t="s">
        <v>19</v>
      </c>
      <c r="C112" s="770" t="s">
        <v>45</v>
      </c>
      <c r="D112" s="774" t="s">
        <v>256</v>
      </c>
      <c r="E112" s="751" t="s">
        <v>20</v>
      </c>
      <c r="F112" s="731"/>
      <c r="G112" s="731"/>
      <c r="H112" s="731"/>
      <c r="I112" s="731"/>
      <c r="J112" s="731"/>
      <c r="K112" s="731"/>
      <c r="L112" s="731"/>
      <c r="M112" s="731"/>
      <c r="N112" s="731"/>
      <c r="O112" s="731"/>
      <c r="P112" s="732"/>
      <c r="Q112" s="752" t="s">
        <v>20</v>
      </c>
      <c r="R112" s="730" t="s">
        <v>25</v>
      </c>
      <c r="S112" s="731"/>
      <c r="T112" s="731"/>
      <c r="U112" s="732"/>
      <c r="V112" s="733" t="s">
        <v>25</v>
      </c>
      <c r="W112" s="735" t="s">
        <v>26</v>
      </c>
      <c r="X112" s="737" t="s">
        <v>27</v>
      </c>
      <c r="Z112" s="780" t="s">
        <v>50</v>
      </c>
    </row>
    <row r="113" spans="1:26" ht="15.75" thickBot="1" x14ac:dyDescent="0.3">
      <c r="A113" s="773"/>
      <c r="B113" s="771"/>
      <c r="C113" s="771"/>
      <c r="D113" s="775"/>
      <c r="E113" s="1">
        <v>1</v>
      </c>
      <c r="F113" s="2">
        <v>2</v>
      </c>
      <c r="G113" s="2">
        <v>3</v>
      </c>
      <c r="H113" s="2">
        <v>4</v>
      </c>
      <c r="I113" s="2">
        <v>5</v>
      </c>
      <c r="J113" s="2">
        <v>6</v>
      </c>
      <c r="K113" s="2">
        <v>7</v>
      </c>
      <c r="L113" s="2">
        <v>8</v>
      </c>
      <c r="M113" s="2">
        <v>9</v>
      </c>
      <c r="N113" s="2">
        <v>10</v>
      </c>
      <c r="O113" s="2">
        <v>11</v>
      </c>
      <c r="P113" s="3">
        <v>12</v>
      </c>
      <c r="Q113" s="753"/>
      <c r="R113" s="4" t="s">
        <v>21</v>
      </c>
      <c r="S113" s="2" t="s">
        <v>22</v>
      </c>
      <c r="T113" s="2" t="s">
        <v>23</v>
      </c>
      <c r="U113" s="2" t="s">
        <v>24</v>
      </c>
      <c r="V113" s="734"/>
      <c r="W113" s="736"/>
      <c r="X113" s="738"/>
      <c r="Z113" s="781"/>
    </row>
    <row r="114" spans="1:26" ht="18.75" customHeight="1" thickTop="1" x14ac:dyDescent="0.25">
      <c r="A114" s="96"/>
      <c r="B114" s="18"/>
      <c r="C114" s="19"/>
      <c r="D114" s="20"/>
      <c r="E114" s="6">
        <f>IF(AND($C114="j",$D114=E$41),$B114,IF($C114="h",$B114*IF($D114=IF(MOD(E$41,6)=0,6,MOD(E$41,6)),1,0),IF($C114="q",$B114*IF($D114=IF(MOD(E$41,3)=0,3,MOD(E$41,3)),1,0),IF($C114="z",$B114*IF($D114=IF(MOD(E$41,2)=0,2,MOD(E$41,2)),1,0),IF($C114="m",$B114,0)))))</f>
        <v>0</v>
      </c>
      <c r="F114" s="7">
        <f t="shared" ref="F114:P117" si="120">IF(AND($C114="j",$D114=F$41),$B114,IF($C114="h",$B114*IF($D114=IF(MOD(F$41,6)=0,6,MOD(F$41,6)),1,0),IF($C114="q",$B114*IF($D114=IF(MOD(F$41,3)=0,3,MOD(F$41,3)),1,0),IF($C114="z",$B114*IF($D114=IF(MOD(F$41,2)=0,2,MOD(F$41,2)),1,0),IF($C114="m",$B114,0)))))</f>
        <v>0</v>
      </c>
      <c r="G114" s="7">
        <f t="shared" si="120"/>
        <v>0</v>
      </c>
      <c r="H114" s="7">
        <f t="shared" si="120"/>
        <v>0</v>
      </c>
      <c r="I114" s="7">
        <f t="shared" si="120"/>
        <v>0</v>
      </c>
      <c r="J114" s="7">
        <f t="shared" si="120"/>
        <v>0</v>
      </c>
      <c r="K114" s="7">
        <f t="shared" si="120"/>
        <v>0</v>
      </c>
      <c r="L114" s="7">
        <f t="shared" si="120"/>
        <v>0</v>
      </c>
      <c r="M114" s="7">
        <f t="shared" si="120"/>
        <v>0</v>
      </c>
      <c r="N114" s="7">
        <f t="shared" si="120"/>
        <v>0</v>
      </c>
      <c r="O114" s="7">
        <f t="shared" si="120"/>
        <v>0</v>
      </c>
      <c r="P114" s="7">
        <f t="shared" si="120"/>
        <v>0</v>
      </c>
      <c r="Q114" s="283">
        <f>SUM(E114:P114)</f>
        <v>0</v>
      </c>
      <c r="R114" s="325">
        <f>IF(AND($C114="j",$D114&gt;=1,$D114&lt;=3),$B114,IF(AND($C114="h",$D114&gt;=1,$D114&lt;=3),$B114,IF(AND($C114="q",$D114&gt;=1,$D114&lt;=3),$B114,IF($C114="z",IF($D114=1,2*$B114,$B114),IF($C114="m",3*$B114,0)))))</f>
        <v>0</v>
      </c>
      <c r="S114" s="7">
        <f>IF(AND($C114="j",$D114&gt;=4,$D114&lt;=6),$B114,IF(AND($C114="h",$D114&gt;=4,$D114&lt;=6),$B114,IF(AND($C114="q",$D114&gt;=1,$D114&lt;=3),$B114,IF($C114="z",IF($D114=2,2*$B114,$B114),IF($C114="m",3*$B114,0)))))</f>
        <v>0</v>
      </c>
      <c r="T114" s="7">
        <f>IF(AND($C114="j",$D114&gt;=7,$D114&lt;=9),$B114,IF(AND($C114="h",$D114&gt;=1,$D114&lt;=3),$B114,IF(AND($C114="q",$D114&gt;=1,$D114&lt;=3),$B114,IF($C114="z",IF($D114=1,2*$B114,$B114),IF($C114="m",3*$B114,0)))))</f>
        <v>0</v>
      </c>
      <c r="U114" s="7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283">
        <f>SUM(R114:U114)</f>
        <v>0</v>
      </c>
      <c r="W114" s="8">
        <f>IF($C114="j",$B114,IF($C114="h",2*$B114,IF($C114="q",4*$B114,IF($C114="z",6*$B114,12*$B114))))</f>
        <v>0</v>
      </c>
      <c r="X114" s="9">
        <f>IF($C114="j",$B114,IF($C114="h",2*$B114,IF($C114="q",4*$B114,IF($C114="z",6*$B114,12*$B114))))</f>
        <v>0</v>
      </c>
      <c r="Z114" s="633">
        <f>Q114/12</f>
        <v>0</v>
      </c>
    </row>
    <row r="115" spans="1:26" ht="18.75" customHeight="1" x14ac:dyDescent="0.25">
      <c r="A115" s="97"/>
      <c r="B115" s="98"/>
      <c r="C115" s="99"/>
      <c r="D115" s="100"/>
      <c r="E115" s="10">
        <f t="shared" ref="E115:E117" si="121">IF(AND($C115="j",$D115=E$41),$B115,IF($C115="h",$B115*IF($D115=IF(MOD(E$41,6)=0,6,MOD(E$41,6)),1,0),IF($C115="q",$B115*IF($D115=IF(MOD(E$41,3)=0,3,MOD(E$41,3)),1,0),IF($C115="z",$B115*IF($D115=IF(MOD(E$41,2)=0,2,MOD(E$41,2)),1,0),IF($C115="m",$B115,0)))))</f>
        <v>0</v>
      </c>
      <c r="F115" s="11">
        <f t="shared" si="120"/>
        <v>0</v>
      </c>
      <c r="G115" s="11">
        <f t="shared" si="120"/>
        <v>0</v>
      </c>
      <c r="H115" s="11">
        <f t="shared" si="120"/>
        <v>0</v>
      </c>
      <c r="I115" s="11">
        <f t="shared" si="120"/>
        <v>0</v>
      </c>
      <c r="J115" s="11">
        <f t="shared" si="120"/>
        <v>0</v>
      </c>
      <c r="K115" s="11">
        <f t="shared" si="120"/>
        <v>0</v>
      </c>
      <c r="L115" s="11">
        <f t="shared" si="120"/>
        <v>0</v>
      </c>
      <c r="M115" s="11">
        <f t="shared" si="120"/>
        <v>0</v>
      </c>
      <c r="N115" s="11">
        <f t="shared" si="120"/>
        <v>0</v>
      </c>
      <c r="O115" s="11">
        <f t="shared" si="120"/>
        <v>0</v>
      </c>
      <c r="P115" s="11">
        <f t="shared" si="120"/>
        <v>0</v>
      </c>
      <c r="Q115" s="620">
        <f t="shared" ref="Q115:Q117" si="122">SUM(E115:P115)</f>
        <v>0</v>
      </c>
      <c r="R115" s="326">
        <f t="shared" ref="R115:R117" si="123">IF(AND($C115="j",$D115&gt;=1,$D115&lt;=3),$B115,IF(AND($C115="h",$D115&gt;=1,$D115&lt;=3),$B115,IF(AND($C115="q",$D115&gt;=1,$D115&lt;=3),$B115,IF($C115="z",IF($D115=1,2*$B115,$B115),IF($C115="m",3*$B115,0)))))</f>
        <v>0</v>
      </c>
      <c r="S115" s="11">
        <f t="shared" ref="S115:S117" si="124">IF(AND($C115="j",$D115&gt;=4,$D115&lt;=6),$B115,IF(AND($C115="h",$D115&gt;=4,$D115&lt;=6),$B115,IF(AND($C115="q",$D115&gt;=1,$D115&lt;=3),$B115,IF($C115="z",IF($D115=2,2*$B115,$B115),IF($C115="m",3*$B115,0)))))</f>
        <v>0</v>
      </c>
      <c r="T115" s="11">
        <f t="shared" ref="T115:T117" si="125">IF(AND($C115="j",$D115&gt;=7,$D115&lt;=9),$B115,IF(AND($C115="h",$D115&gt;=1,$D115&lt;=3),$B115,IF(AND($C115="q",$D115&gt;=1,$D115&lt;=3),$B115,IF($C115="z",IF($D115=1,2*$B115,$B115),IF($C115="m",3*$B115,0)))))</f>
        <v>0</v>
      </c>
      <c r="U115" s="11">
        <f t="shared" ref="U115:U117" si="126">IF(AND($C115="j",$D115&gt;=10,$D115&lt;=12),$B115,IF(AND($C115="h",$D115&gt;=4,$D115&lt;=6),$B115,IF(AND($C115="q",$D115&gt;=1,$D115&lt;=3),$B115,IF($C115="z",IF($D115=2,2*$B115,$B115),IF($C115="m",3*$B115,0)))))</f>
        <v>0</v>
      </c>
      <c r="V115" s="620">
        <f t="shared" ref="V115:V117" si="127">SUM(R115:U115)</f>
        <v>0</v>
      </c>
      <c r="W115" s="12">
        <f t="shared" ref="W115:X117" si="128">IF($C115="j",$B115,IF($C115="h",2*$B115,IF($C115="q",4*$B115,IF($C115="z",6*$B115,12*$B115))))</f>
        <v>0</v>
      </c>
      <c r="X115" s="13">
        <f t="shared" si="128"/>
        <v>0</v>
      </c>
      <c r="Z115" s="634">
        <f t="shared" ref="Z115:Z117" si="129">Q115/12</f>
        <v>0</v>
      </c>
    </row>
    <row r="116" spans="1:26" ht="18.75" customHeight="1" x14ac:dyDescent="0.25">
      <c r="A116" s="97"/>
      <c r="B116" s="98"/>
      <c r="C116" s="99"/>
      <c r="D116" s="100"/>
      <c r="E116" s="10">
        <f t="shared" si="121"/>
        <v>0</v>
      </c>
      <c r="F116" s="11">
        <f t="shared" si="120"/>
        <v>0</v>
      </c>
      <c r="G116" s="11">
        <f t="shared" si="120"/>
        <v>0</v>
      </c>
      <c r="H116" s="11">
        <f t="shared" si="120"/>
        <v>0</v>
      </c>
      <c r="I116" s="11">
        <f t="shared" si="120"/>
        <v>0</v>
      </c>
      <c r="J116" s="11">
        <f t="shared" si="120"/>
        <v>0</v>
      </c>
      <c r="K116" s="11">
        <f t="shared" si="120"/>
        <v>0</v>
      </c>
      <c r="L116" s="11">
        <f t="shared" si="120"/>
        <v>0</v>
      </c>
      <c r="M116" s="11">
        <f t="shared" si="120"/>
        <v>0</v>
      </c>
      <c r="N116" s="11">
        <f t="shared" si="120"/>
        <v>0</v>
      </c>
      <c r="O116" s="11">
        <f t="shared" si="120"/>
        <v>0</v>
      </c>
      <c r="P116" s="11">
        <f t="shared" si="120"/>
        <v>0</v>
      </c>
      <c r="Q116" s="620">
        <f t="shared" si="122"/>
        <v>0</v>
      </c>
      <c r="R116" s="326">
        <f t="shared" si="123"/>
        <v>0</v>
      </c>
      <c r="S116" s="11">
        <f t="shared" si="124"/>
        <v>0</v>
      </c>
      <c r="T116" s="11">
        <f t="shared" si="125"/>
        <v>0</v>
      </c>
      <c r="U116" s="11">
        <f t="shared" si="126"/>
        <v>0</v>
      </c>
      <c r="V116" s="620">
        <f t="shared" si="127"/>
        <v>0</v>
      </c>
      <c r="W116" s="12">
        <f t="shared" si="128"/>
        <v>0</v>
      </c>
      <c r="X116" s="13">
        <f t="shared" si="128"/>
        <v>0</v>
      </c>
      <c r="Z116" s="634">
        <f t="shared" si="129"/>
        <v>0</v>
      </c>
    </row>
    <row r="117" spans="1:26" ht="18.75" customHeight="1" thickBot="1" x14ac:dyDescent="0.3">
      <c r="A117" s="101"/>
      <c r="B117" s="102"/>
      <c r="C117" s="103"/>
      <c r="D117" s="104"/>
      <c r="E117" s="14">
        <f t="shared" si="121"/>
        <v>0</v>
      </c>
      <c r="F117" s="15">
        <f t="shared" si="120"/>
        <v>0</v>
      </c>
      <c r="G117" s="15">
        <f t="shared" si="120"/>
        <v>0</v>
      </c>
      <c r="H117" s="15">
        <f t="shared" si="120"/>
        <v>0</v>
      </c>
      <c r="I117" s="15">
        <f t="shared" si="120"/>
        <v>0</v>
      </c>
      <c r="J117" s="15">
        <f t="shared" si="120"/>
        <v>0</v>
      </c>
      <c r="K117" s="15">
        <f t="shared" si="120"/>
        <v>0</v>
      </c>
      <c r="L117" s="15">
        <f t="shared" si="120"/>
        <v>0</v>
      </c>
      <c r="M117" s="15">
        <f t="shared" si="120"/>
        <v>0</v>
      </c>
      <c r="N117" s="15">
        <f t="shared" si="120"/>
        <v>0</v>
      </c>
      <c r="O117" s="15">
        <f t="shared" si="120"/>
        <v>0</v>
      </c>
      <c r="P117" s="15">
        <f t="shared" si="120"/>
        <v>0</v>
      </c>
      <c r="Q117" s="285">
        <f t="shared" si="122"/>
        <v>0</v>
      </c>
      <c r="R117" s="628">
        <f t="shared" si="123"/>
        <v>0</v>
      </c>
      <c r="S117" s="15">
        <f t="shared" si="124"/>
        <v>0</v>
      </c>
      <c r="T117" s="15">
        <f t="shared" si="125"/>
        <v>0</v>
      </c>
      <c r="U117" s="15">
        <f t="shared" si="126"/>
        <v>0</v>
      </c>
      <c r="V117" s="285">
        <f t="shared" si="127"/>
        <v>0</v>
      </c>
      <c r="W117" s="16">
        <f t="shared" si="128"/>
        <v>0</v>
      </c>
      <c r="X117" s="17">
        <f t="shared" si="128"/>
        <v>0</v>
      </c>
      <c r="Z117" s="641">
        <f t="shared" si="129"/>
        <v>0</v>
      </c>
    </row>
    <row r="118" spans="1:26" ht="7.5" customHeight="1" thickTop="1" thickBot="1" x14ac:dyDescent="0.3">
      <c r="A118" s="105"/>
      <c r="B118" s="106"/>
      <c r="C118" s="107"/>
      <c r="D118" s="108"/>
      <c r="E118" s="29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2"/>
      <c r="R118" s="33"/>
      <c r="S118" s="30"/>
      <c r="T118" s="30"/>
      <c r="U118" s="30"/>
      <c r="V118" s="32"/>
      <c r="W118" s="35"/>
      <c r="X118" s="36"/>
      <c r="Z118" s="635"/>
    </row>
    <row r="119" spans="1:26" ht="18.75" customHeight="1" thickBot="1" x14ac:dyDescent="0.3">
      <c r="A119" s="636" t="s">
        <v>51</v>
      </c>
      <c r="B119" s="637">
        <f>Z119</f>
        <v>0</v>
      </c>
      <c r="D119" s="638"/>
      <c r="E119" s="624">
        <f>SUM(E114:E117)</f>
        <v>0</v>
      </c>
      <c r="F119" s="625">
        <f t="shared" ref="F119:X119" si="130">SUM(F114:F117)</f>
        <v>0</v>
      </c>
      <c r="G119" s="625">
        <f t="shared" si="130"/>
        <v>0</v>
      </c>
      <c r="H119" s="625">
        <f t="shared" si="130"/>
        <v>0</v>
      </c>
      <c r="I119" s="625">
        <f t="shared" si="130"/>
        <v>0</v>
      </c>
      <c r="J119" s="625">
        <f t="shared" si="130"/>
        <v>0</v>
      </c>
      <c r="K119" s="625">
        <f t="shared" si="130"/>
        <v>0</v>
      </c>
      <c r="L119" s="625">
        <f t="shared" si="130"/>
        <v>0</v>
      </c>
      <c r="M119" s="625">
        <f t="shared" si="130"/>
        <v>0</v>
      </c>
      <c r="N119" s="625">
        <f t="shared" si="130"/>
        <v>0</v>
      </c>
      <c r="O119" s="625">
        <f t="shared" si="130"/>
        <v>0</v>
      </c>
      <c r="P119" s="625">
        <f t="shared" si="130"/>
        <v>0</v>
      </c>
      <c r="Q119" s="39">
        <f t="shared" si="130"/>
        <v>0</v>
      </c>
      <c r="R119" s="639">
        <f t="shared" si="130"/>
        <v>0</v>
      </c>
      <c r="S119" s="625">
        <f t="shared" si="130"/>
        <v>0</v>
      </c>
      <c r="T119" s="625">
        <f t="shared" si="130"/>
        <v>0</v>
      </c>
      <c r="U119" s="625">
        <f t="shared" si="130"/>
        <v>0</v>
      </c>
      <c r="V119" s="39">
        <f t="shared" si="130"/>
        <v>0</v>
      </c>
      <c r="W119" s="41">
        <f t="shared" si="130"/>
        <v>0</v>
      </c>
      <c r="X119" s="42">
        <f t="shared" si="130"/>
        <v>0</v>
      </c>
      <c r="Z119" s="640">
        <f>SUM(Z114:Z117)</f>
        <v>0</v>
      </c>
    </row>
    <row r="120" spans="1:26" ht="15.75" thickBot="1" x14ac:dyDescent="0.3"/>
    <row r="121" spans="1:26" ht="15" customHeight="1" x14ac:dyDescent="0.25">
      <c r="A121" s="772" t="s">
        <v>82</v>
      </c>
      <c r="B121" s="770" t="s">
        <v>19</v>
      </c>
      <c r="C121" s="770" t="s">
        <v>45</v>
      </c>
      <c r="D121" s="774" t="s">
        <v>256</v>
      </c>
      <c r="E121" s="751" t="s">
        <v>20</v>
      </c>
      <c r="F121" s="731"/>
      <c r="G121" s="731"/>
      <c r="H121" s="731"/>
      <c r="I121" s="731"/>
      <c r="J121" s="731"/>
      <c r="K121" s="731"/>
      <c r="L121" s="731"/>
      <c r="M121" s="731"/>
      <c r="N121" s="731"/>
      <c r="O121" s="731"/>
      <c r="P121" s="732"/>
      <c r="Q121" s="752" t="s">
        <v>20</v>
      </c>
      <c r="R121" s="730" t="s">
        <v>25</v>
      </c>
      <c r="S121" s="731"/>
      <c r="T121" s="731"/>
      <c r="U121" s="732"/>
      <c r="V121" s="733" t="s">
        <v>25</v>
      </c>
      <c r="W121" s="735" t="s">
        <v>26</v>
      </c>
      <c r="X121" s="737" t="s">
        <v>27</v>
      </c>
      <c r="Z121" s="780" t="s">
        <v>50</v>
      </c>
    </row>
    <row r="122" spans="1:26" ht="15.75" thickBot="1" x14ac:dyDescent="0.3">
      <c r="A122" s="773"/>
      <c r="B122" s="771"/>
      <c r="C122" s="771"/>
      <c r="D122" s="775"/>
      <c r="E122" s="1">
        <v>1</v>
      </c>
      <c r="F122" s="2">
        <v>2</v>
      </c>
      <c r="G122" s="2">
        <v>3</v>
      </c>
      <c r="H122" s="2">
        <v>4</v>
      </c>
      <c r="I122" s="2">
        <v>5</v>
      </c>
      <c r="J122" s="2">
        <v>6</v>
      </c>
      <c r="K122" s="2">
        <v>7</v>
      </c>
      <c r="L122" s="2">
        <v>8</v>
      </c>
      <c r="M122" s="2">
        <v>9</v>
      </c>
      <c r="N122" s="2">
        <v>10</v>
      </c>
      <c r="O122" s="2">
        <v>11</v>
      </c>
      <c r="P122" s="3">
        <v>12</v>
      </c>
      <c r="Q122" s="753"/>
      <c r="R122" s="4" t="s">
        <v>21</v>
      </c>
      <c r="S122" s="2" t="s">
        <v>22</v>
      </c>
      <c r="T122" s="2" t="s">
        <v>23</v>
      </c>
      <c r="U122" s="2" t="s">
        <v>24</v>
      </c>
      <c r="V122" s="734"/>
      <c r="W122" s="736"/>
      <c r="X122" s="738"/>
      <c r="Z122" s="781"/>
    </row>
    <row r="123" spans="1:26" ht="18.75" customHeight="1" thickTop="1" x14ac:dyDescent="0.25">
      <c r="A123" s="96" t="s">
        <v>120</v>
      </c>
      <c r="B123" s="18">
        <v>200</v>
      </c>
      <c r="C123" s="19" t="s">
        <v>123</v>
      </c>
      <c r="D123" s="20">
        <v>2</v>
      </c>
      <c r="E123" s="6">
        <f>IF(AND($C123="j",$D123=E$41),$B123,IF($C123="h",$B123*IF($D123=IF(MOD(E$41,6)=0,6,MOD(E$41,6)),1,0),IF($C123="q",$B123*IF($D123=IF(MOD(E$41,3)=0,3,MOD(E$41,3)),1,0),IF($C123="z",$B123*IF($D123=IF(MOD(E$41,2)=0,2,MOD(E$41,2)),1,0),IF($C123="m",$B123,0)))))</f>
        <v>0</v>
      </c>
      <c r="F123" s="7">
        <f t="shared" ref="F123:P126" si="131">IF(AND($C123="j",$D123=F$41),$B123,IF($C123="h",$B123*IF($D123=IF(MOD(F$41,6)=0,6,MOD(F$41,6)),1,0),IF($C123="q",$B123*IF($D123=IF(MOD(F$41,3)=0,3,MOD(F$41,3)),1,0),IF($C123="z",$B123*IF($D123=IF(MOD(F$41,2)=0,2,MOD(F$41,2)),1,0),IF($C123="m",$B123,0)))))</f>
        <v>200</v>
      </c>
      <c r="G123" s="7">
        <f t="shared" si="131"/>
        <v>0</v>
      </c>
      <c r="H123" s="7">
        <f t="shared" si="131"/>
        <v>0</v>
      </c>
      <c r="I123" s="7">
        <f t="shared" si="131"/>
        <v>200</v>
      </c>
      <c r="J123" s="7">
        <f t="shared" si="131"/>
        <v>0</v>
      </c>
      <c r="K123" s="7">
        <f t="shared" si="131"/>
        <v>0</v>
      </c>
      <c r="L123" s="7">
        <f t="shared" si="131"/>
        <v>200</v>
      </c>
      <c r="M123" s="7">
        <f t="shared" si="131"/>
        <v>0</v>
      </c>
      <c r="N123" s="7">
        <f t="shared" si="131"/>
        <v>0</v>
      </c>
      <c r="O123" s="7">
        <f t="shared" si="131"/>
        <v>200</v>
      </c>
      <c r="P123" s="7">
        <f t="shared" si="131"/>
        <v>0</v>
      </c>
      <c r="Q123" s="283">
        <f>SUM(E123:P123)</f>
        <v>800</v>
      </c>
      <c r="R123" s="325">
        <f>IF(AND($C123="j",$D123&gt;=1,$D123&lt;=3),$B123,IF(AND($C123="h",$D123&gt;=1,$D123&lt;=3),$B123,IF(AND($C123="q",$D123&gt;=1,$D123&lt;=3),$B123,IF($C123="z",IF($D123=1,2*$B123,$B123),IF($C123="m",3*$B123,0)))))</f>
        <v>200</v>
      </c>
      <c r="S123" s="7">
        <f>IF(AND($C123="j",$D123&gt;=4,$D123&lt;=6),$B123,IF(AND($C123="h",$D123&gt;=4,$D123&lt;=6),$B123,IF(AND($C123="q",$D123&gt;=1,$D123&lt;=3),$B123,IF($C123="z",IF($D123=2,2*$B123,$B123),IF($C123="m",3*$B123,0)))))</f>
        <v>200</v>
      </c>
      <c r="T123" s="7">
        <f>IF(AND($C123="j",$D123&gt;=7,$D123&lt;=9),$B123,IF(AND($C123="h",$D123&gt;=1,$D123&lt;=3),$B123,IF(AND($C123="q",$D123&gt;=1,$D123&lt;=3),$B123,IF($C123="z",IF($D123=1,2*$B123,$B123),IF($C123="m",3*$B123,0)))))</f>
        <v>200</v>
      </c>
      <c r="U123" s="7">
        <f>IF(AND($C123="j",$D123&gt;=10,$D123&lt;=12),$B123,IF(AND($C123="h",$D123&gt;=4,$D123&lt;=6),$B123,IF(AND($C123="q",$D123&gt;=1,$D123&lt;=3),$B123,IF($C123="z",IF($D123=2,2*$B123,$B123),IF($C123="m",3*$B123,0)))))</f>
        <v>200</v>
      </c>
      <c r="V123" s="283">
        <f>SUM(R123:U123)</f>
        <v>800</v>
      </c>
      <c r="W123" s="8">
        <f>IF($C123="j",$B123,IF($C123="h",2*$B123,IF($C123="q",4*$B123,IF($C123="z",6*$B123,12*$B123))))</f>
        <v>800</v>
      </c>
      <c r="X123" s="9">
        <f>IF($C123="j",$B123,IF($C123="h",2*$B123,IF($C123="q",4*$B123,IF($C123="z",6*$B123,12*$B123))))</f>
        <v>800</v>
      </c>
      <c r="Z123" s="633">
        <f>Q123/12</f>
        <v>66.666666666666671</v>
      </c>
    </row>
    <row r="124" spans="1:26" ht="18.75" customHeight="1" x14ac:dyDescent="0.25">
      <c r="A124" s="97" t="s">
        <v>121</v>
      </c>
      <c r="B124" s="98">
        <f>B34*0.36%</f>
        <v>150.82440517500001</v>
      </c>
      <c r="C124" s="99" t="s">
        <v>46</v>
      </c>
      <c r="D124" s="100" t="s">
        <v>49</v>
      </c>
      <c r="E124" s="10">
        <f t="shared" ref="E124:E126" si="132">IF(AND($C124="j",$D124=E$41),$B124,IF($C124="h",$B124*IF($D124=IF(MOD(E$41,6)=0,6,MOD(E$41,6)),1,0),IF($C124="q",$B124*IF($D124=IF(MOD(E$41,3)=0,3,MOD(E$41,3)),1,0),IF($C124="z",$B124*IF($D124=IF(MOD(E$41,2)=0,2,MOD(E$41,2)),1,0),IF($C124="m",$B124,0)))))</f>
        <v>150.82440517500001</v>
      </c>
      <c r="F124" s="11">
        <f t="shared" si="131"/>
        <v>150.82440517500001</v>
      </c>
      <c r="G124" s="11">
        <f t="shared" si="131"/>
        <v>150.82440517500001</v>
      </c>
      <c r="H124" s="11">
        <f t="shared" si="131"/>
        <v>150.82440517500001</v>
      </c>
      <c r="I124" s="11">
        <f t="shared" si="131"/>
        <v>150.82440517500001</v>
      </c>
      <c r="J124" s="11">
        <f t="shared" si="131"/>
        <v>150.82440517500001</v>
      </c>
      <c r="K124" s="11">
        <f t="shared" si="131"/>
        <v>150.82440517500001</v>
      </c>
      <c r="L124" s="11">
        <f t="shared" si="131"/>
        <v>150.82440517500001</v>
      </c>
      <c r="M124" s="11">
        <f t="shared" si="131"/>
        <v>150.82440517500001</v>
      </c>
      <c r="N124" s="11">
        <f t="shared" si="131"/>
        <v>150.82440517500001</v>
      </c>
      <c r="O124" s="11">
        <f t="shared" si="131"/>
        <v>150.82440517500001</v>
      </c>
      <c r="P124" s="11">
        <f t="shared" si="131"/>
        <v>150.82440517500001</v>
      </c>
      <c r="Q124" s="620">
        <f t="shared" ref="Q124:Q126" si="133">SUM(E124:P124)</f>
        <v>1809.8928621000002</v>
      </c>
      <c r="R124" s="326">
        <f t="shared" ref="R124:R126" si="134">IF(AND($C124="j",$D124&gt;=1,$D124&lt;=3),$B124,IF(AND($C124="h",$D124&gt;=1,$D124&lt;=3),$B124,IF(AND($C124="q",$D124&gt;=1,$D124&lt;=3),$B124,IF($C124="z",IF($D124=1,2*$B124,$B124),IF($C124="m",3*$B124,0)))))</f>
        <v>452.473215525</v>
      </c>
      <c r="S124" s="11">
        <f t="shared" ref="S124:S126" si="135">IF(AND($C124="j",$D124&gt;=4,$D124&lt;=6),$B124,IF(AND($C124="h",$D124&gt;=4,$D124&lt;=6),$B124,IF(AND($C124="q",$D124&gt;=1,$D124&lt;=3),$B124,IF($C124="z",IF($D124=2,2*$B124,$B124),IF($C124="m",3*$B124,0)))))</f>
        <v>452.473215525</v>
      </c>
      <c r="T124" s="11">
        <f t="shared" ref="T124:T126" si="136">IF(AND($C124="j",$D124&gt;=7,$D124&lt;=9),$B124,IF(AND($C124="h",$D124&gt;=1,$D124&lt;=3),$B124,IF(AND($C124="q",$D124&gt;=1,$D124&lt;=3),$B124,IF($C124="z",IF($D124=1,2*$B124,$B124),IF($C124="m",3*$B124,0)))))</f>
        <v>452.473215525</v>
      </c>
      <c r="U124" s="11">
        <f t="shared" ref="U124:U126" si="137">IF(AND($C124="j",$D124&gt;=10,$D124&lt;=12),$B124,IF(AND($C124="h",$D124&gt;=4,$D124&lt;=6),$B124,IF(AND($C124="q",$D124&gt;=1,$D124&lt;=3),$B124,IF($C124="z",IF($D124=2,2*$B124,$B124),IF($C124="m",3*$B124,0)))))</f>
        <v>452.473215525</v>
      </c>
      <c r="V124" s="620">
        <f t="shared" ref="V124:V126" si="138">SUM(R124:U124)</f>
        <v>1809.8928621</v>
      </c>
      <c r="W124" s="12">
        <f t="shared" ref="W124:X126" si="139">IF($C124="j",$B124,IF($C124="h",2*$B124,IF($C124="q",4*$B124,IF($C124="z",6*$B124,12*$B124))))</f>
        <v>1809.8928621</v>
      </c>
      <c r="X124" s="13">
        <f t="shared" si="139"/>
        <v>1809.8928621</v>
      </c>
      <c r="Z124" s="634">
        <f t="shared" ref="Z124:Z126" si="140">Q124/12</f>
        <v>150.82440517500001</v>
      </c>
    </row>
    <row r="125" spans="1:26" ht="18.75" customHeight="1" x14ac:dyDescent="0.25">
      <c r="A125" s="97" t="s">
        <v>122</v>
      </c>
      <c r="B125" s="98">
        <f>B34*0.043%</f>
        <v>18.015137284791667</v>
      </c>
      <c r="C125" s="99" t="s">
        <v>46</v>
      </c>
      <c r="D125" s="100" t="s">
        <v>49</v>
      </c>
      <c r="E125" s="10">
        <f t="shared" si="132"/>
        <v>18.015137284791667</v>
      </c>
      <c r="F125" s="11">
        <f t="shared" si="131"/>
        <v>18.015137284791667</v>
      </c>
      <c r="G125" s="11">
        <f t="shared" si="131"/>
        <v>18.015137284791667</v>
      </c>
      <c r="H125" s="11">
        <f t="shared" si="131"/>
        <v>18.015137284791667</v>
      </c>
      <c r="I125" s="11">
        <f t="shared" si="131"/>
        <v>18.015137284791667</v>
      </c>
      <c r="J125" s="11">
        <f t="shared" si="131"/>
        <v>18.015137284791667</v>
      </c>
      <c r="K125" s="11">
        <f t="shared" si="131"/>
        <v>18.015137284791667</v>
      </c>
      <c r="L125" s="11">
        <f t="shared" si="131"/>
        <v>18.015137284791667</v>
      </c>
      <c r="M125" s="11">
        <f t="shared" si="131"/>
        <v>18.015137284791667</v>
      </c>
      <c r="N125" s="11">
        <f t="shared" si="131"/>
        <v>18.015137284791667</v>
      </c>
      <c r="O125" s="11">
        <f t="shared" si="131"/>
        <v>18.015137284791667</v>
      </c>
      <c r="P125" s="11">
        <f t="shared" si="131"/>
        <v>18.015137284791667</v>
      </c>
      <c r="Q125" s="620">
        <f t="shared" si="133"/>
        <v>216.18164741750005</v>
      </c>
      <c r="R125" s="326">
        <f t="shared" si="134"/>
        <v>54.045411854375004</v>
      </c>
      <c r="S125" s="11">
        <f t="shared" si="135"/>
        <v>54.045411854375004</v>
      </c>
      <c r="T125" s="11">
        <f t="shared" si="136"/>
        <v>54.045411854375004</v>
      </c>
      <c r="U125" s="11">
        <f t="shared" si="137"/>
        <v>54.045411854375004</v>
      </c>
      <c r="V125" s="620">
        <f t="shared" si="138"/>
        <v>216.18164741750002</v>
      </c>
      <c r="W125" s="12">
        <f t="shared" si="139"/>
        <v>216.18164741750002</v>
      </c>
      <c r="X125" s="13">
        <f t="shared" si="139"/>
        <v>216.18164741750002</v>
      </c>
      <c r="Z125" s="634">
        <f t="shared" si="140"/>
        <v>18.01513728479167</v>
      </c>
    </row>
    <row r="126" spans="1:26" ht="18.75" customHeight="1" thickBot="1" x14ac:dyDescent="0.3">
      <c r="A126" s="101"/>
      <c r="B126" s="102"/>
      <c r="C126" s="103"/>
      <c r="D126" s="104"/>
      <c r="E126" s="14">
        <f t="shared" si="132"/>
        <v>0</v>
      </c>
      <c r="F126" s="15">
        <f t="shared" si="131"/>
        <v>0</v>
      </c>
      <c r="G126" s="15">
        <f t="shared" si="131"/>
        <v>0</v>
      </c>
      <c r="H126" s="15">
        <f t="shared" si="131"/>
        <v>0</v>
      </c>
      <c r="I126" s="15">
        <f t="shared" si="131"/>
        <v>0</v>
      </c>
      <c r="J126" s="15">
        <f t="shared" si="131"/>
        <v>0</v>
      </c>
      <c r="K126" s="15">
        <f t="shared" si="131"/>
        <v>0</v>
      </c>
      <c r="L126" s="15">
        <f t="shared" si="131"/>
        <v>0</v>
      </c>
      <c r="M126" s="15">
        <f t="shared" si="131"/>
        <v>0</v>
      </c>
      <c r="N126" s="15">
        <f t="shared" si="131"/>
        <v>0</v>
      </c>
      <c r="O126" s="15">
        <f t="shared" si="131"/>
        <v>0</v>
      </c>
      <c r="P126" s="15">
        <f t="shared" si="131"/>
        <v>0</v>
      </c>
      <c r="Q126" s="285">
        <f t="shared" si="133"/>
        <v>0</v>
      </c>
      <c r="R126" s="628">
        <f t="shared" si="134"/>
        <v>0</v>
      </c>
      <c r="S126" s="15">
        <f t="shared" si="135"/>
        <v>0</v>
      </c>
      <c r="T126" s="15">
        <f t="shared" si="136"/>
        <v>0</v>
      </c>
      <c r="U126" s="15">
        <f t="shared" si="137"/>
        <v>0</v>
      </c>
      <c r="V126" s="285">
        <f t="shared" si="138"/>
        <v>0</v>
      </c>
      <c r="W126" s="16">
        <f t="shared" si="139"/>
        <v>0</v>
      </c>
      <c r="X126" s="17">
        <f t="shared" si="139"/>
        <v>0</v>
      </c>
      <c r="Z126" s="641">
        <f t="shared" si="140"/>
        <v>0</v>
      </c>
    </row>
    <row r="127" spans="1:26" ht="7.5" customHeight="1" thickTop="1" thickBot="1" x14ac:dyDescent="0.3">
      <c r="A127" s="105"/>
      <c r="B127" s="106"/>
      <c r="C127" s="107"/>
      <c r="D127" s="108"/>
      <c r="E127" s="29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2"/>
      <c r="R127" s="33"/>
      <c r="S127" s="30"/>
      <c r="T127" s="30"/>
      <c r="U127" s="30"/>
      <c r="V127" s="32"/>
      <c r="W127" s="35"/>
      <c r="X127" s="36"/>
      <c r="Z127" s="635"/>
    </row>
    <row r="128" spans="1:26" ht="18.75" customHeight="1" thickBot="1" x14ac:dyDescent="0.3">
      <c r="A128" s="636" t="s">
        <v>51</v>
      </c>
      <c r="B128" s="637">
        <f>Z128</f>
        <v>235.50620912645834</v>
      </c>
      <c r="D128" s="638"/>
      <c r="E128" s="624">
        <f>SUM(E123:E126)</f>
        <v>168.83954245979169</v>
      </c>
      <c r="F128" s="625">
        <f t="shared" ref="F128:X128" si="141">SUM(F123:F126)</f>
        <v>368.83954245979169</v>
      </c>
      <c r="G128" s="625">
        <f t="shared" si="141"/>
        <v>168.83954245979169</v>
      </c>
      <c r="H128" s="625">
        <f t="shared" si="141"/>
        <v>168.83954245979169</v>
      </c>
      <c r="I128" s="625">
        <f t="shared" si="141"/>
        <v>368.83954245979169</v>
      </c>
      <c r="J128" s="625">
        <f t="shared" si="141"/>
        <v>168.83954245979169</v>
      </c>
      <c r="K128" s="625">
        <f t="shared" si="141"/>
        <v>168.83954245979169</v>
      </c>
      <c r="L128" s="625">
        <f t="shared" si="141"/>
        <v>368.83954245979169</v>
      </c>
      <c r="M128" s="625">
        <f t="shared" si="141"/>
        <v>168.83954245979169</v>
      </c>
      <c r="N128" s="625">
        <f t="shared" si="141"/>
        <v>168.83954245979169</v>
      </c>
      <c r="O128" s="625">
        <f t="shared" si="141"/>
        <v>368.83954245979169</v>
      </c>
      <c r="P128" s="625">
        <f t="shared" si="141"/>
        <v>168.83954245979169</v>
      </c>
      <c r="Q128" s="39">
        <f t="shared" si="141"/>
        <v>2826.0745095175007</v>
      </c>
      <c r="R128" s="639">
        <f t="shared" si="141"/>
        <v>706.51862737937495</v>
      </c>
      <c r="S128" s="625">
        <f t="shared" si="141"/>
        <v>706.51862737937495</v>
      </c>
      <c r="T128" s="625">
        <f t="shared" si="141"/>
        <v>706.51862737937495</v>
      </c>
      <c r="U128" s="625">
        <f t="shared" si="141"/>
        <v>706.51862737937495</v>
      </c>
      <c r="V128" s="39">
        <f t="shared" si="141"/>
        <v>2826.0745095174998</v>
      </c>
      <c r="W128" s="41">
        <f t="shared" si="141"/>
        <v>2826.0745095174998</v>
      </c>
      <c r="X128" s="42">
        <f t="shared" si="141"/>
        <v>2826.0745095174998</v>
      </c>
      <c r="Z128" s="640">
        <f>SUM(Z123:Z126)</f>
        <v>235.50620912645834</v>
      </c>
    </row>
    <row r="129" spans="1:26" ht="15.75" thickBot="1" x14ac:dyDescent="0.3"/>
    <row r="130" spans="1:26" ht="15" customHeight="1" x14ac:dyDescent="0.25">
      <c r="A130" s="772" t="s">
        <v>83</v>
      </c>
      <c r="B130" s="770" t="s">
        <v>19</v>
      </c>
      <c r="C130" s="770" t="s">
        <v>45</v>
      </c>
      <c r="D130" s="774" t="s">
        <v>256</v>
      </c>
      <c r="E130" s="751" t="s">
        <v>20</v>
      </c>
      <c r="F130" s="731"/>
      <c r="G130" s="731"/>
      <c r="H130" s="731"/>
      <c r="I130" s="731"/>
      <c r="J130" s="731"/>
      <c r="K130" s="731"/>
      <c r="L130" s="731"/>
      <c r="M130" s="731"/>
      <c r="N130" s="731"/>
      <c r="O130" s="731"/>
      <c r="P130" s="732"/>
      <c r="Q130" s="752" t="s">
        <v>20</v>
      </c>
      <c r="R130" s="730" t="s">
        <v>25</v>
      </c>
      <c r="S130" s="731"/>
      <c r="T130" s="731"/>
      <c r="U130" s="732"/>
      <c r="V130" s="733" t="s">
        <v>25</v>
      </c>
      <c r="W130" s="735" t="s">
        <v>26</v>
      </c>
      <c r="X130" s="737" t="s">
        <v>27</v>
      </c>
      <c r="Z130" s="780" t="s">
        <v>50</v>
      </c>
    </row>
    <row r="131" spans="1:26" ht="15.75" thickBot="1" x14ac:dyDescent="0.3">
      <c r="A131" s="773"/>
      <c r="B131" s="771"/>
      <c r="C131" s="771"/>
      <c r="D131" s="775"/>
      <c r="E131" s="1">
        <v>1</v>
      </c>
      <c r="F131" s="2">
        <v>2</v>
      </c>
      <c r="G131" s="2">
        <v>3</v>
      </c>
      <c r="H131" s="2">
        <v>4</v>
      </c>
      <c r="I131" s="2">
        <v>5</v>
      </c>
      <c r="J131" s="2">
        <v>6</v>
      </c>
      <c r="K131" s="2">
        <v>7</v>
      </c>
      <c r="L131" s="2">
        <v>8</v>
      </c>
      <c r="M131" s="2">
        <v>9</v>
      </c>
      <c r="N131" s="2">
        <v>10</v>
      </c>
      <c r="O131" s="2">
        <v>11</v>
      </c>
      <c r="P131" s="3">
        <v>12</v>
      </c>
      <c r="Q131" s="753"/>
      <c r="R131" s="4" t="s">
        <v>21</v>
      </c>
      <c r="S131" s="2" t="s">
        <v>22</v>
      </c>
      <c r="T131" s="2" t="s">
        <v>23</v>
      </c>
      <c r="U131" s="2" t="s">
        <v>24</v>
      </c>
      <c r="V131" s="734"/>
      <c r="W131" s="736"/>
      <c r="X131" s="738"/>
      <c r="Z131" s="781"/>
    </row>
    <row r="132" spans="1:26" ht="18.75" customHeight="1" thickTop="1" x14ac:dyDescent="0.25">
      <c r="A132" s="96"/>
      <c r="B132" s="18"/>
      <c r="C132" s="19"/>
      <c r="D132" s="20"/>
      <c r="E132" s="6">
        <f>IF(AND($C132="j",$D132=E$41),$B132,IF($C132="h",$B132*IF($D132=IF(MOD(E$41,6)=0,6,MOD(E$41,6)),1,0),IF($C132="q",$B132*IF($D132=IF(MOD(E$41,3)=0,3,MOD(E$41,3)),1,0),IF($C132="z",$B132*IF($D132=IF(MOD(E$41,2)=0,2,MOD(E$41,2)),1,0),IF($C132="m",$B132,0)))))</f>
        <v>0</v>
      </c>
      <c r="F132" s="7">
        <f t="shared" ref="F132:P135" si="142">IF(AND($C132="j",$D132=F$41),$B132,IF($C132="h",$B132*IF($D132=IF(MOD(F$41,6)=0,6,MOD(F$41,6)),1,0),IF($C132="q",$B132*IF($D132=IF(MOD(F$41,3)=0,3,MOD(F$41,3)),1,0),IF($C132="z",$B132*IF($D132=IF(MOD(F$41,2)=0,2,MOD(F$41,2)),1,0),IF($C132="m",$B132,0)))))</f>
        <v>0</v>
      </c>
      <c r="G132" s="7">
        <f t="shared" si="142"/>
        <v>0</v>
      </c>
      <c r="H132" s="7">
        <f t="shared" si="142"/>
        <v>0</v>
      </c>
      <c r="I132" s="7">
        <f t="shared" si="142"/>
        <v>0</v>
      </c>
      <c r="J132" s="7">
        <f t="shared" si="142"/>
        <v>0</v>
      </c>
      <c r="K132" s="7">
        <f t="shared" si="142"/>
        <v>0</v>
      </c>
      <c r="L132" s="7">
        <f t="shared" si="142"/>
        <v>0</v>
      </c>
      <c r="M132" s="7">
        <f t="shared" si="142"/>
        <v>0</v>
      </c>
      <c r="N132" s="7">
        <f t="shared" si="142"/>
        <v>0</v>
      </c>
      <c r="O132" s="7">
        <f t="shared" si="142"/>
        <v>0</v>
      </c>
      <c r="P132" s="7">
        <f t="shared" si="142"/>
        <v>0</v>
      </c>
      <c r="Q132" s="283">
        <f>SUM(E132:P132)</f>
        <v>0</v>
      </c>
      <c r="R132" s="325">
        <f>IF(AND($C132="j",$D132&gt;=1,$D132&lt;=3),$B132,IF(AND($C132="h",$D132&gt;=1,$D132&lt;=3),$B132,IF(AND($C132="q",$D132&gt;=1,$D132&lt;=3),$B132,IF($C132="z",IF($D132=1,2*$B132,$B132),IF($C132="m",3*$B132,0)))))</f>
        <v>0</v>
      </c>
      <c r="S132" s="7">
        <f>IF(AND($C132="j",$D132&gt;=4,$D132&lt;=6),$B132,IF(AND($C132="h",$D132&gt;=4,$D132&lt;=6),$B132,IF(AND($C132="q",$D132&gt;=1,$D132&lt;=3),$B132,IF($C132="z",IF($D132=2,2*$B132,$B132),IF($C132="m",3*$B132,0)))))</f>
        <v>0</v>
      </c>
      <c r="T132" s="7">
        <f>IF(AND($C132="j",$D132&gt;=7,$D132&lt;=9),$B132,IF(AND($C132="h",$D132&gt;=1,$D132&lt;=3),$B132,IF(AND($C132="q",$D132&gt;=1,$D132&lt;=3),$B132,IF($C132="z",IF($D132=1,2*$B132,$B132),IF($C132="m",3*$B132,0)))))</f>
        <v>0</v>
      </c>
      <c r="U132" s="7">
        <f>IF(AND($C132="j",$D132&gt;=10,$D132&lt;=12),$B132,IF(AND($C132="h",$D132&gt;=4,$D132&lt;=6),$B132,IF(AND($C132="q",$D132&gt;=1,$D132&lt;=3),$B132,IF($C132="z",IF($D132=2,2*$B132,$B132),IF($C132="m",3*$B132,0)))))</f>
        <v>0</v>
      </c>
      <c r="V132" s="283">
        <f>SUM(R132:U132)</f>
        <v>0</v>
      </c>
      <c r="W132" s="8">
        <f>IF($C132="j",$B132,IF($C132="h",2*$B132,IF($C132="q",4*$B132,IF($C132="z",6*$B132,12*$B132))))</f>
        <v>0</v>
      </c>
      <c r="X132" s="9">
        <f>IF($C132="j",$B132,IF($C132="h",2*$B132,IF($C132="q",4*$B132,IF($C132="z",6*$B132,12*$B132))))</f>
        <v>0</v>
      </c>
      <c r="Z132" s="633">
        <f>Q132/12</f>
        <v>0</v>
      </c>
    </row>
    <row r="133" spans="1:26" ht="18.75" customHeight="1" x14ac:dyDescent="0.25">
      <c r="A133" s="97"/>
      <c r="B133" s="98"/>
      <c r="C133" s="99"/>
      <c r="D133" s="100"/>
      <c r="E133" s="10">
        <f t="shared" ref="E133:E135" si="143">IF(AND($C133="j",$D133=E$41),$B133,IF($C133="h",$B133*IF($D133=IF(MOD(E$41,6)=0,6,MOD(E$41,6)),1,0),IF($C133="q",$B133*IF($D133=IF(MOD(E$41,3)=0,3,MOD(E$41,3)),1,0),IF($C133="z",$B133*IF($D133=IF(MOD(E$41,2)=0,2,MOD(E$41,2)),1,0),IF($C133="m",$B133,0)))))</f>
        <v>0</v>
      </c>
      <c r="F133" s="11">
        <f t="shared" si="142"/>
        <v>0</v>
      </c>
      <c r="G133" s="11">
        <f t="shared" si="142"/>
        <v>0</v>
      </c>
      <c r="H133" s="11">
        <f t="shared" si="142"/>
        <v>0</v>
      </c>
      <c r="I133" s="11">
        <f t="shared" si="142"/>
        <v>0</v>
      </c>
      <c r="J133" s="11">
        <f t="shared" si="142"/>
        <v>0</v>
      </c>
      <c r="K133" s="11">
        <f t="shared" si="142"/>
        <v>0</v>
      </c>
      <c r="L133" s="11">
        <f t="shared" si="142"/>
        <v>0</v>
      </c>
      <c r="M133" s="11">
        <f t="shared" si="142"/>
        <v>0</v>
      </c>
      <c r="N133" s="11">
        <f t="shared" si="142"/>
        <v>0</v>
      </c>
      <c r="O133" s="11">
        <f t="shared" si="142"/>
        <v>0</v>
      </c>
      <c r="P133" s="11">
        <f t="shared" si="142"/>
        <v>0</v>
      </c>
      <c r="Q133" s="620">
        <f t="shared" ref="Q133:Q135" si="144">SUM(E133:P133)</f>
        <v>0</v>
      </c>
      <c r="R133" s="326">
        <f t="shared" ref="R133:R135" si="145">IF(AND($C133="j",$D133&gt;=1,$D133&lt;=3),$B133,IF(AND($C133="h",$D133&gt;=1,$D133&lt;=3),$B133,IF(AND($C133="q",$D133&gt;=1,$D133&lt;=3),$B133,IF($C133="z",IF($D133=1,2*$B133,$B133),IF($C133="m",3*$B133,0)))))</f>
        <v>0</v>
      </c>
      <c r="S133" s="11">
        <f t="shared" ref="S133:S135" si="146">IF(AND($C133="j",$D133&gt;=4,$D133&lt;=6),$B133,IF(AND($C133="h",$D133&gt;=4,$D133&lt;=6),$B133,IF(AND($C133="q",$D133&gt;=1,$D133&lt;=3),$B133,IF($C133="z",IF($D133=2,2*$B133,$B133),IF($C133="m",3*$B133,0)))))</f>
        <v>0</v>
      </c>
      <c r="T133" s="11">
        <f t="shared" ref="T133:T135" si="147">IF(AND($C133="j",$D133&gt;=7,$D133&lt;=9),$B133,IF(AND($C133="h",$D133&gt;=1,$D133&lt;=3),$B133,IF(AND($C133="q",$D133&gt;=1,$D133&lt;=3),$B133,IF($C133="z",IF($D133=1,2*$B133,$B133),IF($C133="m",3*$B133,0)))))</f>
        <v>0</v>
      </c>
      <c r="U133" s="11">
        <f t="shared" ref="U133:U135" si="148">IF(AND($C133="j",$D133&gt;=10,$D133&lt;=12),$B133,IF(AND($C133="h",$D133&gt;=4,$D133&lt;=6),$B133,IF(AND($C133="q",$D133&gt;=1,$D133&lt;=3),$B133,IF($C133="z",IF($D133=2,2*$B133,$B133),IF($C133="m",3*$B133,0)))))</f>
        <v>0</v>
      </c>
      <c r="V133" s="620">
        <f t="shared" ref="V133:V135" si="149">SUM(R133:U133)</f>
        <v>0</v>
      </c>
      <c r="W133" s="12">
        <f t="shared" ref="W133:X135" si="150">IF($C133="j",$B133,IF($C133="h",2*$B133,IF($C133="q",4*$B133,IF($C133="z",6*$B133,12*$B133))))</f>
        <v>0</v>
      </c>
      <c r="X133" s="13">
        <f t="shared" si="150"/>
        <v>0</v>
      </c>
      <c r="Z133" s="634">
        <f t="shared" ref="Z133:Z135" si="151">Q133/12</f>
        <v>0</v>
      </c>
    </row>
    <row r="134" spans="1:26" ht="18.75" customHeight="1" x14ac:dyDescent="0.25">
      <c r="A134" s="97"/>
      <c r="B134" s="98"/>
      <c r="C134" s="99"/>
      <c r="D134" s="100"/>
      <c r="E134" s="10">
        <f t="shared" si="143"/>
        <v>0</v>
      </c>
      <c r="F134" s="11">
        <f t="shared" si="142"/>
        <v>0</v>
      </c>
      <c r="G134" s="11">
        <f t="shared" si="142"/>
        <v>0</v>
      </c>
      <c r="H134" s="11">
        <f t="shared" si="142"/>
        <v>0</v>
      </c>
      <c r="I134" s="11">
        <f t="shared" si="142"/>
        <v>0</v>
      </c>
      <c r="J134" s="11">
        <f t="shared" si="142"/>
        <v>0</v>
      </c>
      <c r="K134" s="11">
        <f t="shared" si="142"/>
        <v>0</v>
      </c>
      <c r="L134" s="11">
        <f t="shared" si="142"/>
        <v>0</v>
      </c>
      <c r="M134" s="11">
        <f t="shared" si="142"/>
        <v>0</v>
      </c>
      <c r="N134" s="11">
        <f t="shared" si="142"/>
        <v>0</v>
      </c>
      <c r="O134" s="11">
        <f t="shared" si="142"/>
        <v>0</v>
      </c>
      <c r="P134" s="11">
        <f t="shared" si="142"/>
        <v>0</v>
      </c>
      <c r="Q134" s="620">
        <f t="shared" si="144"/>
        <v>0</v>
      </c>
      <c r="R134" s="326">
        <f t="shared" si="145"/>
        <v>0</v>
      </c>
      <c r="S134" s="11">
        <f t="shared" si="146"/>
        <v>0</v>
      </c>
      <c r="T134" s="11">
        <f t="shared" si="147"/>
        <v>0</v>
      </c>
      <c r="U134" s="11">
        <f t="shared" si="148"/>
        <v>0</v>
      </c>
      <c r="V134" s="620">
        <f t="shared" si="149"/>
        <v>0</v>
      </c>
      <c r="W134" s="12">
        <f t="shared" si="150"/>
        <v>0</v>
      </c>
      <c r="X134" s="13">
        <f t="shared" si="150"/>
        <v>0</v>
      </c>
      <c r="Z134" s="634">
        <f t="shared" si="151"/>
        <v>0</v>
      </c>
    </row>
    <row r="135" spans="1:26" ht="18.75" customHeight="1" thickBot="1" x14ac:dyDescent="0.3">
      <c r="A135" s="101"/>
      <c r="B135" s="102"/>
      <c r="C135" s="103"/>
      <c r="D135" s="104"/>
      <c r="E135" s="14">
        <f t="shared" si="143"/>
        <v>0</v>
      </c>
      <c r="F135" s="15">
        <f t="shared" si="142"/>
        <v>0</v>
      </c>
      <c r="G135" s="15">
        <f t="shared" si="142"/>
        <v>0</v>
      </c>
      <c r="H135" s="15">
        <f t="shared" si="142"/>
        <v>0</v>
      </c>
      <c r="I135" s="15">
        <f t="shared" si="142"/>
        <v>0</v>
      </c>
      <c r="J135" s="15">
        <f t="shared" si="142"/>
        <v>0</v>
      </c>
      <c r="K135" s="15">
        <f t="shared" si="142"/>
        <v>0</v>
      </c>
      <c r="L135" s="15">
        <f t="shared" si="142"/>
        <v>0</v>
      </c>
      <c r="M135" s="15">
        <f t="shared" si="142"/>
        <v>0</v>
      </c>
      <c r="N135" s="15">
        <f t="shared" si="142"/>
        <v>0</v>
      </c>
      <c r="O135" s="15">
        <f t="shared" si="142"/>
        <v>0</v>
      </c>
      <c r="P135" s="15">
        <f t="shared" si="142"/>
        <v>0</v>
      </c>
      <c r="Q135" s="285">
        <f t="shared" si="144"/>
        <v>0</v>
      </c>
      <c r="R135" s="628">
        <f t="shared" si="145"/>
        <v>0</v>
      </c>
      <c r="S135" s="15">
        <f t="shared" si="146"/>
        <v>0</v>
      </c>
      <c r="T135" s="15">
        <f t="shared" si="147"/>
        <v>0</v>
      </c>
      <c r="U135" s="15">
        <f t="shared" si="148"/>
        <v>0</v>
      </c>
      <c r="V135" s="285">
        <f t="shared" si="149"/>
        <v>0</v>
      </c>
      <c r="W135" s="16">
        <f t="shared" si="150"/>
        <v>0</v>
      </c>
      <c r="X135" s="17">
        <f t="shared" si="150"/>
        <v>0</v>
      </c>
      <c r="Z135" s="641">
        <f t="shared" si="151"/>
        <v>0</v>
      </c>
    </row>
    <row r="136" spans="1:26" ht="7.5" customHeight="1" thickTop="1" thickBot="1" x14ac:dyDescent="0.3">
      <c r="A136" s="105"/>
      <c r="B136" s="106"/>
      <c r="C136" s="107"/>
      <c r="D136" s="108"/>
      <c r="E136" s="29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2"/>
      <c r="R136" s="33"/>
      <c r="S136" s="30"/>
      <c r="T136" s="30"/>
      <c r="U136" s="30"/>
      <c r="V136" s="32"/>
      <c r="W136" s="35"/>
      <c r="X136" s="36"/>
      <c r="Z136" s="635"/>
    </row>
    <row r="137" spans="1:26" ht="18.75" customHeight="1" thickBot="1" x14ac:dyDescent="0.3">
      <c r="A137" s="636" t="s">
        <v>51</v>
      </c>
      <c r="B137" s="637">
        <f>Z137</f>
        <v>0</v>
      </c>
      <c r="D137" s="638"/>
      <c r="E137" s="624">
        <f>SUM(E132:E135)</f>
        <v>0</v>
      </c>
      <c r="F137" s="625">
        <f t="shared" ref="F137:X137" si="152">SUM(F132:F135)</f>
        <v>0</v>
      </c>
      <c r="G137" s="625">
        <f t="shared" si="152"/>
        <v>0</v>
      </c>
      <c r="H137" s="625">
        <f t="shared" si="152"/>
        <v>0</v>
      </c>
      <c r="I137" s="625">
        <f t="shared" si="152"/>
        <v>0</v>
      </c>
      <c r="J137" s="625">
        <f t="shared" si="152"/>
        <v>0</v>
      </c>
      <c r="K137" s="625">
        <f t="shared" si="152"/>
        <v>0</v>
      </c>
      <c r="L137" s="625">
        <f t="shared" si="152"/>
        <v>0</v>
      </c>
      <c r="M137" s="625">
        <f t="shared" si="152"/>
        <v>0</v>
      </c>
      <c r="N137" s="625">
        <f t="shared" si="152"/>
        <v>0</v>
      </c>
      <c r="O137" s="625">
        <f t="shared" si="152"/>
        <v>0</v>
      </c>
      <c r="P137" s="625">
        <f t="shared" si="152"/>
        <v>0</v>
      </c>
      <c r="Q137" s="39">
        <f t="shared" si="152"/>
        <v>0</v>
      </c>
      <c r="R137" s="639">
        <f t="shared" si="152"/>
        <v>0</v>
      </c>
      <c r="S137" s="625">
        <f t="shared" si="152"/>
        <v>0</v>
      </c>
      <c r="T137" s="625">
        <f t="shared" si="152"/>
        <v>0</v>
      </c>
      <c r="U137" s="625">
        <f t="shared" si="152"/>
        <v>0</v>
      </c>
      <c r="V137" s="39">
        <f t="shared" si="152"/>
        <v>0</v>
      </c>
      <c r="W137" s="41">
        <f t="shared" si="152"/>
        <v>0</v>
      </c>
      <c r="X137" s="42">
        <f t="shared" si="152"/>
        <v>0</v>
      </c>
      <c r="Z137" s="640">
        <f>SUM(Z132:Z135)</f>
        <v>0</v>
      </c>
    </row>
    <row r="138" spans="1:26" ht="15.75" thickBot="1" x14ac:dyDescent="0.3"/>
    <row r="139" spans="1:26" ht="15" customHeight="1" x14ac:dyDescent="0.25">
      <c r="A139" s="772" t="s">
        <v>84</v>
      </c>
      <c r="B139" s="770" t="s">
        <v>19</v>
      </c>
      <c r="C139" s="770" t="s">
        <v>45</v>
      </c>
      <c r="D139" s="774" t="s">
        <v>256</v>
      </c>
      <c r="E139" s="751" t="s">
        <v>20</v>
      </c>
      <c r="F139" s="731"/>
      <c r="G139" s="731"/>
      <c r="H139" s="731"/>
      <c r="I139" s="731"/>
      <c r="J139" s="731"/>
      <c r="K139" s="731"/>
      <c r="L139" s="731"/>
      <c r="M139" s="731"/>
      <c r="N139" s="731"/>
      <c r="O139" s="731"/>
      <c r="P139" s="732"/>
      <c r="Q139" s="752" t="s">
        <v>20</v>
      </c>
      <c r="R139" s="730" t="s">
        <v>25</v>
      </c>
      <c r="S139" s="731"/>
      <c r="T139" s="731"/>
      <c r="U139" s="732"/>
      <c r="V139" s="733" t="s">
        <v>25</v>
      </c>
      <c r="W139" s="735" t="s">
        <v>26</v>
      </c>
      <c r="X139" s="737" t="s">
        <v>27</v>
      </c>
      <c r="Z139" s="780" t="s">
        <v>50</v>
      </c>
    </row>
    <row r="140" spans="1:26" ht="15.75" thickBot="1" x14ac:dyDescent="0.3">
      <c r="A140" s="773"/>
      <c r="B140" s="771"/>
      <c r="C140" s="771"/>
      <c r="D140" s="775"/>
      <c r="E140" s="1">
        <v>1</v>
      </c>
      <c r="F140" s="2">
        <v>2</v>
      </c>
      <c r="G140" s="2">
        <v>3</v>
      </c>
      <c r="H140" s="2">
        <v>4</v>
      </c>
      <c r="I140" s="2">
        <v>5</v>
      </c>
      <c r="J140" s="2">
        <v>6</v>
      </c>
      <c r="K140" s="2">
        <v>7</v>
      </c>
      <c r="L140" s="2">
        <v>8</v>
      </c>
      <c r="M140" s="2">
        <v>9</v>
      </c>
      <c r="N140" s="2">
        <v>10</v>
      </c>
      <c r="O140" s="2">
        <v>11</v>
      </c>
      <c r="P140" s="3">
        <v>12</v>
      </c>
      <c r="Q140" s="753"/>
      <c r="R140" s="4" t="s">
        <v>21</v>
      </c>
      <c r="S140" s="2" t="s">
        <v>22</v>
      </c>
      <c r="T140" s="2" t="s">
        <v>23</v>
      </c>
      <c r="U140" s="2" t="s">
        <v>24</v>
      </c>
      <c r="V140" s="734"/>
      <c r="W140" s="736"/>
      <c r="X140" s="738"/>
      <c r="Z140" s="781"/>
    </row>
    <row r="141" spans="1:26" ht="18.75" customHeight="1" thickTop="1" x14ac:dyDescent="0.25">
      <c r="A141" s="96" t="s">
        <v>136</v>
      </c>
      <c r="B141" s="18">
        <v>1500</v>
      </c>
      <c r="C141" s="19" t="s">
        <v>46</v>
      </c>
      <c r="D141" s="20" t="s">
        <v>49</v>
      </c>
      <c r="E141" s="6">
        <f>IF(AND($C141="j",$D141=E$41),$B141,IF($C141="h",$B141*IF($D141=IF(MOD(E$41,6)=0,6,MOD(E$41,6)),1,0),IF($C141="q",$B141*IF($D141=IF(MOD(E$41,3)=0,3,MOD(E$41,3)),1,0),IF($C141="z",$B141*IF($D141=IF(MOD(E$41,2)=0,2,MOD(E$41,2)),1,0),IF($C141="m",$B141,0)))))</f>
        <v>1500</v>
      </c>
      <c r="F141" s="7">
        <f t="shared" ref="F141:P144" si="153">IF(AND($C141="j",$D141=F$41),$B141,IF($C141="h",$B141*IF($D141=IF(MOD(F$41,6)=0,6,MOD(F$41,6)),1,0),IF($C141="q",$B141*IF($D141=IF(MOD(F$41,3)=0,3,MOD(F$41,3)),1,0),IF($C141="z",$B141*IF($D141=IF(MOD(F$41,2)=0,2,MOD(F$41,2)),1,0),IF($C141="m",$B141,0)))))</f>
        <v>1500</v>
      </c>
      <c r="G141" s="7">
        <f t="shared" si="153"/>
        <v>1500</v>
      </c>
      <c r="H141" s="7">
        <f t="shared" si="153"/>
        <v>1500</v>
      </c>
      <c r="I141" s="7">
        <f t="shared" si="153"/>
        <v>1500</v>
      </c>
      <c r="J141" s="7">
        <f t="shared" si="153"/>
        <v>1500</v>
      </c>
      <c r="K141" s="7">
        <f t="shared" si="153"/>
        <v>1500</v>
      </c>
      <c r="L141" s="7">
        <f t="shared" si="153"/>
        <v>1500</v>
      </c>
      <c r="M141" s="7">
        <f t="shared" si="153"/>
        <v>1500</v>
      </c>
      <c r="N141" s="7">
        <f t="shared" si="153"/>
        <v>1500</v>
      </c>
      <c r="O141" s="7">
        <f t="shared" si="153"/>
        <v>1500</v>
      </c>
      <c r="P141" s="7">
        <f t="shared" si="153"/>
        <v>1500</v>
      </c>
      <c r="Q141" s="283">
        <f>SUM(E141:P141)</f>
        <v>18000</v>
      </c>
      <c r="R141" s="325">
        <f>IF(AND($C141="j",$D141&gt;=1,$D141&lt;=3),$B141,IF(AND($C141="h",$D141&gt;=1,$D141&lt;=3),$B141,IF(AND($C141="q",$D141&gt;=1,$D141&lt;=3),$B141,IF($C141="z",IF($D141=1,2*$B141,$B141),IF($C141="m",3*$B141,0)))))</f>
        <v>4500</v>
      </c>
      <c r="S141" s="7">
        <f>IF(AND($C141="j",$D141&gt;=4,$D141&lt;=6),$B141,IF(AND($C141="h",$D141&gt;=4,$D141&lt;=6),$B141,IF(AND($C141="q",$D141&gt;=1,$D141&lt;=3),$B141,IF($C141="z",IF($D141=2,2*$B141,$B141),IF($C141="m",3*$B141,0)))))</f>
        <v>4500</v>
      </c>
      <c r="T141" s="7">
        <f>IF(AND($C141="j",$D141&gt;=7,$D141&lt;=9),$B141,IF(AND($C141="h",$D141&gt;=1,$D141&lt;=3),$B141,IF(AND($C141="q",$D141&gt;=1,$D141&lt;=3),$B141,IF($C141="z",IF($D141=1,2*$B141,$B141),IF($C141="m",3*$B141,0)))))</f>
        <v>4500</v>
      </c>
      <c r="U141" s="7">
        <f>IF(AND($C141="j",$D141&gt;=10,$D141&lt;=12),$B141,IF(AND($C141="h",$D141&gt;=4,$D141&lt;=6),$B141,IF(AND($C141="q",$D141&gt;=1,$D141&lt;=3),$B141,IF($C141="z",IF($D141=2,2*$B141,$B141),IF($C141="m",3*$B141,0)))))</f>
        <v>4500</v>
      </c>
      <c r="V141" s="283">
        <f>SUM(R141:U141)</f>
        <v>18000</v>
      </c>
      <c r="W141" s="8">
        <f>IF($C141="j",$B141,IF($C141="h",2*$B141,IF($C141="q",4*$B141,IF($C141="z",6*$B141,12*$B141))))</f>
        <v>18000</v>
      </c>
      <c r="X141" s="9">
        <f>IF($C141="j",$B141,IF($C141="h",2*$B141,IF($C141="q",4*$B141,IF($C141="z",6*$B141,12*$B141))))</f>
        <v>18000</v>
      </c>
      <c r="Z141" s="633">
        <f>Q141/12</f>
        <v>1500</v>
      </c>
    </row>
    <row r="142" spans="1:26" ht="18.75" customHeight="1" x14ac:dyDescent="0.25">
      <c r="A142" s="97"/>
      <c r="B142" s="98"/>
      <c r="C142" s="99"/>
      <c r="D142" s="100"/>
      <c r="E142" s="10">
        <f t="shared" ref="E142:E144" si="154">IF(AND($C142="j",$D142=E$41),$B142,IF($C142="h",$B142*IF($D142=IF(MOD(E$41,6)=0,6,MOD(E$41,6)),1,0),IF($C142="q",$B142*IF($D142=IF(MOD(E$41,3)=0,3,MOD(E$41,3)),1,0),IF($C142="z",$B142*IF($D142=IF(MOD(E$41,2)=0,2,MOD(E$41,2)),1,0),IF($C142="m",$B142,0)))))</f>
        <v>0</v>
      </c>
      <c r="F142" s="11">
        <f t="shared" si="153"/>
        <v>0</v>
      </c>
      <c r="G142" s="11">
        <f t="shared" si="153"/>
        <v>0</v>
      </c>
      <c r="H142" s="11">
        <f t="shared" si="153"/>
        <v>0</v>
      </c>
      <c r="I142" s="11">
        <f t="shared" si="153"/>
        <v>0</v>
      </c>
      <c r="J142" s="11">
        <f t="shared" si="153"/>
        <v>0</v>
      </c>
      <c r="K142" s="11">
        <f t="shared" si="153"/>
        <v>0</v>
      </c>
      <c r="L142" s="11">
        <f t="shared" si="153"/>
        <v>0</v>
      </c>
      <c r="M142" s="11">
        <f t="shared" si="153"/>
        <v>0</v>
      </c>
      <c r="N142" s="11">
        <f t="shared" si="153"/>
        <v>0</v>
      </c>
      <c r="O142" s="11">
        <f t="shared" si="153"/>
        <v>0</v>
      </c>
      <c r="P142" s="11">
        <f t="shared" si="153"/>
        <v>0</v>
      </c>
      <c r="Q142" s="620">
        <f t="shared" ref="Q142:Q144" si="155">SUM(E142:P142)</f>
        <v>0</v>
      </c>
      <c r="R142" s="326">
        <f t="shared" ref="R142:R144" si="156">IF(AND($C142="j",$D142&gt;=1,$D142&lt;=3),$B142,IF(AND($C142="h",$D142&gt;=1,$D142&lt;=3),$B142,IF(AND($C142="q",$D142&gt;=1,$D142&lt;=3),$B142,IF($C142="z",IF($D142=1,2*$B142,$B142),IF($C142="m",3*$B142,0)))))</f>
        <v>0</v>
      </c>
      <c r="S142" s="11">
        <f t="shared" ref="S142:S144" si="157">IF(AND($C142="j",$D142&gt;=4,$D142&lt;=6),$B142,IF(AND($C142="h",$D142&gt;=4,$D142&lt;=6),$B142,IF(AND($C142="q",$D142&gt;=1,$D142&lt;=3),$B142,IF($C142="z",IF($D142=2,2*$B142,$B142),IF($C142="m",3*$B142,0)))))</f>
        <v>0</v>
      </c>
      <c r="T142" s="11">
        <f t="shared" ref="T142:T144" si="158">IF(AND($C142="j",$D142&gt;=7,$D142&lt;=9),$B142,IF(AND($C142="h",$D142&gt;=1,$D142&lt;=3),$B142,IF(AND($C142="q",$D142&gt;=1,$D142&lt;=3),$B142,IF($C142="z",IF($D142=1,2*$B142,$B142),IF($C142="m",3*$B142,0)))))</f>
        <v>0</v>
      </c>
      <c r="U142" s="11">
        <f t="shared" ref="U142:U144" si="159">IF(AND($C142="j",$D142&gt;=10,$D142&lt;=12),$B142,IF(AND($C142="h",$D142&gt;=4,$D142&lt;=6),$B142,IF(AND($C142="q",$D142&gt;=1,$D142&lt;=3),$B142,IF($C142="z",IF($D142=2,2*$B142,$B142),IF($C142="m",3*$B142,0)))))</f>
        <v>0</v>
      </c>
      <c r="V142" s="620">
        <f t="shared" ref="V142:V144" si="160">SUM(R142:U142)</f>
        <v>0</v>
      </c>
      <c r="W142" s="12">
        <f t="shared" ref="W142:X144" si="161">IF($C142="j",$B142,IF($C142="h",2*$B142,IF($C142="q",4*$B142,IF($C142="z",6*$B142,12*$B142))))</f>
        <v>0</v>
      </c>
      <c r="X142" s="13">
        <f t="shared" si="161"/>
        <v>0</v>
      </c>
      <c r="Z142" s="634">
        <f t="shared" ref="Z142:Z144" si="162">Q142/12</f>
        <v>0</v>
      </c>
    </row>
    <row r="143" spans="1:26" ht="18.75" customHeight="1" x14ac:dyDescent="0.25">
      <c r="A143" s="97"/>
      <c r="B143" s="98"/>
      <c r="C143" s="99"/>
      <c r="D143" s="100"/>
      <c r="E143" s="10">
        <f t="shared" si="154"/>
        <v>0</v>
      </c>
      <c r="F143" s="11">
        <f t="shared" si="153"/>
        <v>0</v>
      </c>
      <c r="G143" s="11">
        <f t="shared" si="153"/>
        <v>0</v>
      </c>
      <c r="H143" s="11">
        <f t="shared" si="153"/>
        <v>0</v>
      </c>
      <c r="I143" s="11">
        <f t="shared" si="153"/>
        <v>0</v>
      </c>
      <c r="J143" s="11">
        <f t="shared" si="153"/>
        <v>0</v>
      </c>
      <c r="K143" s="11">
        <f t="shared" si="153"/>
        <v>0</v>
      </c>
      <c r="L143" s="11">
        <f t="shared" si="153"/>
        <v>0</v>
      </c>
      <c r="M143" s="11">
        <f t="shared" si="153"/>
        <v>0</v>
      </c>
      <c r="N143" s="11">
        <f t="shared" si="153"/>
        <v>0</v>
      </c>
      <c r="O143" s="11">
        <f t="shared" si="153"/>
        <v>0</v>
      </c>
      <c r="P143" s="11">
        <f t="shared" si="153"/>
        <v>0</v>
      </c>
      <c r="Q143" s="620">
        <f t="shared" si="155"/>
        <v>0</v>
      </c>
      <c r="R143" s="326">
        <f t="shared" si="156"/>
        <v>0</v>
      </c>
      <c r="S143" s="11">
        <f t="shared" si="157"/>
        <v>0</v>
      </c>
      <c r="T143" s="11">
        <f t="shared" si="158"/>
        <v>0</v>
      </c>
      <c r="U143" s="11">
        <f t="shared" si="159"/>
        <v>0</v>
      </c>
      <c r="V143" s="620">
        <f t="shared" si="160"/>
        <v>0</v>
      </c>
      <c r="W143" s="12">
        <f t="shared" si="161"/>
        <v>0</v>
      </c>
      <c r="X143" s="13">
        <f t="shared" si="161"/>
        <v>0</v>
      </c>
      <c r="Z143" s="634">
        <f t="shared" si="162"/>
        <v>0</v>
      </c>
    </row>
    <row r="144" spans="1:26" ht="18.75" customHeight="1" thickBot="1" x14ac:dyDescent="0.3">
      <c r="A144" s="101"/>
      <c r="B144" s="102"/>
      <c r="C144" s="103"/>
      <c r="D144" s="104"/>
      <c r="E144" s="14">
        <f t="shared" si="154"/>
        <v>0</v>
      </c>
      <c r="F144" s="15">
        <f t="shared" si="153"/>
        <v>0</v>
      </c>
      <c r="G144" s="15">
        <f t="shared" si="153"/>
        <v>0</v>
      </c>
      <c r="H144" s="15">
        <f t="shared" si="153"/>
        <v>0</v>
      </c>
      <c r="I144" s="15">
        <f t="shared" si="153"/>
        <v>0</v>
      </c>
      <c r="J144" s="15">
        <f t="shared" si="153"/>
        <v>0</v>
      </c>
      <c r="K144" s="15">
        <f t="shared" si="153"/>
        <v>0</v>
      </c>
      <c r="L144" s="15">
        <f t="shared" si="153"/>
        <v>0</v>
      </c>
      <c r="M144" s="15">
        <f t="shared" si="153"/>
        <v>0</v>
      </c>
      <c r="N144" s="15">
        <f t="shared" si="153"/>
        <v>0</v>
      </c>
      <c r="O144" s="15">
        <f t="shared" si="153"/>
        <v>0</v>
      </c>
      <c r="P144" s="15">
        <f t="shared" si="153"/>
        <v>0</v>
      </c>
      <c r="Q144" s="285">
        <f t="shared" si="155"/>
        <v>0</v>
      </c>
      <c r="R144" s="628">
        <f t="shared" si="156"/>
        <v>0</v>
      </c>
      <c r="S144" s="15">
        <f t="shared" si="157"/>
        <v>0</v>
      </c>
      <c r="T144" s="15">
        <f t="shared" si="158"/>
        <v>0</v>
      </c>
      <c r="U144" s="15">
        <f t="shared" si="159"/>
        <v>0</v>
      </c>
      <c r="V144" s="285">
        <f t="shared" si="160"/>
        <v>0</v>
      </c>
      <c r="W144" s="16">
        <f t="shared" si="161"/>
        <v>0</v>
      </c>
      <c r="X144" s="17">
        <f t="shared" si="161"/>
        <v>0</v>
      </c>
      <c r="Z144" s="641">
        <f t="shared" si="162"/>
        <v>0</v>
      </c>
    </row>
    <row r="145" spans="1:26" ht="7.5" customHeight="1" thickTop="1" thickBot="1" x14ac:dyDescent="0.3">
      <c r="A145" s="105"/>
      <c r="B145" s="106"/>
      <c r="C145" s="107"/>
      <c r="D145" s="108"/>
      <c r="E145" s="29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2"/>
      <c r="R145" s="33"/>
      <c r="S145" s="30"/>
      <c r="T145" s="30"/>
      <c r="U145" s="30"/>
      <c r="V145" s="32"/>
      <c r="W145" s="35"/>
      <c r="X145" s="36"/>
      <c r="Z145" s="635"/>
    </row>
    <row r="146" spans="1:26" ht="18.75" customHeight="1" thickBot="1" x14ac:dyDescent="0.3">
      <c r="A146" s="636" t="s">
        <v>51</v>
      </c>
      <c r="B146" s="637">
        <f>Z146</f>
        <v>1500</v>
      </c>
      <c r="D146" s="638"/>
      <c r="E146" s="624">
        <f>SUM(E141:E144)</f>
        <v>1500</v>
      </c>
      <c r="F146" s="625">
        <f t="shared" ref="F146:X146" si="163">SUM(F141:F144)</f>
        <v>1500</v>
      </c>
      <c r="G146" s="625">
        <f t="shared" si="163"/>
        <v>1500</v>
      </c>
      <c r="H146" s="625">
        <f t="shared" si="163"/>
        <v>1500</v>
      </c>
      <c r="I146" s="625">
        <f t="shared" si="163"/>
        <v>1500</v>
      </c>
      <c r="J146" s="625">
        <f t="shared" si="163"/>
        <v>1500</v>
      </c>
      <c r="K146" s="625">
        <f t="shared" si="163"/>
        <v>1500</v>
      </c>
      <c r="L146" s="625">
        <f t="shared" si="163"/>
        <v>1500</v>
      </c>
      <c r="M146" s="625">
        <f t="shared" si="163"/>
        <v>1500</v>
      </c>
      <c r="N146" s="625">
        <f t="shared" si="163"/>
        <v>1500</v>
      </c>
      <c r="O146" s="625">
        <f t="shared" si="163"/>
        <v>1500</v>
      </c>
      <c r="P146" s="625">
        <f t="shared" si="163"/>
        <v>1500</v>
      </c>
      <c r="Q146" s="39">
        <f t="shared" si="163"/>
        <v>18000</v>
      </c>
      <c r="R146" s="639">
        <f t="shared" si="163"/>
        <v>4500</v>
      </c>
      <c r="S146" s="625">
        <f t="shared" si="163"/>
        <v>4500</v>
      </c>
      <c r="T146" s="625">
        <f t="shared" si="163"/>
        <v>4500</v>
      </c>
      <c r="U146" s="625">
        <f t="shared" si="163"/>
        <v>4500</v>
      </c>
      <c r="V146" s="39">
        <f t="shared" si="163"/>
        <v>18000</v>
      </c>
      <c r="W146" s="41">
        <f t="shared" si="163"/>
        <v>18000</v>
      </c>
      <c r="X146" s="42">
        <f t="shared" si="163"/>
        <v>18000</v>
      </c>
      <c r="Z146" s="640">
        <f>SUM(Z141:Z144)</f>
        <v>1500</v>
      </c>
    </row>
    <row r="147" spans="1:26" ht="15.75" thickBot="1" x14ac:dyDescent="0.3"/>
    <row r="148" spans="1:26" ht="15" customHeight="1" x14ac:dyDescent="0.25">
      <c r="A148" s="772" t="s">
        <v>85</v>
      </c>
      <c r="B148" s="770" t="s">
        <v>19</v>
      </c>
      <c r="C148" s="770" t="s">
        <v>45</v>
      </c>
      <c r="D148" s="774" t="s">
        <v>256</v>
      </c>
      <c r="E148" s="751" t="s">
        <v>20</v>
      </c>
      <c r="F148" s="731"/>
      <c r="G148" s="731"/>
      <c r="H148" s="731"/>
      <c r="I148" s="731"/>
      <c r="J148" s="731"/>
      <c r="K148" s="731"/>
      <c r="L148" s="731"/>
      <c r="M148" s="731"/>
      <c r="N148" s="731"/>
      <c r="O148" s="731"/>
      <c r="P148" s="732"/>
      <c r="Q148" s="752" t="s">
        <v>20</v>
      </c>
      <c r="R148" s="730" t="s">
        <v>25</v>
      </c>
      <c r="S148" s="731"/>
      <c r="T148" s="731"/>
      <c r="U148" s="732"/>
      <c r="V148" s="733" t="s">
        <v>25</v>
      </c>
      <c r="W148" s="735" t="s">
        <v>26</v>
      </c>
      <c r="X148" s="737" t="s">
        <v>27</v>
      </c>
      <c r="Z148" s="780" t="s">
        <v>50</v>
      </c>
    </row>
    <row r="149" spans="1:26" ht="15.75" thickBot="1" x14ac:dyDescent="0.3">
      <c r="A149" s="773"/>
      <c r="B149" s="771"/>
      <c r="C149" s="771"/>
      <c r="D149" s="775"/>
      <c r="E149" s="1">
        <v>1</v>
      </c>
      <c r="F149" s="2">
        <v>2</v>
      </c>
      <c r="G149" s="2">
        <v>3</v>
      </c>
      <c r="H149" s="2">
        <v>4</v>
      </c>
      <c r="I149" s="2">
        <v>5</v>
      </c>
      <c r="J149" s="2">
        <v>6</v>
      </c>
      <c r="K149" s="2">
        <v>7</v>
      </c>
      <c r="L149" s="2">
        <v>8</v>
      </c>
      <c r="M149" s="2">
        <v>9</v>
      </c>
      <c r="N149" s="2">
        <v>10</v>
      </c>
      <c r="O149" s="2">
        <v>11</v>
      </c>
      <c r="P149" s="3">
        <v>12</v>
      </c>
      <c r="Q149" s="753"/>
      <c r="R149" s="4" t="s">
        <v>21</v>
      </c>
      <c r="S149" s="2" t="s">
        <v>22</v>
      </c>
      <c r="T149" s="2" t="s">
        <v>23</v>
      </c>
      <c r="U149" s="2" t="s">
        <v>24</v>
      </c>
      <c r="V149" s="734"/>
      <c r="W149" s="736"/>
      <c r="X149" s="738"/>
      <c r="Z149" s="781"/>
    </row>
    <row r="150" spans="1:26" ht="18.75" customHeight="1" thickTop="1" x14ac:dyDescent="0.25">
      <c r="A150" s="96" t="s">
        <v>148</v>
      </c>
      <c r="B150" s="18">
        <v>50</v>
      </c>
      <c r="C150" s="19" t="s">
        <v>123</v>
      </c>
      <c r="D150" s="20">
        <v>1</v>
      </c>
      <c r="E150" s="6">
        <f>IF(AND($C150="j",$D150=E$41),$B150,IF($C150="h",$B150*IF($D150=IF(MOD(E$41,6)=0,6,MOD(E$41,6)),1,0),IF($C150="q",$B150*IF($D150=IF(MOD(E$41,3)=0,3,MOD(E$41,3)),1,0),IF($C150="z",$B150*IF($D150=IF(MOD(E$41,2)=0,2,MOD(E$41,2)),1,0),IF($C150="m",$B150,0)))))</f>
        <v>50</v>
      </c>
      <c r="F150" s="7">
        <f t="shared" ref="F150:P153" si="164">IF(AND($C150="j",$D150=F$41),$B150,IF($C150="h",$B150*IF($D150=IF(MOD(F$41,6)=0,6,MOD(F$41,6)),1,0),IF($C150="q",$B150*IF($D150=IF(MOD(F$41,3)=0,3,MOD(F$41,3)),1,0),IF($C150="z",$B150*IF($D150=IF(MOD(F$41,2)=0,2,MOD(F$41,2)),1,0),IF($C150="m",$B150,0)))))</f>
        <v>0</v>
      </c>
      <c r="G150" s="7">
        <f t="shared" si="164"/>
        <v>0</v>
      </c>
      <c r="H150" s="7">
        <f t="shared" si="164"/>
        <v>50</v>
      </c>
      <c r="I150" s="7">
        <f t="shared" si="164"/>
        <v>0</v>
      </c>
      <c r="J150" s="7">
        <f t="shared" si="164"/>
        <v>0</v>
      </c>
      <c r="K150" s="7">
        <f t="shared" si="164"/>
        <v>50</v>
      </c>
      <c r="L150" s="7">
        <f t="shared" si="164"/>
        <v>0</v>
      </c>
      <c r="M150" s="7">
        <f t="shared" si="164"/>
        <v>0</v>
      </c>
      <c r="N150" s="7">
        <f t="shared" si="164"/>
        <v>50</v>
      </c>
      <c r="O150" s="7">
        <f t="shared" si="164"/>
        <v>0</v>
      </c>
      <c r="P150" s="7">
        <f t="shared" si="164"/>
        <v>0</v>
      </c>
      <c r="Q150" s="283">
        <f>SUM(E150:P150)</f>
        <v>200</v>
      </c>
      <c r="R150" s="325">
        <f>IF(AND($C150="j",$D150&gt;=1,$D150&lt;=3),$B150,IF(AND($C150="h",$D150&gt;=1,$D150&lt;=3),$B150,IF(AND($C150="q",$D150&gt;=1,$D150&lt;=3),$B150,IF($C150="z",IF($D150=1,2*$B150,$B150),IF($C150="m",3*$B150,0)))))</f>
        <v>50</v>
      </c>
      <c r="S150" s="7">
        <f>IF(AND($C150="j",$D150&gt;=4,$D150&lt;=6),$B150,IF(AND($C150="h",$D150&gt;=4,$D150&lt;=6),$B150,IF(AND($C150="q",$D150&gt;=1,$D150&lt;=3),$B150,IF($C150="z",IF($D150=2,2*$B150,$B150),IF($C150="m",3*$B150,0)))))</f>
        <v>50</v>
      </c>
      <c r="T150" s="7">
        <f>IF(AND($C150="j",$D150&gt;=7,$D150&lt;=9),$B150,IF(AND($C150="h",$D150&gt;=1,$D150&lt;=3),$B150,IF(AND($C150="q",$D150&gt;=1,$D150&lt;=3),$B150,IF($C150="z",IF($D150=1,2*$B150,$B150),IF($C150="m",3*$B150,0)))))</f>
        <v>50</v>
      </c>
      <c r="U150" s="7">
        <f>IF(AND($C150="j",$D150&gt;=10,$D150&lt;=12),$B150,IF(AND($C150="h",$D150&gt;=4,$D150&lt;=6),$B150,IF(AND($C150="q",$D150&gt;=1,$D150&lt;=3),$B150,IF($C150="z",IF($D150=2,2*$B150,$B150),IF($C150="m",3*$B150,0)))))</f>
        <v>50</v>
      </c>
      <c r="V150" s="283">
        <f>SUM(R150:U150)</f>
        <v>200</v>
      </c>
      <c r="W150" s="8">
        <f>IF($C150="j",$B150,IF($C150="h",2*$B150,IF($C150="q",4*$B150,IF($C150="z",6*$B150,12*$B150))))</f>
        <v>200</v>
      </c>
      <c r="X150" s="9">
        <f>IF($C150="j",$B150,IF($C150="h",2*$B150,IF($C150="q",4*$B150,IF($C150="z",6*$B150,12*$B150))))</f>
        <v>200</v>
      </c>
      <c r="Z150" s="633">
        <f>Q150/12</f>
        <v>16.666666666666668</v>
      </c>
    </row>
    <row r="151" spans="1:26" ht="18.75" customHeight="1" x14ac:dyDescent="0.25">
      <c r="A151" s="97"/>
      <c r="B151" s="98"/>
      <c r="C151" s="99"/>
      <c r="D151" s="100"/>
      <c r="E151" s="10">
        <f t="shared" ref="E151:E153" si="165">IF(AND($C151="j",$D151=E$41),$B151,IF($C151="h",$B151*IF($D151=IF(MOD(E$41,6)=0,6,MOD(E$41,6)),1,0),IF($C151="q",$B151*IF($D151=IF(MOD(E$41,3)=0,3,MOD(E$41,3)),1,0),IF($C151="z",$B151*IF($D151=IF(MOD(E$41,2)=0,2,MOD(E$41,2)),1,0),IF($C151="m",$B151,0)))))</f>
        <v>0</v>
      </c>
      <c r="F151" s="11">
        <f t="shared" si="164"/>
        <v>0</v>
      </c>
      <c r="G151" s="11">
        <f t="shared" si="164"/>
        <v>0</v>
      </c>
      <c r="H151" s="11">
        <f t="shared" si="164"/>
        <v>0</v>
      </c>
      <c r="I151" s="11">
        <f t="shared" si="164"/>
        <v>0</v>
      </c>
      <c r="J151" s="11">
        <f t="shared" si="164"/>
        <v>0</v>
      </c>
      <c r="K151" s="11">
        <f t="shared" si="164"/>
        <v>0</v>
      </c>
      <c r="L151" s="11">
        <f t="shared" si="164"/>
        <v>0</v>
      </c>
      <c r="M151" s="11">
        <f t="shared" si="164"/>
        <v>0</v>
      </c>
      <c r="N151" s="11">
        <f t="shared" si="164"/>
        <v>0</v>
      </c>
      <c r="O151" s="11">
        <f t="shared" si="164"/>
        <v>0</v>
      </c>
      <c r="P151" s="11">
        <f t="shared" si="164"/>
        <v>0</v>
      </c>
      <c r="Q151" s="620">
        <f t="shared" ref="Q151:Q153" si="166">SUM(E151:P151)</f>
        <v>0</v>
      </c>
      <c r="R151" s="326">
        <f t="shared" ref="R151:R153" si="167">IF(AND($C151="j",$D151&gt;=1,$D151&lt;=3),$B151,IF(AND($C151="h",$D151&gt;=1,$D151&lt;=3),$B151,IF(AND($C151="q",$D151&gt;=1,$D151&lt;=3),$B151,IF($C151="z",IF($D151=1,2*$B151,$B151),IF($C151="m",3*$B151,0)))))</f>
        <v>0</v>
      </c>
      <c r="S151" s="11">
        <f t="shared" ref="S151:S153" si="168">IF(AND($C151="j",$D151&gt;=4,$D151&lt;=6),$B151,IF(AND($C151="h",$D151&gt;=4,$D151&lt;=6),$B151,IF(AND($C151="q",$D151&gt;=1,$D151&lt;=3),$B151,IF($C151="z",IF($D151=2,2*$B151,$B151),IF($C151="m",3*$B151,0)))))</f>
        <v>0</v>
      </c>
      <c r="T151" s="11">
        <f t="shared" ref="T151:T153" si="169">IF(AND($C151="j",$D151&gt;=7,$D151&lt;=9),$B151,IF(AND($C151="h",$D151&gt;=1,$D151&lt;=3),$B151,IF(AND($C151="q",$D151&gt;=1,$D151&lt;=3),$B151,IF($C151="z",IF($D151=1,2*$B151,$B151),IF($C151="m",3*$B151,0)))))</f>
        <v>0</v>
      </c>
      <c r="U151" s="11">
        <f t="shared" ref="U151:U153" si="170">IF(AND($C151="j",$D151&gt;=10,$D151&lt;=12),$B151,IF(AND($C151="h",$D151&gt;=4,$D151&lt;=6),$B151,IF(AND($C151="q",$D151&gt;=1,$D151&lt;=3),$B151,IF($C151="z",IF($D151=2,2*$B151,$B151),IF($C151="m",3*$B151,0)))))</f>
        <v>0</v>
      </c>
      <c r="V151" s="620">
        <f t="shared" ref="V151:V153" si="171">SUM(R151:U151)</f>
        <v>0</v>
      </c>
      <c r="W151" s="12">
        <f t="shared" ref="W151:X153" si="172">IF($C151="j",$B151,IF($C151="h",2*$B151,IF($C151="q",4*$B151,IF($C151="z",6*$B151,12*$B151))))</f>
        <v>0</v>
      </c>
      <c r="X151" s="13">
        <f t="shared" si="172"/>
        <v>0</v>
      </c>
      <c r="Z151" s="634">
        <f t="shared" ref="Z151:Z153" si="173">Q151/12</f>
        <v>0</v>
      </c>
    </row>
    <row r="152" spans="1:26" ht="18.75" customHeight="1" x14ac:dyDescent="0.25">
      <c r="A152" s="97"/>
      <c r="B152" s="98"/>
      <c r="C152" s="99"/>
      <c r="D152" s="100"/>
      <c r="E152" s="10">
        <f t="shared" si="165"/>
        <v>0</v>
      </c>
      <c r="F152" s="11">
        <f t="shared" si="164"/>
        <v>0</v>
      </c>
      <c r="G152" s="11">
        <f t="shared" si="164"/>
        <v>0</v>
      </c>
      <c r="H152" s="11">
        <f t="shared" si="164"/>
        <v>0</v>
      </c>
      <c r="I152" s="11">
        <f t="shared" si="164"/>
        <v>0</v>
      </c>
      <c r="J152" s="11">
        <f t="shared" si="164"/>
        <v>0</v>
      </c>
      <c r="K152" s="11">
        <f t="shared" si="164"/>
        <v>0</v>
      </c>
      <c r="L152" s="11">
        <f t="shared" si="164"/>
        <v>0</v>
      </c>
      <c r="M152" s="11">
        <f t="shared" si="164"/>
        <v>0</v>
      </c>
      <c r="N152" s="11">
        <f t="shared" si="164"/>
        <v>0</v>
      </c>
      <c r="O152" s="11">
        <f t="shared" si="164"/>
        <v>0</v>
      </c>
      <c r="P152" s="11">
        <f t="shared" si="164"/>
        <v>0</v>
      </c>
      <c r="Q152" s="620">
        <f t="shared" si="166"/>
        <v>0</v>
      </c>
      <c r="R152" s="326">
        <f t="shared" si="167"/>
        <v>0</v>
      </c>
      <c r="S152" s="11">
        <f t="shared" si="168"/>
        <v>0</v>
      </c>
      <c r="T152" s="11">
        <f t="shared" si="169"/>
        <v>0</v>
      </c>
      <c r="U152" s="11">
        <f t="shared" si="170"/>
        <v>0</v>
      </c>
      <c r="V152" s="620">
        <f t="shared" si="171"/>
        <v>0</v>
      </c>
      <c r="W152" s="12">
        <f t="shared" si="172"/>
        <v>0</v>
      </c>
      <c r="X152" s="13">
        <f t="shared" si="172"/>
        <v>0</v>
      </c>
      <c r="Z152" s="634">
        <f t="shared" si="173"/>
        <v>0</v>
      </c>
    </row>
    <row r="153" spans="1:26" ht="18.75" customHeight="1" thickBot="1" x14ac:dyDescent="0.3">
      <c r="A153" s="101"/>
      <c r="B153" s="102"/>
      <c r="C153" s="103"/>
      <c r="D153" s="104"/>
      <c r="E153" s="14">
        <f t="shared" si="165"/>
        <v>0</v>
      </c>
      <c r="F153" s="15">
        <f t="shared" si="164"/>
        <v>0</v>
      </c>
      <c r="G153" s="15">
        <f t="shared" si="164"/>
        <v>0</v>
      </c>
      <c r="H153" s="15">
        <f t="shared" si="164"/>
        <v>0</v>
      </c>
      <c r="I153" s="15">
        <f t="shared" si="164"/>
        <v>0</v>
      </c>
      <c r="J153" s="15">
        <f t="shared" si="164"/>
        <v>0</v>
      </c>
      <c r="K153" s="15">
        <f t="shared" si="164"/>
        <v>0</v>
      </c>
      <c r="L153" s="15">
        <f t="shared" si="164"/>
        <v>0</v>
      </c>
      <c r="M153" s="15">
        <f t="shared" si="164"/>
        <v>0</v>
      </c>
      <c r="N153" s="15">
        <f t="shared" si="164"/>
        <v>0</v>
      </c>
      <c r="O153" s="15">
        <f t="shared" si="164"/>
        <v>0</v>
      </c>
      <c r="P153" s="15">
        <f t="shared" si="164"/>
        <v>0</v>
      </c>
      <c r="Q153" s="285">
        <f t="shared" si="166"/>
        <v>0</v>
      </c>
      <c r="R153" s="628">
        <f t="shared" si="167"/>
        <v>0</v>
      </c>
      <c r="S153" s="15">
        <f t="shared" si="168"/>
        <v>0</v>
      </c>
      <c r="T153" s="15">
        <f t="shared" si="169"/>
        <v>0</v>
      </c>
      <c r="U153" s="15">
        <f t="shared" si="170"/>
        <v>0</v>
      </c>
      <c r="V153" s="285">
        <f t="shared" si="171"/>
        <v>0</v>
      </c>
      <c r="W153" s="16">
        <f t="shared" si="172"/>
        <v>0</v>
      </c>
      <c r="X153" s="17">
        <f t="shared" si="172"/>
        <v>0</v>
      </c>
      <c r="Z153" s="641">
        <f t="shared" si="173"/>
        <v>0</v>
      </c>
    </row>
    <row r="154" spans="1:26" ht="7.5" customHeight="1" thickTop="1" thickBot="1" x14ac:dyDescent="0.3">
      <c r="A154" s="105"/>
      <c r="B154" s="106"/>
      <c r="C154" s="107"/>
      <c r="D154" s="108"/>
      <c r="E154" s="29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2"/>
      <c r="R154" s="33"/>
      <c r="S154" s="30"/>
      <c r="T154" s="30"/>
      <c r="U154" s="30"/>
      <c r="V154" s="32"/>
      <c r="W154" s="35"/>
      <c r="X154" s="36"/>
      <c r="Z154" s="635"/>
    </row>
    <row r="155" spans="1:26" ht="18.75" customHeight="1" thickBot="1" x14ac:dyDescent="0.3">
      <c r="A155" s="636" t="s">
        <v>51</v>
      </c>
      <c r="B155" s="637">
        <f>Z155</f>
        <v>16.666666666666668</v>
      </c>
      <c r="D155" s="638"/>
      <c r="E155" s="624">
        <f>SUM(E150:E153)</f>
        <v>50</v>
      </c>
      <c r="F155" s="625">
        <f t="shared" ref="F155:X155" si="174">SUM(F150:F153)</f>
        <v>0</v>
      </c>
      <c r="G155" s="625">
        <f t="shared" si="174"/>
        <v>0</v>
      </c>
      <c r="H155" s="625">
        <f t="shared" si="174"/>
        <v>50</v>
      </c>
      <c r="I155" s="625">
        <f t="shared" si="174"/>
        <v>0</v>
      </c>
      <c r="J155" s="625">
        <f t="shared" si="174"/>
        <v>0</v>
      </c>
      <c r="K155" s="625">
        <f t="shared" si="174"/>
        <v>50</v>
      </c>
      <c r="L155" s="625">
        <f t="shared" si="174"/>
        <v>0</v>
      </c>
      <c r="M155" s="625">
        <f t="shared" si="174"/>
        <v>0</v>
      </c>
      <c r="N155" s="625">
        <f t="shared" si="174"/>
        <v>50</v>
      </c>
      <c r="O155" s="625">
        <f t="shared" si="174"/>
        <v>0</v>
      </c>
      <c r="P155" s="625">
        <f t="shared" si="174"/>
        <v>0</v>
      </c>
      <c r="Q155" s="39">
        <f t="shared" si="174"/>
        <v>200</v>
      </c>
      <c r="R155" s="639">
        <f t="shared" si="174"/>
        <v>50</v>
      </c>
      <c r="S155" s="625">
        <f t="shared" si="174"/>
        <v>50</v>
      </c>
      <c r="T155" s="625">
        <f t="shared" si="174"/>
        <v>50</v>
      </c>
      <c r="U155" s="625">
        <f t="shared" si="174"/>
        <v>50</v>
      </c>
      <c r="V155" s="39">
        <f t="shared" si="174"/>
        <v>200</v>
      </c>
      <c r="W155" s="41">
        <f t="shared" si="174"/>
        <v>200</v>
      </c>
      <c r="X155" s="42">
        <f t="shared" si="174"/>
        <v>200</v>
      </c>
      <c r="Z155" s="640">
        <f>SUM(Z150:Z153)</f>
        <v>16.666666666666668</v>
      </c>
    </row>
    <row r="156" spans="1:26" ht="15.75" thickBot="1" x14ac:dyDescent="0.3"/>
    <row r="157" spans="1:26" ht="15" customHeight="1" x14ac:dyDescent="0.25">
      <c r="A157" s="772" t="s">
        <v>86</v>
      </c>
      <c r="B157" s="770" t="s">
        <v>19</v>
      </c>
      <c r="C157" s="770" t="s">
        <v>45</v>
      </c>
      <c r="D157" s="774" t="s">
        <v>256</v>
      </c>
      <c r="E157" s="751" t="s">
        <v>20</v>
      </c>
      <c r="F157" s="731"/>
      <c r="G157" s="731"/>
      <c r="H157" s="731"/>
      <c r="I157" s="731"/>
      <c r="J157" s="731"/>
      <c r="K157" s="731"/>
      <c r="L157" s="731"/>
      <c r="M157" s="731"/>
      <c r="N157" s="731"/>
      <c r="O157" s="731"/>
      <c r="P157" s="732"/>
      <c r="Q157" s="752" t="s">
        <v>20</v>
      </c>
      <c r="R157" s="730" t="s">
        <v>25</v>
      </c>
      <c r="S157" s="731"/>
      <c r="T157" s="731"/>
      <c r="U157" s="732"/>
      <c r="V157" s="733" t="s">
        <v>25</v>
      </c>
      <c r="W157" s="735" t="s">
        <v>26</v>
      </c>
      <c r="X157" s="737" t="s">
        <v>27</v>
      </c>
      <c r="Z157" s="780" t="s">
        <v>50</v>
      </c>
    </row>
    <row r="158" spans="1:26" ht="15.75" thickBot="1" x14ac:dyDescent="0.3">
      <c r="A158" s="773"/>
      <c r="B158" s="771"/>
      <c r="C158" s="771"/>
      <c r="D158" s="775"/>
      <c r="E158" s="1">
        <v>1</v>
      </c>
      <c r="F158" s="2">
        <v>2</v>
      </c>
      <c r="G158" s="2">
        <v>3</v>
      </c>
      <c r="H158" s="2">
        <v>4</v>
      </c>
      <c r="I158" s="2">
        <v>5</v>
      </c>
      <c r="J158" s="2">
        <v>6</v>
      </c>
      <c r="K158" s="2">
        <v>7</v>
      </c>
      <c r="L158" s="2">
        <v>8</v>
      </c>
      <c r="M158" s="2">
        <v>9</v>
      </c>
      <c r="N158" s="2">
        <v>10</v>
      </c>
      <c r="O158" s="2">
        <v>11</v>
      </c>
      <c r="P158" s="3">
        <v>12</v>
      </c>
      <c r="Q158" s="753"/>
      <c r="R158" s="4" t="s">
        <v>21</v>
      </c>
      <c r="S158" s="2" t="s">
        <v>22</v>
      </c>
      <c r="T158" s="2" t="s">
        <v>23</v>
      </c>
      <c r="U158" s="2" t="s">
        <v>24</v>
      </c>
      <c r="V158" s="734"/>
      <c r="W158" s="736"/>
      <c r="X158" s="738"/>
      <c r="Z158" s="781"/>
    </row>
    <row r="159" spans="1:26" ht="18.75" customHeight="1" thickTop="1" x14ac:dyDescent="0.25">
      <c r="A159" s="96" t="s">
        <v>141</v>
      </c>
      <c r="B159" s="18">
        <v>5000</v>
      </c>
      <c r="C159" s="19" t="s">
        <v>48</v>
      </c>
      <c r="D159" s="20">
        <v>5</v>
      </c>
      <c r="E159" s="6">
        <f>IF(AND($C159="j",$D159=E$41),$B159,IF($C159="h",$B159*IF($D159=IF(MOD(E$41,6)=0,6,MOD(E$41,6)),1,0),IF($C159="q",$B159*IF($D159=IF(MOD(E$41,3)=0,3,MOD(E$41,3)),1,0),IF($C159="z",$B159*IF($D159=IF(MOD(E$41,2)=0,2,MOD(E$41,2)),1,0),IF($C159="m",$B159,0)))))</f>
        <v>0</v>
      </c>
      <c r="F159" s="7">
        <f t="shared" ref="F159:P162" si="175">IF(AND($C159="j",$D159=F$41),$B159,IF($C159="h",$B159*IF($D159=IF(MOD(F$41,6)=0,6,MOD(F$41,6)),1,0),IF($C159="q",$B159*IF($D159=IF(MOD(F$41,3)=0,3,MOD(F$41,3)),1,0),IF($C159="z",$B159*IF($D159=IF(MOD(F$41,2)=0,2,MOD(F$41,2)),1,0),IF($C159="m",$B159,0)))))</f>
        <v>0</v>
      </c>
      <c r="G159" s="7">
        <f t="shared" si="175"/>
        <v>0</v>
      </c>
      <c r="H159" s="7">
        <f t="shared" si="175"/>
        <v>0</v>
      </c>
      <c r="I159" s="7">
        <f t="shared" si="175"/>
        <v>5000</v>
      </c>
      <c r="J159" s="7">
        <f t="shared" si="175"/>
        <v>0</v>
      </c>
      <c r="K159" s="7">
        <f t="shared" si="175"/>
        <v>0</v>
      </c>
      <c r="L159" s="7">
        <f t="shared" si="175"/>
        <v>0</v>
      </c>
      <c r="M159" s="7">
        <f t="shared" si="175"/>
        <v>0</v>
      </c>
      <c r="N159" s="7">
        <f t="shared" si="175"/>
        <v>0</v>
      </c>
      <c r="O159" s="7">
        <f t="shared" si="175"/>
        <v>0</v>
      </c>
      <c r="P159" s="7">
        <f t="shared" si="175"/>
        <v>0</v>
      </c>
      <c r="Q159" s="283">
        <f>SUM(E159:P159)</f>
        <v>5000</v>
      </c>
      <c r="R159" s="325">
        <f>IF(AND($C159="j",$D159&gt;=1,$D159&lt;=3),$B159,IF(AND($C159="h",$D159&gt;=1,$D159&lt;=3),$B159,IF(AND($C159="q",$D159&gt;=1,$D159&lt;=3),$B159,IF($C159="z",IF($D159=1,2*$B159,$B159),IF($C159="m",3*$B159,0)))))</f>
        <v>0</v>
      </c>
      <c r="S159" s="7">
        <f>IF(AND($C159="j",$D159&gt;=4,$D159&lt;=6),$B159,IF(AND($C159="h",$D159&gt;=4,$D159&lt;=6),$B159,IF(AND($C159="q",$D159&gt;=1,$D159&lt;=3),$B159,IF($C159="z",IF($D159=2,2*$B159,$B159),IF($C159="m",3*$B159,0)))))</f>
        <v>5000</v>
      </c>
      <c r="T159" s="7">
        <f>IF(AND($C159="j",$D159&gt;=7,$D159&lt;=9),$B159,IF(AND($C159="h",$D159&gt;=1,$D159&lt;=3),$B159,IF(AND($C159="q",$D159&gt;=1,$D159&lt;=3),$B159,IF($C159="z",IF($D159=1,2*$B159,$B159),IF($C159="m",3*$B159,0)))))</f>
        <v>0</v>
      </c>
      <c r="U159" s="7">
        <f>IF(AND($C159="j",$D159&gt;=10,$D159&lt;=12),$B159,IF(AND($C159="h",$D159&gt;=4,$D159&lt;=6),$B159,IF(AND($C159="q",$D159&gt;=1,$D159&lt;=3),$B159,IF($C159="z",IF($D159=2,2*$B159,$B159),IF($C159="m",3*$B159,0)))))</f>
        <v>0</v>
      </c>
      <c r="V159" s="283">
        <f>SUM(R159:U159)</f>
        <v>5000</v>
      </c>
      <c r="W159" s="8">
        <f>IF($C159="j",$B159,IF($C159="h",2*$B159,IF($C159="q",4*$B159,IF($C159="z",6*$B159,12*$B159))))</f>
        <v>5000</v>
      </c>
      <c r="X159" s="9">
        <f>IF($C159="j",$B159,IF($C159="h",2*$B159,IF($C159="q",4*$B159,IF($C159="z",6*$B159,12*$B159))))</f>
        <v>5000</v>
      </c>
      <c r="Z159" s="633">
        <f>Q159/12</f>
        <v>416.66666666666669</v>
      </c>
    </row>
    <row r="160" spans="1:26" ht="18.75" customHeight="1" x14ac:dyDescent="0.25">
      <c r="A160" s="97" t="s">
        <v>142</v>
      </c>
      <c r="B160" s="98">
        <v>10000</v>
      </c>
      <c r="C160" s="99" t="s">
        <v>48</v>
      </c>
      <c r="D160" s="100">
        <v>5</v>
      </c>
      <c r="E160" s="10">
        <f t="shared" ref="E160:E162" si="176">IF(AND($C160="j",$D160=E$41),$B160,IF($C160="h",$B160*IF($D160=IF(MOD(E$41,6)=0,6,MOD(E$41,6)),1,0),IF($C160="q",$B160*IF($D160=IF(MOD(E$41,3)=0,3,MOD(E$41,3)),1,0),IF($C160="z",$B160*IF($D160=IF(MOD(E$41,2)=0,2,MOD(E$41,2)),1,0),IF($C160="m",$B160,0)))))</f>
        <v>0</v>
      </c>
      <c r="F160" s="11">
        <f t="shared" si="175"/>
        <v>0</v>
      </c>
      <c r="G160" s="11">
        <f t="shared" si="175"/>
        <v>0</v>
      </c>
      <c r="H160" s="11">
        <f t="shared" si="175"/>
        <v>0</v>
      </c>
      <c r="I160" s="11">
        <f t="shared" si="175"/>
        <v>10000</v>
      </c>
      <c r="J160" s="11">
        <f t="shared" si="175"/>
        <v>0</v>
      </c>
      <c r="K160" s="11">
        <f t="shared" si="175"/>
        <v>0</v>
      </c>
      <c r="L160" s="11">
        <f t="shared" si="175"/>
        <v>0</v>
      </c>
      <c r="M160" s="11">
        <f t="shared" si="175"/>
        <v>0</v>
      </c>
      <c r="N160" s="11">
        <f t="shared" si="175"/>
        <v>0</v>
      </c>
      <c r="O160" s="11">
        <f t="shared" si="175"/>
        <v>0</v>
      </c>
      <c r="P160" s="11">
        <f t="shared" si="175"/>
        <v>0</v>
      </c>
      <c r="Q160" s="620">
        <f t="shared" ref="Q160:Q162" si="177">SUM(E160:P160)</f>
        <v>10000</v>
      </c>
      <c r="R160" s="326">
        <f t="shared" ref="R160:R162" si="178">IF(AND($C160="j",$D160&gt;=1,$D160&lt;=3),$B160,IF(AND($C160="h",$D160&gt;=1,$D160&lt;=3),$B160,IF(AND($C160="q",$D160&gt;=1,$D160&lt;=3),$B160,IF($C160="z",IF($D160=1,2*$B160,$B160),IF($C160="m",3*$B160,0)))))</f>
        <v>0</v>
      </c>
      <c r="S160" s="11">
        <f t="shared" ref="S160:S162" si="179">IF(AND($C160="j",$D160&gt;=4,$D160&lt;=6),$B160,IF(AND($C160="h",$D160&gt;=4,$D160&lt;=6),$B160,IF(AND($C160="q",$D160&gt;=1,$D160&lt;=3),$B160,IF($C160="z",IF($D160=2,2*$B160,$B160),IF($C160="m",3*$B160,0)))))</f>
        <v>10000</v>
      </c>
      <c r="T160" s="11">
        <f t="shared" ref="T160:T162" si="180">IF(AND($C160="j",$D160&gt;=7,$D160&lt;=9),$B160,IF(AND($C160="h",$D160&gt;=1,$D160&lt;=3),$B160,IF(AND($C160="q",$D160&gt;=1,$D160&lt;=3),$B160,IF($C160="z",IF($D160=1,2*$B160,$B160),IF($C160="m",3*$B160,0)))))</f>
        <v>0</v>
      </c>
      <c r="U160" s="11">
        <f t="shared" ref="U160:U162" si="181">IF(AND($C160="j",$D160&gt;=10,$D160&lt;=12),$B160,IF(AND($C160="h",$D160&gt;=4,$D160&lt;=6),$B160,IF(AND($C160="q",$D160&gt;=1,$D160&lt;=3),$B160,IF($C160="z",IF($D160=2,2*$B160,$B160),IF($C160="m",3*$B160,0)))))</f>
        <v>0</v>
      </c>
      <c r="V160" s="620">
        <f t="shared" ref="V160:V162" si="182">SUM(R160:U160)</f>
        <v>10000</v>
      </c>
      <c r="W160" s="12">
        <f t="shared" ref="W160:X162" si="183">IF($C160="j",$B160,IF($C160="h",2*$B160,IF($C160="q",4*$B160,IF($C160="z",6*$B160,12*$B160))))</f>
        <v>10000</v>
      </c>
      <c r="X160" s="13">
        <f t="shared" si="183"/>
        <v>10000</v>
      </c>
      <c r="Z160" s="634">
        <f t="shared" ref="Z160:Z162" si="184">Q160/12</f>
        <v>833.33333333333337</v>
      </c>
    </row>
    <row r="161" spans="1:26" ht="18.75" customHeight="1" x14ac:dyDescent="0.25">
      <c r="A161" s="97"/>
      <c r="B161" s="98"/>
      <c r="C161" s="99"/>
      <c r="D161" s="100"/>
      <c r="E161" s="10">
        <f t="shared" si="176"/>
        <v>0</v>
      </c>
      <c r="F161" s="11">
        <f t="shared" si="175"/>
        <v>0</v>
      </c>
      <c r="G161" s="11">
        <f t="shared" si="175"/>
        <v>0</v>
      </c>
      <c r="H161" s="11">
        <f t="shared" si="175"/>
        <v>0</v>
      </c>
      <c r="I161" s="11">
        <f t="shared" si="175"/>
        <v>0</v>
      </c>
      <c r="J161" s="11">
        <f t="shared" si="175"/>
        <v>0</v>
      </c>
      <c r="K161" s="11">
        <f t="shared" si="175"/>
        <v>0</v>
      </c>
      <c r="L161" s="11">
        <f t="shared" si="175"/>
        <v>0</v>
      </c>
      <c r="M161" s="11">
        <f t="shared" si="175"/>
        <v>0</v>
      </c>
      <c r="N161" s="11">
        <f t="shared" si="175"/>
        <v>0</v>
      </c>
      <c r="O161" s="11">
        <f t="shared" si="175"/>
        <v>0</v>
      </c>
      <c r="P161" s="11">
        <f t="shared" si="175"/>
        <v>0</v>
      </c>
      <c r="Q161" s="620">
        <f t="shared" si="177"/>
        <v>0</v>
      </c>
      <c r="R161" s="326">
        <f t="shared" si="178"/>
        <v>0</v>
      </c>
      <c r="S161" s="11">
        <f t="shared" si="179"/>
        <v>0</v>
      </c>
      <c r="T161" s="11">
        <f t="shared" si="180"/>
        <v>0</v>
      </c>
      <c r="U161" s="11">
        <f t="shared" si="181"/>
        <v>0</v>
      </c>
      <c r="V161" s="620">
        <f t="shared" si="182"/>
        <v>0</v>
      </c>
      <c r="W161" s="12">
        <f t="shared" si="183"/>
        <v>0</v>
      </c>
      <c r="X161" s="13">
        <f t="shared" si="183"/>
        <v>0</v>
      </c>
      <c r="Z161" s="634">
        <f t="shared" si="184"/>
        <v>0</v>
      </c>
    </row>
    <row r="162" spans="1:26" ht="18.75" customHeight="1" thickBot="1" x14ac:dyDescent="0.3">
      <c r="A162" s="101"/>
      <c r="B162" s="102"/>
      <c r="C162" s="103"/>
      <c r="D162" s="104"/>
      <c r="E162" s="14">
        <f t="shared" si="176"/>
        <v>0</v>
      </c>
      <c r="F162" s="15">
        <f t="shared" si="175"/>
        <v>0</v>
      </c>
      <c r="G162" s="15">
        <f t="shared" si="175"/>
        <v>0</v>
      </c>
      <c r="H162" s="15">
        <f t="shared" si="175"/>
        <v>0</v>
      </c>
      <c r="I162" s="15">
        <f t="shared" si="175"/>
        <v>0</v>
      </c>
      <c r="J162" s="15">
        <f t="shared" si="175"/>
        <v>0</v>
      </c>
      <c r="K162" s="15">
        <f t="shared" si="175"/>
        <v>0</v>
      </c>
      <c r="L162" s="15">
        <f t="shared" si="175"/>
        <v>0</v>
      </c>
      <c r="M162" s="15">
        <f t="shared" si="175"/>
        <v>0</v>
      </c>
      <c r="N162" s="15">
        <f t="shared" si="175"/>
        <v>0</v>
      </c>
      <c r="O162" s="15">
        <f t="shared" si="175"/>
        <v>0</v>
      </c>
      <c r="P162" s="15">
        <f t="shared" si="175"/>
        <v>0</v>
      </c>
      <c r="Q162" s="285">
        <f t="shared" si="177"/>
        <v>0</v>
      </c>
      <c r="R162" s="628">
        <f t="shared" si="178"/>
        <v>0</v>
      </c>
      <c r="S162" s="15">
        <f t="shared" si="179"/>
        <v>0</v>
      </c>
      <c r="T162" s="15">
        <f t="shared" si="180"/>
        <v>0</v>
      </c>
      <c r="U162" s="15">
        <f t="shared" si="181"/>
        <v>0</v>
      </c>
      <c r="V162" s="285">
        <f t="shared" si="182"/>
        <v>0</v>
      </c>
      <c r="W162" s="16">
        <f t="shared" si="183"/>
        <v>0</v>
      </c>
      <c r="X162" s="17">
        <f t="shared" si="183"/>
        <v>0</v>
      </c>
      <c r="Z162" s="641">
        <f t="shared" si="184"/>
        <v>0</v>
      </c>
    </row>
    <row r="163" spans="1:26" ht="7.5" customHeight="1" thickTop="1" thickBot="1" x14ac:dyDescent="0.3">
      <c r="A163" s="105"/>
      <c r="B163" s="106"/>
      <c r="C163" s="107"/>
      <c r="D163" s="108"/>
      <c r="E163" s="29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2"/>
      <c r="R163" s="33"/>
      <c r="S163" s="30"/>
      <c r="T163" s="30"/>
      <c r="U163" s="30"/>
      <c r="V163" s="32"/>
      <c r="W163" s="35"/>
      <c r="X163" s="36"/>
      <c r="Z163" s="635"/>
    </row>
    <row r="164" spans="1:26" ht="18.75" customHeight="1" thickBot="1" x14ac:dyDescent="0.3">
      <c r="A164" s="636" t="s">
        <v>51</v>
      </c>
      <c r="B164" s="637">
        <f>Z164</f>
        <v>1250</v>
      </c>
      <c r="D164" s="638"/>
      <c r="E164" s="624">
        <f>SUM(E159:E162)</f>
        <v>0</v>
      </c>
      <c r="F164" s="625">
        <f t="shared" ref="F164:X164" si="185">SUM(F159:F162)</f>
        <v>0</v>
      </c>
      <c r="G164" s="625">
        <f t="shared" si="185"/>
        <v>0</v>
      </c>
      <c r="H164" s="625">
        <f t="shared" si="185"/>
        <v>0</v>
      </c>
      <c r="I164" s="625">
        <f t="shared" si="185"/>
        <v>15000</v>
      </c>
      <c r="J164" s="625">
        <f t="shared" si="185"/>
        <v>0</v>
      </c>
      <c r="K164" s="625">
        <f t="shared" si="185"/>
        <v>0</v>
      </c>
      <c r="L164" s="625">
        <f t="shared" si="185"/>
        <v>0</v>
      </c>
      <c r="M164" s="625">
        <f t="shared" si="185"/>
        <v>0</v>
      </c>
      <c r="N164" s="625">
        <f t="shared" si="185"/>
        <v>0</v>
      </c>
      <c r="O164" s="625">
        <f t="shared" si="185"/>
        <v>0</v>
      </c>
      <c r="P164" s="625">
        <f t="shared" si="185"/>
        <v>0</v>
      </c>
      <c r="Q164" s="39">
        <f t="shared" si="185"/>
        <v>15000</v>
      </c>
      <c r="R164" s="639">
        <f t="shared" si="185"/>
        <v>0</v>
      </c>
      <c r="S164" s="625">
        <f t="shared" si="185"/>
        <v>15000</v>
      </c>
      <c r="T164" s="625">
        <f t="shared" si="185"/>
        <v>0</v>
      </c>
      <c r="U164" s="625">
        <f t="shared" si="185"/>
        <v>0</v>
      </c>
      <c r="V164" s="39">
        <f t="shared" si="185"/>
        <v>15000</v>
      </c>
      <c r="W164" s="41">
        <f t="shared" si="185"/>
        <v>15000</v>
      </c>
      <c r="X164" s="42">
        <f t="shared" si="185"/>
        <v>15000</v>
      </c>
      <c r="Z164" s="640">
        <f>SUM(Z159:Z162)</f>
        <v>1250</v>
      </c>
    </row>
  </sheetData>
  <sheetProtection algorithmName="SHA-512" hashValue="DygGEY/V9+CL/Ru+y89rKaK1wEQHgAiObS+Rc2i0fIl53vZFh6xD1zx3o1MqlJvQQ07aF4Im0yS+ebvDNIJfew==" saltValue="d8kSOF+UYzi+h7LS9x7P8g==" spinCount="100000" sheet="1" objects="1" scenarios="1"/>
  <mergeCells count="196">
    <mergeCell ref="Z148:Z149"/>
    <mergeCell ref="A157:A158"/>
    <mergeCell ref="B157:B158"/>
    <mergeCell ref="C157:C158"/>
    <mergeCell ref="D157:D158"/>
    <mergeCell ref="E157:P157"/>
    <mergeCell ref="Q157:Q158"/>
    <mergeCell ref="R157:U157"/>
    <mergeCell ref="V157:V158"/>
    <mergeCell ref="W157:W158"/>
    <mergeCell ref="X157:X158"/>
    <mergeCell ref="Z157:Z158"/>
    <mergeCell ref="Q148:Q149"/>
    <mergeCell ref="R148:U148"/>
    <mergeCell ref="V148:V149"/>
    <mergeCell ref="W148:W149"/>
    <mergeCell ref="X148:X149"/>
    <mergeCell ref="A148:A149"/>
    <mergeCell ref="B148:B149"/>
    <mergeCell ref="C148:C149"/>
    <mergeCell ref="D148:D149"/>
    <mergeCell ref="E148:P148"/>
    <mergeCell ref="X139:X140"/>
    <mergeCell ref="Z139:Z140"/>
    <mergeCell ref="Q130:Q131"/>
    <mergeCell ref="R130:U130"/>
    <mergeCell ref="V130:V131"/>
    <mergeCell ref="W130:W131"/>
    <mergeCell ref="X130:X131"/>
    <mergeCell ref="A130:A131"/>
    <mergeCell ref="B130:B131"/>
    <mergeCell ref="C130:C131"/>
    <mergeCell ref="D130:D131"/>
    <mergeCell ref="E130:P130"/>
    <mergeCell ref="A139:A140"/>
    <mergeCell ref="B139:B140"/>
    <mergeCell ref="C139:C140"/>
    <mergeCell ref="D139:D140"/>
    <mergeCell ref="E139:P139"/>
    <mergeCell ref="Q139:Q140"/>
    <mergeCell ref="R139:U139"/>
    <mergeCell ref="V139:V140"/>
    <mergeCell ref="W139:W140"/>
    <mergeCell ref="Z130:Z131"/>
    <mergeCell ref="Z112:Z113"/>
    <mergeCell ref="A121:A122"/>
    <mergeCell ref="B121:B122"/>
    <mergeCell ref="C121:C122"/>
    <mergeCell ref="D121:D122"/>
    <mergeCell ref="E121:P121"/>
    <mergeCell ref="Q121:Q122"/>
    <mergeCell ref="R121:U121"/>
    <mergeCell ref="V121:V122"/>
    <mergeCell ref="W121:W122"/>
    <mergeCell ref="X121:X122"/>
    <mergeCell ref="Z121:Z122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Z94:Z95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E94:P94"/>
    <mergeCell ref="Q94:Q95"/>
    <mergeCell ref="R94:U94"/>
    <mergeCell ref="V94:V95"/>
    <mergeCell ref="W94:W95"/>
    <mergeCell ref="A94:A95"/>
    <mergeCell ref="B94:B95"/>
    <mergeCell ref="C94:C95"/>
    <mergeCell ref="D94:D95"/>
    <mergeCell ref="X94:X95"/>
    <mergeCell ref="Z76:Z77"/>
    <mergeCell ref="A85:A86"/>
    <mergeCell ref="B85:B86"/>
    <mergeCell ref="C85:C86"/>
    <mergeCell ref="D85:D86"/>
    <mergeCell ref="E85:P85"/>
    <mergeCell ref="Q85:Q86"/>
    <mergeCell ref="R85:U85"/>
    <mergeCell ref="V85:V86"/>
    <mergeCell ref="W85:W86"/>
    <mergeCell ref="X85:X86"/>
    <mergeCell ref="Z85:Z86"/>
    <mergeCell ref="Q76:Q77"/>
    <mergeCell ref="R76:U76"/>
    <mergeCell ref="V76:V77"/>
    <mergeCell ref="W76:W77"/>
    <mergeCell ref="X76:X77"/>
    <mergeCell ref="A76:A77"/>
    <mergeCell ref="B76:B77"/>
    <mergeCell ref="C76:C77"/>
    <mergeCell ref="D76:D77"/>
    <mergeCell ref="E76:P76"/>
    <mergeCell ref="Z58:Z59"/>
    <mergeCell ref="A67:A68"/>
    <mergeCell ref="B67:B68"/>
    <mergeCell ref="C67:C68"/>
    <mergeCell ref="D67:D68"/>
    <mergeCell ref="E67:P67"/>
    <mergeCell ref="Q67:Q68"/>
    <mergeCell ref="R67:U67"/>
    <mergeCell ref="V67:V68"/>
    <mergeCell ref="W67:W68"/>
    <mergeCell ref="X67:X68"/>
    <mergeCell ref="Z67:Z68"/>
    <mergeCell ref="Q58:Q59"/>
    <mergeCell ref="R58:U58"/>
    <mergeCell ref="V58:V59"/>
    <mergeCell ref="W58:W59"/>
    <mergeCell ref="X58:X59"/>
    <mergeCell ref="A58:A59"/>
    <mergeCell ref="B58:B59"/>
    <mergeCell ref="C58:C59"/>
    <mergeCell ref="D58:D59"/>
    <mergeCell ref="E58:P58"/>
    <mergeCell ref="Z32:Z33"/>
    <mergeCell ref="A49:A50"/>
    <mergeCell ref="B49:B50"/>
    <mergeCell ref="C49:C50"/>
    <mergeCell ref="D49:D50"/>
    <mergeCell ref="E49:P49"/>
    <mergeCell ref="Q49:Q50"/>
    <mergeCell ref="R49:U49"/>
    <mergeCell ref="V49:V50"/>
    <mergeCell ref="W49:W50"/>
    <mergeCell ref="X49:X50"/>
    <mergeCell ref="Z49:Z50"/>
    <mergeCell ref="Q32:Q33"/>
    <mergeCell ref="R32:U32"/>
    <mergeCell ref="V32:V33"/>
    <mergeCell ref="W32:W33"/>
    <mergeCell ref="X32:X33"/>
    <mergeCell ref="Z40:Z41"/>
    <mergeCell ref="B30:C30"/>
    <mergeCell ref="B32:B33"/>
    <mergeCell ref="C32:C33"/>
    <mergeCell ref="W40:W41"/>
    <mergeCell ref="X40:X41"/>
    <mergeCell ref="A1:X1"/>
    <mergeCell ref="A40:A41"/>
    <mergeCell ref="B40:B41"/>
    <mergeCell ref="C40:C41"/>
    <mergeCell ref="D40:D41"/>
    <mergeCell ref="E40:P40"/>
    <mergeCell ref="Q40:Q41"/>
    <mergeCell ref="R40:U40"/>
    <mergeCell ref="V40:V41"/>
    <mergeCell ref="A32:A33"/>
    <mergeCell ref="D32:D33"/>
    <mergeCell ref="E32:P32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9:X29"/>
    <mergeCell ref="B19:C19"/>
    <mergeCell ref="B22:C22"/>
    <mergeCell ref="B20:C20"/>
    <mergeCell ref="B21:C21"/>
    <mergeCell ref="B23:C23"/>
    <mergeCell ref="B24:C24"/>
    <mergeCell ref="B25:C25"/>
    <mergeCell ref="B27:C27"/>
    <mergeCell ref="B28:C28"/>
    <mergeCell ref="B17:C17"/>
    <mergeCell ref="B26:C26"/>
    <mergeCell ref="B12:C12"/>
    <mergeCell ref="B18:C18"/>
    <mergeCell ref="D6:D7"/>
  </mergeCells>
  <dataValidations count="3">
    <dataValidation type="list" allowBlank="1" showInputMessage="1" showErrorMessage="1" sqref="C42:C45 C34:C36 C51:C54 C60:C63 C69:C72 C78:C81 C87:C90 C96:C99 C114:C117 C123:C126 C132:C135 C141:C144 C150:C153 C159:C162 C105:C108">
      <formula1>"j,h,q,z,m"</formula1>
    </dataValidation>
    <dataValidation type="list" allowBlank="1" showInputMessage="1" showErrorMessage="1" sqref="D42:D45 D34:D36 D51:D54 D60:D63 D69:D72 D78:D81 D87:D90 D96:D99 D114:D117 D123:D126 D132:D135 D141:D144 D150:D153 D159:D162 D105:D108">
      <formula1>IF($C34="j",Anually,IF($C34="h",SemiAnually,IF($C34="q",Quaterly,IF($C34="z",Bimonthly,Monthly))))</formula1>
    </dataValidation>
    <dataValidation type="whole" allowBlank="1" showInputMessage="1" showErrorMessage="1" sqref="D8:D12 D16:D27">
      <formula1>1</formula1>
      <formula2>48</formula2>
    </dataValidation>
  </dataValidations>
  <pageMargins left="0.7" right="0.7" top="0.78740157499999996" bottom="0.78740157499999996" header="0.3" footer="0.3"/>
  <pageSetup paperSize="8" scale="73" fitToHeight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50" zoomScaleNormal="85" zoomScaleSheetLayoutView="50" workbookViewId="0">
      <pane xSplit="4" ySplit="8" topLeftCell="E9" activePane="bottomRight" state="frozen"/>
      <selection pane="topRight" activeCell="D1" sqref="D1"/>
      <selection pane="bottomLeft" activeCell="A9" sqref="A9"/>
      <selection pane="bottomRight" activeCell="F14" sqref="F14"/>
    </sheetView>
  </sheetViews>
  <sheetFormatPr baseColWidth="10" defaultRowHeight="15" outlineLevelRow="1" outlineLevelCol="1" x14ac:dyDescent="0.25"/>
  <cols>
    <col min="1" max="2" width="3.5703125" style="43" customWidth="1"/>
    <col min="3" max="3" width="28.5703125" style="43" customWidth="1"/>
    <col min="4" max="4" width="4.7109375" style="43" bestFit="1" customWidth="1"/>
    <col min="5" max="16" width="14.28515625" style="43" customWidth="1" outlineLevel="1"/>
    <col min="17" max="17" width="14.28515625" style="43" customWidth="1"/>
    <col min="18" max="21" width="14.28515625" style="43" customWidth="1" outlineLevel="1"/>
    <col min="22" max="24" width="14.28515625" style="43" customWidth="1"/>
    <col min="25" max="16384" width="11.42578125" style="43"/>
  </cols>
  <sheetData>
    <row r="1" spans="1:24" ht="27" thickBot="1" x14ac:dyDescent="0.3">
      <c r="A1" s="754" t="s">
        <v>98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5"/>
      <c r="R1" s="755"/>
      <c r="S1" s="755"/>
      <c r="T1" s="755"/>
      <c r="U1" s="755"/>
      <c r="V1" s="755"/>
      <c r="W1" s="755"/>
      <c r="X1" s="755"/>
    </row>
    <row r="2" spans="1:24" ht="15.75" thickBot="1" x14ac:dyDescent="0.3"/>
    <row r="3" spans="1:24" x14ac:dyDescent="0.25">
      <c r="A3" s="808" t="s">
        <v>108</v>
      </c>
      <c r="B3" s="809"/>
      <c r="C3" s="810"/>
      <c r="D3" s="161">
        <v>0</v>
      </c>
      <c r="E3" s="168"/>
    </row>
    <row r="4" spans="1:24" x14ac:dyDescent="0.25">
      <c r="A4" s="811" t="s">
        <v>109</v>
      </c>
      <c r="B4" s="812"/>
      <c r="C4" s="813"/>
      <c r="D4" s="162">
        <v>0.03</v>
      </c>
      <c r="E4" s="168"/>
    </row>
    <row r="5" spans="1:24" x14ac:dyDescent="0.25">
      <c r="A5" s="811" t="s">
        <v>132</v>
      </c>
      <c r="B5" s="812"/>
      <c r="C5" s="812"/>
      <c r="D5" s="164">
        <v>0.25</v>
      </c>
      <c r="E5" s="168"/>
    </row>
    <row r="6" spans="1:24" ht="15.75" thickBot="1" x14ac:dyDescent="0.3">
      <c r="A6" s="814" t="s">
        <v>105</v>
      </c>
      <c r="B6" s="815"/>
      <c r="C6" s="816"/>
      <c r="D6" s="163">
        <v>0.2</v>
      </c>
      <c r="E6" s="169"/>
    </row>
    <row r="7" spans="1:24" ht="18.75" customHeight="1" x14ac:dyDescent="0.25">
      <c r="A7" s="791" t="s">
        <v>99</v>
      </c>
      <c r="B7" s="792"/>
      <c r="C7" s="792"/>
      <c r="D7" s="793"/>
      <c r="E7" s="731" t="s">
        <v>20</v>
      </c>
      <c r="F7" s="731"/>
      <c r="G7" s="731"/>
      <c r="H7" s="731"/>
      <c r="I7" s="731"/>
      <c r="J7" s="731"/>
      <c r="K7" s="731"/>
      <c r="L7" s="731"/>
      <c r="M7" s="731"/>
      <c r="N7" s="731"/>
      <c r="O7" s="731"/>
      <c r="P7" s="731"/>
      <c r="Q7" s="735" t="s">
        <v>20</v>
      </c>
      <c r="R7" s="730" t="s">
        <v>25</v>
      </c>
      <c r="S7" s="731"/>
      <c r="T7" s="731"/>
      <c r="U7" s="731"/>
      <c r="V7" s="735" t="s">
        <v>25</v>
      </c>
      <c r="W7" s="735" t="s">
        <v>26</v>
      </c>
      <c r="X7" s="737" t="s">
        <v>27</v>
      </c>
    </row>
    <row r="8" spans="1:24" ht="18.75" customHeight="1" thickBot="1" x14ac:dyDescent="0.3">
      <c r="A8" s="794"/>
      <c r="B8" s="795"/>
      <c r="C8" s="795"/>
      <c r="D8" s="796"/>
      <c r="E8" s="124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36"/>
      <c r="R8" s="4" t="s">
        <v>21</v>
      </c>
      <c r="S8" s="2" t="s">
        <v>22</v>
      </c>
      <c r="T8" s="2" t="s">
        <v>23</v>
      </c>
      <c r="U8" s="3" t="s">
        <v>24</v>
      </c>
      <c r="V8" s="736"/>
      <c r="W8" s="736"/>
      <c r="X8" s="738"/>
    </row>
    <row r="9" spans="1:24" ht="18.75" customHeight="1" thickTop="1" x14ac:dyDescent="0.25">
      <c r="A9" s="170" t="s">
        <v>113</v>
      </c>
      <c r="B9" s="789" t="s">
        <v>100</v>
      </c>
      <c r="C9" s="789"/>
      <c r="D9" s="790"/>
      <c r="E9" s="160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100000</v>
      </c>
      <c r="L9" s="18">
        <v>0</v>
      </c>
      <c r="M9" s="18">
        <v>100000</v>
      </c>
      <c r="N9" s="18">
        <v>10000</v>
      </c>
      <c r="O9" s="18">
        <v>10000</v>
      </c>
      <c r="P9" s="165">
        <v>10000</v>
      </c>
      <c r="Q9" s="8">
        <f>SUM(E9:P9)</f>
        <v>230000</v>
      </c>
      <c r="R9" s="159">
        <v>200000</v>
      </c>
      <c r="S9" s="18">
        <v>200000</v>
      </c>
      <c r="T9" s="18">
        <v>200000</v>
      </c>
      <c r="U9" s="165">
        <v>200000</v>
      </c>
      <c r="V9" s="8">
        <f>SUM(R9:U9)</f>
        <v>800000</v>
      </c>
      <c r="W9" s="157">
        <v>1000000</v>
      </c>
      <c r="X9" s="158">
        <v>2000000</v>
      </c>
    </row>
    <row r="10" spans="1:24" ht="18.75" customHeight="1" thickBot="1" x14ac:dyDescent="0.3">
      <c r="A10" s="171" t="s">
        <v>112</v>
      </c>
      <c r="B10" s="784" t="s">
        <v>101</v>
      </c>
      <c r="C10" s="784"/>
      <c r="D10" s="785"/>
      <c r="E10" s="141">
        <f>-(E9*$D$6)</f>
        <v>0</v>
      </c>
      <c r="F10" s="142">
        <f t="shared" ref="F10:P10" si="0">-(F9*$D$6)</f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-20000</v>
      </c>
      <c r="L10" s="142">
        <f t="shared" si="0"/>
        <v>0</v>
      </c>
      <c r="M10" s="142">
        <f t="shared" si="0"/>
        <v>-20000</v>
      </c>
      <c r="N10" s="142">
        <f t="shared" si="0"/>
        <v>-2000</v>
      </c>
      <c r="O10" s="142">
        <f t="shared" si="0"/>
        <v>-2000</v>
      </c>
      <c r="P10" s="172">
        <f t="shared" si="0"/>
        <v>-2000</v>
      </c>
      <c r="Q10" s="147">
        <f t="shared" ref="Q10:Q40" si="1">SUM(E10:P10)</f>
        <v>-46000</v>
      </c>
      <c r="R10" s="173">
        <f>-(R9*$D$6)</f>
        <v>-40000</v>
      </c>
      <c r="S10" s="142">
        <f t="shared" ref="S10:U10" si="2">-(S9*$D$6)</f>
        <v>-40000</v>
      </c>
      <c r="T10" s="142">
        <f t="shared" si="2"/>
        <v>-40000</v>
      </c>
      <c r="U10" s="172">
        <f t="shared" si="2"/>
        <v>-40000</v>
      </c>
      <c r="V10" s="147">
        <f t="shared" ref="V10:V40" si="3">SUM(R10:U10)</f>
        <v>-160000</v>
      </c>
      <c r="W10" s="147">
        <f>-(W9*$D$6)</f>
        <v>-200000</v>
      </c>
      <c r="X10" s="148">
        <f>-(X9*$D$6)</f>
        <v>-400000</v>
      </c>
    </row>
    <row r="11" spans="1:24" s="184" customFormat="1" ht="7.5" customHeight="1" thickTop="1" x14ac:dyDescent="0.25">
      <c r="A11" s="174"/>
      <c r="B11" s="175"/>
      <c r="C11" s="175"/>
      <c r="D11" s="176"/>
      <c r="E11" s="177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9"/>
      <c r="Q11" s="180"/>
      <c r="R11" s="181"/>
      <c r="S11" s="178"/>
      <c r="T11" s="178"/>
      <c r="U11" s="179"/>
      <c r="V11" s="180"/>
      <c r="W11" s="182"/>
      <c r="X11" s="183"/>
    </row>
    <row r="12" spans="1:24" ht="18.75" customHeight="1" thickBot="1" x14ac:dyDescent="0.3">
      <c r="A12" s="786" t="s">
        <v>102</v>
      </c>
      <c r="B12" s="787"/>
      <c r="C12" s="787"/>
      <c r="D12" s="788"/>
      <c r="E12" s="185">
        <f t="shared" ref="E12:P12" si="4">E9+E10</f>
        <v>0</v>
      </c>
      <c r="F12" s="186">
        <f t="shared" si="4"/>
        <v>0</v>
      </c>
      <c r="G12" s="186">
        <f t="shared" si="4"/>
        <v>0</v>
      </c>
      <c r="H12" s="186">
        <f t="shared" si="4"/>
        <v>0</v>
      </c>
      <c r="I12" s="186">
        <f t="shared" si="4"/>
        <v>0</v>
      </c>
      <c r="J12" s="186">
        <f t="shared" si="4"/>
        <v>0</v>
      </c>
      <c r="K12" s="186">
        <f t="shared" si="4"/>
        <v>80000</v>
      </c>
      <c r="L12" s="186">
        <f t="shared" si="4"/>
        <v>0</v>
      </c>
      <c r="M12" s="186">
        <f t="shared" si="4"/>
        <v>80000</v>
      </c>
      <c r="N12" s="186">
        <f t="shared" si="4"/>
        <v>8000</v>
      </c>
      <c r="O12" s="186">
        <f t="shared" si="4"/>
        <v>8000</v>
      </c>
      <c r="P12" s="187">
        <f t="shared" si="4"/>
        <v>8000</v>
      </c>
      <c r="Q12" s="188">
        <f t="shared" si="1"/>
        <v>184000</v>
      </c>
      <c r="R12" s="189">
        <f t="shared" ref="R12:X12" si="5">R9+R10</f>
        <v>160000</v>
      </c>
      <c r="S12" s="186">
        <f t="shared" si="5"/>
        <v>160000</v>
      </c>
      <c r="T12" s="186">
        <f t="shared" si="5"/>
        <v>160000</v>
      </c>
      <c r="U12" s="187">
        <f t="shared" si="5"/>
        <v>160000</v>
      </c>
      <c r="V12" s="188">
        <f t="shared" si="5"/>
        <v>640000</v>
      </c>
      <c r="W12" s="190">
        <f t="shared" si="5"/>
        <v>800000</v>
      </c>
      <c r="X12" s="191">
        <f t="shared" si="5"/>
        <v>1600000</v>
      </c>
    </row>
    <row r="13" spans="1:24" ht="18.75" customHeight="1" outlineLevel="1" thickTop="1" x14ac:dyDescent="0.25">
      <c r="A13" s="170" t="s">
        <v>112</v>
      </c>
      <c r="B13" s="789" t="s">
        <v>103</v>
      </c>
      <c r="C13" s="789"/>
      <c r="D13" s="790"/>
      <c r="E13" s="192">
        <f>-(E12*$D$3)</f>
        <v>0</v>
      </c>
      <c r="F13" s="7">
        <f t="shared" ref="F13:P13" si="6">-(F12*$D$3)</f>
        <v>0</v>
      </c>
      <c r="G13" s="7">
        <f t="shared" si="6"/>
        <v>0</v>
      </c>
      <c r="H13" s="7">
        <f t="shared" si="6"/>
        <v>0</v>
      </c>
      <c r="I13" s="7">
        <f t="shared" si="6"/>
        <v>0</v>
      </c>
      <c r="J13" s="7">
        <f t="shared" si="6"/>
        <v>0</v>
      </c>
      <c r="K13" s="7">
        <f t="shared" si="6"/>
        <v>0</v>
      </c>
      <c r="L13" s="7">
        <f t="shared" si="6"/>
        <v>0</v>
      </c>
      <c r="M13" s="7">
        <f t="shared" si="6"/>
        <v>0</v>
      </c>
      <c r="N13" s="7">
        <f t="shared" si="6"/>
        <v>0</v>
      </c>
      <c r="O13" s="7">
        <f t="shared" si="6"/>
        <v>0</v>
      </c>
      <c r="P13" s="193">
        <f t="shared" si="6"/>
        <v>0</v>
      </c>
      <c r="Q13" s="8">
        <f t="shared" si="1"/>
        <v>0</v>
      </c>
      <c r="R13" s="192">
        <f>-(R12*$D$3)</f>
        <v>0</v>
      </c>
      <c r="S13" s="7">
        <f t="shared" ref="S13:U13" si="7">-(S12*$D$3)</f>
        <v>0</v>
      </c>
      <c r="T13" s="7">
        <f t="shared" si="7"/>
        <v>0</v>
      </c>
      <c r="U13" s="193">
        <f t="shared" si="7"/>
        <v>0</v>
      </c>
      <c r="V13" s="8">
        <f t="shared" si="3"/>
        <v>0</v>
      </c>
      <c r="W13" s="194">
        <f>-(W12*$D$3)</f>
        <v>0</v>
      </c>
      <c r="X13" s="195">
        <f>-(X12*$D$3)</f>
        <v>0</v>
      </c>
    </row>
    <row r="14" spans="1:24" ht="18.75" customHeight="1" outlineLevel="1" x14ac:dyDescent="0.25">
      <c r="A14" s="196" t="s">
        <v>112</v>
      </c>
      <c r="B14" s="782" t="s">
        <v>104</v>
      </c>
      <c r="C14" s="782"/>
      <c r="D14" s="783"/>
      <c r="E14" s="197">
        <f>-(E12*$D$4)</f>
        <v>0</v>
      </c>
      <c r="F14" s="11">
        <f t="shared" ref="F14:P14" si="8">-(F12*$D$4)</f>
        <v>0</v>
      </c>
      <c r="G14" s="11">
        <f t="shared" si="8"/>
        <v>0</v>
      </c>
      <c r="H14" s="11">
        <f t="shared" si="8"/>
        <v>0</v>
      </c>
      <c r="I14" s="11">
        <f t="shared" si="8"/>
        <v>0</v>
      </c>
      <c r="J14" s="11">
        <f t="shared" si="8"/>
        <v>0</v>
      </c>
      <c r="K14" s="11">
        <f t="shared" si="8"/>
        <v>-2400</v>
      </c>
      <c r="L14" s="11">
        <f t="shared" si="8"/>
        <v>0</v>
      </c>
      <c r="M14" s="11">
        <f t="shared" si="8"/>
        <v>-2400</v>
      </c>
      <c r="N14" s="11">
        <f t="shared" si="8"/>
        <v>-240</v>
      </c>
      <c r="O14" s="11">
        <f t="shared" si="8"/>
        <v>-240</v>
      </c>
      <c r="P14" s="198">
        <f t="shared" si="8"/>
        <v>-240</v>
      </c>
      <c r="Q14" s="12">
        <f t="shared" si="1"/>
        <v>-5520</v>
      </c>
      <c r="R14" s="197">
        <f>-(R12*$D$4)</f>
        <v>-4800</v>
      </c>
      <c r="S14" s="11">
        <f t="shared" ref="S14:U14" si="9">-(S12*$D$4)</f>
        <v>-4800</v>
      </c>
      <c r="T14" s="11">
        <f t="shared" si="9"/>
        <v>-4800</v>
      </c>
      <c r="U14" s="198">
        <f t="shared" si="9"/>
        <v>-4800</v>
      </c>
      <c r="V14" s="12">
        <f t="shared" si="3"/>
        <v>-19200</v>
      </c>
      <c r="W14" s="199">
        <f>-(W12*$D$4)</f>
        <v>-24000</v>
      </c>
      <c r="X14" s="200">
        <f>-(X12*$D$4)</f>
        <v>-48000</v>
      </c>
    </row>
    <row r="15" spans="1:24" ht="18.75" customHeight="1" outlineLevel="1" x14ac:dyDescent="0.25">
      <c r="A15" s="196" t="s">
        <v>113</v>
      </c>
      <c r="B15" s="782" t="s">
        <v>106</v>
      </c>
      <c r="C15" s="782"/>
      <c r="D15" s="783"/>
      <c r="E15" s="150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166"/>
      <c r="Q15" s="12">
        <f t="shared" si="1"/>
        <v>0</v>
      </c>
      <c r="R15" s="150"/>
      <c r="S15" s="98"/>
      <c r="T15" s="98"/>
      <c r="U15" s="166"/>
      <c r="V15" s="12">
        <f t="shared" si="3"/>
        <v>0</v>
      </c>
      <c r="W15" s="153"/>
      <c r="X15" s="154"/>
    </row>
    <row r="16" spans="1:24" ht="18.75" customHeight="1" outlineLevel="1" thickBot="1" x14ac:dyDescent="0.3">
      <c r="A16" s="171" t="s">
        <v>113</v>
      </c>
      <c r="B16" s="784" t="s">
        <v>107</v>
      </c>
      <c r="C16" s="784"/>
      <c r="D16" s="785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67"/>
      <c r="Q16" s="147">
        <f t="shared" si="1"/>
        <v>0</v>
      </c>
      <c r="R16" s="151"/>
      <c r="S16" s="152"/>
      <c r="T16" s="152"/>
      <c r="U16" s="167"/>
      <c r="V16" s="147">
        <f t="shared" si="3"/>
        <v>0</v>
      </c>
      <c r="W16" s="155"/>
      <c r="X16" s="156"/>
    </row>
    <row r="17" spans="1:24" s="207" customFormat="1" ht="7.5" customHeight="1" outlineLevel="1" thickTop="1" x14ac:dyDescent="0.25">
      <c r="A17" s="174"/>
      <c r="B17" s="175"/>
      <c r="C17" s="175"/>
      <c r="D17" s="176"/>
      <c r="E17" s="201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3"/>
      <c r="Q17" s="204"/>
      <c r="R17" s="201"/>
      <c r="S17" s="202"/>
      <c r="T17" s="202"/>
      <c r="U17" s="203"/>
      <c r="V17" s="204"/>
      <c r="W17" s="205"/>
      <c r="X17" s="206"/>
    </row>
    <row r="18" spans="1:24" ht="18.75" customHeight="1" thickBot="1" x14ac:dyDescent="0.3">
      <c r="A18" s="786" t="s">
        <v>110</v>
      </c>
      <c r="B18" s="787"/>
      <c r="C18" s="787"/>
      <c r="D18" s="788"/>
      <c r="E18" s="189">
        <f>SUM(E12:E16)</f>
        <v>0</v>
      </c>
      <c r="F18" s="186">
        <f t="shared" ref="F18:R18" si="10">SUM(F12:F16)</f>
        <v>0</v>
      </c>
      <c r="G18" s="186">
        <f t="shared" si="10"/>
        <v>0</v>
      </c>
      <c r="H18" s="186">
        <f t="shared" si="10"/>
        <v>0</v>
      </c>
      <c r="I18" s="186">
        <f t="shared" si="10"/>
        <v>0</v>
      </c>
      <c r="J18" s="186">
        <f t="shared" si="10"/>
        <v>0</v>
      </c>
      <c r="K18" s="186">
        <f t="shared" si="10"/>
        <v>77600</v>
      </c>
      <c r="L18" s="186">
        <f t="shared" si="10"/>
        <v>0</v>
      </c>
      <c r="M18" s="186">
        <f t="shared" si="10"/>
        <v>77600</v>
      </c>
      <c r="N18" s="186">
        <f t="shared" si="10"/>
        <v>7760</v>
      </c>
      <c r="O18" s="186">
        <f t="shared" si="10"/>
        <v>7760</v>
      </c>
      <c r="P18" s="187">
        <f t="shared" si="10"/>
        <v>7760</v>
      </c>
      <c r="Q18" s="188">
        <f t="shared" si="1"/>
        <v>178480</v>
      </c>
      <c r="R18" s="189">
        <f t="shared" si="10"/>
        <v>155200</v>
      </c>
      <c r="S18" s="186">
        <f t="shared" ref="S18" si="11">SUM(S12:S16)</f>
        <v>155200</v>
      </c>
      <c r="T18" s="186">
        <f t="shared" ref="T18" si="12">SUM(T12:T16)</f>
        <v>155200</v>
      </c>
      <c r="U18" s="187">
        <f t="shared" ref="U18:X18" si="13">SUM(U12:U16)</f>
        <v>155200</v>
      </c>
      <c r="V18" s="188">
        <f t="shared" si="13"/>
        <v>620800</v>
      </c>
      <c r="W18" s="190">
        <f t="shared" si="13"/>
        <v>776000</v>
      </c>
      <c r="X18" s="208">
        <f t="shared" si="13"/>
        <v>1552000</v>
      </c>
    </row>
    <row r="19" spans="1:24" ht="18.75" customHeight="1" outlineLevel="1" thickTop="1" x14ac:dyDescent="0.25">
      <c r="A19" s="170" t="s">
        <v>112</v>
      </c>
      <c r="B19" s="789" t="str">
        <f>Plankosten!A40</f>
        <v>Materialeinsatz</v>
      </c>
      <c r="C19" s="789"/>
      <c r="D19" s="790"/>
      <c r="E19" s="192">
        <f>-Plankosten!E47</f>
        <v>0</v>
      </c>
      <c r="F19" s="7">
        <f>-Plankosten!F47</f>
        <v>0</v>
      </c>
      <c r="G19" s="7">
        <f>-Plankosten!G47</f>
        <v>0</v>
      </c>
      <c r="H19" s="7">
        <f>-Plankosten!H47</f>
        <v>0</v>
      </c>
      <c r="I19" s="7">
        <f>-Plankosten!I47</f>
        <v>0</v>
      </c>
      <c r="J19" s="7">
        <f>-Plankosten!J47</f>
        <v>0</v>
      </c>
      <c r="K19" s="7">
        <f>-Plankosten!K47</f>
        <v>0</v>
      </c>
      <c r="L19" s="7">
        <f>-Plankosten!L47</f>
        <v>0</v>
      </c>
      <c r="M19" s="7">
        <f>-Plankosten!M47</f>
        <v>0</v>
      </c>
      <c r="N19" s="7">
        <f>-Plankosten!N47</f>
        <v>0</v>
      </c>
      <c r="O19" s="7">
        <f>-Plankosten!O47</f>
        <v>0</v>
      </c>
      <c r="P19" s="193">
        <f>-Plankosten!P47</f>
        <v>0</v>
      </c>
      <c r="Q19" s="8">
        <f t="shared" si="1"/>
        <v>0</v>
      </c>
      <c r="R19" s="192">
        <f>-Plankosten!R47</f>
        <v>0</v>
      </c>
      <c r="S19" s="7">
        <f>-Plankosten!S47</f>
        <v>0</v>
      </c>
      <c r="T19" s="7">
        <f>-Plankosten!T47</f>
        <v>0</v>
      </c>
      <c r="U19" s="193">
        <f>-Plankosten!U47</f>
        <v>0</v>
      </c>
      <c r="V19" s="8">
        <f t="shared" si="3"/>
        <v>0</v>
      </c>
      <c r="W19" s="194">
        <f>-Plankosten!W47</f>
        <v>0</v>
      </c>
      <c r="X19" s="195">
        <f>-Plankosten!X47</f>
        <v>0</v>
      </c>
    </row>
    <row r="20" spans="1:24" ht="18.75" customHeight="1" outlineLevel="1" thickBot="1" x14ac:dyDescent="0.3">
      <c r="A20" s="171" t="s">
        <v>112</v>
      </c>
      <c r="B20" s="784" t="str">
        <f>Plankosten!A49</f>
        <v>Roh-, Betriebs- uns Hilfsstoffe</v>
      </c>
      <c r="C20" s="784"/>
      <c r="D20" s="785"/>
      <c r="E20" s="209">
        <f>-Plankosten!E56</f>
        <v>0</v>
      </c>
      <c r="F20" s="142">
        <f>-Plankosten!F56</f>
        <v>0</v>
      </c>
      <c r="G20" s="142">
        <f>-Plankosten!G56</f>
        <v>0</v>
      </c>
      <c r="H20" s="142">
        <f>-Plankosten!H56</f>
        <v>0</v>
      </c>
      <c r="I20" s="142">
        <f>-Plankosten!I56</f>
        <v>0</v>
      </c>
      <c r="J20" s="142">
        <f>-Plankosten!J56</f>
        <v>0</v>
      </c>
      <c r="K20" s="142">
        <f>-Plankosten!K56</f>
        <v>0</v>
      </c>
      <c r="L20" s="142">
        <f>-Plankosten!L56</f>
        <v>0</v>
      </c>
      <c r="M20" s="142">
        <f>-Plankosten!M56</f>
        <v>0</v>
      </c>
      <c r="N20" s="142">
        <f>-Plankosten!N56</f>
        <v>0</v>
      </c>
      <c r="O20" s="142">
        <f>-Plankosten!O56</f>
        <v>0</v>
      </c>
      <c r="P20" s="172">
        <f>-Plankosten!P56</f>
        <v>0</v>
      </c>
      <c r="Q20" s="147">
        <f t="shared" si="1"/>
        <v>0</v>
      </c>
      <c r="R20" s="209">
        <f>-Plankosten!R56</f>
        <v>0</v>
      </c>
      <c r="S20" s="142">
        <f>-Plankosten!S56</f>
        <v>0</v>
      </c>
      <c r="T20" s="142">
        <f>-Plankosten!T56</f>
        <v>0</v>
      </c>
      <c r="U20" s="172">
        <f>-Plankosten!U56</f>
        <v>0</v>
      </c>
      <c r="V20" s="147">
        <f t="shared" si="3"/>
        <v>0</v>
      </c>
      <c r="W20" s="210">
        <f>-Plankosten!W56</f>
        <v>0</v>
      </c>
      <c r="X20" s="211">
        <f>-Plankosten!X56</f>
        <v>0</v>
      </c>
    </row>
    <row r="21" spans="1:24" s="207" customFormat="1" ht="7.5" customHeight="1" outlineLevel="1" thickTop="1" x14ac:dyDescent="0.25">
      <c r="A21" s="174"/>
      <c r="B21" s="175"/>
      <c r="C21" s="175"/>
      <c r="D21" s="176"/>
      <c r="E21" s="201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3"/>
      <c r="Q21" s="204"/>
      <c r="R21" s="201"/>
      <c r="S21" s="202"/>
      <c r="T21" s="202"/>
      <c r="U21" s="203"/>
      <c r="V21" s="204"/>
      <c r="W21" s="205"/>
      <c r="X21" s="206"/>
    </row>
    <row r="22" spans="1:24" ht="18.75" customHeight="1" thickBot="1" x14ac:dyDescent="0.3">
      <c r="A22" s="786" t="s">
        <v>111</v>
      </c>
      <c r="B22" s="787"/>
      <c r="C22" s="787"/>
      <c r="D22" s="788"/>
      <c r="E22" s="189">
        <f>SUM(E18:E20)</f>
        <v>0</v>
      </c>
      <c r="F22" s="186">
        <f t="shared" ref="F22:X22" si="14">SUM(F18:F20)</f>
        <v>0</v>
      </c>
      <c r="G22" s="186">
        <f t="shared" si="14"/>
        <v>0</v>
      </c>
      <c r="H22" s="186">
        <f t="shared" si="14"/>
        <v>0</v>
      </c>
      <c r="I22" s="186">
        <f t="shared" si="14"/>
        <v>0</v>
      </c>
      <c r="J22" s="186">
        <f t="shared" si="14"/>
        <v>0</v>
      </c>
      <c r="K22" s="186">
        <f t="shared" si="14"/>
        <v>77600</v>
      </c>
      <c r="L22" s="186">
        <f t="shared" si="14"/>
        <v>0</v>
      </c>
      <c r="M22" s="186">
        <f t="shared" si="14"/>
        <v>77600</v>
      </c>
      <c r="N22" s="186">
        <f t="shared" si="14"/>
        <v>7760</v>
      </c>
      <c r="O22" s="186">
        <f t="shared" si="14"/>
        <v>7760</v>
      </c>
      <c r="P22" s="187">
        <f t="shared" si="14"/>
        <v>7760</v>
      </c>
      <c r="Q22" s="188">
        <f t="shared" si="1"/>
        <v>178480</v>
      </c>
      <c r="R22" s="189">
        <f t="shared" si="14"/>
        <v>155200</v>
      </c>
      <c r="S22" s="186">
        <f t="shared" si="14"/>
        <v>155200</v>
      </c>
      <c r="T22" s="186">
        <f t="shared" si="14"/>
        <v>155200</v>
      </c>
      <c r="U22" s="187">
        <f t="shared" si="14"/>
        <v>155200</v>
      </c>
      <c r="V22" s="188">
        <f t="shared" si="14"/>
        <v>620800</v>
      </c>
      <c r="W22" s="190">
        <f t="shared" si="14"/>
        <v>776000</v>
      </c>
      <c r="X22" s="208">
        <f t="shared" si="14"/>
        <v>1552000</v>
      </c>
    </row>
    <row r="23" spans="1:24" ht="18.75" customHeight="1" outlineLevel="1" thickTop="1" x14ac:dyDescent="0.25">
      <c r="A23" s="170" t="s">
        <v>112</v>
      </c>
      <c r="B23" s="789" t="str">
        <f>Plankosten!A32</f>
        <v>Personalkosten</v>
      </c>
      <c r="C23" s="789"/>
      <c r="D23" s="790"/>
      <c r="E23" s="192">
        <f>-Plankosten!E38</f>
        <v>-16200.000000000002</v>
      </c>
      <c r="F23" s="7">
        <f>-Plankosten!F38</f>
        <v>-18508</v>
      </c>
      <c r="G23" s="7">
        <f>-Plankosten!G38</f>
        <v>-22156</v>
      </c>
      <c r="H23" s="7">
        <f>-Plankosten!H38</f>
        <v>-25804</v>
      </c>
      <c r="I23" s="7">
        <f>-Plankosten!I38</f>
        <v>-49700.666666666672</v>
      </c>
      <c r="J23" s="7">
        <f>-Plankosten!J38</f>
        <v>-25804</v>
      </c>
      <c r="K23" s="7">
        <f>-Plankosten!K38</f>
        <v>-25804</v>
      </c>
      <c r="L23" s="7">
        <f>-Plankosten!L38</f>
        <v>-25804</v>
      </c>
      <c r="M23" s="7">
        <f>-Plankosten!M38</f>
        <v>-25804</v>
      </c>
      <c r="N23" s="7">
        <f>-Plankosten!N38</f>
        <v>-25804</v>
      </c>
      <c r="O23" s="7">
        <f>-Plankosten!O38</f>
        <v>-49700.666666666672</v>
      </c>
      <c r="P23" s="193">
        <f>-Plankosten!P38</f>
        <v>-25804</v>
      </c>
      <c r="Q23" s="8">
        <f t="shared" si="1"/>
        <v>-336893.33333333337</v>
      </c>
      <c r="R23" s="192">
        <f>-Plankosten!R38</f>
        <v>-114867</v>
      </c>
      <c r="S23" s="7">
        <f>-Plankosten!S38</f>
        <v>-152856</v>
      </c>
      <c r="T23" s="7">
        <f>-Plankosten!T38</f>
        <v>-114867</v>
      </c>
      <c r="U23" s="193">
        <f>-Plankosten!U38</f>
        <v>-152856</v>
      </c>
      <c r="V23" s="8">
        <f t="shared" si="3"/>
        <v>-535446</v>
      </c>
      <c r="W23" s="194">
        <f>-Plankosten!W38</f>
        <v>-726513.21000000008</v>
      </c>
      <c r="X23" s="195">
        <f>-Plankosten!X38</f>
        <v>-762604.87049999996</v>
      </c>
    </row>
    <row r="24" spans="1:24" ht="30" customHeight="1" outlineLevel="1" x14ac:dyDescent="0.25">
      <c r="A24" s="196" t="s">
        <v>112</v>
      </c>
      <c r="B24" s="797" t="str">
        <f>Plankosten!A58</f>
        <v>Sonstige betriebliche Aufwendungen
(Miete, Pacht, Betriebskosten)</v>
      </c>
      <c r="C24" s="797"/>
      <c r="D24" s="798"/>
      <c r="E24" s="197">
        <f>-Plankosten!E65</f>
        <v>-1271</v>
      </c>
      <c r="F24" s="11">
        <f>-Plankosten!F65</f>
        <v>-1271</v>
      </c>
      <c r="G24" s="11">
        <f>-Plankosten!G65</f>
        <v>-1271</v>
      </c>
      <c r="H24" s="11">
        <f>-Plankosten!H65</f>
        <v>-1271</v>
      </c>
      <c r="I24" s="11">
        <f>-Plankosten!I65</f>
        <v>-1271</v>
      </c>
      <c r="J24" s="11">
        <f>-Plankosten!J65</f>
        <v>-1271</v>
      </c>
      <c r="K24" s="11">
        <f>-Plankosten!K65</f>
        <v>-1271</v>
      </c>
      <c r="L24" s="11">
        <f>-Plankosten!L65</f>
        <v>-1271</v>
      </c>
      <c r="M24" s="11">
        <f>-Plankosten!M65</f>
        <v>-1271</v>
      </c>
      <c r="N24" s="11">
        <f>-Plankosten!N65</f>
        <v>-1271</v>
      </c>
      <c r="O24" s="11">
        <f>-Plankosten!O65</f>
        <v>-1271</v>
      </c>
      <c r="P24" s="198">
        <f>-Plankosten!P65</f>
        <v>-1271</v>
      </c>
      <c r="Q24" s="12">
        <f t="shared" si="1"/>
        <v>-15252</v>
      </c>
      <c r="R24" s="197">
        <f>-Plankosten!R65</f>
        <v>-3813</v>
      </c>
      <c r="S24" s="11">
        <f>-Plankosten!S65</f>
        <v>-3813</v>
      </c>
      <c r="T24" s="11">
        <f>-Plankosten!T65</f>
        <v>-3813</v>
      </c>
      <c r="U24" s="198">
        <f>-Plankosten!U65</f>
        <v>-3813</v>
      </c>
      <c r="V24" s="12">
        <f t="shared" si="3"/>
        <v>-15252</v>
      </c>
      <c r="W24" s="199">
        <f>-Plankosten!W65</f>
        <v>-15252</v>
      </c>
      <c r="X24" s="200">
        <f>-Plankosten!X65</f>
        <v>-15252</v>
      </c>
    </row>
    <row r="25" spans="1:24" ht="18.75" customHeight="1" outlineLevel="1" x14ac:dyDescent="0.25">
      <c r="A25" s="196" t="s">
        <v>112</v>
      </c>
      <c r="B25" s="782" t="str">
        <f>Plankosten!A67</f>
        <v>Instandhaltung</v>
      </c>
      <c r="C25" s="782"/>
      <c r="D25" s="783"/>
      <c r="E25" s="197">
        <f>-Plankosten!E74</f>
        <v>0</v>
      </c>
      <c r="F25" s="11">
        <f>-Plankosten!F74</f>
        <v>0</v>
      </c>
      <c r="G25" s="11">
        <f>-Plankosten!G74</f>
        <v>0</v>
      </c>
      <c r="H25" s="11">
        <f>-Plankosten!H74</f>
        <v>0</v>
      </c>
      <c r="I25" s="11">
        <f>-Plankosten!I74</f>
        <v>0</v>
      </c>
      <c r="J25" s="11">
        <f>-Plankosten!J74</f>
        <v>0</v>
      </c>
      <c r="K25" s="11">
        <f>-Plankosten!K74</f>
        <v>0</v>
      </c>
      <c r="L25" s="11">
        <f>-Plankosten!L74</f>
        <v>0</v>
      </c>
      <c r="M25" s="11">
        <f>-Plankosten!M74</f>
        <v>0</v>
      </c>
      <c r="N25" s="11">
        <f>-Plankosten!N74</f>
        <v>0</v>
      </c>
      <c r="O25" s="11">
        <f>-Plankosten!O74</f>
        <v>0</v>
      </c>
      <c r="P25" s="198">
        <f>-Plankosten!P74</f>
        <v>-2000</v>
      </c>
      <c r="Q25" s="12">
        <f t="shared" si="1"/>
        <v>-2000</v>
      </c>
      <c r="R25" s="197">
        <f>-Plankosten!R74</f>
        <v>0</v>
      </c>
      <c r="S25" s="11">
        <f>-Plankosten!S74</f>
        <v>0</v>
      </c>
      <c r="T25" s="11">
        <f>-Plankosten!T74</f>
        <v>0</v>
      </c>
      <c r="U25" s="198">
        <f>-Plankosten!U74</f>
        <v>-2000</v>
      </c>
      <c r="V25" s="12">
        <f t="shared" si="3"/>
        <v>-2000</v>
      </c>
      <c r="W25" s="199">
        <f>-Plankosten!W74</f>
        <v>-2000</v>
      </c>
      <c r="X25" s="200">
        <f>-Plankosten!X74</f>
        <v>-2000</v>
      </c>
    </row>
    <row r="26" spans="1:24" ht="18.75" customHeight="1" outlineLevel="1" x14ac:dyDescent="0.25">
      <c r="A26" s="196" t="s">
        <v>112</v>
      </c>
      <c r="B26" s="782" t="str">
        <f>Plankosten!A76</f>
        <v>Kfz-Kosten und Reisekosten</v>
      </c>
      <c r="C26" s="782"/>
      <c r="D26" s="783"/>
      <c r="E26" s="197">
        <f>-Plankosten!E83</f>
        <v>-2000</v>
      </c>
      <c r="F26" s="11">
        <f>-Plankosten!F83</f>
        <v>-500</v>
      </c>
      <c r="G26" s="11">
        <f>-Plankosten!G83</f>
        <v>-500</v>
      </c>
      <c r="H26" s="11">
        <f>-Plankosten!H83</f>
        <v>-500</v>
      </c>
      <c r="I26" s="11">
        <f>-Plankosten!I83</f>
        <v>-500</v>
      </c>
      <c r="J26" s="11">
        <f>-Plankosten!J83</f>
        <v>-500</v>
      </c>
      <c r="K26" s="11">
        <f>-Plankosten!K83</f>
        <v>-500</v>
      </c>
      <c r="L26" s="11">
        <f>-Plankosten!L83</f>
        <v>-500</v>
      </c>
      <c r="M26" s="11">
        <f>-Plankosten!M83</f>
        <v>-500</v>
      </c>
      <c r="N26" s="11">
        <f>-Plankosten!N83</f>
        <v>-500</v>
      </c>
      <c r="O26" s="11">
        <f>-Plankosten!O83</f>
        <v>-500</v>
      </c>
      <c r="P26" s="198">
        <f>-Plankosten!P83</f>
        <v>-500</v>
      </c>
      <c r="Q26" s="12">
        <f t="shared" si="1"/>
        <v>-7500</v>
      </c>
      <c r="R26" s="197">
        <f>-Plankosten!R83</f>
        <v>-3000</v>
      </c>
      <c r="S26" s="11">
        <f>-Plankosten!S83</f>
        <v>-1500</v>
      </c>
      <c r="T26" s="11">
        <f>-Plankosten!T83</f>
        <v>-1500</v>
      </c>
      <c r="U26" s="198">
        <f>-Plankosten!U83</f>
        <v>-1500</v>
      </c>
      <c r="V26" s="12">
        <f t="shared" si="3"/>
        <v>-7500</v>
      </c>
      <c r="W26" s="199">
        <f>-Plankosten!W83</f>
        <v>-7500</v>
      </c>
      <c r="X26" s="200">
        <f>-Plankosten!X83</f>
        <v>-7500</v>
      </c>
    </row>
    <row r="27" spans="1:24" ht="18.75" customHeight="1" outlineLevel="1" x14ac:dyDescent="0.25">
      <c r="A27" s="196" t="s">
        <v>112</v>
      </c>
      <c r="B27" s="782" t="str">
        <f>Plankosten!A85</f>
        <v>Büromaterial</v>
      </c>
      <c r="C27" s="782"/>
      <c r="D27" s="783"/>
      <c r="E27" s="197">
        <f>-Plankosten!E92</f>
        <v>-2200</v>
      </c>
      <c r="F27" s="11">
        <f>-Plankosten!F92</f>
        <v>-2200</v>
      </c>
      <c r="G27" s="11">
        <f>-Plankosten!G92</f>
        <v>-2200</v>
      </c>
      <c r="H27" s="11">
        <f>-Plankosten!H92</f>
        <v>-2200</v>
      </c>
      <c r="I27" s="11">
        <f>-Plankosten!I92</f>
        <v>-2200</v>
      </c>
      <c r="J27" s="11">
        <f>-Plankosten!J92</f>
        <v>-2200</v>
      </c>
      <c r="K27" s="11">
        <f>-Plankosten!K92</f>
        <v>-2200</v>
      </c>
      <c r="L27" s="11">
        <f>-Plankosten!L92</f>
        <v>-2200</v>
      </c>
      <c r="M27" s="11">
        <f>-Plankosten!M92</f>
        <v>-2200</v>
      </c>
      <c r="N27" s="11">
        <f>-Plankosten!N92</f>
        <v>-2200</v>
      </c>
      <c r="O27" s="11">
        <f>-Plankosten!O92</f>
        <v>-2200</v>
      </c>
      <c r="P27" s="198">
        <f>-Plankosten!P92</f>
        <v>-2200</v>
      </c>
      <c r="Q27" s="12">
        <f t="shared" si="1"/>
        <v>-26400</v>
      </c>
      <c r="R27" s="197">
        <f>-Plankosten!R92</f>
        <v>-6600</v>
      </c>
      <c r="S27" s="11">
        <f>-Plankosten!S92</f>
        <v>-6600</v>
      </c>
      <c r="T27" s="11">
        <f>-Plankosten!T92</f>
        <v>-6600</v>
      </c>
      <c r="U27" s="198">
        <f>-Plankosten!U92</f>
        <v>-6600</v>
      </c>
      <c r="V27" s="12">
        <f t="shared" si="3"/>
        <v>-26400</v>
      </c>
      <c r="W27" s="199">
        <f>-Plankosten!W92</f>
        <v>-26400</v>
      </c>
      <c r="X27" s="200">
        <f>-Plankosten!X92</f>
        <v>-26400</v>
      </c>
    </row>
    <row r="28" spans="1:24" ht="18.75" customHeight="1" outlineLevel="1" x14ac:dyDescent="0.25">
      <c r="A28" s="196" t="s">
        <v>112</v>
      </c>
      <c r="B28" s="782" t="str">
        <f>Plankosten!A94</f>
        <v>Telefon / Fax / Internet</v>
      </c>
      <c r="C28" s="782"/>
      <c r="D28" s="783"/>
      <c r="E28" s="197">
        <f>-Plankosten!E101</f>
        <v>-388</v>
      </c>
      <c r="F28" s="11">
        <f>-Plankosten!F101</f>
        <v>-388</v>
      </c>
      <c r="G28" s="11">
        <f>-Plankosten!G101</f>
        <v>-388</v>
      </c>
      <c r="H28" s="11">
        <f>-Plankosten!H101</f>
        <v>-388</v>
      </c>
      <c r="I28" s="11">
        <f>-Plankosten!I101</f>
        <v>-388</v>
      </c>
      <c r="J28" s="11">
        <f>-Plankosten!J101</f>
        <v>-388</v>
      </c>
      <c r="K28" s="11">
        <f>-Plankosten!K101</f>
        <v>-388</v>
      </c>
      <c r="L28" s="11">
        <f>-Plankosten!L101</f>
        <v>-388</v>
      </c>
      <c r="M28" s="11">
        <f>-Plankosten!M101</f>
        <v>-388</v>
      </c>
      <c r="N28" s="11">
        <f>-Plankosten!N101</f>
        <v>-388</v>
      </c>
      <c r="O28" s="11">
        <f>-Plankosten!O101</f>
        <v>-388</v>
      </c>
      <c r="P28" s="198">
        <f>-Plankosten!P101</f>
        <v>-388</v>
      </c>
      <c r="Q28" s="12">
        <f t="shared" si="1"/>
        <v>-4656</v>
      </c>
      <c r="R28" s="197">
        <f>-Plankosten!R101</f>
        <v>-1164</v>
      </c>
      <c r="S28" s="11">
        <f>-Plankosten!S101</f>
        <v>-1164</v>
      </c>
      <c r="T28" s="11">
        <f>-Plankosten!T101</f>
        <v>-1164</v>
      </c>
      <c r="U28" s="198">
        <f>-Plankosten!U101</f>
        <v>-1164</v>
      </c>
      <c r="V28" s="12">
        <f t="shared" si="3"/>
        <v>-4656</v>
      </c>
      <c r="W28" s="199">
        <f>-Plankosten!W101</f>
        <v>-4656</v>
      </c>
      <c r="X28" s="200">
        <f>-Plankosten!X101</f>
        <v>-4656</v>
      </c>
    </row>
    <row r="29" spans="1:24" ht="18.75" customHeight="1" outlineLevel="1" x14ac:dyDescent="0.25">
      <c r="A29" s="196" t="s">
        <v>112</v>
      </c>
      <c r="B29" s="782" t="str">
        <f>Plankosten!A103</f>
        <v>Steuer- und Rechtsberatung</v>
      </c>
      <c r="C29" s="782"/>
      <c r="D29" s="783"/>
      <c r="E29" s="197">
        <f>-Plankosten!E110</f>
        <v>-300</v>
      </c>
      <c r="F29" s="11">
        <f>-Plankosten!F110</f>
        <v>-300</v>
      </c>
      <c r="G29" s="11">
        <f>-Plankosten!G110</f>
        <v>-2300</v>
      </c>
      <c r="H29" s="11">
        <f>-Plankosten!H110</f>
        <v>-300</v>
      </c>
      <c r="I29" s="11">
        <f>-Plankosten!I110</f>
        <v>-300</v>
      </c>
      <c r="J29" s="11">
        <f>-Plankosten!J110</f>
        <v>-300</v>
      </c>
      <c r="K29" s="11">
        <f>-Plankosten!K110</f>
        <v>-300</v>
      </c>
      <c r="L29" s="11">
        <f>-Plankosten!L110</f>
        <v>-300</v>
      </c>
      <c r="M29" s="11">
        <f>-Plankosten!M110</f>
        <v>-300</v>
      </c>
      <c r="N29" s="11">
        <f>-Plankosten!N110</f>
        <v>-3300</v>
      </c>
      <c r="O29" s="11">
        <f>-Plankosten!O110</f>
        <v>-300</v>
      </c>
      <c r="P29" s="198">
        <f>-Plankosten!P110</f>
        <v>-300</v>
      </c>
      <c r="Q29" s="12">
        <f t="shared" si="1"/>
        <v>-8600</v>
      </c>
      <c r="R29" s="197">
        <f>-Plankosten!R110</f>
        <v>-900</v>
      </c>
      <c r="S29" s="11">
        <f>-Plankosten!S110</f>
        <v>-900</v>
      </c>
      <c r="T29" s="11">
        <f>-Plankosten!T110</f>
        <v>-900</v>
      </c>
      <c r="U29" s="198">
        <f>-Plankosten!U110</f>
        <v>-3900</v>
      </c>
      <c r="V29" s="12">
        <f t="shared" si="3"/>
        <v>-6600</v>
      </c>
      <c r="W29" s="199">
        <f>-Plankosten!W110</f>
        <v>-6600</v>
      </c>
      <c r="X29" s="200">
        <f>-Plankosten!X110</f>
        <v>-6600</v>
      </c>
    </row>
    <row r="30" spans="1:24" ht="18.75" customHeight="1" outlineLevel="1" x14ac:dyDescent="0.25">
      <c r="A30" s="196" t="s">
        <v>112</v>
      </c>
      <c r="B30" s="782" t="str">
        <f>Plankosten!A112</f>
        <v>Werbungskosten</v>
      </c>
      <c r="C30" s="782"/>
      <c r="D30" s="783"/>
      <c r="E30" s="197">
        <f>-Plankosten!E119</f>
        <v>0</v>
      </c>
      <c r="F30" s="11">
        <f>-Plankosten!F119</f>
        <v>0</v>
      </c>
      <c r="G30" s="11">
        <f>-Plankosten!G119</f>
        <v>0</v>
      </c>
      <c r="H30" s="11">
        <f>-Plankosten!H119</f>
        <v>0</v>
      </c>
      <c r="I30" s="11">
        <f>-Plankosten!I119</f>
        <v>0</v>
      </c>
      <c r="J30" s="11">
        <f>-Plankosten!J119</f>
        <v>0</v>
      </c>
      <c r="K30" s="11">
        <f>-Plankosten!K119</f>
        <v>0</v>
      </c>
      <c r="L30" s="11">
        <f>-Plankosten!L119</f>
        <v>0</v>
      </c>
      <c r="M30" s="11">
        <f>-Plankosten!M119</f>
        <v>0</v>
      </c>
      <c r="N30" s="11">
        <f>-Plankosten!N119</f>
        <v>0</v>
      </c>
      <c r="O30" s="11">
        <f>-Plankosten!O119</f>
        <v>0</v>
      </c>
      <c r="P30" s="198">
        <f>-Plankosten!P119</f>
        <v>0</v>
      </c>
      <c r="Q30" s="12">
        <f t="shared" si="1"/>
        <v>0</v>
      </c>
      <c r="R30" s="197">
        <f>-Plankosten!R119</f>
        <v>0</v>
      </c>
      <c r="S30" s="11">
        <f>-Plankosten!S119</f>
        <v>0</v>
      </c>
      <c r="T30" s="11">
        <f>-Plankosten!T119</f>
        <v>0</v>
      </c>
      <c r="U30" s="198">
        <f>-Plankosten!U119</f>
        <v>0</v>
      </c>
      <c r="V30" s="12">
        <f t="shared" si="3"/>
        <v>0</v>
      </c>
      <c r="W30" s="199">
        <f>-Plankosten!W119</f>
        <v>0</v>
      </c>
      <c r="X30" s="200">
        <f>-Plankosten!X119</f>
        <v>0</v>
      </c>
    </row>
    <row r="31" spans="1:24" ht="18.75" customHeight="1" outlineLevel="1" x14ac:dyDescent="0.25">
      <c r="A31" s="196" t="s">
        <v>112</v>
      </c>
      <c r="B31" s="782" t="str">
        <f>Plankosten!A121</f>
        <v>Gebühren, Kammerbeiträge</v>
      </c>
      <c r="C31" s="782"/>
      <c r="D31" s="783"/>
      <c r="E31" s="197">
        <f>-Plankosten!E128</f>
        <v>-168.83954245979169</v>
      </c>
      <c r="F31" s="11">
        <f>-Plankosten!F128</f>
        <v>-368.83954245979169</v>
      </c>
      <c r="G31" s="11">
        <f>-Plankosten!G128</f>
        <v>-168.83954245979169</v>
      </c>
      <c r="H31" s="11">
        <f>-Plankosten!H128</f>
        <v>-168.83954245979169</v>
      </c>
      <c r="I31" s="11">
        <f>-Plankosten!I128</f>
        <v>-368.83954245979169</v>
      </c>
      <c r="J31" s="11">
        <f>-Plankosten!J128</f>
        <v>-168.83954245979169</v>
      </c>
      <c r="K31" s="11">
        <f>-Plankosten!K128</f>
        <v>-168.83954245979169</v>
      </c>
      <c r="L31" s="11">
        <f>-Plankosten!L128</f>
        <v>-368.83954245979169</v>
      </c>
      <c r="M31" s="11">
        <f>-Plankosten!M128</f>
        <v>-168.83954245979169</v>
      </c>
      <c r="N31" s="11">
        <f>-Plankosten!N128</f>
        <v>-168.83954245979169</v>
      </c>
      <c r="O31" s="11">
        <f>-Plankosten!O128</f>
        <v>-368.83954245979169</v>
      </c>
      <c r="P31" s="198">
        <f>-Plankosten!P128</f>
        <v>-168.83954245979169</v>
      </c>
      <c r="Q31" s="12">
        <f t="shared" si="1"/>
        <v>-2826.0745095174993</v>
      </c>
      <c r="R31" s="197">
        <f>-Plankosten!R128</f>
        <v>-706.51862737937495</v>
      </c>
      <c r="S31" s="11">
        <f>-Plankosten!S128</f>
        <v>-706.51862737937495</v>
      </c>
      <c r="T31" s="11">
        <f>-Plankosten!T128</f>
        <v>-706.51862737937495</v>
      </c>
      <c r="U31" s="198">
        <f>-Plankosten!U128</f>
        <v>-706.51862737937495</v>
      </c>
      <c r="V31" s="12">
        <f t="shared" si="3"/>
        <v>-2826.0745095174998</v>
      </c>
      <c r="W31" s="199">
        <f>-Plankosten!W128</f>
        <v>-2826.0745095174998</v>
      </c>
      <c r="X31" s="200">
        <f>-Plankosten!X128</f>
        <v>-2826.0745095174998</v>
      </c>
    </row>
    <row r="32" spans="1:24" ht="18.75" customHeight="1" outlineLevel="1" x14ac:dyDescent="0.25">
      <c r="A32" s="196" t="s">
        <v>112</v>
      </c>
      <c r="B32" s="782" t="str">
        <f>Plankosten!A130</f>
        <v>Betriebsversicherung</v>
      </c>
      <c r="C32" s="782"/>
      <c r="D32" s="783"/>
      <c r="E32" s="197">
        <f>-Plankosten!E137</f>
        <v>0</v>
      </c>
      <c r="F32" s="11">
        <f>-Plankosten!F137</f>
        <v>0</v>
      </c>
      <c r="G32" s="11">
        <f>-Plankosten!G137</f>
        <v>0</v>
      </c>
      <c r="H32" s="11">
        <f>-Plankosten!H137</f>
        <v>0</v>
      </c>
      <c r="I32" s="11">
        <f>-Plankosten!I137</f>
        <v>0</v>
      </c>
      <c r="J32" s="11">
        <f>-Plankosten!J137</f>
        <v>0</v>
      </c>
      <c r="K32" s="11">
        <f>-Plankosten!K137</f>
        <v>0</v>
      </c>
      <c r="L32" s="11">
        <f>-Plankosten!L137</f>
        <v>0</v>
      </c>
      <c r="M32" s="11">
        <f>-Plankosten!M137</f>
        <v>0</v>
      </c>
      <c r="N32" s="11">
        <f>-Plankosten!N137</f>
        <v>0</v>
      </c>
      <c r="O32" s="11">
        <f>-Plankosten!O137</f>
        <v>0</v>
      </c>
      <c r="P32" s="198">
        <f>-Plankosten!P137</f>
        <v>0</v>
      </c>
      <c r="Q32" s="12">
        <f t="shared" si="1"/>
        <v>0</v>
      </c>
      <c r="R32" s="197">
        <f>-Plankosten!R137</f>
        <v>0</v>
      </c>
      <c r="S32" s="11">
        <f>-Plankosten!S137</f>
        <v>0</v>
      </c>
      <c r="T32" s="11">
        <f>-Plankosten!T137</f>
        <v>0</v>
      </c>
      <c r="U32" s="198">
        <f>-Plankosten!U137</f>
        <v>0</v>
      </c>
      <c r="V32" s="12">
        <f t="shared" si="3"/>
        <v>0</v>
      </c>
      <c r="W32" s="199">
        <f>-Plankosten!W137</f>
        <v>0</v>
      </c>
      <c r="X32" s="200">
        <f>-Plankosten!X137</f>
        <v>0</v>
      </c>
    </row>
    <row r="33" spans="1:24" ht="18.75" customHeight="1" outlineLevel="1" x14ac:dyDescent="0.25">
      <c r="A33" s="196" t="s">
        <v>112</v>
      </c>
      <c r="B33" s="782" t="str">
        <f>Plankosten!A139</f>
        <v>Leasinggebühren</v>
      </c>
      <c r="C33" s="782"/>
      <c r="D33" s="783"/>
      <c r="E33" s="197">
        <f>-Plankosten!E146</f>
        <v>-1500</v>
      </c>
      <c r="F33" s="11">
        <f>-Plankosten!F146</f>
        <v>-1500</v>
      </c>
      <c r="G33" s="11">
        <f>-Plankosten!G146</f>
        <v>-1500</v>
      </c>
      <c r="H33" s="11">
        <f>-Plankosten!H146</f>
        <v>-1500</v>
      </c>
      <c r="I33" s="11">
        <f>-Plankosten!I146</f>
        <v>-1500</v>
      </c>
      <c r="J33" s="11">
        <f>-Plankosten!J146</f>
        <v>-1500</v>
      </c>
      <c r="K33" s="11">
        <f>-Plankosten!K146</f>
        <v>-1500</v>
      </c>
      <c r="L33" s="11">
        <f>-Plankosten!L146</f>
        <v>-1500</v>
      </c>
      <c r="M33" s="11">
        <f>-Plankosten!M146</f>
        <v>-1500</v>
      </c>
      <c r="N33" s="11">
        <f>-Plankosten!N146</f>
        <v>-1500</v>
      </c>
      <c r="O33" s="11">
        <f>-Plankosten!O146</f>
        <v>-1500</v>
      </c>
      <c r="P33" s="198">
        <f>-Plankosten!P146</f>
        <v>-1500</v>
      </c>
      <c r="Q33" s="12">
        <f t="shared" si="1"/>
        <v>-18000</v>
      </c>
      <c r="R33" s="197">
        <f>-Plankosten!R146</f>
        <v>-4500</v>
      </c>
      <c r="S33" s="11">
        <f>-Plankosten!S146</f>
        <v>-4500</v>
      </c>
      <c r="T33" s="11">
        <f>-Plankosten!T146</f>
        <v>-4500</v>
      </c>
      <c r="U33" s="198">
        <f>-Plankosten!U146</f>
        <v>-4500</v>
      </c>
      <c r="V33" s="12">
        <f t="shared" si="3"/>
        <v>-18000</v>
      </c>
      <c r="W33" s="199">
        <f>-Plankosten!W146</f>
        <v>-18000</v>
      </c>
      <c r="X33" s="200">
        <f>-Plankosten!X146</f>
        <v>-18000</v>
      </c>
    </row>
    <row r="34" spans="1:24" ht="18.75" customHeight="1" outlineLevel="1" x14ac:dyDescent="0.25">
      <c r="A34" s="196" t="s">
        <v>112</v>
      </c>
      <c r="B34" s="782" t="str">
        <f>Plankosten!A148</f>
        <v>Spesen-, Bank-, Kreditgebühren</v>
      </c>
      <c r="C34" s="782"/>
      <c r="D34" s="783"/>
      <c r="E34" s="197">
        <f>-Plankosten!E155</f>
        <v>-50</v>
      </c>
      <c r="F34" s="11">
        <f>-Plankosten!F155</f>
        <v>0</v>
      </c>
      <c r="G34" s="11">
        <f>-Plankosten!G155</f>
        <v>0</v>
      </c>
      <c r="H34" s="11">
        <f>-Plankosten!H155</f>
        <v>-50</v>
      </c>
      <c r="I34" s="11">
        <f>-Plankosten!I155</f>
        <v>0</v>
      </c>
      <c r="J34" s="11">
        <f>-Plankosten!J155</f>
        <v>0</v>
      </c>
      <c r="K34" s="11">
        <f>-Plankosten!K155</f>
        <v>-50</v>
      </c>
      <c r="L34" s="11">
        <f>-Plankosten!L155</f>
        <v>0</v>
      </c>
      <c r="M34" s="11">
        <f>-Plankosten!M155</f>
        <v>0</v>
      </c>
      <c r="N34" s="11">
        <f>-Plankosten!N155</f>
        <v>-50</v>
      </c>
      <c r="O34" s="11">
        <f>-Plankosten!O155</f>
        <v>0</v>
      </c>
      <c r="P34" s="198">
        <f>-Plankosten!P155</f>
        <v>0</v>
      </c>
      <c r="Q34" s="12">
        <f t="shared" si="1"/>
        <v>-200</v>
      </c>
      <c r="R34" s="197">
        <f>-Plankosten!R155</f>
        <v>-50</v>
      </c>
      <c r="S34" s="11">
        <f>-Plankosten!S155</f>
        <v>-50</v>
      </c>
      <c r="T34" s="11">
        <f>-Plankosten!T155</f>
        <v>-50</v>
      </c>
      <c r="U34" s="198">
        <f>-Plankosten!U155</f>
        <v>-50</v>
      </c>
      <c r="V34" s="12">
        <f t="shared" si="3"/>
        <v>-200</v>
      </c>
      <c r="W34" s="199">
        <f>-Plankosten!W155</f>
        <v>-200</v>
      </c>
      <c r="X34" s="200">
        <f>-Plankosten!X155</f>
        <v>-200</v>
      </c>
    </row>
    <row r="35" spans="1:24" ht="18.75" customHeight="1" outlineLevel="1" x14ac:dyDescent="0.25">
      <c r="A35" s="196" t="s">
        <v>112</v>
      </c>
      <c r="B35" s="782" t="str">
        <f>Plankosten!A157</f>
        <v>Sonstige Kosten</v>
      </c>
      <c r="C35" s="782"/>
      <c r="D35" s="783"/>
      <c r="E35" s="197">
        <f>-Plankosten!E164</f>
        <v>0</v>
      </c>
      <c r="F35" s="11">
        <f>-Plankosten!F164</f>
        <v>0</v>
      </c>
      <c r="G35" s="11">
        <f>-Plankosten!G164</f>
        <v>0</v>
      </c>
      <c r="H35" s="11">
        <f>-Plankosten!H164</f>
        <v>0</v>
      </c>
      <c r="I35" s="11">
        <f>-Plankosten!I164</f>
        <v>-15000</v>
      </c>
      <c r="J35" s="11">
        <f>-Plankosten!J164</f>
        <v>0</v>
      </c>
      <c r="K35" s="11">
        <f>-Plankosten!K164</f>
        <v>0</v>
      </c>
      <c r="L35" s="11">
        <f>-Plankosten!L164</f>
        <v>0</v>
      </c>
      <c r="M35" s="11">
        <f>-Plankosten!M164</f>
        <v>0</v>
      </c>
      <c r="N35" s="11">
        <f>-Plankosten!N164</f>
        <v>0</v>
      </c>
      <c r="O35" s="11">
        <f>-Plankosten!O164</f>
        <v>0</v>
      </c>
      <c r="P35" s="198">
        <f>-Plankosten!P164</f>
        <v>0</v>
      </c>
      <c r="Q35" s="12">
        <f t="shared" si="1"/>
        <v>-15000</v>
      </c>
      <c r="R35" s="197">
        <f>-Plankosten!R164</f>
        <v>0</v>
      </c>
      <c r="S35" s="11">
        <f>-Plankosten!S164</f>
        <v>-15000</v>
      </c>
      <c r="T35" s="11">
        <f>-Plankosten!T164</f>
        <v>0</v>
      </c>
      <c r="U35" s="198">
        <f>-Plankosten!U164</f>
        <v>0</v>
      </c>
      <c r="V35" s="12">
        <f t="shared" si="3"/>
        <v>-15000</v>
      </c>
      <c r="W35" s="199">
        <f>-Plankosten!W164</f>
        <v>-15000</v>
      </c>
      <c r="X35" s="200">
        <f>-Plankosten!X164</f>
        <v>-15000</v>
      </c>
    </row>
    <row r="36" spans="1:24" ht="18.75" customHeight="1" outlineLevel="1" thickBot="1" x14ac:dyDescent="0.3">
      <c r="A36" s="171" t="s">
        <v>112</v>
      </c>
      <c r="B36" s="784" t="s">
        <v>137</v>
      </c>
      <c r="C36" s="784"/>
      <c r="D36" s="785"/>
      <c r="E36" s="209">
        <f>-(Abschreibung!$F$19/12)</f>
        <v>-1258.3333333333333</v>
      </c>
      <c r="F36" s="142">
        <f>-(Abschreibung!$F$19/12)</f>
        <v>-1258.3333333333333</v>
      </c>
      <c r="G36" s="142">
        <f>-(Abschreibung!$F$19/12)</f>
        <v>-1258.3333333333333</v>
      </c>
      <c r="H36" s="142">
        <f>-(Abschreibung!$F$19/12)</f>
        <v>-1258.3333333333333</v>
      </c>
      <c r="I36" s="142">
        <f>-(Abschreibung!$F$19/12)</f>
        <v>-1258.3333333333333</v>
      </c>
      <c r="J36" s="142">
        <f>-(Abschreibung!$F$19/12)</f>
        <v>-1258.3333333333333</v>
      </c>
      <c r="K36" s="142">
        <f>-(Abschreibung!$F$19/12)</f>
        <v>-1258.3333333333333</v>
      </c>
      <c r="L36" s="142">
        <f>-(Abschreibung!$F$19/12)</f>
        <v>-1258.3333333333333</v>
      </c>
      <c r="M36" s="142">
        <f>-(Abschreibung!$F$19/12)</f>
        <v>-1258.3333333333333</v>
      </c>
      <c r="N36" s="142">
        <f>-(Abschreibung!$F$19/12)</f>
        <v>-1258.3333333333333</v>
      </c>
      <c r="O36" s="142">
        <f>-(Abschreibung!$F$19/12)</f>
        <v>-1258.3333333333333</v>
      </c>
      <c r="P36" s="172">
        <f>-(Abschreibung!$F$19/12)</f>
        <v>-1258.3333333333333</v>
      </c>
      <c r="Q36" s="147">
        <f t="shared" si="1"/>
        <v>-15100.000000000002</v>
      </c>
      <c r="R36" s="172">
        <f>-(Abschreibung!$H$19/4)</f>
        <v>-4712.5</v>
      </c>
      <c r="S36" s="142">
        <f>-(Abschreibung!$H$19/4)</f>
        <v>-4712.5</v>
      </c>
      <c r="T36" s="142">
        <f>-(Abschreibung!$H$19/4)</f>
        <v>-4712.5</v>
      </c>
      <c r="U36" s="172">
        <f>-(Abschreibung!$H$19/4)</f>
        <v>-4712.5</v>
      </c>
      <c r="V36" s="147">
        <f t="shared" si="3"/>
        <v>-18850</v>
      </c>
      <c r="W36" s="210">
        <f>-(Abschreibung!$I$19)</f>
        <v>-68050</v>
      </c>
      <c r="X36" s="211">
        <f>-(Abschreibung!$K$19)</f>
        <v>-48950</v>
      </c>
    </row>
    <row r="37" spans="1:24" s="207" customFormat="1" ht="7.5" customHeight="1" outlineLevel="1" thickTop="1" x14ac:dyDescent="0.25">
      <c r="A37" s="174"/>
      <c r="B37" s="175"/>
      <c r="C37" s="175"/>
      <c r="D37" s="176"/>
      <c r="E37" s="201"/>
      <c r="F37" s="202"/>
      <c r="G37" s="202"/>
      <c r="H37" s="202"/>
      <c r="I37" s="202"/>
      <c r="J37" s="202"/>
      <c r="K37" s="202"/>
      <c r="L37" s="202"/>
      <c r="M37" s="202"/>
      <c r="N37" s="202"/>
      <c r="O37" s="202"/>
      <c r="P37" s="203"/>
      <c r="Q37" s="204"/>
      <c r="R37" s="201"/>
      <c r="S37" s="202"/>
      <c r="T37" s="202"/>
      <c r="U37" s="203"/>
      <c r="V37" s="204"/>
      <c r="W37" s="205"/>
      <c r="X37" s="206"/>
    </row>
    <row r="38" spans="1:24" ht="18.75" customHeight="1" thickBot="1" x14ac:dyDescent="0.3">
      <c r="A38" s="786" t="s">
        <v>119</v>
      </c>
      <c r="B38" s="787"/>
      <c r="C38" s="787"/>
      <c r="D38" s="788"/>
      <c r="E38" s="189">
        <f>SUM(E22:E36)</f>
        <v>-25336.172875793123</v>
      </c>
      <c r="F38" s="186">
        <f t="shared" ref="F38:P38" si="15">SUM(F22:F36)</f>
        <v>-26294.172875793123</v>
      </c>
      <c r="G38" s="186">
        <f t="shared" si="15"/>
        <v>-31742.172875793123</v>
      </c>
      <c r="H38" s="186">
        <f t="shared" si="15"/>
        <v>-33440.172875793127</v>
      </c>
      <c r="I38" s="186">
        <f t="shared" si="15"/>
        <v>-72486.839542459798</v>
      </c>
      <c r="J38" s="186">
        <f t="shared" si="15"/>
        <v>-33390.172875793127</v>
      </c>
      <c r="K38" s="186">
        <f t="shared" si="15"/>
        <v>44159.827124206873</v>
      </c>
      <c r="L38" s="186">
        <f t="shared" si="15"/>
        <v>-33590.172875793127</v>
      </c>
      <c r="M38" s="186">
        <f t="shared" si="15"/>
        <v>44209.827124206873</v>
      </c>
      <c r="N38" s="186">
        <f t="shared" si="15"/>
        <v>-28680.172875793123</v>
      </c>
      <c r="O38" s="186">
        <f t="shared" si="15"/>
        <v>-49726.839542459798</v>
      </c>
      <c r="P38" s="187">
        <f t="shared" si="15"/>
        <v>-27630.172875793123</v>
      </c>
      <c r="Q38" s="188">
        <f t="shared" ref="Q38" si="16">SUM(Q22:Q36)</f>
        <v>-273947.40784285089</v>
      </c>
      <c r="R38" s="189">
        <f t="shared" ref="R38" si="17">SUM(R22:R36)</f>
        <v>14886.981372620627</v>
      </c>
      <c r="S38" s="186">
        <f t="shared" ref="S38" si="18">SUM(S22:S36)</f>
        <v>-36602.018627379373</v>
      </c>
      <c r="T38" s="186">
        <f t="shared" ref="T38" si="19">SUM(T22:T36)</f>
        <v>16386.981372620627</v>
      </c>
      <c r="U38" s="187">
        <f t="shared" ref="U38" si="20">SUM(U22:U36)</f>
        <v>-26602.018627379373</v>
      </c>
      <c r="V38" s="188">
        <f t="shared" ref="V38" si="21">SUM(V22:V36)</f>
        <v>-31930.074509517501</v>
      </c>
      <c r="W38" s="190">
        <f t="shared" ref="W38" si="22">SUM(W22:W36)</f>
        <v>-116997.28450951757</v>
      </c>
      <c r="X38" s="208">
        <f t="shared" ref="X38" si="23">SUM(X22:X36)</f>
        <v>642011.05499048252</v>
      </c>
    </row>
    <row r="39" spans="1:24" ht="18.75" customHeight="1" outlineLevel="1" thickTop="1" x14ac:dyDescent="0.25">
      <c r="A39" s="170" t="s">
        <v>112</v>
      </c>
      <c r="B39" s="789" t="s">
        <v>183</v>
      </c>
      <c r="C39" s="789"/>
      <c r="D39" s="790"/>
      <c r="E39" s="192">
        <f>-(Liquiditätsplan!E89+Liquiditätsplan!E91)/3</f>
        <v>-324.06579656844843</v>
      </c>
      <c r="F39" s="7">
        <f>-(Liquiditätsplan!E89+Liquiditätsplan!E91)/3</f>
        <v>-324.06579656844843</v>
      </c>
      <c r="G39" s="7">
        <f>-(Liquiditätsplan!E89+Liquiditätsplan!E91)/3</f>
        <v>-324.06579656844843</v>
      </c>
      <c r="H39" s="7">
        <f>-(Liquiditätsplan!H89+Liquiditätsplan!H91)/3</f>
        <v>-1092.6442132500738</v>
      </c>
      <c r="I39" s="7">
        <f>-(Liquiditätsplan!H89+Liquiditätsplan!H91)/3</f>
        <v>-1092.6442132500738</v>
      </c>
      <c r="J39" s="7">
        <f>-(Liquiditätsplan!H89+Liquiditätsplan!H91)/3</f>
        <v>-1092.6442132500738</v>
      </c>
      <c r="K39" s="7">
        <f>-(Liquiditätsplan!K89+Liquiditätsplan!K91)/3</f>
        <v>-1718.0984671898325</v>
      </c>
      <c r="L39" s="7">
        <f>-(Liquiditätsplan!K89+Liquiditätsplan!K91)/3</f>
        <v>-1718.0984671898325</v>
      </c>
      <c r="M39" s="7">
        <f>-(Liquiditätsplan!K89+Liquiditätsplan!K91)/3</f>
        <v>-1718.0984671898325</v>
      </c>
      <c r="N39" s="7">
        <f>-(Liquiditätsplan!N89+Liquiditätsplan!N91)/3</f>
        <v>-2466.5962505489692</v>
      </c>
      <c r="O39" s="7">
        <f>-(Liquiditätsplan!N89+Liquiditätsplan!N91)/3</f>
        <v>-2466.5962505489692</v>
      </c>
      <c r="P39" s="193">
        <f>-(Liquiditätsplan!N89+Liquiditätsplan!N91)/3</f>
        <v>-2466.5962505489692</v>
      </c>
      <c r="Q39" s="8">
        <f t="shared" si="1"/>
        <v>-16804.214182671971</v>
      </c>
      <c r="R39" s="192">
        <f>-(Liquiditätsplan!R89+Liquiditätsplan!R91)</f>
        <v>-10177.097721117505</v>
      </c>
      <c r="S39" s="7">
        <f>-(Liquiditätsplan!S89+Liquiditätsplan!S91)</f>
        <v>-13529.573815740596</v>
      </c>
      <c r="T39" s="7">
        <f>-(Liquiditätsplan!T89+Liquiditätsplan!T91)</f>
        <v>-16683.106631677721</v>
      </c>
      <c r="U39" s="193">
        <f>-(Liquiditätsplan!U89+Liquiditätsplan!U91)</f>
        <v>-19806.601181110716</v>
      </c>
      <c r="V39" s="8">
        <f t="shared" si="3"/>
        <v>-60196.379349646537</v>
      </c>
      <c r="W39" s="194">
        <f>-(Liquiditätsplan!W89+Liquiditätsplan!W91)</f>
        <v>-85882.365148881247</v>
      </c>
      <c r="X39" s="195">
        <f>-(Liquiditätsplan!X89+Liquiditätsplan!X91)</f>
        <v>-146979.18495698561</v>
      </c>
    </row>
    <row r="40" spans="1:24" ht="18.75" customHeight="1" outlineLevel="1" thickBot="1" x14ac:dyDescent="0.3">
      <c r="A40" s="171" t="s">
        <v>113</v>
      </c>
      <c r="B40" s="784" t="s">
        <v>182</v>
      </c>
      <c r="C40" s="784"/>
      <c r="D40" s="785"/>
      <c r="E40" s="209">
        <f>Liquiditätsplan!E90/3</f>
        <v>0</v>
      </c>
      <c r="F40" s="142">
        <f>Liquiditätsplan!E90/3</f>
        <v>0</v>
      </c>
      <c r="G40" s="142">
        <f>Liquiditätsplan!E90/3</f>
        <v>0</v>
      </c>
      <c r="H40" s="142">
        <f>Liquiditätsplan!H90/3</f>
        <v>0</v>
      </c>
      <c r="I40" s="142">
        <f>Liquiditätsplan!H90/3</f>
        <v>0</v>
      </c>
      <c r="J40" s="142">
        <f>Liquiditätsplan!H90/3</f>
        <v>0</v>
      </c>
      <c r="K40" s="142">
        <f>Liquiditätsplan!K90/3</f>
        <v>0</v>
      </c>
      <c r="L40" s="142">
        <f>Liquiditätsplan!K90/3</f>
        <v>0</v>
      </c>
      <c r="M40" s="142">
        <f>Liquiditätsplan!K90/3</f>
        <v>0</v>
      </c>
      <c r="N40" s="142">
        <f>Liquiditätsplan!N90/3</f>
        <v>0</v>
      </c>
      <c r="O40" s="142">
        <f>Liquiditätsplan!N90/3</f>
        <v>0</v>
      </c>
      <c r="P40" s="172">
        <f>Liquiditätsplan!N90/3</f>
        <v>0</v>
      </c>
      <c r="Q40" s="147">
        <f t="shared" si="1"/>
        <v>0</v>
      </c>
      <c r="R40" s="209">
        <f>Liquiditätsplan!R90</f>
        <v>0</v>
      </c>
      <c r="S40" s="142">
        <f>Liquiditätsplan!S90</f>
        <v>0</v>
      </c>
      <c r="T40" s="142">
        <f>Liquiditätsplan!T90</f>
        <v>0</v>
      </c>
      <c r="U40" s="172">
        <f>Liquiditätsplan!U90</f>
        <v>0</v>
      </c>
      <c r="V40" s="147">
        <f t="shared" si="3"/>
        <v>0</v>
      </c>
      <c r="W40" s="210">
        <f>Liquiditätsplan!W90</f>
        <v>0</v>
      </c>
      <c r="X40" s="211">
        <f>Liquiditätsplan!X90</f>
        <v>0</v>
      </c>
    </row>
    <row r="41" spans="1:24" s="207" customFormat="1" ht="7.5" customHeight="1" outlineLevel="1" thickTop="1" x14ac:dyDescent="0.25">
      <c r="A41" s="174"/>
      <c r="B41" s="175"/>
      <c r="C41" s="175"/>
      <c r="D41" s="176"/>
      <c r="E41" s="201"/>
      <c r="F41" s="202"/>
      <c r="G41" s="202"/>
      <c r="H41" s="202"/>
      <c r="I41" s="202"/>
      <c r="J41" s="202"/>
      <c r="K41" s="202"/>
      <c r="L41" s="202"/>
      <c r="M41" s="202"/>
      <c r="N41" s="202"/>
      <c r="O41" s="202"/>
      <c r="P41" s="203"/>
      <c r="Q41" s="204"/>
      <c r="R41" s="201"/>
      <c r="S41" s="202"/>
      <c r="T41" s="202"/>
      <c r="U41" s="203"/>
      <c r="V41" s="204"/>
      <c r="W41" s="205"/>
      <c r="X41" s="206"/>
    </row>
    <row r="42" spans="1:24" ht="18.75" customHeight="1" thickBot="1" x14ac:dyDescent="0.3">
      <c r="A42" s="786" t="s">
        <v>124</v>
      </c>
      <c r="B42" s="787"/>
      <c r="C42" s="787"/>
      <c r="D42" s="788"/>
      <c r="E42" s="189">
        <f>SUM(E39:E40)</f>
        <v>-324.06579656844843</v>
      </c>
      <c r="F42" s="186">
        <f t="shared" ref="F42:X42" si="24">SUM(F39:F40)</f>
        <v>-324.06579656844843</v>
      </c>
      <c r="G42" s="186">
        <f t="shared" si="24"/>
        <v>-324.06579656844843</v>
      </c>
      <c r="H42" s="186">
        <f t="shared" si="24"/>
        <v>-1092.6442132500738</v>
      </c>
      <c r="I42" s="186">
        <f t="shared" si="24"/>
        <v>-1092.6442132500738</v>
      </c>
      <c r="J42" s="186">
        <f t="shared" si="24"/>
        <v>-1092.6442132500738</v>
      </c>
      <c r="K42" s="186">
        <f t="shared" si="24"/>
        <v>-1718.0984671898325</v>
      </c>
      <c r="L42" s="186">
        <f t="shared" si="24"/>
        <v>-1718.0984671898325</v>
      </c>
      <c r="M42" s="186">
        <f t="shared" si="24"/>
        <v>-1718.0984671898325</v>
      </c>
      <c r="N42" s="186">
        <f t="shared" si="24"/>
        <v>-2466.5962505489692</v>
      </c>
      <c r="O42" s="186">
        <f t="shared" si="24"/>
        <v>-2466.5962505489692</v>
      </c>
      <c r="P42" s="187">
        <f t="shared" si="24"/>
        <v>-2466.5962505489692</v>
      </c>
      <c r="Q42" s="188">
        <f t="shared" si="24"/>
        <v>-16804.214182671971</v>
      </c>
      <c r="R42" s="189">
        <f t="shared" si="24"/>
        <v>-10177.097721117505</v>
      </c>
      <c r="S42" s="186">
        <f t="shared" si="24"/>
        <v>-13529.573815740596</v>
      </c>
      <c r="T42" s="186">
        <f t="shared" si="24"/>
        <v>-16683.106631677721</v>
      </c>
      <c r="U42" s="187">
        <f t="shared" si="24"/>
        <v>-19806.601181110716</v>
      </c>
      <c r="V42" s="188">
        <f t="shared" si="24"/>
        <v>-60196.379349646537</v>
      </c>
      <c r="W42" s="190">
        <f t="shared" si="24"/>
        <v>-85882.365148881247</v>
      </c>
      <c r="X42" s="208">
        <f t="shared" si="24"/>
        <v>-146979.18495698561</v>
      </c>
    </row>
    <row r="43" spans="1:24" ht="7.5" customHeight="1" thickTop="1" x14ac:dyDescent="0.25">
      <c r="A43" s="212"/>
      <c r="B43" s="213"/>
      <c r="C43" s="213"/>
      <c r="D43" s="214"/>
      <c r="E43" s="215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216"/>
      <c r="Q43" s="217"/>
      <c r="R43" s="215"/>
      <c r="S43" s="120"/>
      <c r="T43" s="120"/>
      <c r="U43" s="216"/>
      <c r="V43" s="217"/>
      <c r="W43" s="218"/>
      <c r="X43" s="219"/>
    </row>
    <row r="44" spans="1:24" ht="18.75" customHeight="1" thickBot="1" x14ac:dyDescent="0.3">
      <c r="A44" s="786" t="s">
        <v>125</v>
      </c>
      <c r="B44" s="787"/>
      <c r="C44" s="787"/>
      <c r="D44" s="788"/>
      <c r="E44" s="189">
        <f>E42+E38</f>
        <v>-25660.238672361571</v>
      </c>
      <c r="F44" s="186">
        <f t="shared" ref="F44:X44" si="25">F42+F38</f>
        <v>-26618.238672361571</v>
      </c>
      <c r="G44" s="186">
        <f t="shared" si="25"/>
        <v>-32066.238672361571</v>
      </c>
      <c r="H44" s="186">
        <f t="shared" si="25"/>
        <v>-34532.817089043201</v>
      </c>
      <c r="I44" s="186">
        <f t="shared" si="25"/>
        <v>-73579.483755709865</v>
      </c>
      <c r="J44" s="186">
        <f t="shared" si="25"/>
        <v>-34482.817089043201</v>
      </c>
      <c r="K44" s="186">
        <f t="shared" si="25"/>
        <v>42441.72865701704</v>
      </c>
      <c r="L44" s="186">
        <f t="shared" si="25"/>
        <v>-35308.27134298296</v>
      </c>
      <c r="M44" s="186">
        <f t="shared" si="25"/>
        <v>42491.72865701704</v>
      </c>
      <c r="N44" s="186">
        <f t="shared" si="25"/>
        <v>-31146.769126342093</v>
      </c>
      <c r="O44" s="186">
        <f t="shared" si="25"/>
        <v>-52193.435793008764</v>
      </c>
      <c r="P44" s="187">
        <f t="shared" si="25"/>
        <v>-30096.769126342093</v>
      </c>
      <c r="Q44" s="188">
        <f t="shared" si="25"/>
        <v>-290751.62202552287</v>
      </c>
      <c r="R44" s="189">
        <f t="shared" si="25"/>
        <v>4709.8836515031217</v>
      </c>
      <c r="S44" s="186">
        <f t="shared" si="25"/>
        <v>-50131.592443119967</v>
      </c>
      <c r="T44" s="186">
        <f t="shared" si="25"/>
        <v>-296.12525905709481</v>
      </c>
      <c r="U44" s="187">
        <f t="shared" si="25"/>
        <v>-46408.61980849009</v>
      </c>
      <c r="V44" s="188">
        <f t="shared" si="25"/>
        <v>-92126.45385916403</v>
      </c>
      <c r="W44" s="190">
        <f t="shared" si="25"/>
        <v>-202879.64965839882</v>
      </c>
      <c r="X44" s="208">
        <f t="shared" si="25"/>
        <v>495031.87003349687</v>
      </c>
    </row>
    <row r="45" spans="1:24" ht="18.75" customHeight="1" thickTop="1" thickBot="1" x14ac:dyDescent="0.3">
      <c r="A45" s="220" t="s">
        <v>112</v>
      </c>
      <c r="B45" s="801" t="s">
        <v>174</v>
      </c>
      <c r="C45" s="801"/>
      <c r="D45" s="802"/>
      <c r="E45" s="221">
        <f>$Q$45/12</f>
        <v>-41.666666666666664</v>
      </c>
      <c r="F45" s="221">
        <f t="shared" ref="F45:P45" si="26">$Q$45/12</f>
        <v>-41.666666666666664</v>
      </c>
      <c r="G45" s="221">
        <f t="shared" si="26"/>
        <v>-41.666666666666664</v>
      </c>
      <c r="H45" s="221">
        <f t="shared" si="26"/>
        <v>-41.666666666666664</v>
      </c>
      <c r="I45" s="221">
        <f t="shared" si="26"/>
        <v>-41.666666666666664</v>
      </c>
      <c r="J45" s="221">
        <f t="shared" si="26"/>
        <v>-41.666666666666664</v>
      </c>
      <c r="K45" s="221">
        <f t="shared" si="26"/>
        <v>-41.666666666666664</v>
      </c>
      <c r="L45" s="221">
        <f t="shared" si="26"/>
        <v>-41.666666666666664</v>
      </c>
      <c r="M45" s="221">
        <f t="shared" si="26"/>
        <v>-41.666666666666664</v>
      </c>
      <c r="N45" s="221">
        <f t="shared" si="26"/>
        <v>-41.666666666666664</v>
      </c>
      <c r="O45" s="221">
        <f t="shared" si="26"/>
        <v>-41.666666666666664</v>
      </c>
      <c r="P45" s="222">
        <f t="shared" si="26"/>
        <v>-41.666666666666664</v>
      </c>
      <c r="Q45" s="223">
        <f>-Q56</f>
        <v>-500</v>
      </c>
      <c r="R45" s="221">
        <f>$V$45/4</f>
        <v>-125</v>
      </c>
      <c r="S45" s="221">
        <f t="shared" ref="S45:U45" si="27">$V$45/4</f>
        <v>-125</v>
      </c>
      <c r="T45" s="221">
        <f t="shared" si="27"/>
        <v>-125</v>
      </c>
      <c r="U45" s="222">
        <f t="shared" si="27"/>
        <v>-125</v>
      </c>
      <c r="V45" s="223">
        <f>-V56</f>
        <v>-500</v>
      </c>
      <c r="W45" s="224">
        <f>-W56</f>
        <v>-500</v>
      </c>
      <c r="X45" s="225">
        <f>-X56</f>
        <v>-30939.491877093555</v>
      </c>
    </row>
    <row r="46" spans="1:24" s="184" customFormat="1" ht="7.5" customHeight="1" thickTop="1" thickBot="1" x14ac:dyDescent="0.3">
      <c r="A46" s="226"/>
      <c r="B46" s="227"/>
      <c r="C46" s="227"/>
      <c r="D46" s="228"/>
      <c r="E46" s="229"/>
      <c r="F46" s="230"/>
      <c r="G46" s="230"/>
      <c r="H46" s="230"/>
      <c r="I46" s="230"/>
      <c r="J46" s="230"/>
      <c r="K46" s="230"/>
      <c r="L46" s="230"/>
      <c r="M46" s="230"/>
      <c r="N46" s="230"/>
      <c r="O46" s="230"/>
      <c r="P46" s="231"/>
      <c r="Q46" s="232"/>
      <c r="R46" s="233"/>
      <c r="S46" s="234"/>
      <c r="T46" s="234"/>
      <c r="U46" s="235"/>
      <c r="V46" s="236"/>
      <c r="W46" s="237"/>
      <c r="X46" s="238"/>
    </row>
    <row r="47" spans="1:24" ht="22.5" customHeight="1" thickBot="1" x14ac:dyDescent="0.3">
      <c r="A47" s="803" t="s">
        <v>126</v>
      </c>
      <c r="B47" s="804"/>
      <c r="C47" s="804"/>
      <c r="D47" s="805"/>
      <c r="E47" s="239">
        <f>E44+E45</f>
        <v>-25701.905339028239</v>
      </c>
      <c r="F47" s="240">
        <f t="shared" ref="F47:X47" si="28">F44+F45</f>
        <v>-26659.905339028239</v>
      </c>
      <c r="G47" s="240">
        <f t="shared" si="28"/>
        <v>-32107.905339028239</v>
      </c>
      <c r="H47" s="240">
        <f t="shared" si="28"/>
        <v>-34574.483755709865</v>
      </c>
      <c r="I47" s="240">
        <f t="shared" si="28"/>
        <v>-73621.150422376537</v>
      </c>
      <c r="J47" s="240">
        <f t="shared" si="28"/>
        <v>-34524.483755709865</v>
      </c>
      <c r="K47" s="240">
        <f t="shared" si="28"/>
        <v>42400.061990350376</v>
      </c>
      <c r="L47" s="240">
        <f t="shared" si="28"/>
        <v>-35349.938009649624</v>
      </c>
      <c r="M47" s="240">
        <f t="shared" si="28"/>
        <v>42450.061990350376</v>
      </c>
      <c r="N47" s="240">
        <f t="shared" si="28"/>
        <v>-31188.435793008761</v>
      </c>
      <c r="O47" s="240">
        <f t="shared" si="28"/>
        <v>-52235.102459675429</v>
      </c>
      <c r="P47" s="241">
        <f t="shared" si="28"/>
        <v>-30138.435793008761</v>
      </c>
      <c r="Q47" s="242">
        <f t="shared" si="28"/>
        <v>-291251.62202552287</v>
      </c>
      <c r="R47" s="239">
        <f t="shared" si="28"/>
        <v>4584.8836515031217</v>
      </c>
      <c r="S47" s="240">
        <f t="shared" si="28"/>
        <v>-50256.592443119967</v>
      </c>
      <c r="T47" s="240">
        <f t="shared" si="28"/>
        <v>-421.12525905709481</v>
      </c>
      <c r="U47" s="241">
        <f t="shared" si="28"/>
        <v>-46533.61980849009</v>
      </c>
      <c r="V47" s="242">
        <f t="shared" si="28"/>
        <v>-92626.45385916403</v>
      </c>
      <c r="W47" s="243">
        <f t="shared" si="28"/>
        <v>-203379.64965839882</v>
      </c>
      <c r="X47" s="244">
        <f t="shared" si="28"/>
        <v>464092.37815640331</v>
      </c>
    </row>
    <row r="48" spans="1:24" ht="18.75" customHeight="1" thickBot="1" x14ac:dyDescent="0.3"/>
    <row r="49" spans="1:24" ht="18.75" customHeight="1" x14ac:dyDescent="0.25">
      <c r="A49" s="799" t="s">
        <v>127</v>
      </c>
      <c r="B49" s="799"/>
      <c r="C49" s="799"/>
      <c r="D49" s="799"/>
      <c r="E49" s="799"/>
      <c r="F49" s="799"/>
      <c r="G49" s="799"/>
      <c r="H49" s="799"/>
      <c r="I49" s="799"/>
      <c r="J49" s="799"/>
      <c r="K49" s="799"/>
      <c r="L49" s="799"/>
      <c r="M49" s="799"/>
      <c r="N49" s="799"/>
      <c r="O49" s="799"/>
      <c r="P49" s="800"/>
      <c r="Q49" s="245">
        <f>Q44</f>
        <v>-290751.62202552287</v>
      </c>
      <c r="R49" s="246"/>
      <c r="S49" s="246"/>
      <c r="T49" s="246"/>
      <c r="U49" s="246"/>
      <c r="V49" s="247">
        <f>V44</f>
        <v>-92126.45385916403</v>
      </c>
      <c r="W49" s="247">
        <f>W44</f>
        <v>-202879.64965839882</v>
      </c>
      <c r="X49" s="248">
        <f>X44</f>
        <v>495031.87003349687</v>
      </c>
    </row>
    <row r="50" spans="1:24" ht="18.75" customHeight="1" x14ac:dyDescent="0.25">
      <c r="A50" s="799" t="s">
        <v>133</v>
      </c>
      <c r="B50" s="799"/>
      <c r="C50" s="799"/>
      <c r="D50" s="799"/>
      <c r="E50" s="799"/>
      <c r="F50" s="799"/>
      <c r="G50" s="799"/>
      <c r="H50" s="799"/>
      <c r="I50" s="799"/>
      <c r="J50" s="799"/>
      <c r="K50" s="799"/>
      <c r="L50" s="799"/>
      <c r="M50" s="799"/>
      <c r="N50" s="799"/>
      <c r="O50" s="799"/>
      <c r="P50" s="800"/>
      <c r="Q50" s="249">
        <f>IF(Q49&lt;0,0,Q49*$D$5)</f>
        <v>0</v>
      </c>
      <c r="R50" s="250"/>
      <c r="S50" s="250"/>
      <c r="T50" s="250"/>
      <c r="U50" s="250"/>
      <c r="V50" s="251">
        <f>IF(V49&lt;0,0,V49*$D$5)</f>
        <v>0</v>
      </c>
      <c r="W50" s="251">
        <f>IF(W49&lt;0,0,W49*$D$5)</f>
        <v>0</v>
      </c>
      <c r="X50" s="13">
        <f>IF(X49&lt;0,0,X49*$D$5)</f>
        <v>123757.96750837422</v>
      </c>
    </row>
    <row r="51" spans="1:24" ht="18.75" customHeight="1" x14ac:dyDescent="0.25">
      <c r="A51" s="799" t="s">
        <v>128</v>
      </c>
      <c r="B51" s="799"/>
      <c r="C51" s="799"/>
      <c r="D51" s="799"/>
      <c r="E51" s="799"/>
      <c r="F51" s="799"/>
      <c r="G51" s="799"/>
      <c r="H51" s="799"/>
      <c r="I51" s="799"/>
      <c r="J51" s="799"/>
      <c r="K51" s="799"/>
      <c r="L51" s="799"/>
      <c r="M51" s="799"/>
      <c r="N51" s="799"/>
      <c r="O51" s="799"/>
      <c r="P51" s="800"/>
      <c r="Q51" s="249">
        <v>0</v>
      </c>
      <c r="R51" s="250"/>
      <c r="S51" s="250"/>
      <c r="T51" s="250"/>
      <c r="U51" s="250"/>
      <c r="V51" s="251">
        <f>Q52</f>
        <v>-290751.62202552287</v>
      </c>
      <c r="W51" s="251">
        <f>V52</f>
        <v>-382878.0758846869</v>
      </c>
      <c r="X51" s="13">
        <f>W52</f>
        <v>-585757.72554308572</v>
      </c>
    </row>
    <row r="52" spans="1:24" ht="18.75" customHeight="1" x14ac:dyDescent="0.25">
      <c r="A52" s="799" t="s">
        <v>129</v>
      </c>
      <c r="B52" s="799"/>
      <c r="C52" s="799"/>
      <c r="D52" s="799"/>
      <c r="E52" s="799"/>
      <c r="F52" s="799"/>
      <c r="G52" s="799"/>
      <c r="H52" s="799"/>
      <c r="I52" s="799"/>
      <c r="J52" s="799"/>
      <c r="K52" s="799"/>
      <c r="L52" s="799"/>
      <c r="M52" s="799"/>
      <c r="N52" s="799"/>
      <c r="O52" s="799"/>
      <c r="P52" s="800"/>
      <c r="Q52" s="249">
        <f>IF(Q51+(Q49-Q50)&gt;0,0,Q51+(Q49-Q50))</f>
        <v>-290751.62202552287</v>
      </c>
      <c r="R52" s="250"/>
      <c r="S52" s="250"/>
      <c r="T52" s="250"/>
      <c r="U52" s="250"/>
      <c r="V52" s="251">
        <f>IF(V51+(V49-V50)&gt;0,0,V51+(V49-V50))</f>
        <v>-382878.0758846869</v>
      </c>
      <c r="W52" s="251">
        <f>IF(W51+(W49-W50)&gt;0,0,W51+(W49-W50))</f>
        <v>-585757.72554308572</v>
      </c>
      <c r="X52" s="13">
        <f>IF(X51+(X49-X50)&gt;0,0,X51+(X49-X50))</f>
        <v>-214483.82301796309</v>
      </c>
    </row>
    <row r="53" spans="1:24" ht="7.5" customHeight="1" x14ac:dyDescent="0.25">
      <c r="A53" s="517"/>
      <c r="B53" s="517"/>
      <c r="C53" s="517"/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799"/>
      <c r="O53" s="799"/>
      <c r="P53" s="800"/>
      <c r="Q53" s="252"/>
      <c r="R53" s="253"/>
      <c r="S53" s="253"/>
      <c r="T53" s="253"/>
      <c r="U53" s="253"/>
      <c r="V53" s="254"/>
      <c r="W53" s="254"/>
      <c r="X53" s="17"/>
    </row>
    <row r="54" spans="1:24" ht="18.75" customHeight="1" x14ac:dyDescent="0.25">
      <c r="A54" s="799" t="s">
        <v>130</v>
      </c>
      <c r="B54" s="799"/>
      <c r="C54" s="799"/>
      <c r="D54" s="799"/>
      <c r="E54" s="799"/>
      <c r="F54" s="799"/>
      <c r="G54" s="799"/>
      <c r="H54" s="799"/>
      <c r="I54" s="799"/>
      <c r="J54" s="799"/>
      <c r="K54" s="799"/>
      <c r="L54" s="799"/>
      <c r="M54" s="799"/>
      <c r="N54" s="799"/>
      <c r="O54" s="799"/>
      <c r="P54" s="800"/>
      <c r="Q54" s="255">
        <f>IF(Q49*(1-$D$5)&gt;ABS(Q51),Q49*(1-$D$5)+Q51,0)</f>
        <v>0</v>
      </c>
      <c r="R54" s="256"/>
      <c r="S54" s="256"/>
      <c r="T54" s="256"/>
      <c r="U54" s="256"/>
      <c r="V54" s="257">
        <f>IF(V49*(1-$D$5)&gt;ABS(V51),V49*(1-$D$5)+V51,0)</f>
        <v>0</v>
      </c>
      <c r="W54" s="257">
        <f>IF(W49*(1-$D$5)&gt;ABS(W51),W49*(1-$D$5)+W51,0)</f>
        <v>0</v>
      </c>
      <c r="X54" s="258">
        <f>IF(X49*(1-$D$5)&gt;ABS(X51),X49*(1-$D$5)+X51,0)</f>
        <v>0</v>
      </c>
    </row>
    <row r="55" spans="1:24" ht="18.75" customHeight="1" thickBot="1" x14ac:dyDescent="0.3">
      <c r="A55" s="799" t="s">
        <v>131</v>
      </c>
      <c r="B55" s="799"/>
      <c r="C55" s="799"/>
      <c r="D55" s="799"/>
      <c r="E55" s="799"/>
      <c r="F55" s="799"/>
      <c r="G55" s="799"/>
      <c r="H55" s="799"/>
      <c r="I55" s="799"/>
      <c r="J55" s="799"/>
      <c r="K55" s="799"/>
      <c r="L55" s="799"/>
      <c r="M55" s="799"/>
      <c r="N55" s="799"/>
      <c r="O55" s="799"/>
      <c r="P55" s="800"/>
      <c r="Q55" s="252">
        <f>SUM(Q50,Q54)</f>
        <v>0</v>
      </c>
      <c r="R55" s="253"/>
      <c r="S55" s="253"/>
      <c r="T55" s="253"/>
      <c r="U55" s="253"/>
      <c r="V55" s="254">
        <f>SUM(V50,V54)</f>
        <v>0</v>
      </c>
      <c r="W55" s="254">
        <f>SUM(W50,W54)</f>
        <v>0</v>
      </c>
      <c r="X55" s="17">
        <f>SUM(X50,X54)</f>
        <v>123757.96750837422</v>
      </c>
    </row>
    <row r="56" spans="1:24" ht="18.75" customHeight="1" thickTop="1" thickBot="1" x14ac:dyDescent="0.3">
      <c r="A56" s="806" t="s">
        <v>134</v>
      </c>
      <c r="B56" s="806"/>
      <c r="C56" s="806"/>
      <c r="D56" s="806"/>
      <c r="E56" s="806"/>
      <c r="F56" s="806"/>
      <c r="G56" s="806"/>
      <c r="H56" s="806"/>
      <c r="I56" s="806"/>
      <c r="J56" s="806"/>
      <c r="K56" s="806"/>
      <c r="L56" s="806"/>
      <c r="M56" s="806"/>
      <c r="N56" s="806"/>
      <c r="O56" s="806"/>
      <c r="P56" s="807"/>
      <c r="Q56" s="259">
        <f>IF(Q55*$D$5&lt;500,500,Q55*$D$5)</f>
        <v>500</v>
      </c>
      <c r="R56" s="260"/>
      <c r="S56" s="260"/>
      <c r="T56" s="260"/>
      <c r="U56" s="260"/>
      <c r="V56" s="261">
        <f>IF(V55*$D$5&lt;500,500,V55*$D$5)</f>
        <v>500</v>
      </c>
      <c r="W56" s="261">
        <f>IF(W55*$D$5&lt;500,500,W55*$D$5)</f>
        <v>500</v>
      </c>
      <c r="X56" s="262">
        <f>IF(X55*$D$5&lt;500,500,X55*$D$5)</f>
        <v>30939.491877093555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u+LDvPRXyhtOzx0wsD/kKiaX9s+vv6mvjp3p/KvnOLtKX8I0WzgZsl3Ph0wkWxzXvkTl8HRRmZAGZD6JguDLkg==" saltValue="IklmURgT5cXY4OJ/BnKrWA==" spinCount="100000" sheet="1" objects="1" scenarios="1"/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" right="0.7" top="0.78740157499999996" bottom="0.78740157499999996" header="0.3" footer="0.3"/>
  <pageSetup paperSize="8" scale="60" fitToHeight="0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40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N30" sqref="A30:XFD31"/>
    </sheetView>
  </sheetViews>
  <sheetFormatPr baseColWidth="10" defaultRowHeight="15" outlineLevelRow="2" x14ac:dyDescent="0.25"/>
  <cols>
    <col min="1" max="1" width="35.140625" style="43" bestFit="1" customWidth="1"/>
    <col min="2" max="2" width="12.140625" style="43" bestFit="1" customWidth="1"/>
    <col min="3" max="3" width="6.28515625" style="43" bestFit="1" customWidth="1"/>
    <col min="4" max="4" width="9" style="43" bestFit="1" customWidth="1"/>
    <col min="5" max="5" width="6.7109375" style="43" bestFit="1" customWidth="1"/>
    <col min="6" max="6" width="11.85546875" style="43" bestFit="1" customWidth="1"/>
    <col min="7" max="7" width="13" style="43" bestFit="1" customWidth="1"/>
    <col min="8" max="8" width="11.85546875" style="43" bestFit="1" customWidth="1"/>
    <col min="9" max="9" width="13" style="43" bestFit="1" customWidth="1"/>
    <col min="10" max="10" width="11.85546875" style="43" bestFit="1" customWidth="1"/>
    <col min="11" max="11" width="13" style="43" bestFit="1" customWidth="1"/>
    <col min="12" max="13" width="11.85546875" style="43" bestFit="1" customWidth="1"/>
    <col min="14" max="16384" width="11.42578125" style="43"/>
  </cols>
  <sheetData>
    <row r="1" spans="1:13" ht="27" thickBot="1" x14ac:dyDescent="0.3">
      <c r="A1" s="754" t="s">
        <v>137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6"/>
    </row>
    <row r="2" spans="1:13" ht="7.5" customHeight="1" thickBot="1" x14ac:dyDescent="0.3"/>
    <row r="3" spans="1:13" ht="15" customHeight="1" x14ac:dyDescent="0.25">
      <c r="A3" s="739" t="s">
        <v>186</v>
      </c>
      <c r="B3" s="749" t="s">
        <v>188</v>
      </c>
      <c r="C3" s="749" t="s">
        <v>32</v>
      </c>
      <c r="D3" s="749" t="s">
        <v>31</v>
      </c>
      <c r="E3" s="747" t="s">
        <v>187</v>
      </c>
      <c r="F3" s="820" t="s">
        <v>20</v>
      </c>
      <c r="G3" s="821"/>
      <c r="H3" s="730" t="s">
        <v>25</v>
      </c>
      <c r="I3" s="733"/>
      <c r="J3" s="730" t="s">
        <v>26</v>
      </c>
      <c r="K3" s="733"/>
      <c r="L3" s="730" t="s">
        <v>27</v>
      </c>
      <c r="M3" s="822"/>
    </row>
    <row r="4" spans="1:13" s="5" customFormat="1" ht="15" customHeight="1" thickBot="1" x14ac:dyDescent="0.3">
      <c r="A4" s="740"/>
      <c r="B4" s="750"/>
      <c r="C4" s="750"/>
      <c r="D4" s="750"/>
      <c r="E4" s="748"/>
      <c r="F4" s="273" t="s">
        <v>138</v>
      </c>
      <c r="G4" s="274" t="s">
        <v>139</v>
      </c>
      <c r="H4" s="275" t="s">
        <v>138</v>
      </c>
      <c r="I4" s="282" t="s">
        <v>139</v>
      </c>
      <c r="J4" s="275" t="s">
        <v>138</v>
      </c>
      <c r="K4" s="282" t="s">
        <v>139</v>
      </c>
      <c r="L4" s="275" t="s">
        <v>138</v>
      </c>
      <c r="M4" s="413" t="s">
        <v>139</v>
      </c>
    </row>
    <row r="5" spans="1:13" ht="18.75" customHeight="1" outlineLevel="2" thickTop="1" x14ac:dyDescent="0.25">
      <c r="A5" s="521" t="str">
        <f t="array" ref="A5:D18">IF(Investitionsplan!A5:D18="","",Investitionsplan!A5:D18)</f>
        <v>Büroeinrichtung</v>
      </c>
      <c r="B5" s="263">
        <v>25000</v>
      </c>
      <c r="C5" s="125">
        <v>10</v>
      </c>
      <c r="D5" s="125">
        <v>1</v>
      </c>
      <c r="E5" s="126">
        <f>IF($D5="","",IF(OR($D5&lt;=6,AND($D5&gt;12,$D5&lt;=18),AND($D5&gt;24,$D5&lt;=30),AND($D5&gt;36,$D5&lt;=42)),1,2))</f>
        <v>1</v>
      </c>
      <c r="F5" s="6">
        <f>IF($D5&lt;=12,$B5/$C5/$E5,0)</f>
        <v>2500</v>
      </c>
      <c r="G5" s="74">
        <f>IF($D5&lt;=12,$B5-$F5,0)</f>
        <v>22500</v>
      </c>
      <c r="H5" s="75">
        <f>IF($D5&lt;=24,IF($D5&lt;=12,$B5/$C5,$B5/$C5/$E5),0)</f>
        <v>2500</v>
      </c>
      <c r="I5" s="77">
        <f>IF($D5&lt;=24,IF($D5&lt;=12,G5-H5,$B5-H5),0)</f>
        <v>20000</v>
      </c>
      <c r="J5" s="75">
        <f>IF($D5&lt;=36,IF($D5&lt;=24,$B5/$C5,$B5/$C5/$E5),0)</f>
        <v>2500</v>
      </c>
      <c r="K5" s="77">
        <f>IF($D5&lt;=36,IF($D5&lt;=24,I5-J5,$B5-J5),0)</f>
        <v>17500</v>
      </c>
      <c r="L5" s="75">
        <f t="shared" ref="L5:L6" si="0">IFERROR(IF($C5*12+$D5-1&lt;=36,0,IF(IF($D5&lt;=48,IF($D5&lt;=36,$B5/$C5,$B5/$C5/$E5),0)&gt;$K5,$K5,IF($D5&lt;=48,IF($D5&lt;=36,$B5/$C5,$B5/$C5/$E5),0))),0)</f>
        <v>2500</v>
      </c>
      <c r="M5" s="414">
        <f>IF($D5&lt;=48,IF($D5&lt;=36,K5-L5,$B5-L5),0)</f>
        <v>15000</v>
      </c>
    </row>
    <row r="6" spans="1:13" ht="18.75" customHeight="1" outlineLevel="2" x14ac:dyDescent="0.25">
      <c r="A6" s="520" t="str">
        <v>Küchenausstattung</v>
      </c>
      <c r="B6" s="264">
        <v>3000</v>
      </c>
      <c r="C6" s="127">
        <v>5</v>
      </c>
      <c r="D6" s="127">
        <v>1</v>
      </c>
      <c r="E6" s="265">
        <f t="shared" ref="E6:E18" si="1">IF($D6="","",IF(OR($D6&lt;=6,AND($D6&gt;12,$D6&lt;=18),AND($D6&gt;24,$D6&lt;=30),AND($D6&gt;36,$D6&lt;=42)),1,2))</f>
        <v>1</v>
      </c>
      <c r="F6" s="10">
        <f t="shared" ref="F6:F17" si="2">IF($D6&lt;=12,$B6/$C6/$E6,0)</f>
        <v>600</v>
      </c>
      <c r="G6" s="78">
        <f t="shared" ref="G6:G17" si="3">IF($D6&lt;=12,$B6-$F6,0)</f>
        <v>2400</v>
      </c>
      <c r="H6" s="79">
        <f t="shared" ref="H6:H17" si="4">IF($D6&lt;=24,IF($D6&lt;=12,$B6/$C6,$B6/$C6/$E6),0)</f>
        <v>600</v>
      </c>
      <c r="I6" s="81">
        <f t="shared" ref="I6:I17" si="5">IF($D6&lt;=24,IF($D6&lt;=12,G6-H6,$B6-H6),0)</f>
        <v>1800</v>
      </c>
      <c r="J6" s="79">
        <f t="shared" ref="J6:J17" si="6">IF($D6&lt;=36,IF($D6&lt;=24,$B6/$C6,$B6/$C6/$E6),0)</f>
        <v>600</v>
      </c>
      <c r="K6" s="81">
        <f t="shared" ref="K6:K17" si="7">IF($D6&lt;=36,IF($D6&lt;=24,I6-J6,$B6-J6),0)</f>
        <v>1200</v>
      </c>
      <c r="L6" s="79">
        <f t="shared" si="0"/>
        <v>600</v>
      </c>
      <c r="M6" s="415">
        <f t="shared" ref="M6:M17" si="8">IF($D6&lt;=48,IF($D6&lt;=36,K6-L6,$B6-L6),0)</f>
        <v>600</v>
      </c>
    </row>
    <row r="7" spans="1:13" ht="18.75" customHeight="1" outlineLevel="2" x14ac:dyDescent="0.25">
      <c r="A7" s="520" t="str">
        <v/>
      </c>
      <c r="B7" s="264" t="str">
        <v/>
      </c>
      <c r="C7" s="127" t="str">
        <v/>
      </c>
      <c r="D7" s="127" t="str">
        <v/>
      </c>
      <c r="E7" s="265" t="str">
        <f t="shared" si="1"/>
        <v/>
      </c>
      <c r="F7" s="10">
        <f t="shared" si="2"/>
        <v>0</v>
      </c>
      <c r="G7" s="78">
        <f t="shared" si="3"/>
        <v>0</v>
      </c>
      <c r="H7" s="79">
        <f t="shared" si="4"/>
        <v>0</v>
      </c>
      <c r="I7" s="81">
        <f t="shared" si="5"/>
        <v>0</v>
      </c>
      <c r="J7" s="79">
        <f t="shared" si="6"/>
        <v>0</v>
      </c>
      <c r="K7" s="81">
        <f t="shared" si="7"/>
        <v>0</v>
      </c>
      <c r="L7" s="79">
        <f>IFERROR(IF($C7*12+$D7-1&lt;=36,0,IF(IF($D7&lt;=48,IF($D7&lt;=36,$B7/$C7,$B7/$C7/$E7),0)&gt;$K7,$K7,IF($D7&lt;=48,IF($D7&lt;=36,$B7/$C7,$B7/$C7/$E7),0))),0)</f>
        <v>0</v>
      </c>
      <c r="M7" s="415">
        <f t="shared" si="8"/>
        <v>0</v>
      </c>
    </row>
    <row r="8" spans="1:13" ht="18.75" customHeight="1" outlineLevel="2" x14ac:dyDescent="0.25">
      <c r="A8" s="520" t="str">
        <v>EDV - Ausstattung (allgemein)</v>
      </c>
      <c r="B8" s="264">
        <v>10000</v>
      </c>
      <c r="C8" s="127">
        <v>4</v>
      </c>
      <c r="D8" s="127">
        <v>1</v>
      </c>
      <c r="E8" s="265">
        <f t="shared" si="1"/>
        <v>1</v>
      </c>
      <c r="F8" s="10">
        <f t="shared" si="2"/>
        <v>2500</v>
      </c>
      <c r="G8" s="78">
        <f t="shared" si="3"/>
        <v>7500</v>
      </c>
      <c r="H8" s="79">
        <f t="shared" si="4"/>
        <v>2500</v>
      </c>
      <c r="I8" s="81">
        <f t="shared" si="5"/>
        <v>5000</v>
      </c>
      <c r="J8" s="79">
        <f t="shared" si="6"/>
        <v>2500</v>
      </c>
      <c r="K8" s="81">
        <f t="shared" si="7"/>
        <v>2500</v>
      </c>
      <c r="L8" s="79">
        <f t="shared" ref="L8:L17" si="9">IFERROR(IF($C8*12+$D8-1&lt;=36,0,IF(IF($D8&lt;=48,IF($D8&lt;=36,$B8/$C8,$B8/$C8/$E8),0)&gt;$K8,$K8,IF($D8&lt;=48,IF($D8&lt;=36,$B8/$C8,$B8/$C8/$E8),0))),0)</f>
        <v>2500</v>
      </c>
      <c r="M8" s="415">
        <f t="shared" si="8"/>
        <v>0</v>
      </c>
    </row>
    <row r="9" spans="1:13" ht="18.75" customHeight="1" outlineLevel="2" x14ac:dyDescent="0.25">
      <c r="A9" s="520" t="str">
        <v>EDV - Ausstattung (Gründer)</v>
      </c>
      <c r="B9" s="264">
        <v>12000</v>
      </c>
      <c r="C9" s="127">
        <v>4</v>
      </c>
      <c r="D9" s="127">
        <v>1</v>
      </c>
      <c r="E9" s="265">
        <f t="shared" si="1"/>
        <v>1</v>
      </c>
      <c r="F9" s="10">
        <f t="shared" si="2"/>
        <v>3000</v>
      </c>
      <c r="G9" s="78">
        <f t="shared" si="3"/>
        <v>9000</v>
      </c>
      <c r="H9" s="79">
        <f t="shared" si="4"/>
        <v>3000</v>
      </c>
      <c r="I9" s="81">
        <f t="shared" si="5"/>
        <v>6000</v>
      </c>
      <c r="J9" s="79">
        <f t="shared" si="6"/>
        <v>3000</v>
      </c>
      <c r="K9" s="81">
        <f t="shared" si="7"/>
        <v>3000</v>
      </c>
      <c r="L9" s="79">
        <f t="shared" si="9"/>
        <v>3000</v>
      </c>
      <c r="M9" s="415">
        <f t="shared" si="8"/>
        <v>0</v>
      </c>
    </row>
    <row r="10" spans="1:13" ht="18.75" customHeight="1" outlineLevel="2" x14ac:dyDescent="0.25">
      <c r="A10" s="520" t="str">
        <v>EDV - Ausstattung (Mitarbeiter)</v>
      </c>
      <c r="B10" s="264">
        <v>8000</v>
      </c>
      <c r="C10" s="127">
        <v>4</v>
      </c>
      <c r="D10" s="127">
        <v>1</v>
      </c>
      <c r="E10" s="265">
        <f t="shared" si="1"/>
        <v>1</v>
      </c>
      <c r="F10" s="10">
        <f t="shared" si="2"/>
        <v>2000</v>
      </c>
      <c r="G10" s="78">
        <f t="shared" si="3"/>
        <v>6000</v>
      </c>
      <c r="H10" s="79">
        <f t="shared" si="4"/>
        <v>2000</v>
      </c>
      <c r="I10" s="81">
        <f t="shared" si="5"/>
        <v>4000</v>
      </c>
      <c r="J10" s="79">
        <f t="shared" si="6"/>
        <v>2000</v>
      </c>
      <c r="K10" s="81">
        <f t="shared" si="7"/>
        <v>2000</v>
      </c>
      <c r="L10" s="79">
        <f t="shared" si="9"/>
        <v>2000</v>
      </c>
      <c r="M10" s="415">
        <f t="shared" si="8"/>
        <v>0</v>
      </c>
    </row>
    <row r="11" spans="1:13" ht="18.75" customHeight="1" outlineLevel="2" x14ac:dyDescent="0.25">
      <c r="A11" s="520" t="str">
        <v>EDV - Ausstattung (Mitarbeiter)</v>
      </c>
      <c r="B11" s="264">
        <v>8000</v>
      </c>
      <c r="C11" s="127">
        <v>4</v>
      </c>
      <c r="D11" s="127">
        <v>13</v>
      </c>
      <c r="E11" s="265">
        <f t="shared" si="1"/>
        <v>1</v>
      </c>
      <c r="F11" s="10">
        <f t="shared" si="2"/>
        <v>0</v>
      </c>
      <c r="G11" s="78">
        <f t="shared" si="3"/>
        <v>0</v>
      </c>
      <c r="H11" s="79">
        <f t="shared" si="4"/>
        <v>2000</v>
      </c>
      <c r="I11" s="81">
        <f t="shared" si="5"/>
        <v>6000</v>
      </c>
      <c r="J11" s="79">
        <f t="shared" si="6"/>
        <v>2000</v>
      </c>
      <c r="K11" s="81">
        <f t="shared" si="7"/>
        <v>4000</v>
      </c>
      <c r="L11" s="79">
        <f t="shared" si="9"/>
        <v>2000</v>
      </c>
      <c r="M11" s="415">
        <f t="shared" si="8"/>
        <v>2000</v>
      </c>
    </row>
    <row r="12" spans="1:13" ht="18.75" customHeight="1" outlineLevel="2" x14ac:dyDescent="0.25">
      <c r="A12" s="520" t="str">
        <v>EDV - Ausstattung (Mitarbeiter)</v>
      </c>
      <c r="B12" s="264">
        <v>6000</v>
      </c>
      <c r="C12" s="127">
        <v>4</v>
      </c>
      <c r="D12" s="127">
        <v>19</v>
      </c>
      <c r="E12" s="265">
        <f t="shared" si="1"/>
        <v>2</v>
      </c>
      <c r="F12" s="10">
        <f t="shared" si="2"/>
        <v>0</v>
      </c>
      <c r="G12" s="78">
        <f t="shared" si="3"/>
        <v>0</v>
      </c>
      <c r="H12" s="79">
        <f t="shared" si="4"/>
        <v>750</v>
      </c>
      <c r="I12" s="81">
        <f t="shared" si="5"/>
        <v>5250</v>
      </c>
      <c r="J12" s="79">
        <f t="shared" si="6"/>
        <v>1500</v>
      </c>
      <c r="K12" s="81">
        <f t="shared" si="7"/>
        <v>3750</v>
      </c>
      <c r="L12" s="79">
        <f t="shared" si="9"/>
        <v>1500</v>
      </c>
      <c r="M12" s="415">
        <f t="shared" si="8"/>
        <v>2250</v>
      </c>
    </row>
    <row r="13" spans="1:13" ht="18.75" customHeight="1" outlineLevel="2" x14ac:dyDescent="0.25">
      <c r="A13" s="520" t="str">
        <v>EDV - Ausstattung (Mitarbeiter)</v>
      </c>
      <c r="B13" s="264">
        <v>2000</v>
      </c>
      <c r="C13" s="127">
        <v>4</v>
      </c>
      <c r="D13" s="127">
        <v>25</v>
      </c>
      <c r="E13" s="265">
        <f t="shared" si="1"/>
        <v>1</v>
      </c>
      <c r="F13" s="10">
        <f t="shared" si="2"/>
        <v>0</v>
      </c>
      <c r="G13" s="78">
        <f t="shared" si="3"/>
        <v>0</v>
      </c>
      <c r="H13" s="79">
        <f t="shared" si="4"/>
        <v>0</v>
      </c>
      <c r="I13" s="81">
        <f t="shared" si="5"/>
        <v>0</v>
      </c>
      <c r="J13" s="79">
        <f t="shared" si="6"/>
        <v>500</v>
      </c>
      <c r="K13" s="81">
        <f t="shared" si="7"/>
        <v>1500</v>
      </c>
      <c r="L13" s="79">
        <f t="shared" si="9"/>
        <v>500</v>
      </c>
      <c r="M13" s="415">
        <f t="shared" si="8"/>
        <v>1000</v>
      </c>
    </row>
    <row r="14" spans="1:13" ht="18.75" customHeight="1" outlineLevel="2" x14ac:dyDescent="0.25">
      <c r="A14" s="520" t="str">
        <v>Server</v>
      </c>
      <c r="B14" s="264">
        <v>10000</v>
      </c>
      <c r="C14" s="127">
        <v>4</v>
      </c>
      <c r="D14" s="127">
        <v>2</v>
      </c>
      <c r="E14" s="265">
        <f t="shared" si="1"/>
        <v>1</v>
      </c>
      <c r="F14" s="10">
        <f t="shared" si="2"/>
        <v>2500</v>
      </c>
      <c r="G14" s="78">
        <f t="shared" si="3"/>
        <v>7500</v>
      </c>
      <c r="H14" s="79">
        <f t="shared" si="4"/>
        <v>2500</v>
      </c>
      <c r="I14" s="81">
        <f t="shared" si="5"/>
        <v>5000</v>
      </c>
      <c r="J14" s="79">
        <f t="shared" si="6"/>
        <v>2500</v>
      </c>
      <c r="K14" s="81">
        <f t="shared" si="7"/>
        <v>2500</v>
      </c>
      <c r="L14" s="79">
        <f t="shared" si="9"/>
        <v>2500</v>
      </c>
      <c r="M14" s="415">
        <f t="shared" si="8"/>
        <v>0</v>
      </c>
    </row>
    <row r="15" spans="1:13" ht="18.75" customHeight="1" outlineLevel="2" x14ac:dyDescent="0.25">
      <c r="A15" s="266" t="str">
        <v>Messaufbau</v>
      </c>
      <c r="B15" s="267">
        <v>10000</v>
      </c>
      <c r="C15" s="268">
        <v>5</v>
      </c>
      <c r="D15" s="268">
        <v>5</v>
      </c>
      <c r="E15" s="269">
        <f t="shared" si="1"/>
        <v>1</v>
      </c>
      <c r="F15" s="14">
        <f t="shared" si="2"/>
        <v>2000</v>
      </c>
      <c r="G15" s="82">
        <f t="shared" si="3"/>
        <v>8000</v>
      </c>
      <c r="H15" s="83">
        <f t="shared" si="4"/>
        <v>2000</v>
      </c>
      <c r="I15" s="85">
        <f t="shared" si="5"/>
        <v>6000</v>
      </c>
      <c r="J15" s="83">
        <f t="shared" si="6"/>
        <v>2000</v>
      </c>
      <c r="K15" s="85">
        <f t="shared" si="7"/>
        <v>4000</v>
      </c>
      <c r="L15" s="79">
        <f t="shared" si="9"/>
        <v>2000</v>
      </c>
      <c r="M15" s="416">
        <f t="shared" si="8"/>
        <v>2000</v>
      </c>
    </row>
    <row r="16" spans="1:13" ht="18.75" customHeight="1" outlineLevel="2" x14ac:dyDescent="0.25">
      <c r="A16" s="266" t="str">
        <v>Messaufbau</v>
      </c>
      <c r="B16" s="267">
        <v>10000</v>
      </c>
      <c r="C16" s="268">
        <v>5</v>
      </c>
      <c r="D16" s="268">
        <v>19</v>
      </c>
      <c r="E16" s="269">
        <f t="shared" si="1"/>
        <v>2</v>
      </c>
      <c r="F16" s="14">
        <f t="shared" si="2"/>
        <v>0</v>
      </c>
      <c r="G16" s="82">
        <f t="shared" si="3"/>
        <v>0</v>
      </c>
      <c r="H16" s="83">
        <f t="shared" si="4"/>
        <v>1000</v>
      </c>
      <c r="I16" s="85">
        <f t="shared" si="5"/>
        <v>9000</v>
      </c>
      <c r="J16" s="83">
        <f t="shared" si="6"/>
        <v>2000</v>
      </c>
      <c r="K16" s="85">
        <f t="shared" si="7"/>
        <v>7000</v>
      </c>
      <c r="L16" s="79">
        <f t="shared" si="9"/>
        <v>2000</v>
      </c>
      <c r="M16" s="416">
        <f t="shared" si="8"/>
        <v>5000</v>
      </c>
    </row>
    <row r="17" spans="1:13" ht="18.75" customHeight="1" outlineLevel="2" thickBot="1" x14ac:dyDescent="0.3">
      <c r="A17" s="266" t="str">
        <v/>
      </c>
      <c r="B17" s="267" t="str">
        <v/>
      </c>
      <c r="C17" s="268" t="str">
        <v/>
      </c>
      <c r="D17" s="268" t="str">
        <v/>
      </c>
      <c r="E17" s="269" t="str">
        <f t="shared" si="1"/>
        <v/>
      </c>
      <c r="F17" s="14">
        <f t="shared" si="2"/>
        <v>0</v>
      </c>
      <c r="G17" s="82">
        <f t="shared" si="3"/>
        <v>0</v>
      </c>
      <c r="H17" s="83">
        <f t="shared" si="4"/>
        <v>0</v>
      </c>
      <c r="I17" s="85">
        <f t="shared" si="5"/>
        <v>0</v>
      </c>
      <c r="J17" s="83">
        <f t="shared" si="6"/>
        <v>0</v>
      </c>
      <c r="K17" s="85">
        <f t="shared" si="7"/>
        <v>0</v>
      </c>
      <c r="L17" s="83">
        <f t="shared" si="9"/>
        <v>0</v>
      </c>
      <c r="M17" s="416">
        <f t="shared" si="8"/>
        <v>0</v>
      </c>
    </row>
    <row r="18" spans="1:13" ht="7.5" customHeight="1" outlineLevel="2" thickTop="1" thickBot="1" x14ac:dyDescent="0.3">
      <c r="A18" s="270" t="str">
        <v/>
      </c>
      <c r="B18" s="271" t="str">
        <v/>
      </c>
      <c r="C18" s="271" t="str">
        <v/>
      </c>
      <c r="D18" s="271" t="str">
        <v/>
      </c>
      <c r="E18" s="272" t="str">
        <f t="shared" si="1"/>
        <v/>
      </c>
      <c r="F18" s="29"/>
      <c r="G18" s="32"/>
      <c r="H18" s="33"/>
      <c r="I18" s="34"/>
      <c r="J18" s="33"/>
      <c r="K18" s="34"/>
      <c r="L18" s="33"/>
      <c r="M18" s="417"/>
    </row>
    <row r="19" spans="1:13" ht="18.75" customHeight="1" outlineLevel="1" thickBot="1" x14ac:dyDescent="0.3">
      <c r="A19" s="37" t="s">
        <v>28</v>
      </c>
      <c r="B19" s="589">
        <f>SUM(B5:B18)</f>
        <v>104000</v>
      </c>
      <c r="C19" s="44"/>
      <c r="D19" s="45"/>
      <c r="E19" s="46"/>
      <c r="F19" s="490">
        <f t="shared" ref="F19:M19" si="10">SUM(F5:F18)</f>
        <v>15100</v>
      </c>
      <c r="G19" s="591">
        <f t="shared" si="10"/>
        <v>62900</v>
      </c>
      <c r="H19" s="492">
        <f t="shared" si="10"/>
        <v>18850</v>
      </c>
      <c r="I19" s="592">
        <f t="shared" si="10"/>
        <v>68050</v>
      </c>
      <c r="J19" s="492">
        <f t="shared" si="10"/>
        <v>21100</v>
      </c>
      <c r="K19" s="591">
        <f t="shared" si="10"/>
        <v>48950</v>
      </c>
      <c r="L19" s="492">
        <f t="shared" si="10"/>
        <v>21100</v>
      </c>
      <c r="M19" s="654">
        <f t="shared" si="10"/>
        <v>27850</v>
      </c>
    </row>
    <row r="20" spans="1:13" ht="7.5" customHeight="1" outlineLevel="1" x14ac:dyDescent="0.25">
      <c r="A20" s="741"/>
      <c r="B20" s="742"/>
      <c r="C20" s="742"/>
      <c r="D20" s="742"/>
      <c r="E20" s="742"/>
      <c r="F20" s="742"/>
      <c r="G20" s="742"/>
      <c r="H20" s="742"/>
      <c r="I20" s="742"/>
      <c r="J20" s="742"/>
      <c r="K20" s="742"/>
      <c r="L20" s="742"/>
      <c r="M20" s="743"/>
    </row>
    <row r="21" spans="1:13" ht="18.75" customHeight="1" outlineLevel="1" thickBot="1" x14ac:dyDescent="0.3">
      <c r="A21" s="47" t="s">
        <v>29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9"/>
    </row>
    <row r="22" spans="1:13" ht="18.75" customHeight="1" outlineLevel="2" thickTop="1" x14ac:dyDescent="0.25">
      <c r="A22" s="521" t="str">
        <f t="array" ref="A22:D24">IF(Investitionsplan!A22:D24="","",Investitionsplan!A22:D24)</f>
        <v>Patentanträge</v>
      </c>
      <c r="B22" s="76">
        <v>20000</v>
      </c>
      <c r="C22" s="125">
        <v>20</v>
      </c>
      <c r="D22" s="125">
        <v>1</v>
      </c>
      <c r="E22" s="126"/>
      <c r="F22" s="291"/>
      <c r="G22" s="74">
        <f>$B22</f>
        <v>20000</v>
      </c>
      <c r="H22" s="294"/>
      <c r="I22" s="77">
        <f>$B22</f>
        <v>20000</v>
      </c>
      <c r="J22" s="294"/>
      <c r="K22" s="283">
        <f>$B22</f>
        <v>20000</v>
      </c>
      <c r="L22" s="294"/>
      <c r="M22" s="286">
        <f>$B22</f>
        <v>20000</v>
      </c>
    </row>
    <row r="23" spans="1:13" ht="18.75" customHeight="1" outlineLevel="2" x14ac:dyDescent="0.25">
      <c r="A23" s="47" t="str">
        <v/>
      </c>
      <c r="B23" s="120" t="str">
        <v/>
      </c>
      <c r="C23" s="135" t="str">
        <v/>
      </c>
      <c r="D23" s="135" t="str">
        <v/>
      </c>
      <c r="E23" s="136"/>
      <c r="F23" s="292"/>
      <c r="G23" s="118" t="str">
        <f t="shared" ref="G23:M24" si="11">$B23</f>
        <v/>
      </c>
      <c r="H23" s="295"/>
      <c r="I23" s="121" t="str">
        <f t="shared" si="11"/>
        <v/>
      </c>
      <c r="J23" s="295"/>
      <c r="K23" s="284" t="str">
        <f t="shared" si="11"/>
        <v/>
      </c>
      <c r="L23" s="295"/>
      <c r="M23" s="287" t="str">
        <f t="shared" si="11"/>
        <v/>
      </c>
    </row>
    <row r="24" spans="1:13" ht="18.75" customHeight="1" outlineLevel="2" thickBot="1" x14ac:dyDescent="0.3">
      <c r="A24" s="266" t="str">
        <v/>
      </c>
      <c r="B24" s="655" t="str">
        <v/>
      </c>
      <c r="C24" s="655" t="str">
        <v/>
      </c>
      <c r="D24" s="655" t="str">
        <v/>
      </c>
      <c r="E24" s="656"/>
      <c r="F24" s="293"/>
      <c r="G24" s="82" t="str">
        <f t="shared" si="11"/>
        <v/>
      </c>
      <c r="H24" s="296"/>
      <c r="I24" s="85" t="str">
        <f t="shared" si="11"/>
        <v/>
      </c>
      <c r="J24" s="296"/>
      <c r="K24" s="285" t="str">
        <f t="shared" si="11"/>
        <v/>
      </c>
      <c r="L24" s="296"/>
      <c r="M24" s="288" t="str">
        <f t="shared" si="11"/>
        <v/>
      </c>
    </row>
    <row r="25" spans="1:13" ht="7.5" customHeight="1" outlineLevel="2" thickTop="1" thickBot="1" x14ac:dyDescent="0.3">
      <c r="A25" s="270"/>
      <c r="B25" s="271"/>
      <c r="C25" s="271"/>
      <c r="D25" s="271"/>
      <c r="E25" s="272"/>
      <c r="F25" s="29"/>
      <c r="G25" s="32"/>
      <c r="H25" s="33"/>
      <c r="I25" s="34"/>
      <c r="J25" s="33"/>
      <c r="K25" s="32"/>
      <c r="L25" s="33"/>
      <c r="M25" s="289"/>
    </row>
    <row r="26" spans="1:13" ht="18.75" customHeight="1" outlineLevel="1" thickBot="1" x14ac:dyDescent="0.3">
      <c r="A26" s="37" t="s">
        <v>28</v>
      </c>
      <c r="B26" s="589">
        <f>SUM(B20:B25)</f>
        <v>20000</v>
      </c>
      <c r="C26" s="44"/>
      <c r="D26" s="45"/>
      <c r="E26" s="46"/>
      <c r="F26" s="302"/>
      <c r="G26" s="591">
        <f t="shared" ref="G26:M26" si="12">SUM(G20:G25)</f>
        <v>20000</v>
      </c>
      <c r="H26" s="299"/>
      <c r="I26" s="592">
        <f t="shared" si="12"/>
        <v>20000</v>
      </c>
      <c r="J26" s="299"/>
      <c r="K26" s="591">
        <f t="shared" si="12"/>
        <v>20000</v>
      </c>
      <c r="L26" s="299"/>
      <c r="M26" s="654">
        <f t="shared" si="12"/>
        <v>20000</v>
      </c>
    </row>
    <row r="27" spans="1:13" ht="7.5" customHeight="1" outlineLevel="1" thickBot="1" x14ac:dyDescent="0.3">
      <c r="A27" s="50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9"/>
    </row>
    <row r="28" spans="1:13" s="51" customFormat="1" ht="18.75" customHeight="1" thickBot="1" x14ac:dyDescent="0.3">
      <c r="A28" s="52" t="s">
        <v>33</v>
      </c>
      <c r="B28" s="53">
        <f>B26+B19</f>
        <v>124000</v>
      </c>
      <c r="C28" s="54"/>
      <c r="D28" s="54"/>
      <c r="E28" s="137"/>
      <c r="F28" s="301"/>
      <c r="G28" s="55">
        <f t="shared" ref="G28:M28" si="13">G26+G19</f>
        <v>82900</v>
      </c>
      <c r="H28" s="300"/>
      <c r="I28" s="55">
        <f t="shared" si="13"/>
        <v>88050</v>
      </c>
      <c r="J28" s="303"/>
      <c r="K28" s="56">
        <f t="shared" si="13"/>
        <v>68950</v>
      </c>
      <c r="L28" s="304"/>
      <c r="M28" s="57">
        <f t="shared" si="13"/>
        <v>47850</v>
      </c>
    </row>
    <row r="29" spans="1:13" ht="7.5" customHeight="1" thickBot="1" x14ac:dyDescent="0.3">
      <c r="A29" s="744"/>
      <c r="B29" s="745"/>
      <c r="C29" s="745"/>
      <c r="D29" s="745"/>
      <c r="E29" s="745"/>
      <c r="F29" s="745"/>
      <c r="G29" s="745"/>
      <c r="H29" s="745"/>
      <c r="I29" s="745"/>
      <c r="J29" s="745"/>
      <c r="K29" s="745"/>
      <c r="L29" s="745"/>
      <c r="M29" s="746"/>
    </row>
    <row r="30" spans="1:13" ht="15" customHeight="1" x14ac:dyDescent="0.25">
      <c r="A30" s="739" t="s">
        <v>260</v>
      </c>
      <c r="B30" s="749" t="s">
        <v>188</v>
      </c>
      <c r="C30" s="749" t="s">
        <v>32</v>
      </c>
      <c r="D30" s="749" t="s">
        <v>31</v>
      </c>
      <c r="E30" s="747" t="s">
        <v>187</v>
      </c>
      <c r="F30" s="820" t="s">
        <v>20</v>
      </c>
      <c r="G30" s="821"/>
      <c r="H30" s="730" t="s">
        <v>25</v>
      </c>
      <c r="I30" s="733"/>
      <c r="J30" s="730" t="s">
        <v>26</v>
      </c>
      <c r="K30" s="733"/>
      <c r="L30" s="730" t="s">
        <v>27</v>
      </c>
      <c r="M30" s="822"/>
    </row>
    <row r="31" spans="1:13" ht="15" customHeight="1" thickBot="1" x14ac:dyDescent="0.3">
      <c r="A31" s="740"/>
      <c r="B31" s="750"/>
      <c r="C31" s="750"/>
      <c r="D31" s="750"/>
      <c r="E31" s="748"/>
      <c r="F31" s="273" t="s">
        <v>138</v>
      </c>
      <c r="G31" s="274" t="s">
        <v>139</v>
      </c>
      <c r="H31" s="275" t="s">
        <v>138</v>
      </c>
      <c r="I31" s="282" t="s">
        <v>139</v>
      </c>
      <c r="J31" s="275" t="s">
        <v>138</v>
      </c>
      <c r="K31" s="282" t="s">
        <v>139</v>
      </c>
      <c r="L31" s="275" t="s">
        <v>138</v>
      </c>
      <c r="M31" s="413" t="s">
        <v>139</v>
      </c>
    </row>
    <row r="32" spans="1:13" ht="18.75" customHeight="1" outlineLevel="1" thickTop="1" x14ac:dyDescent="0.25">
      <c r="A32" s="521" t="str">
        <f t="array" ref="A32:D36">IF(Investitionsplan!A32:D36="","",Investitionsplan!A32:D36)</f>
        <v>Vertriebsauto</v>
      </c>
      <c r="B32" s="76">
        <v>35000</v>
      </c>
      <c r="C32" s="125">
        <v>4</v>
      </c>
      <c r="D32" s="125">
        <v>2</v>
      </c>
      <c r="E32" s="126">
        <f>IF($D32="","",IF(OR($D32&lt;=6,AND($D32&gt;12,$D32&lt;=18),AND($D32&gt;24,$D32&lt;=30),AND($D32&gt;36,$D32&lt;=42)),1,2))</f>
        <v>1</v>
      </c>
      <c r="F32" s="6">
        <f>IF($D32&lt;=12,$B32/$C32/$E32,0)</f>
        <v>8750</v>
      </c>
      <c r="G32" s="74">
        <f>IF($D32&lt;=12,$B32-$F32,0)</f>
        <v>26250</v>
      </c>
      <c r="H32" s="75">
        <f>IF($D32&lt;=24,IF($D32&lt;=12,$B32/$C32,$B32/$C32/$E32),0)</f>
        <v>8750</v>
      </c>
      <c r="I32" s="77">
        <f>IF($D32&lt;=24,IF($D32&lt;=12,G32-H32,$B32-H32),0)</f>
        <v>17500</v>
      </c>
      <c r="J32" s="77">
        <f>IF($D32&lt;=36,IF($D32&lt;=24,$B32/$C32,$B32/$C32/$E32),0)</f>
        <v>8750</v>
      </c>
      <c r="K32" s="8">
        <f>IF($D32&lt;=36,IF($D32&lt;=24,I32-J32,$B32-J32),0)</f>
        <v>8750</v>
      </c>
      <c r="L32" s="277">
        <f t="shared" ref="L32:L36" si="14">IFERROR(IF($C32*12+$D32-1&lt;=36,0,IF(IF($D32&lt;=48,IF($D32&lt;=36,$B32/$C32,$B32/$C32/$E32),0)&gt;$K32,$K32,IF($D32&lt;=48,IF($D32&lt;=36,$B32/$C32,$B32/$C32/$E32),0))),0)</f>
        <v>8750</v>
      </c>
      <c r="M32" s="9">
        <f>IF($D32&lt;=48,IF($D32&lt;=36,K32-L32,$B32-L32),0)</f>
        <v>0</v>
      </c>
    </row>
    <row r="33" spans="1:13" ht="18.75" customHeight="1" outlineLevel="1" x14ac:dyDescent="0.25">
      <c r="A33" s="520" t="str">
        <v>Vertriebsauto</v>
      </c>
      <c r="B33" s="80">
        <v>35000</v>
      </c>
      <c r="C33" s="127">
        <v>4</v>
      </c>
      <c r="D33" s="127">
        <v>13</v>
      </c>
      <c r="E33" s="265">
        <f t="shared" ref="E33:E36" si="15">IF($D33="","",IF(OR($D33&lt;=6,AND($D33&gt;12,$D33&lt;=18),AND($D33&gt;24,$D33&lt;=30),AND($D33&gt;36,$D33&lt;=42)),1,2))</f>
        <v>1</v>
      </c>
      <c r="F33" s="10">
        <f t="shared" ref="F33:F36" si="16">IF($D33&lt;=12,$B33/$C33/$E33,0)</f>
        <v>0</v>
      </c>
      <c r="G33" s="78">
        <f t="shared" ref="G33:G36" si="17">IF($D33&lt;=12,$B33-$F33,0)</f>
        <v>0</v>
      </c>
      <c r="H33" s="79">
        <f t="shared" ref="H33:H36" si="18">IF($D33&lt;=24,IF($D33&lt;=12,$B33/$C33,$B33/$C33/$E33),0)</f>
        <v>8750</v>
      </c>
      <c r="I33" s="81">
        <f t="shared" ref="I33:I36" si="19">IF($D33&lt;=24,IF($D33&lt;=12,G33-H33,$B33-H33),0)</f>
        <v>26250</v>
      </c>
      <c r="J33" s="81">
        <f t="shared" ref="J33:J36" si="20">IF($D33&lt;=36,IF($D33&lt;=24,$B33/$C33,$B33/$C33/$E33),0)</f>
        <v>8750</v>
      </c>
      <c r="K33" s="12">
        <f t="shared" ref="K33:K36" si="21">IF($D33&lt;=36,IF($D33&lt;=24,I33-J33,$B33-J33),0)</f>
        <v>17500</v>
      </c>
      <c r="L33" s="251">
        <f t="shared" si="14"/>
        <v>8750</v>
      </c>
      <c r="M33" s="13">
        <f t="shared" ref="M33:M36" si="22">IF($D33&lt;=48,IF($D33&lt;=36,K33-L33,$B33-L33),0)</f>
        <v>8750</v>
      </c>
    </row>
    <row r="34" spans="1:13" ht="18.75" customHeight="1" outlineLevel="1" x14ac:dyDescent="0.25">
      <c r="A34" s="520" t="str">
        <v>Kundendienstauto</v>
      </c>
      <c r="B34" s="80">
        <v>25000</v>
      </c>
      <c r="C34" s="127">
        <v>4</v>
      </c>
      <c r="D34" s="127">
        <v>13</v>
      </c>
      <c r="E34" s="265">
        <f t="shared" si="15"/>
        <v>1</v>
      </c>
      <c r="F34" s="10">
        <f t="shared" si="16"/>
        <v>0</v>
      </c>
      <c r="G34" s="78">
        <f t="shared" si="17"/>
        <v>0</v>
      </c>
      <c r="H34" s="79">
        <f t="shared" si="18"/>
        <v>6250</v>
      </c>
      <c r="I34" s="81">
        <f t="shared" si="19"/>
        <v>18750</v>
      </c>
      <c r="J34" s="81">
        <f t="shared" si="20"/>
        <v>6250</v>
      </c>
      <c r="K34" s="12">
        <f t="shared" si="21"/>
        <v>12500</v>
      </c>
      <c r="L34" s="251">
        <f t="shared" si="14"/>
        <v>6250</v>
      </c>
      <c r="M34" s="13">
        <f t="shared" si="22"/>
        <v>6250</v>
      </c>
    </row>
    <row r="35" spans="1:13" ht="18.75" customHeight="1" outlineLevel="1" x14ac:dyDescent="0.25">
      <c r="A35" s="520" t="str">
        <v>Kundendienstauto</v>
      </c>
      <c r="B35" s="80">
        <v>25000</v>
      </c>
      <c r="C35" s="127">
        <v>4</v>
      </c>
      <c r="D35" s="127">
        <v>25</v>
      </c>
      <c r="E35" s="265">
        <f t="shared" si="15"/>
        <v>1</v>
      </c>
      <c r="F35" s="10">
        <f t="shared" si="16"/>
        <v>0</v>
      </c>
      <c r="G35" s="78">
        <f t="shared" si="17"/>
        <v>0</v>
      </c>
      <c r="H35" s="79">
        <f t="shared" si="18"/>
        <v>0</v>
      </c>
      <c r="I35" s="81">
        <f t="shared" si="19"/>
        <v>0</v>
      </c>
      <c r="J35" s="81">
        <f t="shared" si="20"/>
        <v>6250</v>
      </c>
      <c r="K35" s="12">
        <f t="shared" si="21"/>
        <v>18750</v>
      </c>
      <c r="L35" s="251">
        <f t="shared" si="14"/>
        <v>6250</v>
      </c>
      <c r="M35" s="13">
        <f t="shared" si="22"/>
        <v>12500</v>
      </c>
    </row>
    <row r="36" spans="1:13" ht="18.75" customHeight="1" outlineLevel="1" thickBot="1" x14ac:dyDescent="0.3">
      <c r="A36" s="530" t="str">
        <v/>
      </c>
      <c r="B36" s="657" t="str">
        <v/>
      </c>
      <c r="C36" s="657" t="str">
        <v/>
      </c>
      <c r="D36" s="657" t="str">
        <v/>
      </c>
      <c r="E36" s="658" t="str">
        <f t="shared" si="15"/>
        <v/>
      </c>
      <c r="F36" s="141">
        <f t="shared" si="16"/>
        <v>0</v>
      </c>
      <c r="G36" s="143">
        <f t="shared" si="17"/>
        <v>0</v>
      </c>
      <c r="H36" s="144">
        <f t="shared" si="18"/>
        <v>0</v>
      </c>
      <c r="I36" s="146">
        <f t="shared" si="19"/>
        <v>0</v>
      </c>
      <c r="J36" s="146">
        <f t="shared" si="20"/>
        <v>0</v>
      </c>
      <c r="K36" s="147">
        <f t="shared" si="21"/>
        <v>0</v>
      </c>
      <c r="L36" s="279">
        <f t="shared" si="14"/>
        <v>0</v>
      </c>
      <c r="M36" s="148">
        <f t="shared" si="22"/>
        <v>0</v>
      </c>
    </row>
    <row r="37" spans="1:13" ht="7.5" customHeight="1" outlineLevel="1" thickTop="1" thickBot="1" x14ac:dyDescent="0.3">
      <c r="A37" s="270"/>
      <c r="B37" s="271"/>
      <c r="C37" s="271"/>
      <c r="D37" s="271"/>
      <c r="E37" s="272"/>
      <c r="F37" s="29"/>
      <c r="G37" s="32"/>
      <c r="H37" s="33"/>
      <c r="I37" s="34"/>
      <c r="J37" s="34"/>
      <c r="K37" s="35"/>
      <c r="L37" s="278"/>
      <c r="M37" s="36"/>
    </row>
    <row r="38" spans="1:13" ht="18.75" customHeight="1" thickBot="1" x14ac:dyDescent="0.3">
      <c r="A38" s="519" t="s">
        <v>34</v>
      </c>
      <c r="B38" s="69">
        <f>SUM(B32:B37)</f>
        <v>120000</v>
      </c>
      <c r="C38" s="66"/>
      <c r="D38" s="67"/>
      <c r="E38" s="68"/>
      <c r="F38" s="297">
        <f>SUM(F32:F37)</f>
        <v>8750</v>
      </c>
      <c r="G38" s="70">
        <f t="shared" ref="G38:M38" si="23">SUM(G32:G37)</f>
        <v>26250</v>
      </c>
      <c r="H38" s="298">
        <f t="shared" si="23"/>
        <v>23750</v>
      </c>
      <c r="I38" s="71">
        <f t="shared" si="23"/>
        <v>62500</v>
      </c>
      <c r="J38" s="71">
        <f t="shared" si="23"/>
        <v>30000</v>
      </c>
      <c r="K38" s="72">
        <f t="shared" si="23"/>
        <v>57500</v>
      </c>
      <c r="L38" s="280">
        <f t="shared" si="23"/>
        <v>30000</v>
      </c>
      <c r="M38" s="73">
        <f t="shared" si="23"/>
        <v>27500</v>
      </c>
    </row>
    <row r="39" spans="1:13" ht="7.5" customHeight="1" thickBot="1" x14ac:dyDescent="0.3">
      <c r="A39" s="741"/>
      <c r="B39" s="742"/>
      <c r="C39" s="742"/>
      <c r="D39" s="742"/>
      <c r="E39" s="742"/>
      <c r="F39" s="742"/>
      <c r="G39" s="742"/>
      <c r="H39" s="742"/>
      <c r="I39" s="742"/>
      <c r="J39" s="742"/>
      <c r="K39" s="742"/>
      <c r="L39" s="742"/>
      <c r="M39" s="743"/>
    </row>
    <row r="40" spans="1:13" ht="22.5" customHeight="1" thickBot="1" x14ac:dyDescent="0.3">
      <c r="A40" s="290"/>
      <c r="B40" s="817" t="s">
        <v>140</v>
      </c>
      <c r="C40" s="818"/>
      <c r="D40" s="818"/>
      <c r="E40" s="819"/>
      <c r="F40" s="58">
        <f>F38+F19</f>
        <v>23850</v>
      </c>
      <c r="G40" s="60">
        <f t="shared" ref="G40:K40" si="24">G38+G28</f>
        <v>109150</v>
      </c>
      <c r="H40" s="61">
        <f>H38+H19</f>
        <v>42600</v>
      </c>
      <c r="I40" s="60">
        <f t="shared" si="24"/>
        <v>150550</v>
      </c>
      <c r="J40" s="276">
        <f>J38+J19</f>
        <v>51100</v>
      </c>
      <c r="K40" s="62">
        <f t="shared" si="24"/>
        <v>126450</v>
      </c>
      <c r="L40" s="281">
        <f>L38+L19</f>
        <v>51100</v>
      </c>
      <c r="M40" s="63">
        <f>M38+M28</f>
        <v>75350</v>
      </c>
    </row>
  </sheetData>
  <sheetProtection algorithmName="SHA-512" hashValue="RLRR+iSGfisseUuceQ7eOtjLQ/9FPwQOSLVYBHZL5toD6wha+5+95raQC5BioTYtfd1nRvlU4NNu1LDZQEKBUA==" saltValue="lL+7kyf7mzxOEmOPavos2Q==" spinCount="100000" sheet="1" objects="1" scenarios="1" selectLockedCells="1"/>
  <mergeCells count="23">
    <mergeCell ref="A1:M1"/>
    <mergeCell ref="A3:A4"/>
    <mergeCell ref="B3:B4"/>
    <mergeCell ref="C3:C4"/>
    <mergeCell ref="D3:D4"/>
    <mergeCell ref="E3:E4"/>
    <mergeCell ref="L3:M3"/>
    <mergeCell ref="B40:E40"/>
    <mergeCell ref="A20:M20"/>
    <mergeCell ref="A29:M29"/>
    <mergeCell ref="A39:M39"/>
    <mergeCell ref="F3:G3"/>
    <mergeCell ref="H3:I3"/>
    <mergeCell ref="J3:K3"/>
    <mergeCell ref="A30:A31"/>
    <mergeCell ref="B30:B31"/>
    <mergeCell ref="C30:C31"/>
    <mergeCell ref="D30:D31"/>
    <mergeCell ref="E30:E31"/>
    <mergeCell ref="F30:G30"/>
    <mergeCell ref="H30:I30"/>
    <mergeCell ref="J30:K30"/>
    <mergeCell ref="L30:M30"/>
  </mergeCells>
  <dataValidations count="1">
    <dataValidation type="whole" allowBlank="1" showInputMessage="1" showErrorMessage="1" sqref="D22:E25 D5:E18 D32:E37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93"/>
  <sheetViews>
    <sheetView showGridLines="0" view="pageBreakPreview" zoomScale="80" zoomScaleNormal="85" zoomScaleSheetLayoutView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D93" sqref="D93"/>
    </sheetView>
  </sheetViews>
  <sheetFormatPr baseColWidth="10" defaultRowHeight="15" outlineLevelRow="1" outlineLevelCol="1" x14ac:dyDescent="0.25"/>
  <cols>
    <col min="1" max="4" width="11.42578125" style="43" customWidth="1"/>
    <col min="5" max="16" width="14.28515625" style="43" customWidth="1" outlineLevel="1"/>
    <col min="17" max="17" width="14.28515625" style="43" customWidth="1"/>
    <col min="18" max="21" width="14.28515625" style="43" customWidth="1" outlineLevel="1"/>
    <col min="22" max="24" width="16.140625" style="43" bestFit="1" customWidth="1"/>
    <col min="25" max="16384" width="11.42578125" style="43"/>
  </cols>
  <sheetData>
    <row r="1" spans="1:24" ht="27" thickBot="1" x14ac:dyDescent="0.3">
      <c r="A1" s="754" t="s">
        <v>185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5"/>
      <c r="R1" s="755"/>
      <c r="S1" s="755"/>
      <c r="T1" s="755"/>
      <c r="U1" s="755"/>
      <c r="V1" s="755"/>
      <c r="W1" s="755"/>
      <c r="X1" s="756"/>
    </row>
    <row r="2" spans="1:24" ht="15.75" thickBot="1" x14ac:dyDescent="0.3"/>
    <row r="3" spans="1:24" ht="15.75" thickBot="1" x14ac:dyDescent="0.3">
      <c r="A3" s="835" t="s">
        <v>180</v>
      </c>
      <c r="B3" s="836"/>
      <c r="C3" s="837"/>
      <c r="D3" s="418">
        <v>35000</v>
      </c>
    </row>
    <row r="4" spans="1:24" x14ac:dyDescent="0.25">
      <c r="A4" s="838" t="s">
        <v>189</v>
      </c>
      <c r="B4" s="839"/>
      <c r="C4" s="840"/>
      <c r="D4" s="419">
        <v>0.04</v>
      </c>
    </row>
    <row r="5" spans="1:24" x14ac:dyDescent="0.25">
      <c r="A5" s="811" t="s">
        <v>169</v>
      </c>
      <c r="B5" s="812"/>
      <c r="C5" s="813"/>
      <c r="D5" s="420">
        <v>0.06</v>
      </c>
    </row>
    <row r="6" spans="1:24" x14ac:dyDescent="0.25">
      <c r="A6" s="811" t="s">
        <v>170</v>
      </c>
      <c r="B6" s="812"/>
      <c r="C6" s="813"/>
      <c r="D6" s="420">
        <v>1E-3</v>
      </c>
    </row>
    <row r="7" spans="1:24" x14ac:dyDescent="0.25">
      <c r="A7" s="811" t="s">
        <v>105</v>
      </c>
      <c r="B7" s="812"/>
      <c r="C7" s="813"/>
      <c r="D7" s="410">
        <f>'Plan G&amp;V'!D6</f>
        <v>0.2</v>
      </c>
    </row>
    <row r="8" spans="1:24" ht="15.75" thickBot="1" x14ac:dyDescent="0.3">
      <c r="A8" s="814" t="s">
        <v>164</v>
      </c>
      <c r="B8" s="815"/>
      <c r="C8" s="816"/>
      <c r="D8" s="421">
        <v>0.2</v>
      </c>
    </row>
    <row r="9" spans="1:24" ht="18.75" customHeight="1" x14ac:dyDescent="0.25">
      <c r="A9" s="830" t="s">
        <v>259</v>
      </c>
      <c r="B9" s="831"/>
      <c r="C9" s="831"/>
      <c r="D9" s="832"/>
      <c r="E9" s="731" t="s">
        <v>20</v>
      </c>
      <c r="F9" s="731"/>
      <c r="G9" s="731"/>
      <c r="H9" s="731"/>
      <c r="I9" s="731"/>
      <c r="J9" s="731"/>
      <c r="K9" s="731"/>
      <c r="L9" s="731"/>
      <c r="M9" s="731"/>
      <c r="N9" s="731"/>
      <c r="O9" s="731"/>
      <c r="P9" s="731"/>
      <c r="Q9" s="735" t="s">
        <v>20</v>
      </c>
      <c r="R9" s="731" t="s">
        <v>25</v>
      </c>
      <c r="S9" s="731"/>
      <c r="T9" s="731"/>
      <c r="U9" s="731"/>
      <c r="V9" s="735" t="s">
        <v>25</v>
      </c>
      <c r="W9" s="735" t="s">
        <v>26</v>
      </c>
      <c r="X9" s="737" t="s">
        <v>27</v>
      </c>
    </row>
    <row r="10" spans="1:24" ht="18.75" customHeight="1" thickBot="1" x14ac:dyDescent="0.3">
      <c r="A10" s="833"/>
      <c r="B10" s="834"/>
      <c r="C10" s="834"/>
      <c r="D10" s="834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305">
        <v>12</v>
      </c>
      <c r="Q10" s="736"/>
      <c r="R10" s="4" t="s">
        <v>21</v>
      </c>
      <c r="S10" s="2" t="s">
        <v>22</v>
      </c>
      <c r="T10" s="2" t="s">
        <v>23</v>
      </c>
      <c r="U10" s="305" t="s">
        <v>24</v>
      </c>
      <c r="V10" s="736"/>
      <c r="W10" s="736"/>
      <c r="X10" s="738"/>
    </row>
    <row r="11" spans="1:24" ht="18.75" customHeight="1" thickTop="1" x14ac:dyDescent="0.25">
      <c r="A11" s="827" t="s">
        <v>144</v>
      </c>
      <c r="B11" s="789"/>
      <c r="C11" s="789"/>
      <c r="D11" s="789"/>
      <c r="E11" s="422">
        <v>1</v>
      </c>
      <c r="F11" s="423">
        <v>1</v>
      </c>
      <c r="G11" s="423">
        <v>1</v>
      </c>
      <c r="H11" s="423">
        <v>1</v>
      </c>
      <c r="I11" s="423">
        <v>1</v>
      </c>
      <c r="J11" s="423">
        <v>1</v>
      </c>
      <c r="K11" s="423">
        <v>1</v>
      </c>
      <c r="L11" s="423">
        <v>1</v>
      </c>
      <c r="M11" s="423">
        <v>1</v>
      </c>
      <c r="N11" s="423">
        <v>1</v>
      </c>
      <c r="O11" s="423">
        <v>1</v>
      </c>
      <c r="P11" s="424">
        <v>1</v>
      </c>
      <c r="Q11" s="332">
        <f>AVERAGE(E11:P11)</f>
        <v>1</v>
      </c>
      <c r="R11" s="427">
        <v>1</v>
      </c>
      <c r="S11" s="423">
        <v>1</v>
      </c>
      <c r="T11" s="423">
        <v>1</v>
      </c>
      <c r="U11" s="424">
        <v>1</v>
      </c>
      <c r="V11" s="332">
        <f>AVERAGE(R11:U11)</f>
        <v>1</v>
      </c>
      <c r="W11" s="429">
        <v>1</v>
      </c>
      <c r="X11" s="430">
        <v>1</v>
      </c>
    </row>
    <row r="12" spans="1:24" ht="18.75" customHeight="1" x14ac:dyDescent="0.25">
      <c r="A12" s="826" t="s">
        <v>145</v>
      </c>
      <c r="B12" s="782"/>
      <c r="C12" s="782"/>
      <c r="D12" s="782"/>
      <c r="E12" s="425">
        <v>0</v>
      </c>
      <c r="F12" s="426">
        <v>0</v>
      </c>
      <c r="G12" s="426">
        <v>0</v>
      </c>
      <c r="H12" s="426">
        <v>0</v>
      </c>
      <c r="I12" s="426">
        <v>0</v>
      </c>
      <c r="J12" s="426">
        <v>0</v>
      </c>
      <c r="K12" s="426">
        <v>0</v>
      </c>
      <c r="L12" s="426">
        <v>0</v>
      </c>
      <c r="M12" s="426">
        <v>0</v>
      </c>
      <c r="N12" s="426">
        <v>0</v>
      </c>
      <c r="O12" s="426">
        <v>0</v>
      </c>
      <c r="P12" s="426">
        <v>0</v>
      </c>
      <c r="Q12" s="333">
        <f t="shared" ref="Q12:Q13" si="0">AVERAGE(E12:P12)</f>
        <v>0</v>
      </c>
      <c r="R12" s="428">
        <v>0</v>
      </c>
      <c r="S12" s="426">
        <v>0</v>
      </c>
      <c r="T12" s="426">
        <v>0</v>
      </c>
      <c r="U12" s="426">
        <v>0</v>
      </c>
      <c r="V12" s="334">
        <f t="shared" ref="V12:V13" si="1">AVERAGE(R12:U12)</f>
        <v>0</v>
      </c>
      <c r="W12" s="431">
        <v>0</v>
      </c>
      <c r="X12" s="432">
        <v>0</v>
      </c>
    </row>
    <row r="13" spans="1:24" ht="18.75" customHeight="1" thickBot="1" x14ac:dyDescent="0.3">
      <c r="A13" s="825" t="s">
        <v>146</v>
      </c>
      <c r="B13" s="784"/>
      <c r="C13" s="784"/>
      <c r="D13" s="784"/>
      <c r="E13" s="335">
        <f>1-E12-E11</f>
        <v>0</v>
      </c>
      <c r="F13" s="336">
        <f t="shared" ref="F13:X13" si="2">1-F12-F11</f>
        <v>0</v>
      </c>
      <c r="G13" s="336">
        <f t="shared" si="2"/>
        <v>0</v>
      </c>
      <c r="H13" s="336">
        <f t="shared" si="2"/>
        <v>0</v>
      </c>
      <c r="I13" s="336">
        <f t="shared" si="2"/>
        <v>0</v>
      </c>
      <c r="J13" s="336">
        <f t="shared" si="2"/>
        <v>0</v>
      </c>
      <c r="K13" s="336">
        <f t="shared" si="2"/>
        <v>0</v>
      </c>
      <c r="L13" s="336">
        <f t="shared" si="2"/>
        <v>0</v>
      </c>
      <c r="M13" s="336">
        <f t="shared" si="2"/>
        <v>0</v>
      </c>
      <c r="N13" s="336">
        <f t="shared" si="2"/>
        <v>0</v>
      </c>
      <c r="O13" s="336">
        <f t="shared" si="2"/>
        <v>0</v>
      </c>
      <c r="P13" s="337">
        <f t="shared" si="2"/>
        <v>0</v>
      </c>
      <c r="Q13" s="338">
        <f t="shared" si="0"/>
        <v>0</v>
      </c>
      <c r="R13" s="339">
        <f t="shared" si="2"/>
        <v>0</v>
      </c>
      <c r="S13" s="336">
        <f t="shared" si="2"/>
        <v>0</v>
      </c>
      <c r="T13" s="336">
        <f t="shared" si="2"/>
        <v>0</v>
      </c>
      <c r="U13" s="337">
        <f t="shared" si="2"/>
        <v>0</v>
      </c>
      <c r="V13" s="340">
        <f t="shared" si="1"/>
        <v>0</v>
      </c>
      <c r="W13" s="338">
        <f t="shared" si="2"/>
        <v>0</v>
      </c>
      <c r="X13" s="341">
        <f t="shared" si="2"/>
        <v>0</v>
      </c>
    </row>
    <row r="14" spans="1:24" ht="7.5" customHeight="1" thickTop="1" thickBot="1" x14ac:dyDescent="0.3">
      <c r="A14" s="342"/>
      <c r="B14" s="343"/>
      <c r="C14" s="343"/>
      <c r="D14" s="343"/>
      <c r="E14" s="344"/>
      <c r="F14" s="345"/>
      <c r="G14" s="345"/>
      <c r="H14" s="345"/>
      <c r="I14" s="345"/>
      <c r="J14" s="345"/>
      <c r="K14" s="345"/>
      <c r="L14" s="345"/>
      <c r="M14" s="345"/>
      <c r="N14" s="345"/>
      <c r="O14" s="345"/>
      <c r="P14" s="346"/>
      <c r="Q14" s="347"/>
      <c r="R14" s="348"/>
      <c r="S14" s="345"/>
      <c r="T14" s="345"/>
      <c r="U14" s="346"/>
      <c r="V14" s="347"/>
      <c r="W14" s="347"/>
      <c r="X14" s="349"/>
    </row>
    <row r="15" spans="1:24" ht="18.75" customHeight="1" x14ac:dyDescent="0.25">
      <c r="A15" s="828" t="s">
        <v>147</v>
      </c>
      <c r="B15" s="829"/>
      <c r="C15" s="829"/>
      <c r="D15" s="829"/>
      <c r="E15" s="659">
        <f>'Plan G&amp;V'!E9</f>
        <v>0</v>
      </c>
      <c r="F15" s="660">
        <f>'Plan G&amp;V'!F9</f>
        <v>0</v>
      </c>
      <c r="G15" s="660">
        <f>'Plan G&amp;V'!G9</f>
        <v>0</v>
      </c>
      <c r="H15" s="660">
        <f>'Plan G&amp;V'!H9</f>
        <v>0</v>
      </c>
      <c r="I15" s="660">
        <f>'Plan G&amp;V'!I9</f>
        <v>0</v>
      </c>
      <c r="J15" s="660">
        <f>'Plan G&amp;V'!J9</f>
        <v>0</v>
      </c>
      <c r="K15" s="660">
        <f>'Plan G&amp;V'!K9</f>
        <v>100000</v>
      </c>
      <c r="L15" s="660">
        <f>'Plan G&amp;V'!L9</f>
        <v>0</v>
      </c>
      <c r="M15" s="660">
        <f>'Plan G&amp;V'!M9</f>
        <v>100000</v>
      </c>
      <c r="N15" s="660">
        <f>'Plan G&amp;V'!N9</f>
        <v>10000</v>
      </c>
      <c r="O15" s="660">
        <f>'Plan G&amp;V'!O9</f>
        <v>10000</v>
      </c>
      <c r="P15" s="661">
        <f>'Plan G&amp;V'!P9</f>
        <v>10000</v>
      </c>
      <c r="Q15" s="662">
        <f>'Plan G&amp;V'!Q9</f>
        <v>230000</v>
      </c>
      <c r="R15" s="663">
        <f>'Plan G&amp;V'!R9</f>
        <v>200000</v>
      </c>
      <c r="S15" s="660">
        <f>'Plan G&amp;V'!S9</f>
        <v>200000</v>
      </c>
      <c r="T15" s="660">
        <f>'Plan G&amp;V'!T9</f>
        <v>200000</v>
      </c>
      <c r="U15" s="661">
        <f>'Plan G&amp;V'!U9</f>
        <v>200000</v>
      </c>
      <c r="V15" s="662">
        <f>'Plan G&amp;V'!V9</f>
        <v>800000</v>
      </c>
      <c r="W15" s="662">
        <f>'Plan G&amp;V'!W9</f>
        <v>1000000</v>
      </c>
      <c r="X15" s="664">
        <f>'Plan G&amp;V'!X9</f>
        <v>2000000</v>
      </c>
    </row>
    <row r="16" spans="1:24" ht="18.75" customHeight="1" thickBot="1" x14ac:dyDescent="0.3">
      <c r="A16" s="823" t="s">
        <v>152</v>
      </c>
      <c r="B16" s="824"/>
      <c r="C16" s="824"/>
      <c r="D16" s="824"/>
      <c r="E16" s="665">
        <f>E31*E11</f>
        <v>0</v>
      </c>
      <c r="F16" s="666">
        <f>F11*F31+E31*E12</f>
        <v>0</v>
      </c>
      <c r="G16" s="666">
        <f>G11*G31+F31*F12+E31*E13</f>
        <v>0</v>
      </c>
      <c r="H16" s="666">
        <f t="shared" ref="H16:P16" si="3">H11*H31+G31*G12+F31*F13</f>
        <v>0</v>
      </c>
      <c r="I16" s="666">
        <f t="shared" si="3"/>
        <v>0</v>
      </c>
      <c r="J16" s="666">
        <f t="shared" si="3"/>
        <v>0</v>
      </c>
      <c r="K16" s="666">
        <f t="shared" si="3"/>
        <v>0</v>
      </c>
      <c r="L16" s="666">
        <f t="shared" si="3"/>
        <v>0</v>
      </c>
      <c r="M16" s="666">
        <f t="shared" si="3"/>
        <v>0</v>
      </c>
      <c r="N16" s="666">
        <f t="shared" si="3"/>
        <v>0</v>
      </c>
      <c r="O16" s="666">
        <f t="shared" si="3"/>
        <v>0</v>
      </c>
      <c r="P16" s="667">
        <f t="shared" si="3"/>
        <v>0</v>
      </c>
      <c r="Q16" s="669">
        <f>SUM(E16:P16)</f>
        <v>0</v>
      </c>
      <c r="R16" s="668">
        <f>(((R31/3)*SUM(R11,R12,R13))+((R31/3)*SUM(R11,R12))+((R31/3)*SUM(R11)))+(P31*P12)+(O31*O13)</f>
        <v>0</v>
      </c>
      <c r="S16" s="666">
        <f>(((S31/3)*SUM(S11,S12,S13))+((S31/3)*SUM(S11,S12))+((S31/3)*SUM(S11)))+((R31/3)*SUM(R12,R13)+(R31/3)*SUM(R13))</f>
        <v>0</v>
      </c>
      <c r="T16" s="666">
        <f>(((T31/3)*SUM(T11,T12,T13))+((T31/3)*SUM(T11,T12))+((T31/3)*SUM(T11)))+((S31/3)*SUM(S12,S13)+(S31/3)*SUM(S13))</f>
        <v>0</v>
      </c>
      <c r="U16" s="667">
        <f>(((U31/3)*SUM(U11,U12,U13))+((U31/3)*SUM(U11,U12))+((U31/3)*SUM(U11)))+((T31/3)*SUM(T12,T13)+(T31/3)*SUM(T13))</f>
        <v>0</v>
      </c>
      <c r="V16" s="669">
        <f>SUM(R16:U16)</f>
        <v>0</v>
      </c>
      <c r="W16" s="669">
        <f>((W31/12)*10*SUM(W11,W12,W13)+(W31/12)*1*SUM(W11,W12)+(W31/12)*1*SUM(W11))+((U31/3)*SUM(U12,U13)+(U31/3)*SUM(U13))</f>
        <v>0</v>
      </c>
      <c r="X16" s="670">
        <f>((X31/12)*10*SUM(X11,X12,X13)+(X31/12)*1*SUM(X11,X12)+(X31/12)*1*SUM(X11))+((W31/12)*SUM(W12,W13)+(W31/12)*SUM(W13))</f>
        <v>0</v>
      </c>
    </row>
    <row r="17" spans="1:24" ht="7.5" customHeight="1" thickBot="1" x14ac:dyDescent="0.3"/>
    <row r="18" spans="1:24" ht="22.5" customHeight="1" thickBot="1" x14ac:dyDescent="0.3">
      <c r="A18" s="860" t="s">
        <v>151</v>
      </c>
      <c r="B18" s="861"/>
      <c r="C18" s="862"/>
      <c r="D18" s="350"/>
      <c r="E18" s="731" t="s">
        <v>20</v>
      </c>
      <c r="F18" s="731"/>
      <c r="G18" s="731"/>
      <c r="H18" s="731"/>
      <c r="I18" s="731"/>
      <c r="J18" s="731"/>
      <c r="K18" s="731"/>
      <c r="L18" s="731"/>
      <c r="M18" s="731"/>
      <c r="N18" s="731"/>
      <c r="O18" s="731"/>
      <c r="P18" s="731"/>
      <c r="Q18" s="735" t="s">
        <v>20</v>
      </c>
      <c r="R18" s="731" t="s">
        <v>25</v>
      </c>
      <c r="S18" s="731"/>
      <c r="T18" s="731"/>
      <c r="U18" s="731"/>
      <c r="V18" s="735" t="s">
        <v>25</v>
      </c>
      <c r="W18" s="733" t="s">
        <v>26</v>
      </c>
      <c r="X18" s="737" t="s">
        <v>27</v>
      </c>
    </row>
    <row r="19" spans="1:24" ht="18.75" customHeight="1" thickBot="1" x14ac:dyDescent="0.3">
      <c r="A19" s="857" t="s">
        <v>150</v>
      </c>
      <c r="B19" s="858"/>
      <c r="C19" s="858"/>
      <c r="D19" s="859"/>
      <c r="E19" s="124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36"/>
      <c r="R19" s="124" t="s">
        <v>21</v>
      </c>
      <c r="S19" s="2" t="s">
        <v>22</v>
      </c>
      <c r="T19" s="2" t="s">
        <v>23</v>
      </c>
      <c r="U19" s="3" t="s">
        <v>24</v>
      </c>
      <c r="V19" s="736"/>
      <c r="W19" s="734"/>
      <c r="X19" s="738"/>
    </row>
    <row r="20" spans="1:24" ht="18.75" customHeight="1" outlineLevel="1" thickTop="1" x14ac:dyDescent="0.25">
      <c r="A20" s="850"/>
      <c r="B20" s="851"/>
      <c r="C20" s="851"/>
      <c r="D20" s="852"/>
      <c r="E20" s="160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65"/>
      <c r="Q20" s="8">
        <f>SUM(E20:P20)</f>
        <v>0</v>
      </c>
      <c r="R20" s="437"/>
      <c r="S20" s="18"/>
      <c r="T20" s="18"/>
      <c r="U20" s="165"/>
      <c r="V20" s="8">
        <f>SUM(R20:U20)</f>
        <v>0</v>
      </c>
      <c r="W20" s="442"/>
      <c r="X20" s="158"/>
    </row>
    <row r="21" spans="1:24" ht="18.75" customHeight="1" outlineLevel="1" x14ac:dyDescent="0.25">
      <c r="A21" s="844"/>
      <c r="B21" s="845"/>
      <c r="C21" s="845"/>
      <c r="D21" s="846"/>
      <c r="E21" s="433"/>
      <c r="F21" s="434"/>
      <c r="G21" s="434"/>
      <c r="H21" s="434"/>
      <c r="I21" s="434"/>
      <c r="J21" s="434"/>
      <c r="K21" s="434"/>
      <c r="L21" s="434"/>
      <c r="M21" s="434"/>
      <c r="N21" s="434"/>
      <c r="O21" s="434"/>
      <c r="P21" s="435"/>
      <c r="Q21" s="351">
        <f t="shared" ref="Q21:Q29" si="4">SUM(E21:P21)</f>
        <v>0</v>
      </c>
      <c r="R21" s="438"/>
      <c r="S21" s="434"/>
      <c r="T21" s="434"/>
      <c r="U21" s="435"/>
      <c r="V21" s="351">
        <f t="shared" ref="V21:V29" si="5">SUM(R21:U21)</f>
        <v>0</v>
      </c>
      <c r="W21" s="443"/>
      <c r="X21" s="444"/>
    </row>
    <row r="22" spans="1:24" ht="18.75" customHeight="1" outlineLevel="1" x14ac:dyDescent="0.25">
      <c r="A22" s="844"/>
      <c r="B22" s="845"/>
      <c r="C22" s="845"/>
      <c r="D22" s="846"/>
      <c r="E22" s="433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5"/>
      <c r="Q22" s="351">
        <f t="shared" si="4"/>
        <v>0</v>
      </c>
      <c r="R22" s="438"/>
      <c r="S22" s="434"/>
      <c r="T22" s="434"/>
      <c r="U22" s="435"/>
      <c r="V22" s="351">
        <f t="shared" si="5"/>
        <v>0</v>
      </c>
      <c r="W22" s="443"/>
      <c r="X22" s="444"/>
    </row>
    <row r="23" spans="1:24" ht="18.75" customHeight="1" outlineLevel="1" x14ac:dyDescent="0.25">
      <c r="A23" s="844"/>
      <c r="B23" s="845"/>
      <c r="C23" s="845"/>
      <c r="D23" s="846"/>
      <c r="E23" s="433"/>
      <c r="F23" s="434"/>
      <c r="G23" s="434"/>
      <c r="H23" s="434"/>
      <c r="I23" s="434"/>
      <c r="J23" s="434"/>
      <c r="K23" s="434"/>
      <c r="L23" s="434"/>
      <c r="M23" s="434"/>
      <c r="N23" s="434"/>
      <c r="O23" s="434"/>
      <c r="P23" s="435"/>
      <c r="Q23" s="351">
        <f t="shared" si="4"/>
        <v>0</v>
      </c>
      <c r="R23" s="438"/>
      <c r="S23" s="434"/>
      <c r="T23" s="434"/>
      <c r="U23" s="435"/>
      <c r="V23" s="351">
        <f t="shared" si="5"/>
        <v>0</v>
      </c>
      <c r="W23" s="443"/>
      <c r="X23" s="444"/>
    </row>
    <row r="24" spans="1:24" ht="18.75" customHeight="1" outlineLevel="1" x14ac:dyDescent="0.25">
      <c r="A24" s="844"/>
      <c r="B24" s="845"/>
      <c r="C24" s="845"/>
      <c r="D24" s="846"/>
      <c r="E24" s="433"/>
      <c r="F24" s="434"/>
      <c r="G24" s="434"/>
      <c r="H24" s="434"/>
      <c r="I24" s="434"/>
      <c r="J24" s="434"/>
      <c r="K24" s="434"/>
      <c r="L24" s="434"/>
      <c r="M24" s="434"/>
      <c r="N24" s="434"/>
      <c r="O24" s="434"/>
      <c r="P24" s="435"/>
      <c r="Q24" s="351">
        <f t="shared" si="4"/>
        <v>0</v>
      </c>
      <c r="R24" s="438"/>
      <c r="S24" s="434"/>
      <c r="T24" s="434"/>
      <c r="U24" s="435"/>
      <c r="V24" s="351">
        <f t="shared" si="5"/>
        <v>0</v>
      </c>
      <c r="W24" s="443"/>
      <c r="X24" s="444"/>
    </row>
    <row r="25" spans="1:24" ht="18.75" customHeight="1" outlineLevel="1" x14ac:dyDescent="0.25">
      <c r="A25" s="844"/>
      <c r="B25" s="845"/>
      <c r="C25" s="845"/>
      <c r="D25" s="846"/>
      <c r="E25" s="433"/>
      <c r="F25" s="434"/>
      <c r="G25" s="434"/>
      <c r="H25" s="434"/>
      <c r="I25" s="434"/>
      <c r="J25" s="434"/>
      <c r="K25" s="434"/>
      <c r="L25" s="434"/>
      <c r="M25" s="434"/>
      <c r="N25" s="434"/>
      <c r="O25" s="434"/>
      <c r="P25" s="435"/>
      <c r="Q25" s="351">
        <f t="shared" si="4"/>
        <v>0</v>
      </c>
      <c r="R25" s="438"/>
      <c r="S25" s="434"/>
      <c r="T25" s="434"/>
      <c r="U25" s="435"/>
      <c r="V25" s="351">
        <f t="shared" si="5"/>
        <v>0</v>
      </c>
      <c r="W25" s="443"/>
      <c r="X25" s="444"/>
    </row>
    <row r="26" spans="1:24" ht="18.75" customHeight="1" outlineLevel="1" x14ac:dyDescent="0.25">
      <c r="A26" s="844"/>
      <c r="B26" s="845"/>
      <c r="C26" s="845"/>
      <c r="D26" s="846"/>
      <c r="E26" s="433"/>
      <c r="F26" s="434"/>
      <c r="G26" s="434"/>
      <c r="H26" s="434"/>
      <c r="I26" s="434"/>
      <c r="J26" s="434"/>
      <c r="K26" s="434"/>
      <c r="L26" s="434"/>
      <c r="M26" s="434"/>
      <c r="N26" s="434"/>
      <c r="O26" s="434"/>
      <c r="P26" s="435"/>
      <c r="Q26" s="351">
        <f t="shared" si="4"/>
        <v>0</v>
      </c>
      <c r="R26" s="438"/>
      <c r="S26" s="434"/>
      <c r="T26" s="434"/>
      <c r="U26" s="435"/>
      <c r="V26" s="351">
        <f t="shared" si="5"/>
        <v>0</v>
      </c>
      <c r="W26" s="443"/>
      <c r="X26" s="444"/>
    </row>
    <row r="27" spans="1:24" ht="18.75" customHeight="1" outlineLevel="1" x14ac:dyDescent="0.25">
      <c r="A27" s="723"/>
      <c r="B27" s="725"/>
      <c r="C27" s="725"/>
      <c r="D27" s="853"/>
      <c r="E27" s="436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166"/>
      <c r="Q27" s="12">
        <f t="shared" si="4"/>
        <v>0</v>
      </c>
      <c r="R27" s="150"/>
      <c r="S27" s="98"/>
      <c r="T27" s="98"/>
      <c r="U27" s="166"/>
      <c r="V27" s="12">
        <f t="shared" si="5"/>
        <v>0</v>
      </c>
      <c r="W27" s="153"/>
      <c r="X27" s="445"/>
    </row>
    <row r="28" spans="1:24" ht="18.75" customHeight="1" outlineLevel="1" x14ac:dyDescent="0.25">
      <c r="A28" s="723"/>
      <c r="B28" s="725"/>
      <c r="C28" s="725"/>
      <c r="D28" s="853"/>
      <c r="E28" s="436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166"/>
      <c r="Q28" s="12">
        <f t="shared" si="4"/>
        <v>0</v>
      </c>
      <c r="R28" s="150"/>
      <c r="S28" s="98"/>
      <c r="T28" s="98"/>
      <c r="U28" s="166"/>
      <c r="V28" s="12">
        <f t="shared" si="5"/>
        <v>0</v>
      </c>
      <c r="W28" s="153"/>
      <c r="X28" s="445"/>
    </row>
    <row r="29" spans="1:24" ht="18.75" customHeight="1" outlineLevel="1" thickBot="1" x14ac:dyDescent="0.3">
      <c r="A29" s="854"/>
      <c r="B29" s="855"/>
      <c r="C29" s="855"/>
      <c r="D29" s="856"/>
      <c r="E29" s="329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67"/>
      <c r="Q29" s="147">
        <f t="shared" si="4"/>
        <v>0</v>
      </c>
      <c r="R29" s="151"/>
      <c r="S29" s="152"/>
      <c r="T29" s="152"/>
      <c r="U29" s="167"/>
      <c r="V29" s="147">
        <f t="shared" si="5"/>
        <v>0</v>
      </c>
      <c r="W29" s="155"/>
      <c r="X29" s="446"/>
    </row>
    <row r="30" spans="1:24" ht="7.5" customHeight="1" outlineLevel="1" thickTop="1" thickBot="1" x14ac:dyDescent="0.3">
      <c r="A30" s="841"/>
      <c r="B30" s="842"/>
      <c r="C30" s="842"/>
      <c r="D30" s="843"/>
      <c r="E30" s="330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331"/>
      <c r="Q30" s="347"/>
      <c r="R30" s="439"/>
      <c r="S30" s="440"/>
      <c r="T30" s="440"/>
      <c r="U30" s="441"/>
      <c r="V30" s="347"/>
      <c r="W30" s="447"/>
      <c r="X30" s="448"/>
    </row>
    <row r="31" spans="1:24" ht="18.75" customHeight="1" thickBot="1" x14ac:dyDescent="0.3">
      <c r="A31" s="847" t="s">
        <v>155</v>
      </c>
      <c r="B31" s="848"/>
      <c r="C31" s="848"/>
      <c r="D31" s="849"/>
      <c r="E31" s="671">
        <f>SUM(E20:E30)</f>
        <v>0</v>
      </c>
      <c r="F31" s="593">
        <f t="shared" ref="F31:P31" si="6">SUM(F20:F30)</f>
        <v>0</v>
      </c>
      <c r="G31" s="593">
        <f t="shared" si="6"/>
        <v>0</v>
      </c>
      <c r="H31" s="593">
        <f t="shared" si="6"/>
        <v>0</v>
      </c>
      <c r="I31" s="593">
        <f t="shared" si="6"/>
        <v>0</v>
      </c>
      <c r="J31" s="593">
        <f t="shared" si="6"/>
        <v>0</v>
      </c>
      <c r="K31" s="593">
        <f t="shared" si="6"/>
        <v>0</v>
      </c>
      <c r="L31" s="593">
        <f t="shared" si="6"/>
        <v>0</v>
      </c>
      <c r="M31" s="593">
        <f t="shared" si="6"/>
        <v>0</v>
      </c>
      <c r="N31" s="593">
        <f t="shared" si="6"/>
        <v>0</v>
      </c>
      <c r="O31" s="593">
        <f t="shared" si="6"/>
        <v>0</v>
      </c>
      <c r="P31" s="590">
        <f t="shared" si="6"/>
        <v>0</v>
      </c>
      <c r="Q31" s="596">
        <f t="shared" ref="Q31" si="7">SUM(Q20:Q30)</f>
        <v>0</v>
      </c>
      <c r="R31" s="479">
        <f t="shared" ref="R31" si="8">SUM(R20:R30)</f>
        <v>0</v>
      </c>
      <c r="S31" s="593">
        <f t="shared" ref="S31" si="9">SUM(S20:S30)</f>
        <v>0</v>
      </c>
      <c r="T31" s="593">
        <f t="shared" ref="T31" si="10">SUM(T20:T30)</f>
        <v>0</v>
      </c>
      <c r="U31" s="590">
        <f t="shared" ref="U31" si="11">SUM(U20:U30)</f>
        <v>0</v>
      </c>
      <c r="V31" s="596">
        <f t="shared" ref="V31" si="12">SUM(V20:V30)</f>
        <v>0</v>
      </c>
      <c r="W31" s="595">
        <f t="shared" ref="W31" si="13">SUM(W20:W30)</f>
        <v>0</v>
      </c>
      <c r="X31" s="534">
        <f t="shared" ref="X31" si="14">SUM(X20:X30)</f>
        <v>0</v>
      </c>
    </row>
    <row r="32" spans="1:24" ht="7.5" customHeight="1" thickBot="1" x14ac:dyDescent="0.3">
      <c r="A32" s="757"/>
      <c r="B32" s="758"/>
      <c r="C32" s="758"/>
      <c r="D32" s="758"/>
      <c r="E32" s="758"/>
      <c r="F32" s="758"/>
      <c r="G32" s="758"/>
      <c r="H32" s="758"/>
      <c r="I32" s="758"/>
      <c r="J32" s="758"/>
      <c r="K32" s="758"/>
      <c r="L32" s="758"/>
      <c r="M32" s="758"/>
      <c r="N32" s="758"/>
      <c r="O32" s="758"/>
      <c r="P32" s="758"/>
      <c r="Q32" s="758"/>
      <c r="R32" s="758"/>
      <c r="S32" s="758"/>
      <c r="T32" s="758"/>
      <c r="U32" s="758"/>
      <c r="V32" s="758"/>
      <c r="W32" s="758"/>
      <c r="X32" s="759"/>
    </row>
    <row r="33" spans="1:24" ht="18.75" customHeight="1" thickBot="1" x14ac:dyDescent="0.3">
      <c r="A33" s="869" t="s">
        <v>149</v>
      </c>
      <c r="B33" s="870"/>
      <c r="C33" s="870"/>
      <c r="D33" s="871"/>
      <c r="X33" s="356"/>
    </row>
    <row r="34" spans="1:24" ht="18.75" customHeight="1" outlineLevel="1" thickTop="1" x14ac:dyDescent="0.25">
      <c r="A34" s="866" t="s">
        <v>171</v>
      </c>
      <c r="B34" s="867"/>
      <c r="C34" s="867"/>
      <c r="D34" s="868"/>
      <c r="E34" s="291"/>
      <c r="F34" s="323"/>
      <c r="G34" s="323"/>
      <c r="H34" s="7">
        <f>E90</f>
        <v>0</v>
      </c>
      <c r="I34" s="323"/>
      <c r="J34" s="323"/>
      <c r="K34" s="7">
        <f>H90</f>
        <v>0</v>
      </c>
      <c r="L34" s="323"/>
      <c r="M34" s="323"/>
      <c r="N34" s="7">
        <f>K90</f>
        <v>0</v>
      </c>
      <c r="O34" s="323"/>
      <c r="P34" s="324"/>
      <c r="Q34" s="8">
        <f>SUM(E34:P34)</f>
        <v>0</v>
      </c>
      <c r="R34" s="325">
        <f>N90</f>
        <v>0</v>
      </c>
      <c r="S34" s="7">
        <f>R90</f>
        <v>0</v>
      </c>
      <c r="T34" s="7">
        <f>S90</f>
        <v>0</v>
      </c>
      <c r="U34" s="193">
        <f>T90</f>
        <v>0</v>
      </c>
      <c r="V34" s="8">
        <f>SUM(R34:U34)</f>
        <v>0</v>
      </c>
      <c r="W34" s="8">
        <f>U90</f>
        <v>0</v>
      </c>
      <c r="X34" s="9">
        <f>W90</f>
        <v>0</v>
      </c>
    </row>
    <row r="35" spans="1:24" ht="18.75" customHeight="1" outlineLevel="1" x14ac:dyDescent="0.25">
      <c r="A35" s="872" t="s">
        <v>184</v>
      </c>
      <c r="B35" s="873"/>
      <c r="C35" s="873"/>
      <c r="D35" s="874"/>
      <c r="E35" s="406"/>
      <c r="F35" s="407"/>
      <c r="G35" s="80">
        <f>((SUM(E46,E47,E48,E49,E51,E52,E53,E54,E57,E59)/(1+$D$8))*$D$8)+(Investitionsplan!F28*$D$8)</f>
        <v>12731.8</v>
      </c>
      <c r="H35" s="80">
        <f>((SUM(F46,F47,F48,F49,F51,F52,F53,F54,F57,F59)/(1+$D$8))*$D$8)+(Investitionsplan!G28*$D$8)</f>
        <v>943.16666666666686</v>
      </c>
      <c r="I35" s="80">
        <f>((SUM(G46,G47,G48,G49,G51,G52,G53,G54,G57,G59)/(1+$D$8))*$D$8)+(Investitionsplan!H28*$D$8)</f>
        <v>3276.5</v>
      </c>
      <c r="J35" s="80">
        <f>((SUM(H46,H47,H48,H49,H51,H52,H53,H54,H57,H59)/(1+$D$8))*$D$8)+(Investitionsplan!I28*$D$8)</f>
        <v>943.16666666666686</v>
      </c>
      <c r="K35" s="80">
        <f>((SUM(I46,I47,I48,I49,I51,I52,I53,I54,I57,I59)/(1+$D$8))*$D$8)+(Investitionsplan!J28*$D$8)</f>
        <v>3443.1666666666674</v>
      </c>
      <c r="L35" s="80">
        <f>((SUM(J46,J47,J48,J49,J51,J52,J53,J54,J57,J59)/(1+$D$8))*$D$8)+(Investitionsplan!K28*$D$8)</f>
        <v>2943.166666666667</v>
      </c>
      <c r="M35" s="80">
        <f>((SUM(K46,K47,K48,K49,K51,K52,K53,K54,K57,K59)/(1+$D$8))*$D$8)+(Investitionsplan!L28*$D$8)</f>
        <v>943.16666666666686</v>
      </c>
      <c r="N35" s="80">
        <f>((SUM(L46,L47,L48,L49,L51,L52,L53,L54,L57,L59)/(1+$D$8))*$D$8)+(Investitionsplan!M28*$D$8)</f>
        <v>943.16666666666686</v>
      </c>
      <c r="O35" s="80">
        <f>((SUM(M46,M47,M48,M49,M51,M52,M53,M54,M57,M59)/(1+$D$8))*$D$8)+(Investitionsplan!N28*$D$8)</f>
        <v>943.16666666666686</v>
      </c>
      <c r="P35" s="316">
        <f>((SUM(N46,N47,N48,N49,N51,N52,N53,N54,N57,N59)/(1+$D$8))*$D$8)+(Investitionsplan!O28*$D$8)</f>
        <v>5443.166666666667</v>
      </c>
      <c r="Q35" s="12">
        <f>SUM(E35:P35)</f>
        <v>32553.633333333342</v>
      </c>
      <c r="R35" s="79">
        <f>((SUM(O46:O49,O51:O54,O57,O59)/(1+$D$8))*$D$8)+((SUM(P46:P49,P51:P54,P57,P59)/(1+$D$8))*$D$8)+((SUM(R46:R49,R51:R54,R57,R59)/(1+$D$8))*$D$8)/3+(Investitionsplan!P28*$D$8)+(Investitionsplan!Q28*$D$8)+(Investitionsplan!S28*$D$8)/3</f>
        <v>3696.166666666667</v>
      </c>
      <c r="S35" s="80">
        <f>((SUM(R46:R49,R51:R54,R57,R59)/(1+$D$8))*$D$8)*(2/3)+((SUM(S46:S49,S51:S54,S57,S59)/(1+$D$8))*$D$8)/3+(Investitionsplan!S28*$D$8)*(2/3)+(Investitionsplan!T28*$D$8)/3</f>
        <v>4729.5</v>
      </c>
      <c r="T35" s="80">
        <f>((SUM(S46:S49,S51:S54,S57,S59)/(1+$D$8))*$D$8)*(2/3)+((SUM(T46:T49,T51:T54,T57,T59)/(1+$D$8))*$D$8)/3+(Investitionsplan!T28*$D$8)*(2/3)+(Investitionsplan!U28*$D$8)/3</f>
        <v>5562.8333333333339</v>
      </c>
      <c r="U35" s="316">
        <f>((SUM(T46:T49,T51:T54,T57,T59)/(1+$D$8))*$D$8)*(2/3)+((SUM(U46:U49,U51:U54,U57,U59)/(1+$D$8))*$D$8)/3+(Investitionsplan!U28*$D$8)*(2/3)+(Investitionsplan!V28*$D$8)/3</f>
        <v>5240.6111111111113</v>
      </c>
      <c r="V35" s="12">
        <f>SUM(R35:U35)</f>
        <v>19229.111111111113</v>
      </c>
      <c r="W35" s="309">
        <f>((SUM(U46:U49,U51:U54,U57,U59)/(1+$D$8))*$D$8)*(2/3)+((SUM(W46:W49,W51:W54,W57,W59)/(1+$D$8))*$D$8)*(10/12)+(Investitionsplan!V28*$D$8)*(2/3)+(Investitionsplan!X28*$D$8)*(10/12)</f>
        <v>14984.66666666667</v>
      </c>
      <c r="X35" s="310">
        <f>((SUM(W46:W49,W51:W54,W57,W59)/(1+$D$8))*$D$8)*(2/12)+((SUM(X46:X49,X51:X54,X57,X59)/(1+$D$8))*$D$8)*(10/12)+(Investitionsplan!X28*$D$8)*(2/12)+(Investitionsplan!Y28*$D$8)*(10/12)</f>
        <v>14718.000000000002</v>
      </c>
    </row>
    <row r="36" spans="1:24" ht="18.75" customHeight="1" outlineLevel="1" x14ac:dyDescent="0.25">
      <c r="A36" s="872" t="s">
        <v>206</v>
      </c>
      <c r="B36" s="873"/>
      <c r="C36" s="873"/>
      <c r="D36" s="874"/>
      <c r="E36" s="436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166"/>
      <c r="Q36" s="12">
        <f t="shared" ref="Q36:Q37" si="15">SUM(E36:P36)</f>
        <v>0</v>
      </c>
      <c r="R36" s="449"/>
      <c r="S36" s="98"/>
      <c r="T36" s="98"/>
      <c r="U36" s="166"/>
      <c r="V36" s="12">
        <f t="shared" ref="V36:V37" si="16">SUM(R36:U36)</f>
        <v>0</v>
      </c>
      <c r="W36" s="453"/>
      <c r="X36" s="445"/>
    </row>
    <row r="37" spans="1:24" ht="18.75" customHeight="1" outlineLevel="1" thickBot="1" x14ac:dyDescent="0.3">
      <c r="A37" s="854"/>
      <c r="B37" s="855"/>
      <c r="C37" s="855"/>
      <c r="D37" s="856"/>
      <c r="E37" s="329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67"/>
      <c r="Q37" s="147">
        <f t="shared" si="15"/>
        <v>0</v>
      </c>
      <c r="R37" s="451" t="str">
        <f t="shared" ref="R37:U37" si="17">IF($D37="","",IF(AND($D37&lt;=15,$D37&gt;12),(15-$D37+1)*$B37*(1+$B$11)^1,IF(AND($D37&lt;=15,$D37&lt;=12),3*$B37*(1+$B$11)^1,"")))</f>
        <v/>
      </c>
      <c r="S37" s="152" t="str">
        <f t="shared" si="17"/>
        <v/>
      </c>
      <c r="T37" s="152" t="str">
        <f t="shared" si="17"/>
        <v/>
      </c>
      <c r="U37" s="167" t="str">
        <f t="shared" si="17"/>
        <v/>
      </c>
      <c r="V37" s="147">
        <f t="shared" si="16"/>
        <v>0</v>
      </c>
      <c r="W37" s="456"/>
      <c r="X37" s="446"/>
    </row>
    <row r="38" spans="1:24" ht="7.5" customHeight="1" outlineLevel="1" thickTop="1" thickBot="1" x14ac:dyDescent="0.3">
      <c r="A38" s="841"/>
      <c r="B38" s="842"/>
      <c r="C38" s="842"/>
      <c r="D38" s="843"/>
      <c r="E38" s="330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331"/>
      <c r="Q38" s="347"/>
      <c r="R38" s="452"/>
      <c r="S38" s="440"/>
      <c r="T38" s="440"/>
      <c r="U38" s="441"/>
      <c r="V38" s="347"/>
      <c r="W38" s="457"/>
      <c r="X38" s="448"/>
    </row>
    <row r="39" spans="1:24" ht="18.75" customHeight="1" thickBot="1" x14ac:dyDescent="0.3">
      <c r="A39" s="847" t="s">
        <v>153</v>
      </c>
      <c r="B39" s="848"/>
      <c r="C39" s="848"/>
      <c r="D39" s="849"/>
      <c r="E39" s="672">
        <f>SUM(E34:E38)</f>
        <v>0</v>
      </c>
      <c r="F39" s="673">
        <f t="shared" ref="F39:X39" si="18">SUM(F34:F38)</f>
        <v>0</v>
      </c>
      <c r="G39" s="673">
        <f t="shared" si="18"/>
        <v>12731.8</v>
      </c>
      <c r="H39" s="673">
        <f t="shared" si="18"/>
        <v>943.16666666666686</v>
      </c>
      <c r="I39" s="673">
        <f t="shared" si="18"/>
        <v>3276.5</v>
      </c>
      <c r="J39" s="673">
        <f t="shared" si="18"/>
        <v>943.16666666666686</v>
      </c>
      <c r="K39" s="673">
        <f t="shared" si="18"/>
        <v>3443.1666666666674</v>
      </c>
      <c r="L39" s="673">
        <f t="shared" si="18"/>
        <v>2943.166666666667</v>
      </c>
      <c r="M39" s="673">
        <f t="shared" si="18"/>
        <v>943.16666666666686</v>
      </c>
      <c r="N39" s="673">
        <f t="shared" si="18"/>
        <v>943.16666666666686</v>
      </c>
      <c r="O39" s="673">
        <f t="shared" si="18"/>
        <v>943.16666666666686</v>
      </c>
      <c r="P39" s="674">
        <f t="shared" si="18"/>
        <v>5443.166666666667</v>
      </c>
      <c r="Q39" s="596">
        <f t="shared" si="18"/>
        <v>32553.633333333342</v>
      </c>
      <c r="R39" s="675">
        <f t="shared" si="18"/>
        <v>3696.166666666667</v>
      </c>
      <c r="S39" s="673">
        <f t="shared" si="18"/>
        <v>4729.5</v>
      </c>
      <c r="T39" s="673">
        <f t="shared" si="18"/>
        <v>5562.8333333333339</v>
      </c>
      <c r="U39" s="674">
        <f t="shared" si="18"/>
        <v>5240.6111111111113</v>
      </c>
      <c r="V39" s="596">
        <f t="shared" si="18"/>
        <v>19229.111111111113</v>
      </c>
      <c r="W39" s="596">
        <f t="shared" si="18"/>
        <v>14984.66666666667</v>
      </c>
      <c r="X39" s="676">
        <f t="shared" si="18"/>
        <v>14718.000000000002</v>
      </c>
    </row>
    <row r="40" spans="1:24" ht="7.5" customHeight="1" thickBot="1" x14ac:dyDescent="0.3">
      <c r="A40" s="757"/>
      <c r="B40" s="758"/>
      <c r="C40" s="758"/>
      <c r="D40" s="758"/>
      <c r="E40" s="758"/>
      <c r="F40" s="758"/>
      <c r="G40" s="758"/>
      <c r="H40" s="758"/>
      <c r="I40" s="758"/>
      <c r="J40" s="758"/>
      <c r="K40" s="758"/>
      <c r="L40" s="758"/>
      <c r="M40" s="758"/>
      <c r="N40" s="758"/>
      <c r="O40" s="758"/>
      <c r="P40" s="758"/>
      <c r="Q40" s="758"/>
      <c r="R40" s="758"/>
      <c r="S40" s="758"/>
      <c r="T40" s="758"/>
      <c r="U40" s="758"/>
      <c r="V40" s="758"/>
      <c r="W40" s="758"/>
      <c r="X40" s="759"/>
    </row>
    <row r="41" spans="1:24" ht="18" customHeight="1" thickBot="1" x14ac:dyDescent="0.3">
      <c r="A41" s="863" t="s">
        <v>154</v>
      </c>
      <c r="B41" s="864"/>
      <c r="C41" s="864"/>
      <c r="D41" s="865"/>
      <c r="E41" s="486">
        <f>SUM(E31,E39)</f>
        <v>0</v>
      </c>
      <c r="F41" s="602">
        <f t="shared" ref="F41:X41" si="19">SUM(F31,F39)</f>
        <v>0</v>
      </c>
      <c r="G41" s="602">
        <f t="shared" si="19"/>
        <v>12731.8</v>
      </c>
      <c r="H41" s="602">
        <f t="shared" si="19"/>
        <v>943.16666666666686</v>
      </c>
      <c r="I41" s="602">
        <f t="shared" si="19"/>
        <v>3276.5</v>
      </c>
      <c r="J41" s="602">
        <f t="shared" si="19"/>
        <v>943.16666666666686</v>
      </c>
      <c r="K41" s="602">
        <f t="shared" si="19"/>
        <v>3443.1666666666674</v>
      </c>
      <c r="L41" s="602">
        <f t="shared" si="19"/>
        <v>2943.166666666667</v>
      </c>
      <c r="M41" s="602">
        <f t="shared" si="19"/>
        <v>943.16666666666686</v>
      </c>
      <c r="N41" s="602">
        <f t="shared" si="19"/>
        <v>943.16666666666686</v>
      </c>
      <c r="O41" s="602">
        <f t="shared" si="19"/>
        <v>943.16666666666686</v>
      </c>
      <c r="P41" s="677">
        <f t="shared" si="19"/>
        <v>5443.166666666667</v>
      </c>
      <c r="Q41" s="362">
        <f t="shared" si="19"/>
        <v>32553.633333333342</v>
      </c>
      <c r="R41" s="487">
        <f t="shared" si="19"/>
        <v>3696.166666666667</v>
      </c>
      <c r="S41" s="602">
        <f t="shared" si="19"/>
        <v>4729.5</v>
      </c>
      <c r="T41" s="602">
        <f t="shared" si="19"/>
        <v>5562.8333333333339</v>
      </c>
      <c r="U41" s="677">
        <f t="shared" si="19"/>
        <v>5240.6111111111113</v>
      </c>
      <c r="V41" s="362">
        <f t="shared" si="19"/>
        <v>19229.111111111113</v>
      </c>
      <c r="W41" s="362">
        <f t="shared" si="19"/>
        <v>14984.66666666667</v>
      </c>
      <c r="X41" s="364">
        <f t="shared" si="19"/>
        <v>14718.000000000002</v>
      </c>
    </row>
    <row r="42" spans="1:24" ht="15.75" thickBot="1" x14ac:dyDescent="0.3"/>
    <row r="43" spans="1:24" ht="22.5" customHeight="1" thickBot="1" x14ac:dyDescent="0.3">
      <c r="A43" s="860" t="s">
        <v>159</v>
      </c>
      <c r="B43" s="861"/>
      <c r="C43" s="862"/>
      <c r="D43" s="350"/>
      <c r="E43" s="731" t="s">
        <v>20</v>
      </c>
      <c r="F43" s="731"/>
      <c r="G43" s="731"/>
      <c r="H43" s="731"/>
      <c r="I43" s="731"/>
      <c r="J43" s="731"/>
      <c r="K43" s="731"/>
      <c r="L43" s="731"/>
      <c r="M43" s="731"/>
      <c r="N43" s="731"/>
      <c r="O43" s="731"/>
      <c r="P43" s="731"/>
      <c r="Q43" s="735" t="s">
        <v>20</v>
      </c>
      <c r="R43" s="731" t="s">
        <v>25</v>
      </c>
      <c r="S43" s="731"/>
      <c r="T43" s="731"/>
      <c r="U43" s="731"/>
      <c r="V43" s="735" t="s">
        <v>25</v>
      </c>
      <c r="W43" s="733" t="s">
        <v>26</v>
      </c>
      <c r="X43" s="737" t="s">
        <v>27</v>
      </c>
    </row>
    <row r="44" spans="1:24" ht="18.75" customHeight="1" thickBot="1" x14ac:dyDescent="0.3">
      <c r="A44" s="857" t="s">
        <v>160</v>
      </c>
      <c r="B44" s="858"/>
      <c r="C44" s="858"/>
      <c r="D44" s="859"/>
      <c r="E44" s="124">
        <v>1</v>
      </c>
      <c r="F44" s="2">
        <v>2</v>
      </c>
      <c r="G44" s="2">
        <v>3</v>
      </c>
      <c r="H44" s="2">
        <v>4</v>
      </c>
      <c r="I44" s="2">
        <v>5</v>
      </c>
      <c r="J44" s="2">
        <v>6</v>
      </c>
      <c r="K44" s="2">
        <v>7</v>
      </c>
      <c r="L44" s="2">
        <v>8</v>
      </c>
      <c r="M44" s="2">
        <v>9</v>
      </c>
      <c r="N44" s="2">
        <v>10</v>
      </c>
      <c r="O44" s="2">
        <v>11</v>
      </c>
      <c r="P44" s="3">
        <v>12</v>
      </c>
      <c r="Q44" s="736"/>
      <c r="R44" s="124" t="s">
        <v>21</v>
      </c>
      <c r="S44" s="2" t="s">
        <v>22</v>
      </c>
      <c r="T44" s="2" t="s">
        <v>23</v>
      </c>
      <c r="U44" s="3" t="s">
        <v>24</v>
      </c>
      <c r="V44" s="736"/>
      <c r="W44" s="734"/>
      <c r="X44" s="738"/>
    </row>
    <row r="45" spans="1:24" ht="18.75" customHeight="1" outlineLevel="1" thickTop="1" x14ac:dyDescent="0.25">
      <c r="A45" s="866" t="str">
        <f>Plankosten!A32</f>
        <v>Personalkosten</v>
      </c>
      <c r="B45" s="867"/>
      <c r="C45" s="867"/>
      <c r="D45" s="868"/>
      <c r="E45" s="6">
        <f>Plankosten!E38</f>
        <v>16200.000000000002</v>
      </c>
      <c r="F45" s="7">
        <f>Plankosten!F38</f>
        <v>18508</v>
      </c>
      <c r="G45" s="7">
        <f>Plankosten!G38</f>
        <v>22156</v>
      </c>
      <c r="H45" s="7">
        <f>Plankosten!H38</f>
        <v>25804</v>
      </c>
      <c r="I45" s="7">
        <f>Plankosten!I38</f>
        <v>49700.666666666672</v>
      </c>
      <c r="J45" s="7">
        <f>Plankosten!J38</f>
        <v>25804</v>
      </c>
      <c r="K45" s="7">
        <f>Plankosten!K38</f>
        <v>25804</v>
      </c>
      <c r="L45" s="7">
        <f>Plankosten!L38</f>
        <v>25804</v>
      </c>
      <c r="M45" s="7">
        <f>Plankosten!M38</f>
        <v>25804</v>
      </c>
      <c r="N45" s="7">
        <f>Plankosten!N38</f>
        <v>25804</v>
      </c>
      <c r="O45" s="7">
        <f>Plankosten!O38</f>
        <v>49700.666666666672</v>
      </c>
      <c r="P45" s="193">
        <f>Plankosten!P38</f>
        <v>25804</v>
      </c>
      <c r="Q45" s="8">
        <f>Plankosten!Q38</f>
        <v>336893.33333333331</v>
      </c>
      <c r="R45" s="192">
        <f>Plankosten!R38</f>
        <v>114867</v>
      </c>
      <c r="S45" s="7">
        <f>Plankosten!S38</f>
        <v>152856</v>
      </c>
      <c r="T45" s="7">
        <f>Plankosten!T38</f>
        <v>114867</v>
      </c>
      <c r="U45" s="193">
        <f>Plankosten!U38</f>
        <v>152856</v>
      </c>
      <c r="V45" s="8">
        <f>Plankosten!V38</f>
        <v>535446</v>
      </c>
      <c r="W45" s="194">
        <f>Plankosten!W38</f>
        <v>726513.21000000008</v>
      </c>
      <c r="X45" s="9">
        <f>Plankosten!X38</f>
        <v>762604.87049999996</v>
      </c>
    </row>
    <row r="46" spans="1:24" ht="18.75" customHeight="1" outlineLevel="1" x14ac:dyDescent="0.25">
      <c r="A46" s="872" t="str">
        <f>Plankosten!A40</f>
        <v>Materialeinsatz</v>
      </c>
      <c r="B46" s="873"/>
      <c r="C46" s="873"/>
      <c r="D46" s="874"/>
      <c r="E46" s="365">
        <f>Plankosten!E47*(1+$D$8)</f>
        <v>0</v>
      </c>
      <c r="F46" s="366">
        <f>Plankosten!F47</f>
        <v>0</v>
      </c>
      <c r="G46" s="366">
        <f>Plankosten!G47</f>
        <v>0</v>
      </c>
      <c r="H46" s="366">
        <f>Plankosten!H47</f>
        <v>0</v>
      </c>
      <c r="I46" s="366">
        <f>Plankosten!I47</f>
        <v>0</v>
      </c>
      <c r="J46" s="366">
        <f>Plankosten!J47</f>
        <v>0</v>
      </c>
      <c r="K46" s="366">
        <f>Plankosten!K47</f>
        <v>0</v>
      </c>
      <c r="L46" s="366">
        <f>Plankosten!L47</f>
        <v>0</v>
      </c>
      <c r="M46" s="366">
        <f>Plankosten!M47</f>
        <v>0</v>
      </c>
      <c r="N46" s="366">
        <f>Plankosten!N47</f>
        <v>0</v>
      </c>
      <c r="O46" s="366">
        <f>Plankosten!O47</f>
        <v>0</v>
      </c>
      <c r="P46" s="367">
        <f>Plankosten!P47</f>
        <v>0</v>
      </c>
      <c r="Q46" s="351">
        <f>Plankosten!Q47</f>
        <v>0</v>
      </c>
      <c r="R46" s="368">
        <f>Plankosten!R47</f>
        <v>0</v>
      </c>
      <c r="S46" s="366">
        <f>Plankosten!S47</f>
        <v>0</v>
      </c>
      <c r="T46" s="366">
        <f>Plankosten!T47</f>
        <v>0</v>
      </c>
      <c r="U46" s="367">
        <f>Plankosten!U47</f>
        <v>0</v>
      </c>
      <c r="V46" s="351">
        <f>Plankosten!V47</f>
        <v>0</v>
      </c>
      <c r="W46" s="369">
        <f>Plankosten!W47</f>
        <v>0</v>
      </c>
      <c r="X46" s="258">
        <f>Plankosten!X47</f>
        <v>0</v>
      </c>
    </row>
    <row r="47" spans="1:24" ht="18.75" customHeight="1" outlineLevel="1" x14ac:dyDescent="0.25">
      <c r="A47" s="872" t="str">
        <f>Plankosten!A49</f>
        <v>Roh-, Betriebs- uns Hilfsstoffe</v>
      </c>
      <c r="B47" s="873"/>
      <c r="C47" s="873"/>
      <c r="D47" s="874"/>
      <c r="E47" s="365">
        <f>Plankosten!E56*(1+$D$8)</f>
        <v>0</v>
      </c>
      <c r="F47" s="366">
        <f>Plankosten!F56</f>
        <v>0</v>
      </c>
      <c r="G47" s="366">
        <f>Plankosten!G56</f>
        <v>0</v>
      </c>
      <c r="H47" s="366">
        <f>Plankosten!H56</f>
        <v>0</v>
      </c>
      <c r="I47" s="366">
        <f>Plankosten!I56</f>
        <v>0</v>
      </c>
      <c r="J47" s="366">
        <f>Plankosten!J56</f>
        <v>0</v>
      </c>
      <c r="K47" s="366">
        <f>Plankosten!K56</f>
        <v>0</v>
      </c>
      <c r="L47" s="366">
        <f>Plankosten!L56</f>
        <v>0</v>
      </c>
      <c r="M47" s="366">
        <f>Plankosten!M56</f>
        <v>0</v>
      </c>
      <c r="N47" s="366">
        <f>Plankosten!N56</f>
        <v>0</v>
      </c>
      <c r="O47" s="366">
        <f>Plankosten!O56</f>
        <v>0</v>
      </c>
      <c r="P47" s="367">
        <f>Plankosten!P56</f>
        <v>0</v>
      </c>
      <c r="Q47" s="351">
        <f>Plankosten!Q56</f>
        <v>0</v>
      </c>
      <c r="R47" s="368">
        <f>Plankosten!R56</f>
        <v>0</v>
      </c>
      <c r="S47" s="366">
        <f>Plankosten!S56</f>
        <v>0</v>
      </c>
      <c r="T47" s="366">
        <f>Plankosten!T56</f>
        <v>0</v>
      </c>
      <c r="U47" s="367">
        <f>Plankosten!U56</f>
        <v>0</v>
      </c>
      <c r="V47" s="351">
        <f>Plankosten!V56</f>
        <v>0</v>
      </c>
      <c r="W47" s="369">
        <f>Plankosten!W56</f>
        <v>0</v>
      </c>
      <c r="X47" s="258">
        <f>Plankosten!X56</f>
        <v>0</v>
      </c>
    </row>
    <row r="48" spans="1:24" ht="30" customHeight="1" outlineLevel="1" x14ac:dyDescent="0.25">
      <c r="A48" s="884" t="str">
        <f>Plankosten!A58</f>
        <v>Sonstige betriebliche Aufwendungen
(Miete, Pacht, Betriebskosten)</v>
      </c>
      <c r="B48" s="885"/>
      <c r="C48" s="885"/>
      <c r="D48" s="886"/>
      <c r="E48" s="365">
        <f>Plankosten!E65*(1+$D$8)</f>
        <v>1525.2</v>
      </c>
      <c r="F48" s="366">
        <f>Plankosten!F65</f>
        <v>1271</v>
      </c>
      <c r="G48" s="366">
        <f>Plankosten!G65</f>
        <v>1271</v>
      </c>
      <c r="H48" s="366">
        <f>Plankosten!H65</f>
        <v>1271</v>
      </c>
      <c r="I48" s="366">
        <f>Plankosten!I65</f>
        <v>1271</v>
      </c>
      <c r="J48" s="366">
        <f>Plankosten!J65</f>
        <v>1271</v>
      </c>
      <c r="K48" s="366">
        <f>Plankosten!K65</f>
        <v>1271</v>
      </c>
      <c r="L48" s="366">
        <f>Plankosten!L65</f>
        <v>1271</v>
      </c>
      <c r="M48" s="366">
        <f>Plankosten!M65</f>
        <v>1271</v>
      </c>
      <c r="N48" s="366">
        <f>Plankosten!N65</f>
        <v>1271</v>
      </c>
      <c r="O48" s="366">
        <f>Plankosten!O65</f>
        <v>1271</v>
      </c>
      <c r="P48" s="367">
        <f>Plankosten!P65</f>
        <v>1271</v>
      </c>
      <c r="Q48" s="351">
        <f>Plankosten!Q65</f>
        <v>15252</v>
      </c>
      <c r="R48" s="368">
        <f>Plankosten!R65</f>
        <v>3813</v>
      </c>
      <c r="S48" s="366">
        <f>Plankosten!S65</f>
        <v>3813</v>
      </c>
      <c r="T48" s="366">
        <f>Plankosten!T65</f>
        <v>3813</v>
      </c>
      <c r="U48" s="367">
        <f>Plankosten!U65</f>
        <v>3813</v>
      </c>
      <c r="V48" s="351">
        <f>Plankosten!V65</f>
        <v>15252</v>
      </c>
      <c r="W48" s="369">
        <f>Plankosten!W65</f>
        <v>15252</v>
      </c>
      <c r="X48" s="258">
        <f>Plankosten!X65</f>
        <v>15252</v>
      </c>
    </row>
    <row r="49" spans="1:24" ht="18.75" customHeight="1" outlineLevel="1" x14ac:dyDescent="0.25">
      <c r="A49" s="884" t="str">
        <f>Plankosten!A67</f>
        <v>Instandhaltung</v>
      </c>
      <c r="B49" s="885"/>
      <c r="C49" s="885"/>
      <c r="D49" s="886"/>
      <c r="E49" s="365">
        <f>Plankosten!E74*(1+$D$8)</f>
        <v>0</v>
      </c>
      <c r="F49" s="366">
        <f>Plankosten!F74</f>
        <v>0</v>
      </c>
      <c r="G49" s="366">
        <f>Plankosten!G74</f>
        <v>0</v>
      </c>
      <c r="H49" s="366">
        <f>Plankosten!H74</f>
        <v>0</v>
      </c>
      <c r="I49" s="366">
        <f>Plankosten!I74</f>
        <v>0</v>
      </c>
      <c r="J49" s="366">
        <f>Plankosten!J74</f>
        <v>0</v>
      </c>
      <c r="K49" s="366">
        <f>Plankosten!K74</f>
        <v>0</v>
      </c>
      <c r="L49" s="366">
        <f>Plankosten!L74</f>
        <v>0</v>
      </c>
      <c r="M49" s="366">
        <f>Plankosten!M74</f>
        <v>0</v>
      </c>
      <c r="N49" s="366">
        <f>Plankosten!N74</f>
        <v>0</v>
      </c>
      <c r="O49" s="366">
        <f>Plankosten!O74</f>
        <v>0</v>
      </c>
      <c r="P49" s="367">
        <f>Plankosten!P74</f>
        <v>2000</v>
      </c>
      <c r="Q49" s="351">
        <f>Plankosten!Q74</f>
        <v>2000</v>
      </c>
      <c r="R49" s="368">
        <f>Plankosten!R74</f>
        <v>0</v>
      </c>
      <c r="S49" s="366">
        <f>Plankosten!S74</f>
        <v>0</v>
      </c>
      <c r="T49" s="366">
        <f>Plankosten!T74</f>
        <v>0</v>
      </c>
      <c r="U49" s="367">
        <f>Plankosten!U74</f>
        <v>2000</v>
      </c>
      <c r="V49" s="351">
        <f>Plankosten!V74</f>
        <v>2000</v>
      </c>
      <c r="W49" s="369">
        <f>Plankosten!W74</f>
        <v>2000</v>
      </c>
      <c r="X49" s="258">
        <f>Plankosten!X74</f>
        <v>2000</v>
      </c>
    </row>
    <row r="50" spans="1:24" ht="18.75" customHeight="1" outlineLevel="1" x14ac:dyDescent="0.25">
      <c r="A50" s="884" t="str">
        <f>Plankosten!A76</f>
        <v>Kfz-Kosten und Reisekosten</v>
      </c>
      <c r="B50" s="885"/>
      <c r="C50" s="885"/>
      <c r="D50" s="886"/>
      <c r="E50" s="365">
        <f>Plankosten!E83</f>
        <v>2000</v>
      </c>
      <c r="F50" s="366">
        <f>Plankosten!F83</f>
        <v>500</v>
      </c>
      <c r="G50" s="366">
        <f>Plankosten!G83</f>
        <v>500</v>
      </c>
      <c r="H50" s="366">
        <f>Plankosten!H83</f>
        <v>500</v>
      </c>
      <c r="I50" s="366">
        <f>Plankosten!I83</f>
        <v>500</v>
      </c>
      <c r="J50" s="366">
        <f>Plankosten!J83</f>
        <v>500</v>
      </c>
      <c r="K50" s="366">
        <f>Plankosten!K83</f>
        <v>500</v>
      </c>
      <c r="L50" s="366">
        <f>Plankosten!L83</f>
        <v>500</v>
      </c>
      <c r="M50" s="366">
        <f>Plankosten!M83</f>
        <v>500</v>
      </c>
      <c r="N50" s="366">
        <f>Plankosten!N83</f>
        <v>500</v>
      </c>
      <c r="O50" s="366">
        <f>Plankosten!O83</f>
        <v>500</v>
      </c>
      <c r="P50" s="367">
        <f>Plankosten!P83</f>
        <v>500</v>
      </c>
      <c r="Q50" s="351">
        <f>Plankosten!Q83</f>
        <v>7500</v>
      </c>
      <c r="R50" s="368">
        <f>Plankosten!R83</f>
        <v>3000</v>
      </c>
      <c r="S50" s="366">
        <f>Plankosten!S83</f>
        <v>1500</v>
      </c>
      <c r="T50" s="366">
        <f>Plankosten!T83</f>
        <v>1500</v>
      </c>
      <c r="U50" s="367">
        <f>Plankosten!U83</f>
        <v>1500</v>
      </c>
      <c r="V50" s="351">
        <f>Plankosten!V83</f>
        <v>7500</v>
      </c>
      <c r="W50" s="369">
        <f>Plankosten!W83</f>
        <v>7500</v>
      </c>
      <c r="X50" s="258">
        <f>Plankosten!X83</f>
        <v>7500</v>
      </c>
    </row>
    <row r="51" spans="1:24" ht="18.75" customHeight="1" outlineLevel="1" x14ac:dyDescent="0.25">
      <c r="A51" s="884" t="str">
        <f>Plankosten!A85</f>
        <v>Büromaterial</v>
      </c>
      <c r="B51" s="885"/>
      <c r="C51" s="885"/>
      <c r="D51" s="886"/>
      <c r="E51" s="365">
        <f>Plankosten!E92*(1+$D$8)</f>
        <v>2640</v>
      </c>
      <c r="F51" s="366">
        <f>Plankosten!F92</f>
        <v>2200</v>
      </c>
      <c r="G51" s="366">
        <f>Plankosten!G92</f>
        <v>2200</v>
      </c>
      <c r="H51" s="366">
        <f>Plankosten!H92</f>
        <v>2200</v>
      </c>
      <c r="I51" s="366">
        <f>Plankosten!I92</f>
        <v>2200</v>
      </c>
      <c r="J51" s="366">
        <f>Plankosten!J92</f>
        <v>2200</v>
      </c>
      <c r="K51" s="366">
        <f>Plankosten!K92</f>
        <v>2200</v>
      </c>
      <c r="L51" s="366">
        <f>Plankosten!L92</f>
        <v>2200</v>
      </c>
      <c r="M51" s="366">
        <f>Plankosten!M92</f>
        <v>2200</v>
      </c>
      <c r="N51" s="366">
        <f>Plankosten!N92</f>
        <v>2200</v>
      </c>
      <c r="O51" s="366">
        <f>Plankosten!O92</f>
        <v>2200</v>
      </c>
      <c r="P51" s="367">
        <f>Plankosten!P92</f>
        <v>2200</v>
      </c>
      <c r="Q51" s="351">
        <f>Plankosten!Q92</f>
        <v>26400</v>
      </c>
      <c r="R51" s="368">
        <f>Plankosten!R92</f>
        <v>6600</v>
      </c>
      <c r="S51" s="366">
        <f>Plankosten!S92</f>
        <v>6600</v>
      </c>
      <c r="T51" s="366">
        <f>Plankosten!T92</f>
        <v>6600</v>
      </c>
      <c r="U51" s="367">
        <f>Plankosten!U92</f>
        <v>6600</v>
      </c>
      <c r="V51" s="351">
        <f>Plankosten!V92</f>
        <v>26400</v>
      </c>
      <c r="W51" s="369">
        <f>Plankosten!W92</f>
        <v>26400</v>
      </c>
      <c r="X51" s="258">
        <f>Plankosten!X92</f>
        <v>26400</v>
      </c>
    </row>
    <row r="52" spans="1:24" ht="18.75" customHeight="1" outlineLevel="1" x14ac:dyDescent="0.25">
      <c r="A52" s="884" t="str">
        <f>Plankosten!A94</f>
        <v>Telefon / Fax / Internet</v>
      </c>
      <c r="B52" s="885"/>
      <c r="C52" s="885"/>
      <c r="D52" s="886"/>
      <c r="E52" s="365">
        <f>Plankosten!E101*(1+$D$8)</f>
        <v>465.59999999999997</v>
      </c>
      <c r="F52" s="366">
        <f>Plankosten!F101</f>
        <v>388</v>
      </c>
      <c r="G52" s="366">
        <f>Plankosten!G101</f>
        <v>388</v>
      </c>
      <c r="H52" s="366">
        <f>Plankosten!H101</f>
        <v>388</v>
      </c>
      <c r="I52" s="366">
        <f>Plankosten!I101</f>
        <v>388</v>
      </c>
      <c r="J52" s="366">
        <f>Plankosten!J101</f>
        <v>388</v>
      </c>
      <c r="K52" s="366">
        <f>Plankosten!K101</f>
        <v>388</v>
      </c>
      <c r="L52" s="366">
        <f>Plankosten!L101</f>
        <v>388</v>
      </c>
      <c r="M52" s="366">
        <f>Plankosten!M101</f>
        <v>388</v>
      </c>
      <c r="N52" s="366">
        <f>Plankosten!N101</f>
        <v>388</v>
      </c>
      <c r="O52" s="366">
        <f>Plankosten!O101</f>
        <v>388</v>
      </c>
      <c r="P52" s="367">
        <f>Plankosten!P101</f>
        <v>388</v>
      </c>
      <c r="Q52" s="351">
        <f>Plankosten!Q101</f>
        <v>4656</v>
      </c>
      <c r="R52" s="368">
        <f>Plankosten!R101</f>
        <v>1164</v>
      </c>
      <c r="S52" s="366">
        <f>Plankosten!S101</f>
        <v>1164</v>
      </c>
      <c r="T52" s="366">
        <f>Plankosten!T101</f>
        <v>1164</v>
      </c>
      <c r="U52" s="367">
        <f>Plankosten!U101</f>
        <v>1164</v>
      </c>
      <c r="V52" s="351">
        <f>Plankosten!V101</f>
        <v>4656</v>
      </c>
      <c r="W52" s="369">
        <f>Plankosten!W101</f>
        <v>4656</v>
      </c>
      <c r="X52" s="258">
        <f>Plankosten!X101</f>
        <v>4656</v>
      </c>
    </row>
    <row r="53" spans="1:24" ht="18.75" customHeight="1" outlineLevel="1" x14ac:dyDescent="0.25">
      <c r="A53" s="893" t="str">
        <f>Plankosten!A103</f>
        <v>Steuer- und Rechtsberatung</v>
      </c>
      <c r="B53" s="894"/>
      <c r="C53" s="894"/>
      <c r="D53" s="895"/>
      <c r="E53" s="365">
        <f>Plankosten!E110*(1+$D$8)</f>
        <v>360</v>
      </c>
      <c r="F53" s="366">
        <f>Plankosten!F110</f>
        <v>300</v>
      </c>
      <c r="G53" s="366">
        <f>Plankosten!G110</f>
        <v>2300</v>
      </c>
      <c r="H53" s="366">
        <f>Plankosten!H110</f>
        <v>300</v>
      </c>
      <c r="I53" s="366">
        <f>Plankosten!I110</f>
        <v>300</v>
      </c>
      <c r="J53" s="366">
        <f>Plankosten!J110</f>
        <v>300</v>
      </c>
      <c r="K53" s="366">
        <f>Plankosten!K110</f>
        <v>300</v>
      </c>
      <c r="L53" s="366">
        <f>Plankosten!L110</f>
        <v>300</v>
      </c>
      <c r="M53" s="366">
        <f>Plankosten!M110</f>
        <v>300</v>
      </c>
      <c r="N53" s="366">
        <f>Plankosten!N110</f>
        <v>3300</v>
      </c>
      <c r="O53" s="366">
        <f>Plankosten!O110</f>
        <v>300</v>
      </c>
      <c r="P53" s="367">
        <f>Plankosten!P110</f>
        <v>300</v>
      </c>
      <c r="Q53" s="351">
        <f>Plankosten!Q110</f>
        <v>8600</v>
      </c>
      <c r="R53" s="368">
        <f>Plankosten!R110</f>
        <v>900</v>
      </c>
      <c r="S53" s="366">
        <f>Plankosten!S110</f>
        <v>900</v>
      </c>
      <c r="T53" s="366">
        <f>Plankosten!T110</f>
        <v>900</v>
      </c>
      <c r="U53" s="367">
        <f>Plankosten!U110</f>
        <v>3900</v>
      </c>
      <c r="V53" s="351">
        <f>Plankosten!V110</f>
        <v>6600</v>
      </c>
      <c r="W53" s="369">
        <f>Plankosten!W110</f>
        <v>6600</v>
      </c>
      <c r="X53" s="258">
        <f>Plankosten!X110</f>
        <v>6600</v>
      </c>
    </row>
    <row r="54" spans="1:24" ht="18.75" customHeight="1" outlineLevel="1" x14ac:dyDescent="0.25">
      <c r="A54" s="887" t="str">
        <f>Plankosten!A112</f>
        <v>Werbungskosten</v>
      </c>
      <c r="B54" s="888"/>
      <c r="C54" s="888"/>
      <c r="D54" s="889"/>
      <c r="E54" s="365">
        <f>Plankosten!E119*(1+$D$8)</f>
        <v>0</v>
      </c>
      <c r="F54" s="366">
        <f>Plankosten!F119</f>
        <v>0</v>
      </c>
      <c r="G54" s="366">
        <f>Plankosten!G119</f>
        <v>0</v>
      </c>
      <c r="H54" s="366">
        <f>Plankosten!H119</f>
        <v>0</v>
      </c>
      <c r="I54" s="366">
        <f>Plankosten!I119</f>
        <v>0</v>
      </c>
      <c r="J54" s="366">
        <f>Plankosten!J119</f>
        <v>0</v>
      </c>
      <c r="K54" s="366">
        <f>Plankosten!K119</f>
        <v>0</v>
      </c>
      <c r="L54" s="366">
        <f>Plankosten!L119</f>
        <v>0</v>
      </c>
      <c r="M54" s="366">
        <f>Plankosten!M119</f>
        <v>0</v>
      </c>
      <c r="N54" s="366">
        <f>Plankosten!N119</f>
        <v>0</v>
      </c>
      <c r="O54" s="366">
        <f>Plankosten!O119</f>
        <v>0</v>
      </c>
      <c r="P54" s="367">
        <f>Plankosten!P119</f>
        <v>0</v>
      </c>
      <c r="Q54" s="351">
        <f>Plankosten!Q119</f>
        <v>0</v>
      </c>
      <c r="R54" s="368">
        <f>Plankosten!R119</f>
        <v>0</v>
      </c>
      <c r="S54" s="366">
        <f>Plankosten!S119</f>
        <v>0</v>
      </c>
      <c r="T54" s="366">
        <f>Plankosten!T119</f>
        <v>0</v>
      </c>
      <c r="U54" s="367">
        <f>Plankosten!U119</f>
        <v>0</v>
      </c>
      <c r="V54" s="351">
        <f>Plankosten!V119</f>
        <v>0</v>
      </c>
      <c r="W54" s="369">
        <f>Plankosten!W119</f>
        <v>0</v>
      </c>
      <c r="X54" s="258">
        <f>Plankosten!X119</f>
        <v>0</v>
      </c>
    </row>
    <row r="55" spans="1:24" ht="18.75" customHeight="1" outlineLevel="1" x14ac:dyDescent="0.25">
      <c r="A55" s="887" t="str">
        <f>Plankosten!A121</f>
        <v>Gebühren, Kammerbeiträge</v>
      </c>
      <c r="B55" s="888"/>
      <c r="C55" s="888"/>
      <c r="D55" s="889"/>
      <c r="E55" s="365">
        <f>Plankosten!E128</f>
        <v>168.83954245979169</v>
      </c>
      <c r="F55" s="366">
        <f>Plankosten!F128</f>
        <v>368.83954245979169</v>
      </c>
      <c r="G55" s="366">
        <f>Plankosten!G128</f>
        <v>168.83954245979169</v>
      </c>
      <c r="H55" s="366">
        <f>Plankosten!H128</f>
        <v>168.83954245979169</v>
      </c>
      <c r="I55" s="366">
        <f>Plankosten!I128</f>
        <v>368.83954245979169</v>
      </c>
      <c r="J55" s="366">
        <f>Plankosten!J128</f>
        <v>168.83954245979169</v>
      </c>
      <c r="K55" s="366">
        <f>Plankosten!K128</f>
        <v>168.83954245979169</v>
      </c>
      <c r="L55" s="366">
        <f>Plankosten!L128</f>
        <v>368.83954245979169</v>
      </c>
      <c r="M55" s="366">
        <f>Plankosten!M128</f>
        <v>168.83954245979169</v>
      </c>
      <c r="N55" s="366">
        <f>Plankosten!N128</f>
        <v>168.83954245979169</v>
      </c>
      <c r="O55" s="366">
        <f>Plankosten!O128</f>
        <v>368.83954245979169</v>
      </c>
      <c r="P55" s="367">
        <f>Plankosten!P128</f>
        <v>168.83954245979169</v>
      </c>
      <c r="Q55" s="351">
        <f>Plankosten!Q128</f>
        <v>2826.0745095175007</v>
      </c>
      <c r="R55" s="368">
        <f>Plankosten!R128</f>
        <v>706.51862737937495</v>
      </c>
      <c r="S55" s="366">
        <f>Plankosten!S128</f>
        <v>706.51862737937495</v>
      </c>
      <c r="T55" s="366">
        <f>Plankosten!T128</f>
        <v>706.51862737937495</v>
      </c>
      <c r="U55" s="367">
        <f>Plankosten!U128</f>
        <v>706.51862737937495</v>
      </c>
      <c r="V55" s="351">
        <f>Plankosten!V128</f>
        <v>2826.0745095174998</v>
      </c>
      <c r="W55" s="369">
        <f>Plankosten!W128</f>
        <v>2826.0745095174998</v>
      </c>
      <c r="X55" s="258">
        <f>Plankosten!X128</f>
        <v>2826.0745095174998</v>
      </c>
    </row>
    <row r="56" spans="1:24" ht="18.75" customHeight="1" outlineLevel="1" x14ac:dyDescent="0.25">
      <c r="A56" s="887" t="str">
        <f>Plankosten!A130</f>
        <v>Betriebsversicherung</v>
      </c>
      <c r="B56" s="888"/>
      <c r="C56" s="888"/>
      <c r="D56" s="889"/>
      <c r="E56" s="365">
        <f>Plankosten!E137</f>
        <v>0</v>
      </c>
      <c r="F56" s="366">
        <f>Plankosten!F137</f>
        <v>0</v>
      </c>
      <c r="G56" s="366">
        <f>Plankosten!G137</f>
        <v>0</v>
      </c>
      <c r="H56" s="366">
        <f>Plankosten!H137</f>
        <v>0</v>
      </c>
      <c r="I56" s="366">
        <f>Plankosten!I137</f>
        <v>0</v>
      </c>
      <c r="J56" s="366">
        <f>Plankosten!J137</f>
        <v>0</v>
      </c>
      <c r="K56" s="366">
        <f>Plankosten!K137</f>
        <v>0</v>
      </c>
      <c r="L56" s="366">
        <f>Plankosten!L137</f>
        <v>0</v>
      </c>
      <c r="M56" s="366">
        <f>Plankosten!M137</f>
        <v>0</v>
      </c>
      <c r="N56" s="366">
        <f>Plankosten!N137</f>
        <v>0</v>
      </c>
      <c r="O56" s="366">
        <f>Plankosten!O137</f>
        <v>0</v>
      </c>
      <c r="P56" s="367">
        <f>Plankosten!P137</f>
        <v>0</v>
      </c>
      <c r="Q56" s="351">
        <f>Plankosten!Q137</f>
        <v>0</v>
      </c>
      <c r="R56" s="368">
        <f>Plankosten!R137</f>
        <v>0</v>
      </c>
      <c r="S56" s="366">
        <f>Plankosten!S137</f>
        <v>0</v>
      </c>
      <c r="T56" s="366">
        <f>Plankosten!T137</f>
        <v>0</v>
      </c>
      <c r="U56" s="367">
        <f>Plankosten!U137</f>
        <v>0</v>
      </c>
      <c r="V56" s="351">
        <f>Plankosten!V137</f>
        <v>0</v>
      </c>
      <c r="W56" s="369">
        <f>Plankosten!W137</f>
        <v>0</v>
      </c>
      <c r="X56" s="258">
        <f>Plankosten!X137</f>
        <v>0</v>
      </c>
    </row>
    <row r="57" spans="1:24" ht="18.75" customHeight="1" outlineLevel="1" x14ac:dyDescent="0.25">
      <c r="A57" s="887" t="str">
        <f>Plankosten!A139</f>
        <v>Leasinggebühren</v>
      </c>
      <c r="B57" s="888"/>
      <c r="C57" s="888"/>
      <c r="D57" s="889"/>
      <c r="E57" s="365">
        <f>Plankosten!E146*(1+$D$8)</f>
        <v>1800</v>
      </c>
      <c r="F57" s="366">
        <f>Plankosten!F146</f>
        <v>1500</v>
      </c>
      <c r="G57" s="366">
        <f>Plankosten!G146</f>
        <v>1500</v>
      </c>
      <c r="H57" s="366">
        <f>Plankosten!H146</f>
        <v>1500</v>
      </c>
      <c r="I57" s="366">
        <f>Plankosten!I146</f>
        <v>1500</v>
      </c>
      <c r="J57" s="366">
        <f>Plankosten!J146</f>
        <v>1500</v>
      </c>
      <c r="K57" s="366">
        <f>Plankosten!K146</f>
        <v>1500</v>
      </c>
      <c r="L57" s="366">
        <f>Plankosten!L146</f>
        <v>1500</v>
      </c>
      <c r="M57" s="366">
        <f>Plankosten!M146</f>
        <v>1500</v>
      </c>
      <c r="N57" s="366">
        <f>Plankosten!N146</f>
        <v>1500</v>
      </c>
      <c r="O57" s="366">
        <f>Plankosten!O146</f>
        <v>1500</v>
      </c>
      <c r="P57" s="367">
        <f>Plankosten!P146</f>
        <v>1500</v>
      </c>
      <c r="Q57" s="351">
        <f>Plankosten!Q146</f>
        <v>18000</v>
      </c>
      <c r="R57" s="368">
        <f>Plankosten!R146</f>
        <v>4500</v>
      </c>
      <c r="S57" s="366">
        <f>Plankosten!S146</f>
        <v>4500</v>
      </c>
      <c r="T57" s="366">
        <f>Plankosten!T146</f>
        <v>4500</v>
      </c>
      <c r="U57" s="367">
        <f>Plankosten!U146</f>
        <v>4500</v>
      </c>
      <c r="V57" s="351">
        <f>Plankosten!V146</f>
        <v>18000</v>
      </c>
      <c r="W57" s="369">
        <f>Plankosten!W146</f>
        <v>18000</v>
      </c>
      <c r="X57" s="258">
        <f>Plankosten!X146</f>
        <v>18000</v>
      </c>
    </row>
    <row r="58" spans="1:24" ht="18.75" customHeight="1" outlineLevel="1" x14ac:dyDescent="0.25">
      <c r="A58" s="887" t="str">
        <f>Plankosten!A148</f>
        <v>Spesen-, Bank-, Kreditgebühren</v>
      </c>
      <c r="B58" s="888"/>
      <c r="C58" s="888"/>
      <c r="D58" s="889"/>
      <c r="E58" s="365">
        <f>Plankosten!E155</f>
        <v>50</v>
      </c>
      <c r="F58" s="366">
        <f>Plankosten!F155</f>
        <v>0</v>
      </c>
      <c r="G58" s="366">
        <f>Plankosten!G155</f>
        <v>0</v>
      </c>
      <c r="H58" s="366">
        <f>Plankosten!H155</f>
        <v>50</v>
      </c>
      <c r="I58" s="366">
        <f>Plankosten!I155</f>
        <v>0</v>
      </c>
      <c r="J58" s="366">
        <f>Plankosten!J155</f>
        <v>0</v>
      </c>
      <c r="K58" s="366">
        <f>Plankosten!K155</f>
        <v>50</v>
      </c>
      <c r="L58" s="366">
        <f>Plankosten!L155</f>
        <v>0</v>
      </c>
      <c r="M58" s="366">
        <f>Plankosten!M155</f>
        <v>0</v>
      </c>
      <c r="N58" s="366">
        <f>Plankosten!N155</f>
        <v>50</v>
      </c>
      <c r="O58" s="366">
        <f>Plankosten!O155</f>
        <v>0</v>
      </c>
      <c r="P58" s="367">
        <f>Plankosten!P155</f>
        <v>0</v>
      </c>
      <c r="Q58" s="351">
        <f>Plankosten!Q155</f>
        <v>200</v>
      </c>
      <c r="R58" s="368">
        <f>Plankosten!R155</f>
        <v>50</v>
      </c>
      <c r="S58" s="366">
        <f>Plankosten!S155</f>
        <v>50</v>
      </c>
      <c r="T58" s="366">
        <f>Plankosten!T155</f>
        <v>50</v>
      </c>
      <c r="U58" s="367">
        <f>Plankosten!U155</f>
        <v>50</v>
      </c>
      <c r="V58" s="351">
        <f>Plankosten!V155</f>
        <v>200</v>
      </c>
      <c r="W58" s="369">
        <f>Plankosten!W155</f>
        <v>200</v>
      </c>
      <c r="X58" s="258">
        <f>Plankosten!X155</f>
        <v>200</v>
      </c>
    </row>
    <row r="59" spans="1:24" ht="18.75" customHeight="1" outlineLevel="1" thickBot="1" x14ac:dyDescent="0.3">
      <c r="A59" s="890" t="str">
        <f>Plankosten!A157</f>
        <v>Sonstige Kosten</v>
      </c>
      <c r="B59" s="891"/>
      <c r="C59" s="891"/>
      <c r="D59" s="892"/>
      <c r="E59" s="141">
        <f>Plankosten!E164*(1+$D$8)</f>
        <v>0</v>
      </c>
      <c r="F59" s="142">
        <f>Plankosten!F164</f>
        <v>0</v>
      </c>
      <c r="G59" s="142">
        <f>Plankosten!G164</f>
        <v>0</v>
      </c>
      <c r="H59" s="142">
        <f>Plankosten!H164</f>
        <v>0</v>
      </c>
      <c r="I59" s="142">
        <f>Plankosten!I164</f>
        <v>15000</v>
      </c>
      <c r="J59" s="142">
        <f>Plankosten!J164</f>
        <v>0</v>
      </c>
      <c r="K59" s="142">
        <f>Plankosten!K164</f>
        <v>0</v>
      </c>
      <c r="L59" s="142">
        <f>Plankosten!L164</f>
        <v>0</v>
      </c>
      <c r="M59" s="142">
        <f>Plankosten!M164</f>
        <v>0</v>
      </c>
      <c r="N59" s="142">
        <f>Plankosten!N164</f>
        <v>0</v>
      </c>
      <c r="O59" s="142">
        <f>Plankosten!O164</f>
        <v>0</v>
      </c>
      <c r="P59" s="172">
        <f>Plankosten!P164</f>
        <v>0</v>
      </c>
      <c r="Q59" s="147">
        <f>Plankosten!Q164</f>
        <v>15000</v>
      </c>
      <c r="R59" s="209">
        <f>Plankosten!R164</f>
        <v>0</v>
      </c>
      <c r="S59" s="142">
        <f>Plankosten!S164</f>
        <v>15000</v>
      </c>
      <c r="T59" s="142">
        <f>Plankosten!T164</f>
        <v>0</v>
      </c>
      <c r="U59" s="172">
        <f>Plankosten!U164</f>
        <v>0</v>
      </c>
      <c r="V59" s="147">
        <f>Plankosten!V164</f>
        <v>15000</v>
      </c>
      <c r="W59" s="210">
        <f>Plankosten!W164</f>
        <v>15000</v>
      </c>
      <c r="X59" s="148">
        <f>Plankosten!X164</f>
        <v>15000</v>
      </c>
    </row>
    <row r="60" spans="1:24" ht="7.5" customHeight="1" outlineLevel="1" thickTop="1" thickBot="1" x14ac:dyDescent="0.3">
      <c r="A60" s="881"/>
      <c r="B60" s="882"/>
      <c r="C60" s="882"/>
      <c r="D60" s="883"/>
      <c r="E60" s="370"/>
      <c r="F60" s="117"/>
      <c r="G60" s="117"/>
      <c r="H60" s="117"/>
      <c r="I60" s="117"/>
      <c r="J60" s="117"/>
      <c r="K60" s="117"/>
      <c r="L60" s="117"/>
      <c r="M60" s="117"/>
      <c r="N60" s="117"/>
      <c r="O60" s="117"/>
      <c r="P60" s="371"/>
      <c r="Q60" s="347" t="str">
        <f t="shared" ref="Q60" si="20">IF(SUM(E60:P60)=0,"",SUM(E60:P60))</f>
        <v/>
      </c>
      <c r="R60" s="372"/>
      <c r="S60" s="345"/>
      <c r="T60" s="345"/>
      <c r="U60" s="373"/>
      <c r="V60" s="347" t="str">
        <f t="shared" ref="V60" si="21">IF(SUM(R60:U60)=0,"",SUM(R60:U60))</f>
        <v/>
      </c>
      <c r="W60" s="374"/>
      <c r="X60" s="349"/>
    </row>
    <row r="61" spans="1:24" ht="18.75" customHeight="1" thickBot="1" x14ac:dyDescent="0.3">
      <c r="A61" s="847" t="s">
        <v>161</v>
      </c>
      <c r="B61" s="848"/>
      <c r="C61" s="848"/>
      <c r="D61" s="849"/>
      <c r="E61" s="671">
        <f t="shared" ref="E61:X61" si="22">SUM(E45:E60)</f>
        <v>25209.63954245979</v>
      </c>
      <c r="F61" s="593">
        <f t="shared" si="22"/>
        <v>25035.839542459791</v>
      </c>
      <c r="G61" s="593">
        <f t="shared" si="22"/>
        <v>30483.839542459791</v>
      </c>
      <c r="H61" s="593">
        <f t="shared" si="22"/>
        <v>32181.839542459791</v>
      </c>
      <c r="I61" s="593">
        <f t="shared" si="22"/>
        <v>71228.50620912647</v>
      </c>
      <c r="J61" s="593">
        <f t="shared" si="22"/>
        <v>32131.839542459791</v>
      </c>
      <c r="K61" s="593">
        <f t="shared" si="22"/>
        <v>32181.839542459791</v>
      </c>
      <c r="L61" s="593">
        <f t="shared" si="22"/>
        <v>32331.839542459791</v>
      </c>
      <c r="M61" s="593">
        <f t="shared" si="22"/>
        <v>32131.839542459791</v>
      </c>
      <c r="N61" s="593">
        <f t="shared" si="22"/>
        <v>35181.839542459791</v>
      </c>
      <c r="O61" s="593">
        <f t="shared" si="22"/>
        <v>56228.506209126463</v>
      </c>
      <c r="P61" s="590">
        <f t="shared" si="22"/>
        <v>34131.839542459791</v>
      </c>
      <c r="Q61" s="596">
        <f t="shared" si="22"/>
        <v>437327.40784285084</v>
      </c>
      <c r="R61" s="479">
        <f t="shared" si="22"/>
        <v>135600.51862737938</v>
      </c>
      <c r="S61" s="593">
        <f t="shared" si="22"/>
        <v>187089.51862737938</v>
      </c>
      <c r="T61" s="593">
        <f t="shared" si="22"/>
        <v>134100.51862737938</v>
      </c>
      <c r="U61" s="590">
        <f t="shared" si="22"/>
        <v>177089.51862737938</v>
      </c>
      <c r="V61" s="596">
        <f t="shared" si="22"/>
        <v>633880.07450951752</v>
      </c>
      <c r="W61" s="595">
        <f t="shared" si="22"/>
        <v>824947.2845095176</v>
      </c>
      <c r="X61" s="534">
        <f t="shared" si="22"/>
        <v>861038.94500951748</v>
      </c>
    </row>
    <row r="62" spans="1:24" ht="7.5" customHeight="1" thickBot="1" x14ac:dyDescent="0.3">
      <c r="A62" s="757"/>
      <c r="B62" s="758"/>
      <c r="C62" s="758"/>
      <c r="D62" s="758"/>
      <c r="E62" s="758"/>
      <c r="F62" s="758"/>
      <c r="G62" s="758"/>
      <c r="H62" s="758"/>
      <c r="I62" s="758"/>
      <c r="J62" s="758"/>
      <c r="K62" s="758"/>
      <c r="L62" s="758"/>
      <c r="M62" s="758"/>
      <c r="N62" s="758"/>
      <c r="O62" s="758"/>
      <c r="P62" s="758"/>
      <c r="Q62" s="758"/>
      <c r="R62" s="758"/>
      <c r="S62" s="758"/>
      <c r="T62" s="758"/>
      <c r="U62" s="758"/>
      <c r="V62" s="758"/>
      <c r="W62" s="758"/>
      <c r="X62" s="759"/>
    </row>
    <row r="63" spans="1:24" ht="18.75" customHeight="1" thickBot="1" x14ac:dyDescent="0.3">
      <c r="A63" s="869" t="s">
        <v>163</v>
      </c>
      <c r="B63" s="870"/>
      <c r="C63" s="870"/>
      <c r="D63" s="871"/>
      <c r="X63" s="356"/>
    </row>
    <row r="64" spans="1:24" ht="18.75" customHeight="1" outlineLevel="1" thickTop="1" x14ac:dyDescent="0.25">
      <c r="A64" s="866" t="s">
        <v>165</v>
      </c>
      <c r="B64" s="867"/>
      <c r="C64" s="867"/>
      <c r="D64" s="868"/>
      <c r="E64" s="6">
        <f>Investitionsplan!F28*(1+$D$8)</f>
        <v>69600</v>
      </c>
      <c r="F64" s="7">
        <f>Investitionsplan!G28*(1+$D$8)</f>
        <v>0</v>
      </c>
      <c r="G64" s="7">
        <f>Investitionsplan!H28*(1+$D$8)</f>
        <v>12000</v>
      </c>
      <c r="H64" s="7">
        <f>Investitionsplan!I28*(1+$D$8)</f>
        <v>0</v>
      </c>
      <c r="I64" s="7">
        <f>Investitionsplan!J28*(1+$D$8)</f>
        <v>0</v>
      </c>
      <c r="J64" s="7">
        <f>Investitionsplan!K28*(1+$D$8)</f>
        <v>12000</v>
      </c>
      <c r="K64" s="7">
        <f>Investitionsplan!L28*(1+$D$8)</f>
        <v>0</v>
      </c>
      <c r="L64" s="7">
        <f>Investitionsplan!M28*(1+$D$8)</f>
        <v>0</v>
      </c>
      <c r="M64" s="7">
        <f>Investitionsplan!N28*(1+$D$8)</f>
        <v>0</v>
      </c>
      <c r="N64" s="7">
        <f>Investitionsplan!O28*(1+$D$8)</f>
        <v>24000</v>
      </c>
      <c r="O64" s="7">
        <f>Investitionsplan!P28*(1+$D$8)</f>
        <v>0</v>
      </c>
      <c r="P64" s="193">
        <f>Investitionsplan!Q28*(1+$D$8)</f>
        <v>0</v>
      </c>
      <c r="Q64" s="8">
        <f>Investitionsplan!R28*(1+$D$8)</f>
        <v>117600</v>
      </c>
      <c r="R64" s="325">
        <f>Investitionsplan!S28*(1+$D$8)</f>
        <v>9600</v>
      </c>
      <c r="S64" s="7">
        <f>Investitionsplan!T28*(1+$D$8)</f>
        <v>0</v>
      </c>
      <c r="T64" s="7">
        <f>Investitionsplan!U28*(1+$D$8)</f>
        <v>19200</v>
      </c>
      <c r="U64" s="193">
        <f>Investitionsplan!V28*(1+$D$8)</f>
        <v>0</v>
      </c>
      <c r="V64" s="8">
        <f>Investitionsplan!W28*(1+$D$8)</f>
        <v>28800</v>
      </c>
      <c r="W64" s="8">
        <f>Investitionsplan!X28*(1+$D$8)</f>
        <v>2400</v>
      </c>
      <c r="X64" s="9">
        <f>Investitionsplan!Y28*(1+$D$8)</f>
        <v>0</v>
      </c>
    </row>
    <row r="65" spans="1:24" ht="18.75" customHeight="1" outlineLevel="1" thickBot="1" x14ac:dyDescent="0.3">
      <c r="A65" s="875" t="s">
        <v>166</v>
      </c>
      <c r="B65" s="876"/>
      <c r="C65" s="876"/>
      <c r="D65" s="877"/>
      <c r="E65" s="141">
        <f>Investitionsplan!F38</f>
        <v>0</v>
      </c>
      <c r="F65" s="142">
        <f>Investitionsplan!G38</f>
        <v>0</v>
      </c>
      <c r="G65" s="142">
        <f>Investitionsplan!H38</f>
        <v>35000</v>
      </c>
      <c r="H65" s="142">
        <f>Investitionsplan!I38</f>
        <v>0</v>
      </c>
      <c r="I65" s="142">
        <f>Investitionsplan!J38</f>
        <v>0</v>
      </c>
      <c r="J65" s="142">
        <f>Investitionsplan!K38</f>
        <v>0</v>
      </c>
      <c r="K65" s="142">
        <f>Investitionsplan!L38</f>
        <v>0</v>
      </c>
      <c r="L65" s="142">
        <f>Investitionsplan!M38</f>
        <v>0</v>
      </c>
      <c r="M65" s="142">
        <f>Investitionsplan!N38</f>
        <v>0</v>
      </c>
      <c r="N65" s="142">
        <f>Investitionsplan!O38</f>
        <v>0</v>
      </c>
      <c r="O65" s="142">
        <f>Investitionsplan!P38</f>
        <v>0</v>
      </c>
      <c r="P65" s="172">
        <f>Investitionsplan!Q38</f>
        <v>0</v>
      </c>
      <c r="Q65" s="147">
        <f>Investitionsplan!R38</f>
        <v>35000</v>
      </c>
      <c r="R65" s="173">
        <f>Investitionsplan!S38</f>
        <v>60000</v>
      </c>
      <c r="S65" s="142">
        <f>Investitionsplan!T38</f>
        <v>0</v>
      </c>
      <c r="T65" s="142">
        <f>Investitionsplan!U38</f>
        <v>0</v>
      </c>
      <c r="U65" s="172">
        <f>Investitionsplan!V38</f>
        <v>0</v>
      </c>
      <c r="V65" s="147">
        <f>Investitionsplan!W38</f>
        <v>60000</v>
      </c>
      <c r="W65" s="147">
        <f>Investitionsplan!X38</f>
        <v>25000</v>
      </c>
      <c r="X65" s="148">
        <f>Investitionsplan!Y38</f>
        <v>0</v>
      </c>
    </row>
    <row r="66" spans="1:24" ht="7.5" customHeight="1" outlineLevel="1" thickTop="1" thickBot="1" x14ac:dyDescent="0.3">
      <c r="A66" s="878"/>
      <c r="B66" s="879"/>
      <c r="C66" s="879"/>
      <c r="D66" s="880"/>
      <c r="E66" s="370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371"/>
      <c r="Q66" s="347" t="str">
        <f t="shared" ref="Q66" si="23">IF(SUM(E66:P66)=0,"",SUM(E66:P66))</f>
        <v/>
      </c>
      <c r="R66" s="348"/>
      <c r="S66" s="345"/>
      <c r="T66" s="345"/>
      <c r="U66" s="373"/>
      <c r="V66" s="347" t="str">
        <f t="shared" ref="V66" si="24">IF(SUM(R66:U66)=0,"",SUM(R66:U66))</f>
        <v/>
      </c>
      <c r="W66" s="347"/>
      <c r="X66" s="349"/>
    </row>
    <row r="67" spans="1:24" ht="18.75" customHeight="1" thickBot="1" x14ac:dyDescent="0.3">
      <c r="A67" s="847" t="s">
        <v>162</v>
      </c>
      <c r="B67" s="848"/>
      <c r="C67" s="848"/>
      <c r="D67" s="849"/>
      <c r="E67" s="672">
        <f>SUM(E64:E66)</f>
        <v>69600</v>
      </c>
      <c r="F67" s="673">
        <f t="shared" ref="F67:X67" si="25">SUM(F64:F66)</f>
        <v>0</v>
      </c>
      <c r="G67" s="673">
        <f t="shared" si="25"/>
        <v>47000</v>
      </c>
      <c r="H67" s="673">
        <f t="shared" si="25"/>
        <v>0</v>
      </c>
      <c r="I67" s="673">
        <f t="shared" si="25"/>
        <v>0</v>
      </c>
      <c r="J67" s="673">
        <f t="shared" si="25"/>
        <v>12000</v>
      </c>
      <c r="K67" s="673">
        <f t="shared" si="25"/>
        <v>0</v>
      </c>
      <c r="L67" s="673">
        <f t="shared" si="25"/>
        <v>0</v>
      </c>
      <c r="M67" s="673">
        <f t="shared" si="25"/>
        <v>0</v>
      </c>
      <c r="N67" s="673">
        <f t="shared" si="25"/>
        <v>24000</v>
      </c>
      <c r="O67" s="673">
        <f t="shared" si="25"/>
        <v>0</v>
      </c>
      <c r="P67" s="674">
        <f t="shared" si="25"/>
        <v>0</v>
      </c>
      <c r="Q67" s="596">
        <f t="shared" si="25"/>
        <v>152600</v>
      </c>
      <c r="R67" s="675">
        <f t="shared" si="25"/>
        <v>69600</v>
      </c>
      <c r="S67" s="673">
        <f t="shared" si="25"/>
        <v>0</v>
      </c>
      <c r="T67" s="673">
        <f t="shared" si="25"/>
        <v>19200</v>
      </c>
      <c r="U67" s="674">
        <f t="shared" si="25"/>
        <v>0</v>
      </c>
      <c r="V67" s="596">
        <f t="shared" si="25"/>
        <v>88800</v>
      </c>
      <c r="W67" s="596">
        <f t="shared" si="25"/>
        <v>27400</v>
      </c>
      <c r="X67" s="676">
        <f t="shared" si="25"/>
        <v>0</v>
      </c>
    </row>
    <row r="68" spans="1:24" ht="7.5" customHeight="1" thickBot="1" x14ac:dyDescent="0.3">
      <c r="A68" s="757"/>
      <c r="B68" s="758"/>
      <c r="C68" s="758"/>
      <c r="D68" s="758"/>
      <c r="E68" s="758"/>
      <c r="F68" s="758"/>
      <c r="G68" s="758"/>
      <c r="H68" s="758"/>
      <c r="I68" s="758"/>
      <c r="J68" s="758"/>
      <c r="K68" s="758"/>
      <c r="L68" s="758"/>
      <c r="M68" s="758"/>
      <c r="N68" s="758"/>
      <c r="O68" s="758"/>
      <c r="P68" s="758"/>
      <c r="Q68" s="758"/>
      <c r="R68" s="758"/>
      <c r="S68" s="758"/>
      <c r="T68" s="758"/>
      <c r="U68" s="758"/>
      <c r="V68" s="758"/>
      <c r="W68" s="758"/>
      <c r="X68" s="759"/>
    </row>
    <row r="69" spans="1:24" ht="18.75" customHeight="1" thickBot="1" x14ac:dyDescent="0.3">
      <c r="A69" s="869" t="s">
        <v>172</v>
      </c>
      <c r="B69" s="870"/>
      <c r="C69" s="870"/>
      <c r="D69" s="871"/>
      <c r="X69" s="356"/>
    </row>
    <row r="70" spans="1:24" ht="18.75" customHeight="1" outlineLevel="1" thickTop="1" x14ac:dyDescent="0.25">
      <c r="A70" s="914" t="str">
        <f>A89</f>
        <v>Sollzinsen Kontokorrentkredit</v>
      </c>
      <c r="B70" s="915"/>
      <c r="C70" s="915"/>
      <c r="D70" s="916"/>
      <c r="E70" s="291"/>
      <c r="F70" s="323"/>
      <c r="G70" s="323"/>
      <c r="H70" s="7">
        <f>E89</f>
        <v>972.19738970534524</v>
      </c>
      <c r="I70" s="323"/>
      <c r="J70" s="323"/>
      <c r="K70" s="7">
        <f>H89</f>
        <v>3277.9326397502214</v>
      </c>
      <c r="L70" s="323"/>
      <c r="M70" s="323"/>
      <c r="N70" s="7">
        <f>K89</f>
        <v>5154.2954015694977</v>
      </c>
      <c r="O70" s="323"/>
      <c r="P70" s="324"/>
      <c r="Q70" s="8">
        <f>SUM(E70:P70)</f>
        <v>9404.4254310250653</v>
      </c>
      <c r="R70" s="325">
        <f>N89</f>
        <v>7399.7887516469082</v>
      </c>
      <c r="S70" s="7">
        <f>R89</f>
        <v>10177.097721117505</v>
      </c>
      <c r="T70" s="7">
        <f>S89</f>
        <v>13529.573815740596</v>
      </c>
      <c r="U70" s="193">
        <f>T89</f>
        <v>16683.106631677721</v>
      </c>
      <c r="V70" s="8">
        <f>SUM(R70:U70)</f>
        <v>47789.566920182733</v>
      </c>
      <c r="W70" s="8">
        <f>U89</f>
        <v>19806.601181110716</v>
      </c>
      <c r="X70" s="9">
        <f>W89</f>
        <v>85882.365148881247</v>
      </c>
    </row>
    <row r="71" spans="1:24" ht="18.75" customHeight="1" outlineLevel="1" x14ac:dyDescent="0.25">
      <c r="A71" s="887" t="str">
        <f>A91</f>
        <v>Zinsen Einmalkredit</v>
      </c>
      <c r="B71" s="888"/>
      <c r="C71" s="888"/>
      <c r="D71" s="889"/>
      <c r="E71" s="406"/>
      <c r="F71" s="407"/>
      <c r="G71" s="407"/>
      <c r="H71" s="11">
        <f>E91</f>
        <v>0</v>
      </c>
      <c r="I71" s="407"/>
      <c r="J71" s="407"/>
      <c r="K71" s="11">
        <f>H91</f>
        <v>0</v>
      </c>
      <c r="L71" s="407"/>
      <c r="M71" s="407"/>
      <c r="N71" s="11">
        <f>K91</f>
        <v>0</v>
      </c>
      <c r="O71" s="407"/>
      <c r="P71" s="408"/>
      <c r="Q71" s="12">
        <f>SUM(E71:P71)</f>
        <v>0</v>
      </c>
      <c r="R71" s="326">
        <f>N91</f>
        <v>0</v>
      </c>
      <c r="S71" s="11">
        <f>R91</f>
        <v>0</v>
      </c>
      <c r="T71" s="11">
        <f>S91</f>
        <v>0</v>
      </c>
      <c r="U71" s="198">
        <f>T91</f>
        <v>0</v>
      </c>
      <c r="V71" s="12">
        <f>SUM(R71:U71)</f>
        <v>0</v>
      </c>
      <c r="W71" s="12">
        <f>U91</f>
        <v>0</v>
      </c>
      <c r="X71" s="13">
        <f>W91</f>
        <v>0</v>
      </c>
    </row>
    <row r="72" spans="1:24" ht="18.75" customHeight="1" outlineLevel="1" x14ac:dyDescent="0.25">
      <c r="A72" s="872" t="s">
        <v>181</v>
      </c>
      <c r="B72" s="873"/>
      <c r="C72" s="873"/>
      <c r="D72" s="874"/>
      <c r="E72" s="436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166"/>
      <c r="Q72" s="12">
        <f>SUM(E72:P72)</f>
        <v>0</v>
      </c>
      <c r="R72" s="449"/>
      <c r="S72" s="98"/>
      <c r="T72" s="98"/>
      <c r="U72" s="166"/>
      <c r="V72" s="12">
        <f>SUM(R72:U72)</f>
        <v>0</v>
      </c>
      <c r="W72" s="453"/>
      <c r="X72" s="445"/>
    </row>
    <row r="73" spans="1:24" ht="18.75" customHeight="1" outlineLevel="1" x14ac:dyDescent="0.25">
      <c r="A73" s="872" t="s">
        <v>175</v>
      </c>
      <c r="B73" s="873"/>
      <c r="C73" s="873"/>
      <c r="D73" s="874"/>
      <c r="E73" s="327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328"/>
      <c r="Q73" s="309">
        <f>SUM(E73:P73)</f>
        <v>0</v>
      </c>
      <c r="R73" s="450"/>
      <c r="S73" s="102"/>
      <c r="T73" s="102"/>
      <c r="U73" s="328"/>
      <c r="V73" s="309">
        <f>SUM(R73:U73)</f>
        <v>0</v>
      </c>
      <c r="W73" s="454"/>
      <c r="X73" s="455"/>
    </row>
    <row r="74" spans="1:24" ht="18.75" customHeight="1" outlineLevel="1" x14ac:dyDescent="0.25">
      <c r="A74" s="872" t="s">
        <v>101</v>
      </c>
      <c r="B74" s="873"/>
      <c r="C74" s="873"/>
      <c r="D74" s="874"/>
      <c r="E74" s="293"/>
      <c r="F74" s="409"/>
      <c r="G74" s="84">
        <f>E15*($D$7/(1+$D$7))</f>
        <v>0</v>
      </c>
      <c r="H74" s="84">
        <f t="shared" ref="H74:P74" si="26">F15*($D$7/(1+$D$7))</f>
        <v>0</v>
      </c>
      <c r="I74" s="84">
        <f t="shared" si="26"/>
        <v>0</v>
      </c>
      <c r="J74" s="84">
        <f t="shared" si="26"/>
        <v>0</v>
      </c>
      <c r="K74" s="84">
        <f t="shared" si="26"/>
        <v>0</v>
      </c>
      <c r="L74" s="84">
        <f t="shared" si="26"/>
        <v>0</v>
      </c>
      <c r="M74" s="84">
        <f t="shared" si="26"/>
        <v>16666.666666666668</v>
      </c>
      <c r="N74" s="84">
        <f t="shared" si="26"/>
        <v>0</v>
      </c>
      <c r="O74" s="84">
        <f t="shared" si="26"/>
        <v>16666.666666666668</v>
      </c>
      <c r="P74" s="412">
        <f t="shared" si="26"/>
        <v>1666.6666666666667</v>
      </c>
      <c r="Q74" s="375">
        <f t="shared" ref="Q74:Q75" si="27">SUM(E74:P74)</f>
        <v>35000</v>
      </c>
      <c r="R74" s="83">
        <f>((O15+P15+R15)/3)*($D$7/(1+$D$7))</f>
        <v>12222.222222222223</v>
      </c>
      <c r="S74" s="84">
        <f>((2*R15+S15)/3)*($D$7/(1+$D$7))</f>
        <v>33333.333333333336</v>
      </c>
      <c r="T74" s="84">
        <f t="shared" ref="T74:U74" si="28">((2*S15+T15)/3)*($D$7/(1+$D$7))</f>
        <v>33333.333333333336</v>
      </c>
      <c r="U74" s="412">
        <f t="shared" si="28"/>
        <v>33333.333333333336</v>
      </c>
      <c r="V74" s="375">
        <f t="shared" ref="V74:V75" si="29">SUM(R74:U74)</f>
        <v>112222.22222222225</v>
      </c>
      <c r="W74" s="375">
        <f>((8*U15+10*W15)/12)*($D$7/(1+$D$7))</f>
        <v>161111.11111111112</v>
      </c>
      <c r="X74" s="411">
        <f>((2*W15+10*X15)/12)*($D$7/(1+$D$7))</f>
        <v>305555.55555555556</v>
      </c>
    </row>
    <row r="75" spans="1:24" ht="18.75" customHeight="1" outlineLevel="1" thickBot="1" x14ac:dyDescent="0.3">
      <c r="A75" s="854"/>
      <c r="B75" s="855"/>
      <c r="C75" s="855"/>
      <c r="D75" s="856"/>
      <c r="E75" s="329"/>
      <c r="F75" s="152"/>
      <c r="G75" s="152"/>
      <c r="H75" s="152"/>
      <c r="I75" s="152"/>
      <c r="J75" s="152"/>
      <c r="K75" s="152"/>
      <c r="L75" s="152"/>
      <c r="M75" s="152"/>
      <c r="N75" s="152"/>
      <c r="O75" s="152"/>
      <c r="P75" s="167"/>
      <c r="Q75" s="376">
        <f t="shared" si="27"/>
        <v>0</v>
      </c>
      <c r="R75" s="451"/>
      <c r="S75" s="152"/>
      <c r="T75" s="152"/>
      <c r="U75" s="167"/>
      <c r="V75" s="376">
        <f t="shared" si="29"/>
        <v>0</v>
      </c>
      <c r="W75" s="456"/>
      <c r="X75" s="446"/>
    </row>
    <row r="76" spans="1:24" ht="7.5" customHeight="1" outlineLevel="1" thickTop="1" thickBot="1" x14ac:dyDescent="0.3">
      <c r="A76" s="841"/>
      <c r="B76" s="842"/>
      <c r="C76" s="842"/>
      <c r="D76" s="843"/>
      <c r="E76" s="330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331"/>
      <c r="Q76" s="377"/>
      <c r="R76" s="452"/>
      <c r="S76" s="440"/>
      <c r="T76" s="440"/>
      <c r="U76" s="441"/>
      <c r="V76" s="377"/>
      <c r="W76" s="457"/>
      <c r="X76" s="448"/>
    </row>
    <row r="77" spans="1:24" ht="18.75" customHeight="1" thickBot="1" x14ac:dyDescent="0.3">
      <c r="A77" s="847" t="s">
        <v>262</v>
      </c>
      <c r="B77" s="848"/>
      <c r="C77" s="848"/>
      <c r="D77" s="917"/>
      <c r="E77" s="678">
        <f>SUM(E70:E76)</f>
        <v>0</v>
      </c>
      <c r="F77" s="673">
        <f t="shared" ref="F77:X77" si="30">SUM(F70:F76)</f>
        <v>0</v>
      </c>
      <c r="G77" s="673">
        <f t="shared" si="30"/>
        <v>0</v>
      </c>
      <c r="H77" s="673">
        <f t="shared" si="30"/>
        <v>972.19738970534524</v>
      </c>
      <c r="I77" s="673">
        <f t="shared" si="30"/>
        <v>0</v>
      </c>
      <c r="J77" s="673">
        <f t="shared" si="30"/>
        <v>0</v>
      </c>
      <c r="K77" s="673">
        <f t="shared" si="30"/>
        <v>3277.9326397502214</v>
      </c>
      <c r="L77" s="673">
        <f t="shared" si="30"/>
        <v>0</v>
      </c>
      <c r="M77" s="673">
        <f t="shared" si="30"/>
        <v>16666.666666666668</v>
      </c>
      <c r="N77" s="673">
        <f t="shared" si="30"/>
        <v>5154.2954015694977</v>
      </c>
      <c r="O77" s="673">
        <f t="shared" si="30"/>
        <v>16666.666666666668</v>
      </c>
      <c r="P77" s="674">
        <f t="shared" si="30"/>
        <v>1666.6666666666667</v>
      </c>
      <c r="Q77" s="596">
        <f t="shared" si="30"/>
        <v>44404.425431025069</v>
      </c>
      <c r="R77" s="675">
        <f t="shared" si="30"/>
        <v>19622.010973869132</v>
      </c>
      <c r="S77" s="673">
        <f t="shared" si="30"/>
        <v>43510.431054450841</v>
      </c>
      <c r="T77" s="673">
        <f t="shared" si="30"/>
        <v>46862.90714907393</v>
      </c>
      <c r="U77" s="674">
        <f t="shared" si="30"/>
        <v>50016.439965011057</v>
      </c>
      <c r="V77" s="596">
        <f t="shared" si="30"/>
        <v>160011.78914240497</v>
      </c>
      <c r="W77" s="596">
        <f t="shared" si="30"/>
        <v>180917.71229222184</v>
      </c>
      <c r="X77" s="676">
        <f t="shared" si="30"/>
        <v>391437.92070443684</v>
      </c>
    </row>
    <row r="78" spans="1:24" ht="7.5" customHeight="1" thickBot="1" x14ac:dyDescent="0.3">
      <c r="A78" s="757"/>
      <c r="B78" s="758"/>
      <c r="C78" s="758"/>
      <c r="D78" s="758"/>
      <c r="E78" s="758"/>
      <c r="F78" s="758"/>
      <c r="G78" s="758"/>
      <c r="H78" s="758"/>
      <c r="I78" s="758"/>
      <c r="J78" s="758"/>
      <c r="K78" s="758"/>
      <c r="L78" s="758"/>
      <c r="M78" s="758"/>
      <c r="N78" s="758"/>
      <c r="O78" s="758"/>
      <c r="P78" s="758"/>
      <c r="Q78" s="758"/>
      <c r="R78" s="758"/>
      <c r="S78" s="758"/>
      <c r="T78" s="758"/>
      <c r="U78" s="758"/>
      <c r="V78" s="758"/>
      <c r="W78" s="758"/>
      <c r="X78" s="759"/>
    </row>
    <row r="79" spans="1:24" ht="18" customHeight="1" thickBot="1" x14ac:dyDescent="0.3">
      <c r="A79" s="863" t="s">
        <v>167</v>
      </c>
      <c r="B79" s="864"/>
      <c r="C79" s="864"/>
      <c r="D79" s="865"/>
      <c r="E79" s="486">
        <f t="shared" ref="E79:X79" si="31">SUM(E61,E67,E77)</f>
        <v>94809.639542459787</v>
      </c>
      <c r="F79" s="602">
        <f t="shared" si="31"/>
        <v>25035.839542459791</v>
      </c>
      <c r="G79" s="602">
        <f t="shared" si="31"/>
        <v>77483.839542459784</v>
      </c>
      <c r="H79" s="602">
        <f t="shared" si="31"/>
        <v>33154.036932165138</v>
      </c>
      <c r="I79" s="602">
        <f t="shared" si="31"/>
        <v>71228.50620912647</v>
      </c>
      <c r="J79" s="602">
        <f t="shared" si="31"/>
        <v>44131.839542459791</v>
      </c>
      <c r="K79" s="602">
        <f t="shared" si="31"/>
        <v>35459.772182210014</v>
      </c>
      <c r="L79" s="602">
        <f t="shared" si="31"/>
        <v>32331.839542459791</v>
      </c>
      <c r="M79" s="602">
        <f t="shared" si="31"/>
        <v>48798.506209126455</v>
      </c>
      <c r="N79" s="602">
        <f t="shared" si="31"/>
        <v>64336.134944029291</v>
      </c>
      <c r="O79" s="602">
        <f t="shared" si="31"/>
        <v>72895.172875793127</v>
      </c>
      <c r="P79" s="677">
        <f t="shared" si="31"/>
        <v>35798.506209126455</v>
      </c>
      <c r="Q79" s="362">
        <f t="shared" si="31"/>
        <v>634331.83327387588</v>
      </c>
      <c r="R79" s="487">
        <f t="shared" si="31"/>
        <v>224822.52960124851</v>
      </c>
      <c r="S79" s="602">
        <f t="shared" si="31"/>
        <v>230599.94968183021</v>
      </c>
      <c r="T79" s="602">
        <f t="shared" si="31"/>
        <v>200163.42577645331</v>
      </c>
      <c r="U79" s="677">
        <f t="shared" si="31"/>
        <v>227105.95859239044</v>
      </c>
      <c r="V79" s="362">
        <f t="shared" si="31"/>
        <v>882691.86365192244</v>
      </c>
      <c r="W79" s="362">
        <f t="shared" si="31"/>
        <v>1033264.9968017394</v>
      </c>
      <c r="X79" s="364">
        <f t="shared" si="31"/>
        <v>1252476.8657139544</v>
      </c>
    </row>
    <row r="80" spans="1:24" ht="7.5" customHeight="1" thickBot="1" x14ac:dyDescent="0.3"/>
    <row r="81" spans="1:24" ht="22.5" customHeight="1" thickBot="1" x14ac:dyDescent="0.3">
      <c r="A81" s="910" t="s">
        <v>177</v>
      </c>
      <c r="B81" s="911"/>
      <c r="C81" s="911"/>
      <c r="D81" s="911"/>
      <c r="E81" s="378">
        <f>E41-E79</f>
        <v>-94809.639542459787</v>
      </c>
      <c r="F81" s="379">
        <f t="shared" ref="F81:X81" si="32">F41-F79</f>
        <v>-25035.839542459791</v>
      </c>
      <c r="G81" s="379">
        <f t="shared" si="32"/>
        <v>-64752.039542459781</v>
      </c>
      <c r="H81" s="379">
        <f t="shared" si="32"/>
        <v>-32210.87026549847</v>
      </c>
      <c r="I81" s="379">
        <f t="shared" si="32"/>
        <v>-67952.00620912647</v>
      </c>
      <c r="J81" s="379">
        <f t="shared" si="32"/>
        <v>-43188.672875793127</v>
      </c>
      <c r="K81" s="379">
        <f t="shared" si="32"/>
        <v>-32016.605515543346</v>
      </c>
      <c r="L81" s="379">
        <f t="shared" si="32"/>
        <v>-29388.672875793123</v>
      </c>
      <c r="M81" s="379">
        <f t="shared" si="32"/>
        <v>-47855.339542459791</v>
      </c>
      <c r="N81" s="379">
        <f t="shared" si="32"/>
        <v>-63392.968277362626</v>
      </c>
      <c r="O81" s="379">
        <f t="shared" si="32"/>
        <v>-71952.006209126455</v>
      </c>
      <c r="P81" s="380">
        <f t="shared" si="32"/>
        <v>-30355.339542459787</v>
      </c>
      <c r="Q81" s="381">
        <f t="shared" si="32"/>
        <v>-601778.19994054257</v>
      </c>
      <c r="R81" s="382">
        <f t="shared" si="32"/>
        <v>-221126.36293458185</v>
      </c>
      <c r="S81" s="379">
        <f t="shared" si="32"/>
        <v>-225870.44968183021</v>
      </c>
      <c r="T81" s="379">
        <f t="shared" si="32"/>
        <v>-194600.59244311997</v>
      </c>
      <c r="U81" s="380">
        <f t="shared" si="32"/>
        <v>-221865.34748127931</v>
      </c>
      <c r="V81" s="381">
        <f t="shared" si="32"/>
        <v>-863462.75254081131</v>
      </c>
      <c r="W81" s="383">
        <f t="shared" si="32"/>
        <v>-1018280.3301350728</v>
      </c>
      <c r="X81" s="384">
        <f t="shared" si="32"/>
        <v>-1237758.8657139544</v>
      </c>
    </row>
    <row r="82" spans="1:24" ht="7.5" customHeight="1" thickTop="1" thickBot="1" x14ac:dyDescent="0.3">
      <c r="A82" s="385"/>
      <c r="B82" s="386"/>
      <c r="C82" s="386"/>
      <c r="D82" s="386"/>
      <c r="E82" s="387"/>
      <c r="F82" s="388"/>
      <c r="G82" s="388"/>
      <c r="H82" s="388"/>
      <c r="I82" s="388"/>
      <c r="J82" s="388"/>
      <c r="K82" s="388"/>
      <c r="L82" s="388"/>
      <c r="M82" s="388"/>
      <c r="N82" s="388"/>
      <c r="O82" s="388"/>
      <c r="P82" s="389"/>
      <c r="Q82" s="390"/>
      <c r="R82" s="391"/>
      <c r="S82" s="388"/>
      <c r="T82" s="388"/>
      <c r="U82" s="389"/>
      <c r="V82" s="390"/>
      <c r="W82" s="392"/>
      <c r="X82" s="393"/>
    </row>
    <row r="83" spans="1:24" ht="22.5" customHeight="1" thickTop="1" thickBot="1" x14ac:dyDescent="0.3">
      <c r="A83" s="912" t="s">
        <v>178</v>
      </c>
      <c r="B83" s="913"/>
      <c r="C83" s="913"/>
      <c r="D83" s="913"/>
      <c r="E83" s="394">
        <f>$D$3+E81-E87</f>
        <v>-59809.639542459787</v>
      </c>
      <c r="F83" s="395">
        <f>IF(F87&lt;E87,((E83+F81)-(F87-E87)),(E83+F81))</f>
        <v>-84845.479084919585</v>
      </c>
      <c r="G83" s="395">
        <f t="shared" ref="G83:U83" si="33">IF(G87&lt;F87,((F83+G81)-(G87-F87)),(F83+G81))</f>
        <v>-149597.51862737938</v>
      </c>
      <c r="H83" s="395">
        <f t="shared" si="33"/>
        <v>-181808.38889287785</v>
      </c>
      <c r="I83" s="395">
        <f t="shared" si="33"/>
        <v>-249760.39510200432</v>
      </c>
      <c r="J83" s="395">
        <f t="shared" si="33"/>
        <v>-292949.06797779747</v>
      </c>
      <c r="K83" s="395">
        <f t="shared" si="33"/>
        <v>-324965.67349334084</v>
      </c>
      <c r="L83" s="395">
        <f t="shared" si="33"/>
        <v>-354354.34636913397</v>
      </c>
      <c r="M83" s="395">
        <f t="shared" si="33"/>
        <v>-402209.68591159378</v>
      </c>
      <c r="N83" s="395">
        <f t="shared" si="33"/>
        <v>-465602.65418895643</v>
      </c>
      <c r="O83" s="395">
        <f t="shared" si="33"/>
        <v>-537554.66039808292</v>
      </c>
      <c r="P83" s="396">
        <f t="shared" si="33"/>
        <v>-567909.99994054274</v>
      </c>
      <c r="Q83" s="397">
        <f>P83</f>
        <v>-567909.99994054274</v>
      </c>
      <c r="R83" s="398">
        <f>IF(R87&lt;P87,((P83+R81)-(R87-P87)),(P83+R81))</f>
        <v>-789036.36287512456</v>
      </c>
      <c r="S83" s="395">
        <f t="shared" si="33"/>
        <v>-1014906.8125569548</v>
      </c>
      <c r="T83" s="395">
        <f t="shared" si="33"/>
        <v>-1209507.4050000748</v>
      </c>
      <c r="U83" s="396">
        <f t="shared" si="33"/>
        <v>-1431372.7524813542</v>
      </c>
      <c r="V83" s="397">
        <f>U83</f>
        <v>-1431372.7524813542</v>
      </c>
      <c r="W83" s="399">
        <f>IF(W87&lt;U87,((U83+W81)-(W87-U87)),(U83+W81))</f>
        <v>-2449653.082616427</v>
      </c>
      <c r="X83" s="400">
        <f t="shared" ref="X83" si="34">IF(X87&lt;W87,((W83+X81)-(X87-W87)),(W83+X81))</f>
        <v>-3687411.9483303814</v>
      </c>
    </row>
    <row r="84" spans="1:24" ht="30" customHeight="1" thickBot="1" x14ac:dyDescent="0.3"/>
    <row r="85" spans="1:24" ht="18.75" customHeight="1" x14ac:dyDescent="0.25">
      <c r="A85" s="830" t="s">
        <v>179</v>
      </c>
      <c r="B85" s="831"/>
      <c r="C85" s="831"/>
      <c r="D85" s="832"/>
      <c r="E85" s="731" t="s">
        <v>20</v>
      </c>
      <c r="F85" s="731"/>
      <c r="G85" s="731"/>
      <c r="H85" s="731"/>
      <c r="I85" s="731"/>
      <c r="J85" s="731"/>
      <c r="K85" s="731"/>
      <c r="L85" s="731"/>
      <c r="M85" s="731"/>
      <c r="N85" s="731"/>
      <c r="O85" s="731"/>
      <c r="P85" s="731"/>
      <c r="Q85" s="735" t="s">
        <v>20</v>
      </c>
      <c r="R85" s="731" t="s">
        <v>25</v>
      </c>
      <c r="S85" s="731"/>
      <c r="T85" s="731"/>
      <c r="U85" s="731"/>
      <c r="V85" s="735" t="s">
        <v>25</v>
      </c>
      <c r="W85" s="733" t="s">
        <v>26</v>
      </c>
      <c r="X85" s="737" t="s">
        <v>27</v>
      </c>
    </row>
    <row r="86" spans="1:24" ht="18.75" customHeight="1" thickBot="1" x14ac:dyDescent="0.3">
      <c r="A86" s="833"/>
      <c r="B86" s="834"/>
      <c r="C86" s="834"/>
      <c r="D86" s="918"/>
      <c r="E86" s="124">
        <v>1</v>
      </c>
      <c r="F86" s="2">
        <v>2</v>
      </c>
      <c r="G86" s="2">
        <v>3</v>
      </c>
      <c r="H86" s="2">
        <v>4</v>
      </c>
      <c r="I86" s="2">
        <v>5</v>
      </c>
      <c r="J86" s="2">
        <v>6</v>
      </c>
      <c r="K86" s="2">
        <v>7</v>
      </c>
      <c r="L86" s="2">
        <v>8</v>
      </c>
      <c r="M86" s="2">
        <v>9</v>
      </c>
      <c r="N86" s="2">
        <v>10</v>
      </c>
      <c r="O86" s="2">
        <v>11</v>
      </c>
      <c r="P86" s="3">
        <v>12</v>
      </c>
      <c r="Q86" s="736"/>
      <c r="R86" s="124" t="s">
        <v>21</v>
      </c>
      <c r="S86" s="2" t="s">
        <v>22</v>
      </c>
      <c r="T86" s="2" t="s">
        <v>23</v>
      </c>
      <c r="U86" s="3" t="s">
        <v>24</v>
      </c>
      <c r="V86" s="736"/>
      <c r="W86" s="734"/>
      <c r="X86" s="738"/>
    </row>
    <row r="87" spans="1:24" ht="18.75" customHeight="1" thickTop="1" x14ac:dyDescent="0.25">
      <c r="A87" s="866" t="s">
        <v>176</v>
      </c>
      <c r="B87" s="867"/>
      <c r="C87" s="867"/>
      <c r="D87" s="868"/>
      <c r="E87" s="160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458"/>
      <c r="Q87" s="308">
        <f>SUM(E87:P87)</f>
        <v>0</v>
      </c>
      <c r="R87" s="159"/>
      <c r="S87" s="18"/>
      <c r="T87" s="18"/>
      <c r="U87" s="458"/>
      <c r="V87" s="308">
        <f>SUM(R87:U87)</f>
        <v>0</v>
      </c>
      <c r="W87" s="157"/>
      <c r="X87" s="158"/>
    </row>
    <row r="88" spans="1:24" s="404" customFormat="1" ht="7.5" customHeight="1" x14ac:dyDescent="0.25">
      <c r="A88" s="401"/>
      <c r="B88" s="402"/>
      <c r="C88" s="402"/>
      <c r="D88" s="403"/>
      <c r="E88" s="317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9"/>
      <c r="Q88" s="320"/>
      <c r="R88" s="321"/>
      <c r="S88" s="318"/>
      <c r="T88" s="318"/>
      <c r="U88" s="319"/>
      <c r="V88" s="320"/>
      <c r="W88" s="320"/>
      <c r="X88" s="322"/>
    </row>
    <row r="89" spans="1:24" ht="18.75" customHeight="1" x14ac:dyDescent="0.25">
      <c r="A89" s="826" t="s">
        <v>168</v>
      </c>
      <c r="B89" s="782"/>
      <c r="C89" s="782"/>
      <c r="D89" s="782"/>
      <c r="E89" s="898">
        <f>IF(SUM($D$3,E$83:G$83)&lt;0,IPMT($D$5,1,1,AVERAGE($D$3,E$83:G$83))/4,0)</f>
        <v>972.19738970534524</v>
      </c>
      <c r="F89" s="899"/>
      <c r="G89" s="899"/>
      <c r="H89" s="899">
        <f>IF(SUM(G$83:J$83)&lt;0,IPMT($D$5,1,1,AVERAGE(G$83:J$83))/4,0)</f>
        <v>3277.9326397502214</v>
      </c>
      <c r="I89" s="899"/>
      <c r="J89" s="899"/>
      <c r="K89" s="906">
        <f>IF(SUM(J$83:M$83)&lt;0,IPMT($D$5,1,1,AVERAGE(J$83:M$83))/4,0)</f>
        <v>5154.2954015694977</v>
      </c>
      <c r="L89" s="901"/>
      <c r="M89" s="902"/>
      <c r="N89" s="906">
        <f>IF(SUM(M$83:P$83)&lt;0,IPMT($D$5,1,1,AVERAGE(M$83:P$83))/4,0)</f>
        <v>7399.7887516469082</v>
      </c>
      <c r="O89" s="901"/>
      <c r="P89" s="907"/>
      <c r="Q89" s="309">
        <f>SUM(B89:P89)</f>
        <v>16804.214182671974</v>
      </c>
      <c r="R89" s="79">
        <f>IF(SUM(R$83,P$83)&lt;0,IPMT($D$5,1,1,AVERAGE(R$83,P$83))/4,0)</f>
        <v>10177.097721117505</v>
      </c>
      <c r="S89" s="80">
        <f>IF(SUM(S$83,R$83)&lt;0,IPMT($D$5,1,1,AVERAGE(S$83,R$83))/4,0)</f>
        <v>13529.573815740596</v>
      </c>
      <c r="T89" s="80">
        <f>IF(SUM(T$83,S$83)&lt;0,IPMT($D$5,1,1,AVERAGE(T$83,S$83))/4,0)</f>
        <v>16683.106631677721</v>
      </c>
      <c r="U89" s="316">
        <f>IF(SUM(U$83,T$83)&lt;0,IPMT($D$5,1,1,AVERAGE(U$83,T$83))/4,0)</f>
        <v>19806.601181110716</v>
      </c>
      <c r="V89" s="309">
        <f>SUM(R89:U89)</f>
        <v>60196.379349646537</v>
      </c>
      <c r="W89" s="309">
        <f>IF(V$83&lt;0,IPMT($D$5,1,1,V$83),0)</f>
        <v>85882.365148881247</v>
      </c>
      <c r="X89" s="310">
        <f>IF(W$83&lt;0,IPMT($D$5,1,1,W$83),0)</f>
        <v>146979.18495698561</v>
      </c>
    </row>
    <row r="90" spans="1:24" ht="18.75" customHeight="1" x14ac:dyDescent="0.25">
      <c r="A90" s="826" t="s">
        <v>171</v>
      </c>
      <c r="B90" s="782"/>
      <c r="C90" s="782"/>
      <c r="D90" s="782"/>
      <c r="E90" s="900">
        <f>IF(SUM($D$3,E$83:G$83)&gt;0,IPMT($D$6,1,1,AVERAGE($D$3,E$83:G$83))/4,0)</f>
        <v>0</v>
      </c>
      <c r="F90" s="901"/>
      <c r="G90" s="902"/>
      <c r="H90" s="906">
        <f>IF(SUM(G$83:J$83)&gt;0,IPMT($D$6,1,1,AVERAGE(G$83:J$83))/4,0)</f>
        <v>0</v>
      </c>
      <c r="I90" s="901"/>
      <c r="J90" s="902"/>
      <c r="K90" s="906">
        <f>IF(SUM(J$83:M$83)&gt;0,IPMT($D$6,1,1,AVERAGE(J$83:M$83))/4,0)</f>
        <v>0</v>
      </c>
      <c r="L90" s="901"/>
      <c r="M90" s="902"/>
      <c r="N90" s="906">
        <f>IF(SUM(M$83:P$83)&gt;0,IPMT($D$6,1,1,AVERAGE(M$83:P$83))/4,0)</f>
        <v>0</v>
      </c>
      <c r="O90" s="901"/>
      <c r="P90" s="907"/>
      <c r="Q90" s="309">
        <f t="shared" ref="Q90:Q91" si="35">SUM(B90:P90)</f>
        <v>0</v>
      </c>
      <c r="R90" s="79">
        <f>IF(SUM(R$83,P$83)&gt;0,IPMT($D$6,1,1,AVERAGE(R$83,P$83))/4,0)</f>
        <v>0</v>
      </c>
      <c r="S90" s="80">
        <f>IF(SUM(S$83,R$83)&gt;0,IPMT($D$6,1,1,AVERAGE(S$83,R$83))/4,0)</f>
        <v>0</v>
      </c>
      <c r="T90" s="80">
        <f>IF(SUM(T$83,S$83)&gt;0,IPMT($D$6,1,1,AVERAGE(T$83,S$83))/4,0)</f>
        <v>0</v>
      </c>
      <c r="U90" s="80">
        <f>IF(SUM(U$83,T$83)&gt;0,IPMT($D$6,1,1,AVERAGE(U$83,T$83))/4,0)</f>
        <v>0</v>
      </c>
      <c r="V90" s="309">
        <f t="shared" ref="V90:V91" si="36">SUM(R90:U90)</f>
        <v>0</v>
      </c>
      <c r="W90" s="309">
        <f>IF(V$83&gt;0,IPMT($D$6,1,1,V$83),0)</f>
        <v>0</v>
      </c>
      <c r="X90" s="310">
        <f>IF(W$83&gt;0,IPMT($D$6,1,1,(W$83/4)),0)</f>
        <v>0</v>
      </c>
    </row>
    <row r="91" spans="1:24" ht="18.75" customHeight="1" thickBot="1" x14ac:dyDescent="0.3">
      <c r="A91" s="896" t="s">
        <v>173</v>
      </c>
      <c r="B91" s="897"/>
      <c r="C91" s="897"/>
      <c r="D91" s="897"/>
      <c r="E91" s="903">
        <f>IF(SUM(E$87:G$87)&lt;0,IPMT($D$4,1,1,AVERAGE(E$87:G$87))/4,0)</f>
        <v>0</v>
      </c>
      <c r="F91" s="904"/>
      <c r="G91" s="905"/>
      <c r="H91" s="908">
        <f>IF(SUM(G$87:J$87)&lt;0,IPMT($D$4,1,1,AVERAGE(G$87:J$87))/4,0)</f>
        <v>0</v>
      </c>
      <c r="I91" s="904"/>
      <c r="J91" s="905"/>
      <c r="K91" s="908">
        <f>IF(SUM(J$87:M$87)&lt;0,IPMT($D$4,1,1,AVERAGE(J$87:M$87))/4,0)</f>
        <v>0</v>
      </c>
      <c r="L91" s="904"/>
      <c r="M91" s="905"/>
      <c r="N91" s="908">
        <f>IF(SUM(M$87:P$87)&lt;0,IPMT($D$4,1,1,AVERAGE(M$87:P$87))/4,0)</f>
        <v>0</v>
      </c>
      <c r="O91" s="904"/>
      <c r="P91" s="909"/>
      <c r="Q91" s="313">
        <f t="shared" si="35"/>
        <v>0</v>
      </c>
      <c r="R91" s="314">
        <f>IF(SUM(R$87,P$87)&lt;0,IPMT($D$4,1,1,AVERAGE(R$87,P$87))/4,0)</f>
        <v>0</v>
      </c>
      <c r="S91" s="311">
        <f>IF(SUM(S$87,R$87)&lt;0,IPMT($D$4,1,1,AVERAGE(S$87,R$87))/4,0)</f>
        <v>0</v>
      </c>
      <c r="T91" s="311">
        <f>IF(SUM(T$87,S$87)&lt;0,IPMT($D$4,1,1,AVERAGE(T$87,S$87))/4,0)</f>
        <v>0</v>
      </c>
      <c r="U91" s="312">
        <f>IF(SUM(U$87,T$87)&lt;0,IPMT($D$4,1,1,AVERAGE(U$87,T$87))/4,0)</f>
        <v>0</v>
      </c>
      <c r="V91" s="313">
        <f t="shared" si="36"/>
        <v>0</v>
      </c>
      <c r="W91" s="313">
        <f>IF(V$87&lt;0,IPMT($D$4,1,1,V$87),0)</f>
        <v>0</v>
      </c>
      <c r="X91" s="315">
        <f>IF(W$87&lt;0,IPMT($D$4,1,1,W$87),0)</f>
        <v>0</v>
      </c>
    </row>
    <row r="93" spans="1:24" x14ac:dyDescent="0.25">
      <c r="F93" s="405"/>
    </row>
  </sheetData>
  <sheetProtection algorithmName="SHA-512" hashValue="zV6Gg8sI3f77n1qBzqE/NQQeQoKhPH0ZrMxRI+zkfjin/72OE3ODO67ZLHrzER2RzgsvyQSwwyzPETnqgsMXAA==" saltValue="+5KvXCObqtsHHXQBV6CNrg==" spinCount="100000" sheet="1" objects="1" scenarios="1"/>
  <mergeCells count="117">
    <mergeCell ref="A72:D72"/>
    <mergeCell ref="A71:D71"/>
    <mergeCell ref="A73:D73"/>
    <mergeCell ref="A74:D74"/>
    <mergeCell ref="A81:D81"/>
    <mergeCell ref="A89:D89"/>
    <mergeCell ref="A83:D83"/>
    <mergeCell ref="A67:D67"/>
    <mergeCell ref="A78:X78"/>
    <mergeCell ref="A79:D79"/>
    <mergeCell ref="A68:X68"/>
    <mergeCell ref="A69:D69"/>
    <mergeCell ref="A70:D70"/>
    <mergeCell ref="A75:D75"/>
    <mergeCell ref="A76:D76"/>
    <mergeCell ref="A77:D77"/>
    <mergeCell ref="W85:W86"/>
    <mergeCell ref="X85:X86"/>
    <mergeCell ref="A87:D87"/>
    <mergeCell ref="A85:D86"/>
    <mergeCell ref="E85:P85"/>
    <mergeCell ref="Q85:Q86"/>
    <mergeCell ref="R85:U85"/>
    <mergeCell ref="V85:V86"/>
    <mergeCell ref="A90:D90"/>
    <mergeCell ref="A91:D91"/>
    <mergeCell ref="E89:G89"/>
    <mergeCell ref="E90:G90"/>
    <mergeCell ref="E91:G91"/>
    <mergeCell ref="H89:J89"/>
    <mergeCell ref="K89:M89"/>
    <mergeCell ref="N89:P89"/>
    <mergeCell ref="H90:J90"/>
    <mergeCell ref="K90:M90"/>
    <mergeCell ref="N90:P90"/>
    <mergeCell ref="H91:J91"/>
    <mergeCell ref="K91:M91"/>
    <mergeCell ref="N91:P91"/>
    <mergeCell ref="A63:D63"/>
    <mergeCell ref="A64:D64"/>
    <mergeCell ref="A65:D65"/>
    <mergeCell ref="A66:D66"/>
    <mergeCell ref="A60:D60"/>
    <mergeCell ref="A61:D61"/>
    <mergeCell ref="A47:D47"/>
    <mergeCell ref="A48:D48"/>
    <mergeCell ref="A54:D54"/>
    <mergeCell ref="A55:D55"/>
    <mergeCell ref="A59:D59"/>
    <mergeCell ref="A49:D49"/>
    <mergeCell ref="A50:D50"/>
    <mergeCell ref="A51:D51"/>
    <mergeCell ref="A52:D52"/>
    <mergeCell ref="A53:D53"/>
    <mergeCell ref="A56:D56"/>
    <mergeCell ref="A57:D57"/>
    <mergeCell ref="A58:D58"/>
    <mergeCell ref="A62:X62"/>
    <mergeCell ref="W43:W44"/>
    <mergeCell ref="X43:X44"/>
    <mergeCell ref="A44:D44"/>
    <mergeCell ref="A45:D45"/>
    <mergeCell ref="A46:D46"/>
    <mergeCell ref="A43:C43"/>
    <mergeCell ref="E43:P43"/>
    <mergeCell ref="Q43:Q44"/>
    <mergeCell ref="R43:U43"/>
    <mergeCell ref="V43:V44"/>
    <mergeCell ref="A39:D39"/>
    <mergeCell ref="A41:D41"/>
    <mergeCell ref="A21:D21"/>
    <mergeCell ref="A40:X40"/>
    <mergeCell ref="A32:X32"/>
    <mergeCell ref="A23:D23"/>
    <mergeCell ref="A24:D24"/>
    <mergeCell ref="A25:D25"/>
    <mergeCell ref="A26:D26"/>
    <mergeCell ref="A34:D34"/>
    <mergeCell ref="A37:D37"/>
    <mergeCell ref="A33:D33"/>
    <mergeCell ref="A36:D36"/>
    <mergeCell ref="A35:D35"/>
    <mergeCell ref="V18:V19"/>
    <mergeCell ref="W18:W19"/>
    <mergeCell ref="X18:X19"/>
    <mergeCell ref="A38:D38"/>
    <mergeCell ref="E18:P18"/>
    <mergeCell ref="Q18:Q19"/>
    <mergeCell ref="R18:U18"/>
    <mergeCell ref="A22:D22"/>
    <mergeCell ref="A30:D30"/>
    <mergeCell ref="A31:D31"/>
    <mergeCell ref="A20:D20"/>
    <mergeCell ref="A27:D27"/>
    <mergeCell ref="A28:D28"/>
    <mergeCell ref="A29:D29"/>
    <mergeCell ref="A19:D19"/>
    <mergeCell ref="A18:C18"/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</mergeCells>
  <dataValidations count="3">
    <dataValidation type="decimal" allowBlank="1" showInputMessage="1" showErrorMessage="1" sqref="E12:P12 R12:U12 W12:X12">
      <formula1>0</formula1>
      <formula2>1-E11</formula2>
    </dataValidation>
    <dataValidation type="decimal" allowBlank="1" showInputMessage="1" showErrorMessage="1" sqref="E11:P11 R11:U11 W11:X11">
      <formula1>0</formula1>
      <formula2>1</formula2>
    </dataValidation>
    <dataValidation type="decimal" operator="lessThanOrEqual" allowBlank="1" showErrorMessage="1" errorTitle="Fehler" error="Wert muss kleiner oder gleich &quot;0&quot; sein!" sqref="E87:X88">
      <formula1>0</formula1>
    </dataValidation>
  </dataValidations>
  <pageMargins left="0.7" right="0.7" top="0.78740157499999996" bottom="0.78740157499999996" header="0.3" footer="0.3"/>
  <pageSetup paperSize="8" scale="58" fitToHeight="0" orientation="landscape" horizontalDpi="0" verticalDpi="0" r:id="rId1"/>
  <rowBreaks count="1" manualBreakCount="1">
    <brk id="68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43" bestFit="1" customWidth="1"/>
    <col min="2" max="3" width="12.5703125" style="43" customWidth="1"/>
    <col min="4" max="4" width="7.140625" style="43" bestFit="1" customWidth="1"/>
    <col min="5" max="5" width="15.5703125" style="43" bestFit="1" customWidth="1"/>
    <col min="6" max="6" width="11.28515625" style="43" bestFit="1" customWidth="1"/>
    <col min="7" max="7" width="17.7109375" style="43" bestFit="1" customWidth="1"/>
    <col min="8" max="8" width="11.28515625" style="43" bestFit="1" customWidth="1"/>
    <col min="9" max="9" width="17.28515625" style="43" bestFit="1" customWidth="1"/>
    <col min="10" max="10" width="11.28515625" style="43" bestFit="1" customWidth="1"/>
    <col min="11" max="11" width="18.28515625" style="43" bestFit="1" customWidth="1"/>
    <col min="12" max="12" width="11.28515625" style="43" bestFit="1" customWidth="1"/>
    <col min="13" max="16384" width="11.42578125" style="43"/>
  </cols>
  <sheetData>
    <row r="1" spans="1:12" ht="27" thickBot="1" x14ac:dyDescent="0.3">
      <c r="A1" s="754" t="s">
        <v>190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6"/>
    </row>
    <row r="2" spans="1:12" ht="7.5" customHeight="1" thickBot="1" x14ac:dyDescent="0.3"/>
    <row r="3" spans="1:12" ht="15" customHeight="1" thickBot="1" x14ac:dyDescent="0.3">
      <c r="A3" s="935" t="s">
        <v>164</v>
      </c>
      <c r="B3" s="936"/>
      <c r="C3" s="936"/>
      <c r="D3" s="511">
        <f>Liquiditätsplan!D8</f>
        <v>0.2</v>
      </c>
    </row>
    <row r="4" spans="1:12" ht="22.5" customHeight="1" thickBot="1" x14ac:dyDescent="0.3">
      <c r="A4" s="476" t="s">
        <v>193</v>
      </c>
      <c r="B4" s="468"/>
      <c r="C4" s="468"/>
      <c r="D4" s="469"/>
      <c r="E4" s="820" t="s">
        <v>20</v>
      </c>
      <c r="F4" s="821"/>
      <c r="G4" s="730" t="s">
        <v>25</v>
      </c>
      <c r="H4" s="733"/>
      <c r="I4" s="730" t="s">
        <v>26</v>
      </c>
      <c r="J4" s="733"/>
      <c r="K4" s="730" t="s">
        <v>27</v>
      </c>
      <c r="L4" s="822"/>
    </row>
    <row r="5" spans="1:12" s="5" customFormat="1" ht="18.75" customHeight="1" thickBot="1" x14ac:dyDescent="0.3">
      <c r="A5" s="472" t="s">
        <v>195</v>
      </c>
      <c r="B5" s="470"/>
      <c r="C5" s="470"/>
      <c r="D5" s="471"/>
      <c r="E5" s="273" t="s">
        <v>191</v>
      </c>
      <c r="F5" s="274" t="s">
        <v>192</v>
      </c>
      <c r="G5" s="275" t="s">
        <v>191</v>
      </c>
      <c r="H5" s="282" t="s">
        <v>192</v>
      </c>
      <c r="I5" s="275" t="s">
        <v>191</v>
      </c>
      <c r="J5" s="282" t="s">
        <v>192</v>
      </c>
      <c r="K5" s="275" t="s">
        <v>191</v>
      </c>
      <c r="L5" s="413" t="s">
        <v>192</v>
      </c>
    </row>
    <row r="6" spans="1:12" ht="18.75" customHeight="1" outlineLevel="1" thickTop="1" x14ac:dyDescent="0.25">
      <c r="A6" s="866" t="s">
        <v>218</v>
      </c>
      <c r="B6" s="867"/>
      <c r="C6" s="867"/>
      <c r="D6" s="868"/>
      <c r="E6" s="6">
        <f>Abschreibung!G22</f>
        <v>20000</v>
      </c>
      <c r="F6" s="459">
        <f>IF(E$22=0,0,E6/E$22)</f>
        <v>5.8970956803774142E-2</v>
      </c>
      <c r="G6" s="75">
        <f>Abschreibung!I22</f>
        <v>20000</v>
      </c>
      <c r="H6" s="462">
        <f>IF(G$22=0,0,G6/G$22)</f>
        <v>1.8310385777411856E-2</v>
      </c>
      <c r="I6" s="75">
        <f>Abschreibung!K22</f>
        <v>20000</v>
      </c>
      <c r="J6" s="462">
        <f>IF(I$22=0,0,I6/I$22)</f>
        <v>1.0525335509174926E-2</v>
      </c>
      <c r="K6" s="75">
        <f>Abschreibung!M22</f>
        <v>20000</v>
      </c>
      <c r="L6" s="465">
        <f>IF(K$22=0,0,K6/K$22)</f>
        <v>5.5134881117156398E-3</v>
      </c>
    </row>
    <row r="7" spans="1:12" ht="18.75" customHeight="1" outlineLevel="1" x14ac:dyDescent="0.25">
      <c r="A7" s="872" t="s">
        <v>219</v>
      </c>
      <c r="B7" s="873"/>
      <c r="C7" s="873"/>
      <c r="D7" s="874"/>
      <c r="E7" s="10">
        <f>SUM(Abschreibung!G5:G6)</f>
        <v>24900</v>
      </c>
      <c r="F7" s="460">
        <f>IF(E$22=0,0,E7/E$22)</f>
        <v>7.3418841220698805E-2</v>
      </c>
      <c r="G7" s="79">
        <f>SUM(Abschreibung!I5:I6)</f>
        <v>21800</v>
      </c>
      <c r="H7" s="463">
        <f>IF(G$22=0,0,G7/G$22)</f>
        <v>1.9958320497378924E-2</v>
      </c>
      <c r="I7" s="79">
        <f>SUM(Abschreibung!K5:K6)</f>
        <v>18700</v>
      </c>
      <c r="J7" s="463">
        <f>IF(I$22=0,0,I7/I$22)</f>
        <v>9.841188701078557E-3</v>
      </c>
      <c r="K7" s="79">
        <f>SUM(Abschreibung!M5:M6)</f>
        <v>15600</v>
      </c>
      <c r="L7" s="466">
        <f>IF(K$22=0,0,K7/K$22)</f>
        <v>4.300520727138199E-3</v>
      </c>
    </row>
    <row r="8" spans="1:12" ht="18.75" customHeight="1" outlineLevel="1" x14ac:dyDescent="0.25">
      <c r="A8" s="872" t="s">
        <v>220</v>
      </c>
      <c r="B8" s="873"/>
      <c r="C8" s="873"/>
      <c r="D8" s="874"/>
      <c r="E8" s="10">
        <f>SUM(Abschreibung!G15:G16)</f>
        <v>8000</v>
      </c>
      <c r="F8" s="460">
        <f>IF(E$22=0,0,E8/E$22)</f>
        <v>2.3588382721509656E-2</v>
      </c>
      <c r="G8" s="79">
        <f>SUM(Abschreibung!I15:I16)</f>
        <v>15000</v>
      </c>
      <c r="H8" s="463">
        <f>IF(G$22=0,0,G8/G$22)</f>
        <v>1.3732789333058893E-2</v>
      </c>
      <c r="I8" s="79">
        <f>SUM(Abschreibung!K15:K16)</f>
        <v>11000</v>
      </c>
      <c r="J8" s="463">
        <f>IF(I$22=0,0,I8/I$22)</f>
        <v>5.78893453004621E-3</v>
      </c>
      <c r="K8" s="79">
        <f>SUM(Abschreibung!M15:M16)</f>
        <v>7000</v>
      </c>
      <c r="L8" s="466">
        <f>IF(K$22=0,0,K8/K$22)</f>
        <v>1.929720839100474E-3</v>
      </c>
    </row>
    <row r="9" spans="1:12" ht="18.75" customHeight="1" outlineLevel="1" x14ac:dyDescent="0.25">
      <c r="A9" s="872" t="s">
        <v>216</v>
      </c>
      <c r="B9" s="873"/>
      <c r="C9" s="873"/>
      <c r="D9" s="874"/>
      <c r="E9" s="10">
        <f>Abschreibung!G38</f>
        <v>26250</v>
      </c>
      <c r="F9" s="460">
        <f>IF(E$22=0,0,E9/E$22)</f>
        <v>7.7399380804953566E-2</v>
      </c>
      <c r="G9" s="79">
        <f>Abschreibung!I38</f>
        <v>62500</v>
      </c>
      <c r="H9" s="463">
        <f>IF(G$22=0,0,G9/G$22)</f>
        <v>5.7219955554412054E-2</v>
      </c>
      <c r="I9" s="79">
        <f>Abschreibung!K38</f>
        <v>57500</v>
      </c>
      <c r="J9" s="463">
        <f>IF(I$22=0,0,I9/I$22)</f>
        <v>3.0260339588877912E-2</v>
      </c>
      <c r="K9" s="79">
        <f>Abschreibung!M38</f>
        <v>27500</v>
      </c>
      <c r="L9" s="466">
        <f>IF(K$22=0,0,K9/K$22)</f>
        <v>7.581046153609005E-3</v>
      </c>
    </row>
    <row r="10" spans="1:12" ht="18.75" customHeight="1" outlineLevel="1" thickBot="1" x14ac:dyDescent="0.3">
      <c r="A10" s="872" t="s">
        <v>217</v>
      </c>
      <c r="B10" s="873"/>
      <c r="C10" s="873"/>
      <c r="D10" s="874"/>
      <c r="E10" s="10">
        <f>SUM(Abschreibung!G8:G14)</f>
        <v>30000</v>
      </c>
      <c r="F10" s="460">
        <f>IF(E$22=0,0,E10/E$22)</f>
        <v>8.845643520566121E-2</v>
      </c>
      <c r="G10" s="79">
        <f>SUM(Abschreibung!I8:I14)</f>
        <v>31250</v>
      </c>
      <c r="H10" s="463">
        <f>IF(G$22=0,0,G10/G$22)</f>
        <v>2.8609977777206027E-2</v>
      </c>
      <c r="I10" s="79">
        <f>SUM(Abschreibung!K8:K14)</f>
        <v>19250</v>
      </c>
      <c r="J10" s="463">
        <f>IF(I$22=0,0,I10/I$22)</f>
        <v>1.0130635427580867E-2</v>
      </c>
      <c r="K10" s="79">
        <f>SUM(Abschreibung!M8:M14)</f>
        <v>5250</v>
      </c>
      <c r="L10" s="466">
        <f>IF(K$22=0,0,K10/K$22)</f>
        <v>1.4472906293253554E-3</v>
      </c>
    </row>
    <row r="11" spans="1:12" ht="7.5" customHeight="1" outlineLevel="1" thickTop="1" thickBot="1" x14ac:dyDescent="0.3">
      <c r="A11" s="922"/>
      <c r="B11" s="923"/>
      <c r="C11" s="923"/>
      <c r="D11" s="924"/>
      <c r="E11" s="29"/>
      <c r="F11" s="461"/>
      <c r="G11" s="33"/>
      <c r="H11" s="464"/>
      <c r="I11" s="33"/>
      <c r="J11" s="464"/>
      <c r="K11" s="33"/>
      <c r="L11" s="467"/>
    </row>
    <row r="12" spans="1:12" ht="18.75" customHeight="1" thickBot="1" x14ac:dyDescent="0.3">
      <c r="A12" s="847" t="s">
        <v>194</v>
      </c>
      <c r="B12" s="848"/>
      <c r="C12" s="848"/>
      <c r="D12" s="917"/>
      <c r="E12" s="479">
        <f t="shared" ref="E12:L12" si="0">SUM(E6:E11)</f>
        <v>109150</v>
      </c>
      <c r="F12" s="480">
        <f t="shared" si="0"/>
        <v>0.32183399675659741</v>
      </c>
      <c r="G12" s="481">
        <f t="shared" si="0"/>
        <v>150550</v>
      </c>
      <c r="H12" s="482">
        <f t="shared" si="0"/>
        <v>0.13783142893946776</v>
      </c>
      <c r="I12" s="481">
        <f t="shared" si="0"/>
        <v>126450</v>
      </c>
      <c r="J12" s="480">
        <f t="shared" si="0"/>
        <v>6.6546433756758477E-2</v>
      </c>
      <c r="K12" s="481">
        <f t="shared" si="0"/>
        <v>75350</v>
      </c>
      <c r="L12" s="483">
        <f t="shared" si="0"/>
        <v>2.0772066460888677E-2</v>
      </c>
    </row>
    <row r="13" spans="1:12" ht="7.5" customHeight="1" thickBot="1" x14ac:dyDescent="0.3">
      <c r="A13" s="741"/>
      <c r="B13" s="742"/>
      <c r="C13" s="742"/>
      <c r="D13" s="742"/>
      <c r="E13" s="742"/>
      <c r="F13" s="742"/>
      <c r="G13" s="742"/>
      <c r="H13" s="742"/>
      <c r="I13" s="742"/>
      <c r="J13" s="742"/>
      <c r="K13" s="742"/>
      <c r="L13" s="743"/>
    </row>
    <row r="14" spans="1:12" ht="18.75" customHeight="1" thickBot="1" x14ac:dyDescent="0.3">
      <c r="A14" s="473" t="s">
        <v>196</v>
      </c>
      <c r="B14" s="474"/>
      <c r="C14" s="474"/>
      <c r="D14" s="475"/>
      <c r="E14" s="497"/>
      <c r="F14" s="498"/>
      <c r="G14" s="498"/>
      <c r="H14" s="498"/>
      <c r="I14" s="498"/>
      <c r="J14" s="498"/>
      <c r="K14" s="498"/>
      <c r="L14" s="499"/>
    </row>
    <row r="15" spans="1:12" ht="18.75" customHeight="1" outlineLevel="1" thickTop="1" x14ac:dyDescent="0.25">
      <c r="A15" s="866" t="s">
        <v>211</v>
      </c>
      <c r="B15" s="867" t="s">
        <v>211</v>
      </c>
      <c r="C15" s="867" t="s">
        <v>211</v>
      </c>
      <c r="D15" s="868" t="s">
        <v>211</v>
      </c>
      <c r="E15" s="433">
        <v>0</v>
      </c>
      <c r="F15" s="512">
        <f>IF(E$22=0,0,E15/E$22)</f>
        <v>0</v>
      </c>
      <c r="G15" s="679">
        <v>0</v>
      </c>
      <c r="H15" s="513">
        <f>IF(G$22=0,0,G15/G$22)</f>
        <v>0</v>
      </c>
      <c r="I15" s="679">
        <v>0</v>
      </c>
      <c r="J15" s="512">
        <f>IF(I$22=0,0,I15/I$22)</f>
        <v>0</v>
      </c>
      <c r="K15" s="679">
        <v>0</v>
      </c>
      <c r="L15" s="514">
        <f>IF(K$22=0,0,K15/K$22)</f>
        <v>0</v>
      </c>
    </row>
    <row r="16" spans="1:12" ht="18.75" customHeight="1" outlineLevel="1" x14ac:dyDescent="0.25">
      <c r="A16" s="872" t="s">
        <v>212</v>
      </c>
      <c r="B16" s="873" t="s">
        <v>212</v>
      </c>
      <c r="C16" s="873" t="s">
        <v>212</v>
      </c>
      <c r="D16" s="874" t="s">
        <v>212</v>
      </c>
      <c r="E16" s="495">
        <f>Liquiditätsplan!Q15-Liquiditätsplan!Q16</f>
        <v>230000</v>
      </c>
      <c r="F16" s="460">
        <f t="shared" ref="F16:H18" si="1">IF(E$22=0,0,E16/E$22)</f>
        <v>0.67816600324340259</v>
      </c>
      <c r="G16" s="79">
        <f>Liquiditätsplan!V15-Liquiditätsplan!V16</f>
        <v>800000</v>
      </c>
      <c r="H16" s="463">
        <f t="shared" si="1"/>
        <v>0.73241543109647433</v>
      </c>
      <c r="I16" s="79">
        <f>Liquiditätsplan!W15-Liquiditätsplan!W16</f>
        <v>1000000</v>
      </c>
      <c r="J16" s="460">
        <f t="shared" ref="J16" si="2">IF(I$22=0,0,I16/I$22)</f>
        <v>0.52626677545874634</v>
      </c>
      <c r="K16" s="79">
        <f>Liquiditätsplan!X15-Liquiditätsplan!X16</f>
        <v>2000000</v>
      </c>
      <c r="L16" s="505">
        <f t="shared" ref="L16" si="3">IF(K$22=0,0,K16/K$22)</f>
        <v>0.55134881117156398</v>
      </c>
    </row>
    <row r="17" spans="1:12" ht="18.75" customHeight="1" outlineLevel="1" x14ac:dyDescent="0.25">
      <c r="A17" s="872" t="s">
        <v>213</v>
      </c>
      <c r="B17" s="873" t="s">
        <v>213</v>
      </c>
      <c r="C17" s="873" t="s">
        <v>213</v>
      </c>
      <c r="D17" s="874" t="s">
        <v>213</v>
      </c>
      <c r="E17" s="495">
        <f>MAX(0,SUM(-E12,-E15,-E16,-E18,E30,E33,E34,E36))</f>
        <v>0</v>
      </c>
      <c r="F17" s="460">
        <f t="shared" si="1"/>
        <v>0</v>
      </c>
      <c r="G17" s="79">
        <f>MAX(0,SUM(-G12,-G15,-G16,-G18,G30,G33,G34,G36))</f>
        <v>141726.27659666748</v>
      </c>
      <c r="H17" s="463">
        <f t="shared" si="1"/>
        <v>0.12975313996405796</v>
      </c>
      <c r="I17" s="79">
        <f>MAX(0,SUM(-I12,-I15,-I16,-I18,I30,I33,I34,I36))</f>
        <v>773726.95707334136</v>
      </c>
      <c r="J17" s="460">
        <f t="shared" ref="J17" si="4">IF(I$22=0,0,I17/I$22)</f>
        <v>0.40718679078449521</v>
      </c>
      <c r="K17" s="79">
        <f>MAX(0,SUM(-K12,-K15,-K16,-K18,K30,K33,K34,K36))</f>
        <v>1552117.6928207926</v>
      </c>
      <c r="L17" s="505">
        <f t="shared" ref="L17" si="5">IF(K$22=0,0,K17/K$22)</f>
        <v>0.42787912236754733</v>
      </c>
    </row>
    <row r="18" spans="1:12" ht="18.75" customHeight="1" outlineLevel="1" thickBot="1" x14ac:dyDescent="0.3">
      <c r="A18" s="875" t="s">
        <v>214</v>
      </c>
      <c r="B18" s="876" t="s">
        <v>214</v>
      </c>
      <c r="C18" s="876" t="s">
        <v>214</v>
      </c>
      <c r="D18" s="877" t="s">
        <v>214</v>
      </c>
      <c r="E18" s="496">
        <f>IF(Liquiditätsplan!Q83&gt;0,Liquiditätsplan!Q83,0)</f>
        <v>0</v>
      </c>
      <c r="F18" s="500">
        <f t="shared" si="1"/>
        <v>0</v>
      </c>
      <c r="G18" s="144">
        <f>IF(Liquiditätsplan!V83&gt;0,Liquiditätsplan!V83,0)</f>
        <v>0</v>
      </c>
      <c r="H18" s="502">
        <f t="shared" si="1"/>
        <v>0</v>
      </c>
      <c r="I18" s="144">
        <f>IF(Liquiditätsplan!W83&gt;0,Liquiditätsplan!W83,0)</f>
        <v>0</v>
      </c>
      <c r="J18" s="500">
        <f t="shared" ref="J18" si="6">IF(I$22=0,0,I18/I$22)</f>
        <v>0</v>
      </c>
      <c r="K18" s="144">
        <f>IF(Liquiditätsplan!X83&gt;0,Liquiditätsplan!X83,0)</f>
        <v>0</v>
      </c>
      <c r="L18" s="506">
        <f t="shared" ref="L18" si="7">IF(K$22=0,0,K18/K$22)</f>
        <v>0</v>
      </c>
    </row>
    <row r="19" spans="1:12" ht="7.5" customHeight="1" outlineLevel="1" thickTop="1" thickBot="1" x14ac:dyDescent="0.3">
      <c r="A19" s="932"/>
      <c r="B19" s="933"/>
      <c r="C19" s="933"/>
      <c r="D19" s="934"/>
      <c r="E19" s="484"/>
      <c r="F19" s="501"/>
      <c r="G19" s="485"/>
      <c r="H19" s="503"/>
      <c r="I19" s="485"/>
      <c r="J19" s="501"/>
      <c r="K19" s="485"/>
      <c r="L19" s="507"/>
    </row>
    <row r="20" spans="1:12" ht="18.75" customHeight="1" thickBot="1" x14ac:dyDescent="0.3">
      <c r="A20" s="847" t="s">
        <v>197</v>
      </c>
      <c r="B20" s="848"/>
      <c r="C20" s="848"/>
      <c r="D20" s="917"/>
      <c r="E20" s="479">
        <f t="shared" ref="E20:L20" si="8">SUM(E13:E19)</f>
        <v>230000</v>
      </c>
      <c r="F20" s="480">
        <f t="shared" si="8"/>
        <v>0.67816600324340259</v>
      </c>
      <c r="G20" s="481">
        <f t="shared" si="8"/>
        <v>941726.27659666748</v>
      </c>
      <c r="H20" s="482">
        <f t="shared" si="8"/>
        <v>0.86216857106053224</v>
      </c>
      <c r="I20" s="481">
        <f t="shared" si="8"/>
        <v>1773726.9570733414</v>
      </c>
      <c r="J20" s="480">
        <f t="shared" si="8"/>
        <v>0.93345356624324149</v>
      </c>
      <c r="K20" s="481">
        <f t="shared" si="8"/>
        <v>3552117.6928207926</v>
      </c>
      <c r="L20" s="483">
        <f t="shared" si="8"/>
        <v>0.97922793353911131</v>
      </c>
    </row>
    <row r="21" spans="1:12" ht="7.5" customHeight="1" thickBot="1" x14ac:dyDescent="0.3">
      <c r="A21" s="50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9"/>
    </row>
    <row r="22" spans="1:12" s="51" customFormat="1" ht="18.75" customHeight="1" thickBot="1" x14ac:dyDescent="0.3">
      <c r="A22" s="817" t="s">
        <v>198</v>
      </c>
      <c r="B22" s="818"/>
      <c r="C22" s="818"/>
      <c r="D22" s="925"/>
      <c r="E22" s="486">
        <f t="shared" ref="E22:L22" si="9">E20+E12</f>
        <v>339150</v>
      </c>
      <c r="F22" s="508">
        <f t="shared" si="9"/>
        <v>1</v>
      </c>
      <c r="G22" s="487">
        <f t="shared" si="9"/>
        <v>1092276.2765966675</v>
      </c>
      <c r="H22" s="508">
        <f t="shared" si="9"/>
        <v>1</v>
      </c>
      <c r="I22" s="488">
        <f t="shared" si="9"/>
        <v>1900176.9570733414</v>
      </c>
      <c r="J22" s="509">
        <f t="shared" si="9"/>
        <v>1</v>
      </c>
      <c r="K22" s="489">
        <f t="shared" si="9"/>
        <v>3627467.6928207926</v>
      </c>
      <c r="L22" s="510">
        <f t="shared" si="9"/>
        <v>1</v>
      </c>
    </row>
    <row r="23" spans="1:12" ht="15.75" thickBot="1" x14ac:dyDescent="0.3"/>
    <row r="24" spans="1:12" ht="22.5" customHeight="1" thickBot="1" x14ac:dyDescent="0.3">
      <c r="A24" s="476" t="s">
        <v>199</v>
      </c>
      <c r="B24" s="468"/>
      <c r="C24" s="468"/>
      <c r="D24" s="469"/>
      <c r="E24" s="820" t="s">
        <v>20</v>
      </c>
      <c r="F24" s="821"/>
      <c r="G24" s="730" t="s">
        <v>25</v>
      </c>
      <c r="H24" s="733"/>
      <c r="I24" s="730" t="s">
        <v>26</v>
      </c>
      <c r="J24" s="733"/>
      <c r="K24" s="730" t="s">
        <v>27</v>
      </c>
      <c r="L24" s="822"/>
    </row>
    <row r="25" spans="1:12" s="5" customFormat="1" ht="18.75" customHeight="1" thickBot="1" x14ac:dyDescent="0.3">
      <c r="A25" s="472" t="s">
        <v>200</v>
      </c>
      <c r="B25" s="470"/>
      <c r="C25" s="470"/>
      <c r="D25" s="471"/>
      <c r="E25" s="273" t="s">
        <v>191</v>
      </c>
      <c r="F25" s="274" t="s">
        <v>192</v>
      </c>
      <c r="G25" s="275" t="s">
        <v>191</v>
      </c>
      <c r="H25" s="282" t="s">
        <v>192</v>
      </c>
      <c r="I25" s="275" t="s">
        <v>191</v>
      </c>
      <c r="J25" s="282" t="s">
        <v>192</v>
      </c>
      <c r="K25" s="275" t="s">
        <v>191</v>
      </c>
      <c r="L25" s="413" t="s">
        <v>192</v>
      </c>
    </row>
    <row r="26" spans="1:12" ht="18.75" customHeight="1" outlineLevel="1" thickTop="1" x14ac:dyDescent="0.25">
      <c r="A26" s="929" t="s">
        <v>204</v>
      </c>
      <c r="B26" s="930"/>
      <c r="C26" s="930"/>
      <c r="D26" s="931"/>
      <c r="E26" s="477">
        <f>Liquiditätsplan!D3+Liquiditätsplan!Q36</f>
        <v>35000</v>
      </c>
      <c r="F26" s="459">
        <f>IF(E$40=0,0,E26/E$40)</f>
        <v>0.10319917440660474</v>
      </c>
      <c r="G26" s="75">
        <f>E26+Liquiditätsplan!V36</f>
        <v>35000</v>
      </c>
      <c r="H26" s="462">
        <f>IF(G$40=0,0,G26/G$40)</f>
        <v>3.2043175110470758E-2</v>
      </c>
      <c r="I26" s="75">
        <f>G26+Liquiditätsplan!W36</f>
        <v>35000</v>
      </c>
      <c r="J26" s="462">
        <f>IF(I$40=0,0,I26/I$40)</f>
        <v>1.8419337141056123E-2</v>
      </c>
      <c r="K26" s="75">
        <f>I26+Liquiditätsplan!X36</f>
        <v>35000</v>
      </c>
      <c r="L26" s="465">
        <f>IF(K$40=0,0,K26/K$40)</f>
        <v>9.6486041955023694E-3</v>
      </c>
    </row>
    <row r="27" spans="1:12" ht="18.75" customHeight="1" outlineLevel="1" x14ac:dyDescent="0.25">
      <c r="A27" s="919" t="s">
        <v>205</v>
      </c>
      <c r="B27" s="920"/>
      <c r="C27" s="920"/>
      <c r="D27" s="921"/>
      <c r="E27" s="406"/>
      <c r="F27" s="478"/>
      <c r="G27" s="79">
        <f>SUM(E27:E28)</f>
        <v>-291251.62202552287</v>
      </c>
      <c r="H27" s="463">
        <f>IF(G$40=0,0,G27/G$40)</f>
        <v>-0.26664647787921347</v>
      </c>
      <c r="I27" s="79">
        <f>SUM(G27:G28)</f>
        <v>-383878.0758846869</v>
      </c>
      <c r="J27" s="463">
        <f t="shared" ref="J27" si="10">IF(I$40=0,0,I27/I$40)</f>
        <v>-0.20202227716514209</v>
      </c>
      <c r="K27" s="79">
        <f>SUM(I27:I28)</f>
        <v>-587257.72554308572</v>
      </c>
      <c r="L27" s="466">
        <f t="shared" ref="L27" si="11">IF(K$40=0,0,K27/K$40)</f>
        <v>-0.16189192441474845</v>
      </c>
    </row>
    <row r="28" spans="1:12" ht="18.75" customHeight="1" outlineLevel="1" thickBot="1" x14ac:dyDescent="0.3">
      <c r="A28" s="919" t="s">
        <v>126</v>
      </c>
      <c r="B28" s="920"/>
      <c r="C28" s="920"/>
      <c r="D28" s="921"/>
      <c r="E28" s="10">
        <f>'Plan G&amp;V'!Q47</f>
        <v>-291251.62202552287</v>
      </c>
      <c r="F28" s="460">
        <f>IF(E$40=0,0,E28/E$40)</f>
        <v>-0.85876934107481306</v>
      </c>
      <c r="G28" s="79">
        <f>'Plan G&amp;V'!V47</f>
        <v>-92626.45385916403</v>
      </c>
      <c r="H28" s="463">
        <f>IF(G$40=0,0,G28/G$40)</f>
        <v>-8.4801305167746657E-2</v>
      </c>
      <c r="I28" s="79">
        <f>'Plan G&amp;V'!W47</f>
        <v>-203379.64965839882</v>
      </c>
      <c r="J28" s="463">
        <f t="shared" ref="J28" si="12">IF(I$40=0,0,I28/I$40)</f>
        <v>-0.10703195241965506</v>
      </c>
      <c r="K28" s="79">
        <f>'Plan G&amp;V'!X47</f>
        <v>464092.37815640331</v>
      </c>
      <c r="L28" s="466">
        <f t="shared" ref="L28" si="13">IF(K$40=0,0,K28/K$40)</f>
        <v>0.12793839048515843</v>
      </c>
    </row>
    <row r="29" spans="1:12" ht="7.5" customHeight="1" outlineLevel="1" thickTop="1" thickBot="1" x14ac:dyDescent="0.3">
      <c r="A29" s="922"/>
      <c r="B29" s="923"/>
      <c r="C29" s="923"/>
      <c r="D29" s="924"/>
      <c r="E29" s="29"/>
      <c r="F29" s="461"/>
      <c r="G29" s="33"/>
      <c r="H29" s="464"/>
      <c r="I29" s="33"/>
      <c r="J29" s="464"/>
      <c r="K29" s="33"/>
      <c r="L29" s="467"/>
    </row>
    <row r="30" spans="1:12" ht="18.75" customHeight="1" thickBot="1" x14ac:dyDescent="0.3">
      <c r="A30" s="847" t="s">
        <v>201</v>
      </c>
      <c r="B30" s="848"/>
      <c r="C30" s="848"/>
      <c r="D30" s="917"/>
      <c r="E30" s="490">
        <f>SUM(E26:E29)</f>
        <v>-256251.62202552287</v>
      </c>
      <c r="F30" s="491">
        <f t="shared" ref="F30:L30" si="14">SUM(F26:F29)</f>
        <v>-0.75557016666820831</v>
      </c>
      <c r="G30" s="492">
        <f t="shared" si="14"/>
        <v>-348878.0758846869</v>
      </c>
      <c r="H30" s="493">
        <f t="shared" si="14"/>
        <v>-0.31940460793648939</v>
      </c>
      <c r="I30" s="492">
        <f t="shared" si="14"/>
        <v>-552257.72554308572</v>
      </c>
      <c r="J30" s="491">
        <f t="shared" si="14"/>
        <v>-0.29063489244374102</v>
      </c>
      <c r="K30" s="492">
        <f t="shared" si="14"/>
        <v>-88165.347386682406</v>
      </c>
      <c r="L30" s="494">
        <f t="shared" si="14"/>
        <v>-2.4304929734087655E-2</v>
      </c>
    </row>
    <row r="31" spans="1:12" ht="7.5" customHeight="1" thickBot="1" x14ac:dyDescent="0.3">
      <c r="A31" s="741"/>
      <c r="B31" s="742"/>
      <c r="C31" s="742"/>
      <c r="D31" s="742"/>
      <c r="E31" s="742"/>
      <c r="F31" s="742"/>
      <c r="G31" s="742"/>
      <c r="H31" s="742"/>
      <c r="I31" s="742"/>
      <c r="J31" s="742"/>
      <c r="K31" s="742"/>
      <c r="L31" s="743"/>
    </row>
    <row r="32" spans="1:12" ht="18.75" customHeight="1" thickBot="1" x14ac:dyDescent="0.3">
      <c r="A32" s="473" t="s">
        <v>203</v>
      </c>
      <c r="B32" s="474"/>
      <c r="C32" s="474"/>
      <c r="D32" s="475"/>
      <c r="E32" s="48"/>
      <c r="F32" s="48"/>
      <c r="G32" s="48"/>
      <c r="H32" s="48"/>
      <c r="I32" s="48"/>
      <c r="J32" s="48"/>
      <c r="K32" s="48"/>
      <c r="L32" s="49"/>
    </row>
    <row r="33" spans="1:13" ht="18.75" customHeight="1" outlineLevel="1" thickTop="1" x14ac:dyDescent="0.25">
      <c r="A33" s="929" t="s">
        <v>207</v>
      </c>
      <c r="B33" s="930"/>
      <c r="C33" s="930"/>
      <c r="D33" s="931"/>
      <c r="E33" s="477">
        <f>'Plan G&amp;V'!Q56</f>
        <v>500</v>
      </c>
      <c r="F33" s="459">
        <f>IF(E$40=0,0,E33/E$40)</f>
        <v>1.4742739200943535E-3</v>
      </c>
      <c r="G33" s="75">
        <f>'Plan G&amp;V'!V56</f>
        <v>500</v>
      </c>
      <c r="H33" s="462">
        <f>IF(G$40=0,0,G33/G$40)</f>
        <v>4.5775964443529654E-4</v>
      </c>
      <c r="I33" s="75">
        <f>'Plan G&amp;V'!W56</f>
        <v>500</v>
      </c>
      <c r="J33" s="459">
        <f>IF(I$40=0,0,I33/I$40)</f>
        <v>2.6313338772937316E-4</v>
      </c>
      <c r="K33" s="75">
        <f>'Plan G&amp;V'!X56</f>
        <v>30939.491877093555</v>
      </c>
      <c r="L33" s="504">
        <f>IF(K$40=0,0,K33/K$40)</f>
        <v>8.5292260323438958E-3</v>
      </c>
    </row>
    <row r="34" spans="1:13" ht="18.75" customHeight="1" outlineLevel="1" x14ac:dyDescent="0.25">
      <c r="A34" s="919" t="s">
        <v>208</v>
      </c>
      <c r="B34" s="920"/>
      <c r="C34" s="920"/>
      <c r="D34" s="921"/>
      <c r="E34" s="495">
        <f>(SUM((-SUM('Plan G&amp;V'!Q19,'Plan G&amp;V'!Q20,'Plan G&amp;V'!Q24:Q30,'Plan G&amp;V'!Q35)+Investitionsplan!R40)*(1+$D$3),-'Plan G&amp;V'!Q31,-'Plan G&amp;V'!Q32))-(SUM(Liquiditätsplan!Q46:Q59,Liquiditätsplan!Q67))</f>
        <v>4681.5999999999767</v>
      </c>
      <c r="F34" s="460">
        <f t="shared" ref="F34:H36" si="15">IF(E$40=0,0,E34/E$40)</f>
        <v>1.3803921568627382E-2</v>
      </c>
      <c r="G34" s="79">
        <f>(SUM((-SUM('Plan G&amp;V'!V19,'Plan G&amp;V'!V20,'Plan G&amp;V'!V24:V30,'Plan G&amp;V'!V35)+Investitionsplan!W40)*(1+$D$3),-'Plan G&amp;V'!V31,-'Plan G&amp;V'!V32))-(SUM(Liquiditätsplan!V46:V59,Liquiditätsplan!V67))</f>
        <v>9281.6000000000058</v>
      </c>
      <c r="H34" s="463">
        <f t="shared" si="15"/>
        <v>8.4974838315813022E-3</v>
      </c>
      <c r="I34" s="79">
        <f>(SUM((-SUM('Plan G&amp;V'!W19,'Plan G&amp;V'!W20,'Plan G&amp;V'!W24:W30,'Plan G&amp;V'!W35)+Investitionsplan!X40)*(1+$D$3),-'Plan G&amp;V'!W31,-'Plan G&amp;V'!W32))-(SUM(Liquiditätsplan!W46:W59,Liquiditätsplan!W67))</f>
        <v>2281.5999999999913</v>
      </c>
      <c r="J34" s="460">
        <f t="shared" ref="J34" si="16">IF(I$40=0,0,I34/I$40)</f>
        <v>1.200730274886671E-3</v>
      </c>
      <c r="K34" s="79">
        <f>(SUM((-SUM('Plan G&amp;V'!X19,'Plan G&amp;V'!X20,'Plan G&amp;V'!X24:X30,'Plan G&amp;V'!X35)+Investitionsplan!Y40)*(1+$D$3),-'Plan G&amp;V'!X31,-'Plan G&amp;V'!X32))-(SUM(Liquiditätsplan!X46:X59,Liquiditätsplan!X67))</f>
        <v>-2718.4000000000087</v>
      </c>
      <c r="L34" s="505">
        <f t="shared" ref="L34" si="17">IF(K$40=0,0,K34/K$40)</f>
        <v>-7.4939330414439218E-4</v>
      </c>
    </row>
    <row r="35" spans="1:13" ht="18.75" customHeight="1" outlineLevel="1" x14ac:dyDescent="0.25">
      <c r="A35" s="919" t="s">
        <v>209</v>
      </c>
      <c r="B35" s="920"/>
      <c r="C35" s="920"/>
      <c r="D35" s="921"/>
      <c r="E35" s="495">
        <f>MAX(0,SUM(E12,E15,E16,E18,-E30,-E33,-E34,-E36))</f>
        <v>22310.022084980155</v>
      </c>
      <c r="F35" s="460">
        <f t="shared" si="15"/>
        <v>6.5782167433230593E-2</v>
      </c>
      <c r="G35" s="79">
        <f>MAX(0,SUM(G12,G15,G16,G18,-G30,-G33,-G34,-G36))</f>
        <v>0</v>
      </c>
      <c r="H35" s="463">
        <f t="shared" si="15"/>
        <v>0</v>
      </c>
      <c r="I35" s="79">
        <f>MAX(0,SUM(I12,I15,I16,I18,-I30,-I33,-I34,-I36))</f>
        <v>0</v>
      </c>
      <c r="J35" s="460">
        <f t="shared" ref="J35" si="18">IF(I$40=0,0,I35/I$40)</f>
        <v>0</v>
      </c>
      <c r="K35" s="79">
        <f>MAX(0,SUM(K12,K15,K16,K18,-K30,-K33,-K34,-K36))</f>
        <v>0</v>
      </c>
      <c r="L35" s="505">
        <f t="shared" ref="L35" si="19">IF(K$40=0,0,K35/K$40)</f>
        <v>0</v>
      </c>
    </row>
    <row r="36" spans="1:13" ht="18.75" customHeight="1" outlineLevel="1" thickBot="1" x14ac:dyDescent="0.3">
      <c r="A36" s="926" t="s">
        <v>210</v>
      </c>
      <c r="B36" s="927"/>
      <c r="C36" s="927"/>
      <c r="D36" s="928"/>
      <c r="E36" s="496">
        <f>IF(Liquiditätsplan!Q83&lt;=0,((-Liquiditätsplan!Q83)-Liquiditätsplan!Q87),-Liquiditätsplan!Q87)</f>
        <v>567909.99994054274</v>
      </c>
      <c r="F36" s="500">
        <f t="shared" si="15"/>
        <v>1.674509803746256</v>
      </c>
      <c r="G36" s="144">
        <f>IF(Liquiditätsplan!V83&lt;=0,((-Liquiditätsplan!V83)-Liquiditätsplan!V87),-Liquiditätsplan!V87)</f>
        <v>1431372.7524813542</v>
      </c>
      <c r="H36" s="502">
        <f t="shared" si="15"/>
        <v>1.3104493644604729</v>
      </c>
      <c r="I36" s="144">
        <f>IF(Liquiditätsplan!W83&lt;=0,((-Liquiditätsplan!W83)-Liquiditätsplan!W87),-Liquiditätsplan!W87)</f>
        <v>2449653.082616427</v>
      </c>
      <c r="J36" s="500">
        <f t="shared" ref="J36" si="20">IF(I$40=0,0,I36/I$40)</f>
        <v>1.2891710287811249</v>
      </c>
      <c r="K36" s="144">
        <f>IF(Liquiditätsplan!X83&lt;=0,((-Liquiditätsplan!X83)-Liquiditätsplan!X87),-Liquiditätsplan!X87)</f>
        <v>3687411.9483303814</v>
      </c>
      <c r="L36" s="506">
        <f t="shared" ref="L36" si="21">IF(K$40=0,0,K36/K$40)</f>
        <v>1.0165250970058881</v>
      </c>
    </row>
    <row r="37" spans="1:13" ht="7.5" customHeight="1" outlineLevel="1" thickTop="1" thickBot="1" x14ac:dyDescent="0.3">
      <c r="A37" s="932"/>
      <c r="B37" s="933"/>
      <c r="C37" s="933"/>
      <c r="D37" s="934"/>
      <c r="E37" s="484"/>
      <c r="F37" s="501"/>
      <c r="G37" s="485"/>
      <c r="H37" s="503"/>
      <c r="I37" s="485"/>
      <c r="J37" s="501"/>
      <c r="K37" s="485"/>
      <c r="L37" s="507"/>
    </row>
    <row r="38" spans="1:13" ht="18.75" customHeight="1" thickBot="1" x14ac:dyDescent="0.3">
      <c r="A38" s="847" t="s">
        <v>202</v>
      </c>
      <c r="B38" s="848"/>
      <c r="C38" s="848"/>
      <c r="D38" s="917"/>
      <c r="E38" s="490">
        <f>SUM(E33:E37)</f>
        <v>595401.62202552287</v>
      </c>
      <c r="F38" s="491">
        <f t="shared" ref="F38:L38" si="22">SUM(F33:F37)</f>
        <v>1.7555701666682084</v>
      </c>
      <c r="G38" s="492">
        <f t="shared" si="22"/>
        <v>1441154.3524813543</v>
      </c>
      <c r="H38" s="493">
        <f t="shared" si="22"/>
        <v>1.3194046079364894</v>
      </c>
      <c r="I38" s="492">
        <f t="shared" si="22"/>
        <v>2452434.6826164271</v>
      </c>
      <c r="J38" s="491">
        <f t="shared" si="22"/>
        <v>1.290634892443741</v>
      </c>
      <c r="K38" s="492">
        <f t="shared" si="22"/>
        <v>3715633.040207475</v>
      </c>
      <c r="L38" s="494">
        <f t="shared" si="22"/>
        <v>1.0243049297340876</v>
      </c>
    </row>
    <row r="39" spans="1:13" ht="7.5" customHeight="1" thickBot="1" x14ac:dyDescent="0.3">
      <c r="A39" s="50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9"/>
    </row>
    <row r="40" spans="1:13" s="51" customFormat="1" ht="18.75" customHeight="1" thickBot="1" x14ac:dyDescent="0.3">
      <c r="A40" s="817" t="s">
        <v>215</v>
      </c>
      <c r="B40" s="818"/>
      <c r="C40" s="818"/>
      <c r="D40" s="925"/>
      <c r="E40" s="486">
        <f t="shared" ref="E40:L40" si="23">E38+E30</f>
        <v>339150</v>
      </c>
      <c r="F40" s="508">
        <f t="shared" si="23"/>
        <v>1</v>
      </c>
      <c r="G40" s="487">
        <f t="shared" si="23"/>
        <v>1092276.2765966672</v>
      </c>
      <c r="H40" s="508">
        <f t="shared" si="23"/>
        <v>1</v>
      </c>
      <c r="I40" s="488">
        <f t="shared" si="23"/>
        <v>1900176.9570733414</v>
      </c>
      <c r="J40" s="509">
        <f t="shared" si="23"/>
        <v>1</v>
      </c>
      <c r="K40" s="489">
        <f t="shared" si="23"/>
        <v>3627467.6928207926</v>
      </c>
      <c r="L40" s="510">
        <f t="shared" si="23"/>
        <v>1</v>
      </c>
      <c r="M40" s="51" t="str">
        <f>IF(OR(ROUND(E40-E22,2)&lt;&gt;0,ROUND(G40-G22,2)&lt;&gt;0,ROUND(I40-I22,2)&lt;&gt;0,ROUND(K40-K22,2)&lt;&gt;0),"Fehler in der Bilanz","")</f>
        <v/>
      </c>
    </row>
    <row r="41" spans="1:13" x14ac:dyDescent="0.25">
      <c r="E41" s="405"/>
      <c r="F41" s="405"/>
      <c r="G41" s="405"/>
      <c r="H41" s="405"/>
      <c r="I41" s="405"/>
      <c r="J41" s="405"/>
      <c r="K41" s="405"/>
      <c r="L41" s="405"/>
    </row>
    <row r="42" spans="1:13" x14ac:dyDescent="0.25">
      <c r="K42" s="405"/>
    </row>
  </sheetData>
  <sheetProtection algorithmName="SHA-512" hashValue="SyzUfmNNGdk7WX8gH70/o2MiqNuG5YuhdoCgZUEVvTW6SCsnvtEam0MfIlBQgf7fKheJ5DRwC1s5VwXrkf4BkA==" saltValue="f3viN/TxlnuiaQapDryiBQ==" spinCount="100000" sheet="1" objects="1" scenarios="1" selectLockedCells="1"/>
  <mergeCells count="38">
    <mergeCell ref="A1:L1"/>
    <mergeCell ref="E4:F4"/>
    <mergeCell ref="G4:H4"/>
    <mergeCell ref="I4:J4"/>
    <mergeCell ref="K4:L4"/>
    <mergeCell ref="A3:C3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83" fitToHeight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Normal="100" zoomScaleSheetLayoutView="100" workbookViewId="0">
      <selection activeCell="J16" sqref="J16"/>
    </sheetView>
  </sheetViews>
  <sheetFormatPr baseColWidth="10" defaultRowHeight="15" x14ac:dyDescent="0.25"/>
  <cols>
    <col min="1" max="2" width="3.5703125" style="43" customWidth="1"/>
    <col min="3" max="4" width="23.28515625" style="43" customWidth="1"/>
    <col min="5" max="5" width="12.85546875" style="43" customWidth="1"/>
    <col min="6" max="7" width="13.140625" style="43" customWidth="1"/>
    <col min="8" max="8" width="18.7109375" style="43" bestFit="1" customWidth="1"/>
    <col min="9" max="16384" width="11.42578125" style="43"/>
  </cols>
  <sheetData>
    <row r="1" spans="1:8" ht="27" thickBot="1" x14ac:dyDescent="0.3">
      <c r="A1" s="754" t="s">
        <v>223</v>
      </c>
      <c r="B1" s="755"/>
      <c r="C1" s="755"/>
      <c r="D1" s="755"/>
      <c r="E1" s="755"/>
      <c r="F1" s="755"/>
      <c r="G1" s="755"/>
      <c r="H1" s="755"/>
    </row>
    <row r="2" spans="1:8" ht="7.5" customHeight="1" thickBot="1" x14ac:dyDescent="0.3"/>
    <row r="3" spans="1:8" ht="22.5" customHeight="1" thickBot="1" x14ac:dyDescent="0.3">
      <c r="A3" s="524"/>
      <c r="B3" s="525"/>
      <c r="C3" s="525"/>
      <c r="D3" s="526"/>
      <c r="E3" s="523" t="s">
        <v>20</v>
      </c>
      <c r="F3" s="516" t="s">
        <v>25</v>
      </c>
      <c r="G3" s="516" t="s">
        <v>26</v>
      </c>
      <c r="H3" s="515" t="s">
        <v>27</v>
      </c>
    </row>
    <row r="4" spans="1:8" ht="18.75" customHeight="1" thickTop="1" x14ac:dyDescent="0.25">
      <c r="A4" s="527" t="s">
        <v>113</v>
      </c>
      <c r="B4" s="937" t="s">
        <v>126</v>
      </c>
      <c r="C4" s="937"/>
      <c r="D4" s="938"/>
      <c r="E4" s="6">
        <f>'Plan G&amp;V'!Q47</f>
        <v>-291251.62202552287</v>
      </c>
      <c r="F4" s="75">
        <f>'Plan G&amp;V'!V47</f>
        <v>-92626.45385916403</v>
      </c>
      <c r="G4" s="75">
        <f>'Plan G&amp;V'!W47</f>
        <v>-203379.64965839882</v>
      </c>
      <c r="H4" s="533">
        <f>'Plan G&amp;V'!X47</f>
        <v>464092.37815640331</v>
      </c>
    </row>
    <row r="5" spans="1:8" ht="18.75" customHeight="1" x14ac:dyDescent="0.25">
      <c r="A5" s="528" t="s">
        <v>113</v>
      </c>
      <c r="B5" s="873" t="s">
        <v>137</v>
      </c>
      <c r="C5" s="873"/>
      <c r="D5" s="874"/>
      <c r="E5" s="10">
        <f>-'Plan G&amp;V'!Q36</f>
        <v>15100.000000000002</v>
      </c>
      <c r="F5" s="79">
        <f>-'Plan G&amp;V'!V36</f>
        <v>18850</v>
      </c>
      <c r="G5" s="79">
        <f>-'Plan G&amp;V'!W36</f>
        <v>68050</v>
      </c>
      <c r="H5" s="310">
        <f>-'Plan G&amp;V'!X36</f>
        <v>48950</v>
      </c>
    </row>
    <row r="6" spans="1:8" ht="18.75" customHeight="1" thickBot="1" x14ac:dyDescent="0.3">
      <c r="A6" s="528" t="s">
        <v>113</v>
      </c>
      <c r="B6" s="873" t="s">
        <v>221</v>
      </c>
      <c r="C6" s="873"/>
      <c r="D6" s="874"/>
      <c r="E6" s="10">
        <f>Planbilanz!E33</f>
        <v>500</v>
      </c>
      <c r="F6" s="79">
        <f>Planbilanz!G33-Planbilanz!E33</f>
        <v>0</v>
      </c>
      <c r="G6" s="79">
        <f>Planbilanz!I33-Planbilanz!G33</f>
        <v>0</v>
      </c>
      <c r="H6" s="310">
        <f>Planbilanz!K33-Planbilanz!I33</f>
        <v>30439.491877093555</v>
      </c>
    </row>
    <row r="7" spans="1:8" ht="7.5" customHeight="1" thickTop="1" thickBot="1" x14ac:dyDescent="0.3">
      <c r="A7" s="922"/>
      <c r="B7" s="923"/>
      <c r="C7" s="923"/>
      <c r="D7" s="924"/>
      <c r="E7" s="29"/>
      <c r="F7" s="33"/>
      <c r="G7" s="33"/>
      <c r="H7" s="36"/>
    </row>
    <row r="8" spans="1:8" ht="18.75" customHeight="1" thickBot="1" x14ac:dyDescent="0.3">
      <c r="A8" s="847" t="s">
        <v>222</v>
      </c>
      <c r="B8" s="848"/>
      <c r="C8" s="848"/>
      <c r="D8" s="917"/>
      <c r="E8" s="479">
        <f>SUM(E4:E7)</f>
        <v>-275651.62202552287</v>
      </c>
      <c r="F8" s="481">
        <f>SUM(F4:F7)</f>
        <v>-73776.45385916403</v>
      </c>
      <c r="G8" s="481">
        <f>SUM(G4:G7)</f>
        <v>-135329.64965839882</v>
      </c>
      <c r="H8" s="534">
        <f>SUM(H4:H7)</f>
        <v>543481.87003349687</v>
      </c>
    </row>
    <row r="9" spans="1:8" ht="7.5" customHeight="1" thickBot="1" x14ac:dyDescent="0.3">
      <c r="A9" s="741"/>
      <c r="B9" s="742"/>
      <c r="C9" s="742"/>
      <c r="D9" s="742"/>
      <c r="E9" s="742"/>
      <c r="F9" s="742"/>
      <c r="G9" s="742"/>
      <c r="H9" s="743"/>
    </row>
    <row r="10" spans="1:8" ht="18.75" customHeight="1" x14ac:dyDescent="0.25">
      <c r="A10" s="527" t="s">
        <v>112</v>
      </c>
      <c r="B10" s="937" t="s">
        <v>229</v>
      </c>
      <c r="C10" s="937" t="s">
        <v>224</v>
      </c>
      <c r="D10" s="938" t="s">
        <v>224</v>
      </c>
      <c r="E10" s="537">
        <f>-(Planbilanz!E15)</f>
        <v>0</v>
      </c>
      <c r="F10" s="538">
        <f>-(Planbilanz!G15-Planbilanz!E15)</f>
        <v>0</v>
      </c>
      <c r="G10" s="538">
        <f>-(Planbilanz!I15-Planbilanz!G15)</f>
        <v>0</v>
      </c>
      <c r="H10" s="539">
        <f>-(Planbilanz!K15-Planbilanz!I15)</f>
        <v>0</v>
      </c>
    </row>
    <row r="11" spans="1:8" ht="18.75" customHeight="1" x14ac:dyDescent="0.25">
      <c r="A11" s="528" t="s">
        <v>112</v>
      </c>
      <c r="B11" s="873" t="s">
        <v>230</v>
      </c>
      <c r="C11" s="873" t="s">
        <v>225</v>
      </c>
      <c r="D11" s="874" t="s">
        <v>225</v>
      </c>
      <c r="E11" s="495">
        <f>0-Planbilanz!E16</f>
        <v>-230000</v>
      </c>
      <c r="F11" s="79">
        <f>Planbilanz!E16-Planbilanz!G16</f>
        <v>-570000</v>
      </c>
      <c r="G11" s="79">
        <f>Planbilanz!G16-Planbilanz!I16</f>
        <v>-200000</v>
      </c>
      <c r="H11" s="310">
        <f>Planbilanz!I16-Planbilanz!K16</f>
        <v>-1000000</v>
      </c>
    </row>
    <row r="12" spans="1:8" ht="18.75" customHeight="1" x14ac:dyDescent="0.25">
      <c r="A12" s="528" t="s">
        <v>113</v>
      </c>
      <c r="B12" s="873" t="s">
        <v>231</v>
      </c>
      <c r="C12" s="873" t="s">
        <v>226</v>
      </c>
      <c r="D12" s="874" t="s">
        <v>226</v>
      </c>
      <c r="E12" s="495">
        <f>Planbilanz!E34</f>
        <v>4681.5999999999767</v>
      </c>
      <c r="F12" s="79">
        <f>Planbilanz!G34-Planbilanz!E34</f>
        <v>4600.0000000000291</v>
      </c>
      <c r="G12" s="79">
        <f>Planbilanz!I34-Planbilanz!G34</f>
        <v>-7000.0000000000146</v>
      </c>
      <c r="H12" s="310">
        <f>Planbilanz!K34-Planbilanz!I34</f>
        <v>-5000</v>
      </c>
    </row>
    <row r="13" spans="1:8" ht="18.75" customHeight="1" x14ac:dyDescent="0.25">
      <c r="A13" s="531" t="s">
        <v>112</v>
      </c>
      <c r="B13" s="873" t="s">
        <v>232</v>
      </c>
      <c r="C13" s="873" t="s">
        <v>227</v>
      </c>
      <c r="D13" s="874" t="s">
        <v>227</v>
      </c>
      <c r="E13" s="529">
        <f>-Planbilanz!E17</f>
        <v>0</v>
      </c>
      <c r="F13" s="83">
        <f>Planbilanz!E17-Planbilanz!G17</f>
        <v>-141726.27659666748</v>
      </c>
      <c r="G13" s="83">
        <f>Planbilanz!G17-Planbilanz!I17</f>
        <v>-632000.68047667388</v>
      </c>
      <c r="H13" s="411">
        <f>Planbilanz!I17-Planbilanz!K17</f>
        <v>-778390.7357474512</v>
      </c>
    </row>
    <row r="14" spans="1:8" ht="18.75" customHeight="1" thickBot="1" x14ac:dyDescent="0.3">
      <c r="A14" s="532" t="s">
        <v>113</v>
      </c>
      <c r="B14" s="876" t="s">
        <v>233</v>
      </c>
      <c r="C14" s="876" t="s">
        <v>228</v>
      </c>
      <c r="D14" s="877" t="s">
        <v>228</v>
      </c>
      <c r="E14" s="496">
        <f>Planbilanz!E35</f>
        <v>22310.022084980155</v>
      </c>
      <c r="F14" s="144">
        <f>Planbilanz!G35-Planbilanz!E35</f>
        <v>-22310.022084980155</v>
      </c>
      <c r="G14" s="144">
        <f>Planbilanz!I35-Planbilanz!G35</f>
        <v>0</v>
      </c>
      <c r="H14" s="535">
        <f>Planbilanz!K35-Planbilanz!I35</f>
        <v>0</v>
      </c>
    </row>
    <row r="15" spans="1:8" ht="7.5" customHeight="1" thickTop="1" thickBot="1" x14ac:dyDescent="0.3">
      <c r="A15" s="932"/>
      <c r="B15" s="933"/>
      <c r="C15" s="933"/>
      <c r="D15" s="934"/>
      <c r="E15" s="484"/>
      <c r="F15" s="485"/>
      <c r="G15" s="485"/>
      <c r="H15" s="536"/>
    </row>
    <row r="16" spans="1:8" ht="18.75" customHeight="1" thickBot="1" x14ac:dyDescent="0.3">
      <c r="A16" s="847" t="s">
        <v>234</v>
      </c>
      <c r="B16" s="848"/>
      <c r="C16" s="848"/>
      <c r="D16" s="917"/>
      <c r="E16" s="479">
        <f>SUM(E10:E15)</f>
        <v>-203008.37791501987</v>
      </c>
      <c r="F16" s="481">
        <f>SUM(F9:F15)</f>
        <v>-729436.29868164763</v>
      </c>
      <c r="G16" s="481">
        <f>SUM(G9:G15)</f>
        <v>-839000.68047667388</v>
      </c>
      <c r="H16" s="534">
        <f>SUM(H9:H15)</f>
        <v>-1783390.7357474512</v>
      </c>
    </row>
    <row r="17" spans="1:8" ht="7.5" customHeight="1" thickBot="1" x14ac:dyDescent="0.3">
      <c r="A17" s="50"/>
      <c r="B17" s="48"/>
      <c r="C17" s="48"/>
      <c r="D17" s="48"/>
      <c r="E17" s="48"/>
      <c r="F17" s="48"/>
      <c r="G17" s="48"/>
      <c r="H17" s="49"/>
    </row>
    <row r="18" spans="1:8" s="51" customFormat="1" ht="18.75" customHeight="1" thickBot="1" x14ac:dyDescent="0.3">
      <c r="A18" s="817" t="s">
        <v>235</v>
      </c>
      <c r="B18" s="818"/>
      <c r="C18" s="818"/>
      <c r="D18" s="925"/>
      <c r="E18" s="486">
        <f>E16+E8</f>
        <v>-478659.99994054274</v>
      </c>
      <c r="F18" s="487">
        <f>F16+F8</f>
        <v>-803212.75254081166</v>
      </c>
      <c r="G18" s="488">
        <f>G16+G8</f>
        <v>-974330.3301350727</v>
      </c>
      <c r="H18" s="364">
        <f>H16+H8</f>
        <v>-1239908.8657139544</v>
      </c>
    </row>
    <row r="19" spans="1:8" x14ac:dyDescent="0.25">
      <c r="E19" s="405"/>
      <c r="F19" s="405"/>
      <c r="G19" s="405"/>
      <c r="H19" s="405"/>
    </row>
    <row r="20" spans="1:8" x14ac:dyDescent="0.25">
      <c r="H20" s="405"/>
    </row>
  </sheetData>
  <sheetProtection algorithmName="SHA-512" hashValue="ul9RCfxNVjM5iVVAK2nLSyVdI1mOwW2wtOJK1UNllS3Jh02gJlZgRniQ8yCzcMjJIVNpMLCSfQWcbskwxIYS1A==" saltValue="0tt3VyTsKlSVKirRI8NRBQ==" spinCount="100000" sheet="1" objects="1" scenarios="1"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0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20"/>
  <sheetViews>
    <sheetView view="pageBreakPreview" zoomScale="115" zoomScaleNormal="100" zoomScaleSheetLayoutView="115" workbookViewId="0">
      <selection activeCell="H14" sqref="H14"/>
    </sheetView>
  </sheetViews>
  <sheetFormatPr baseColWidth="10" defaultRowHeight="15" x14ac:dyDescent="0.25"/>
  <cols>
    <col min="1" max="4" width="10.140625" style="43" customWidth="1"/>
    <col min="5" max="5" width="12.85546875" style="43" customWidth="1"/>
    <col min="6" max="7" width="13.140625" style="43" customWidth="1"/>
    <col min="8" max="8" width="13.85546875" style="43" customWidth="1"/>
    <col min="9" max="16384" width="11.42578125" style="43"/>
  </cols>
  <sheetData>
    <row r="1" spans="1:8" ht="27" thickBot="1" x14ac:dyDescent="0.3">
      <c r="A1" s="754" t="s">
        <v>236</v>
      </c>
      <c r="B1" s="755"/>
      <c r="C1" s="755"/>
      <c r="D1" s="755"/>
      <c r="E1" s="755"/>
      <c r="F1" s="755"/>
      <c r="G1" s="755"/>
      <c r="H1" s="756"/>
    </row>
    <row r="2" spans="1:8" ht="7.5" customHeight="1" thickBot="1" x14ac:dyDescent="0.3"/>
    <row r="3" spans="1:8" ht="22.5" customHeight="1" thickBot="1" x14ac:dyDescent="0.3">
      <c r="A3" s="524"/>
      <c r="B3" s="525"/>
      <c r="C3" s="525"/>
      <c r="D3" s="526"/>
      <c r="E3" s="523" t="s">
        <v>20</v>
      </c>
      <c r="F3" s="516" t="s">
        <v>25</v>
      </c>
      <c r="G3" s="516" t="s">
        <v>26</v>
      </c>
      <c r="H3" s="515" t="s">
        <v>27</v>
      </c>
    </row>
    <row r="4" spans="1:8" ht="18.75" customHeight="1" thickTop="1" x14ac:dyDescent="0.25">
      <c r="A4" s="939" t="s">
        <v>237</v>
      </c>
      <c r="B4" s="937"/>
      <c r="C4" s="937"/>
      <c r="D4" s="938"/>
      <c r="E4" s="552">
        <f>-'Plan G&amp;V'!Q23/'Plan G&amp;V'!Q18</f>
        <v>1.887569102046915</v>
      </c>
      <c r="F4" s="553">
        <f>-'Plan G&amp;V'!V23/'Plan G&amp;V'!V18</f>
        <v>0.8625096649484536</v>
      </c>
      <c r="G4" s="553">
        <f>-'Plan G&amp;V'!W23/'Plan G&amp;V'!W18</f>
        <v>0.93622836340206195</v>
      </c>
      <c r="H4" s="554">
        <f>-'Plan G&amp;V'!X23/'Plan G&amp;V'!X18</f>
        <v>0.49136911759020618</v>
      </c>
    </row>
    <row r="5" spans="1:8" ht="7.5" customHeight="1" x14ac:dyDescent="0.25">
      <c r="A5" s="401"/>
      <c r="B5" s="402"/>
      <c r="C5" s="402"/>
      <c r="D5" s="403"/>
      <c r="E5" s="317"/>
      <c r="F5" s="321"/>
      <c r="G5" s="321"/>
      <c r="H5" s="322"/>
    </row>
    <row r="6" spans="1:8" ht="18.75" customHeight="1" x14ac:dyDescent="0.25">
      <c r="A6" s="872" t="s">
        <v>238</v>
      </c>
      <c r="B6" s="873"/>
      <c r="C6" s="873"/>
      <c r="D6" s="874"/>
      <c r="E6" s="555">
        <f>Planbilanz!E30/Planbilanz!E40</f>
        <v>-0.75557016666820842</v>
      </c>
      <c r="F6" s="556">
        <f>Planbilanz!G30/Planbilanz!G40</f>
        <v>-0.31940460793648934</v>
      </c>
      <c r="G6" s="556">
        <f>Planbilanz!I30/Planbilanz!I40</f>
        <v>-0.29063489244374102</v>
      </c>
      <c r="H6" s="557">
        <f>Planbilanz!K30/Planbilanz!K40</f>
        <v>-2.4304929734087651E-2</v>
      </c>
    </row>
    <row r="7" spans="1:8" ht="7.5" customHeight="1" x14ac:dyDescent="0.25">
      <c r="A7" s="540"/>
      <c r="B7" s="541"/>
      <c r="C7" s="541"/>
      <c r="D7" s="542"/>
      <c r="E7" s="543"/>
      <c r="F7" s="544"/>
      <c r="G7" s="544"/>
      <c r="H7" s="545"/>
    </row>
    <row r="8" spans="1:8" ht="18.75" customHeight="1" x14ac:dyDescent="0.25">
      <c r="A8" s="872" t="s">
        <v>239</v>
      </c>
      <c r="B8" s="873"/>
      <c r="C8" s="873"/>
      <c r="D8" s="874"/>
      <c r="E8" s="555">
        <f>Planbilanz!E38/Planbilanz!E40</f>
        <v>1.7555701666682084</v>
      </c>
      <c r="F8" s="556">
        <f>Planbilanz!G38/Planbilanz!G40</f>
        <v>1.3194046079364894</v>
      </c>
      <c r="G8" s="556">
        <f>Planbilanz!I38/Planbilanz!I40</f>
        <v>1.290634892443741</v>
      </c>
      <c r="H8" s="557">
        <f>Planbilanz!K38/Planbilanz!K40</f>
        <v>1.0243049297340876</v>
      </c>
    </row>
    <row r="9" spans="1:8" ht="7.5" customHeight="1" x14ac:dyDescent="0.25">
      <c r="A9" s="540"/>
      <c r="B9" s="541"/>
      <c r="C9" s="541"/>
      <c r="D9" s="542"/>
      <c r="E9" s="317"/>
      <c r="F9" s="321"/>
      <c r="G9" s="321"/>
      <c r="H9" s="322"/>
    </row>
    <row r="10" spans="1:8" ht="18.75" customHeight="1" x14ac:dyDescent="0.25">
      <c r="A10" s="872" t="s">
        <v>240</v>
      </c>
      <c r="B10" s="873"/>
      <c r="C10" s="873"/>
      <c r="D10" s="874"/>
      <c r="E10" s="558">
        <f>('Plan G&amp;V'!Q38+'Plan G&amp;V'!Q40)/'Plan G&amp;V'!Q18</f>
        <v>-1.5348913482902897</v>
      </c>
      <c r="F10" s="559">
        <f>('Plan G&amp;V'!V38+'Plan G&amp;V'!V40)/'Plan G&amp;V'!V18</f>
        <v>-5.1433754042392879E-2</v>
      </c>
      <c r="G10" s="559">
        <f>('Plan G&amp;V'!W38+'Plan G&amp;V'!W40)/'Plan G&amp;V'!W18</f>
        <v>-0.15076969653288347</v>
      </c>
      <c r="H10" s="560">
        <f>('Plan G&amp;V'!X38+'Plan G&amp;V'!X40)/'Plan G&amp;V'!X18</f>
        <v>0.41366691687531087</v>
      </c>
    </row>
    <row r="11" spans="1:8" ht="7.5" customHeight="1" x14ac:dyDescent="0.25">
      <c r="A11" s="540"/>
      <c r="B11" s="541"/>
      <c r="C11" s="541"/>
      <c r="D11" s="542"/>
      <c r="E11" s="317"/>
      <c r="F11" s="321"/>
      <c r="G11" s="321"/>
      <c r="H11" s="322"/>
    </row>
    <row r="12" spans="1:8" ht="18.75" customHeight="1" x14ac:dyDescent="0.25">
      <c r="A12" s="872" t="s">
        <v>241</v>
      </c>
      <c r="B12" s="873"/>
      <c r="C12" s="873"/>
      <c r="D12" s="874"/>
      <c r="E12" s="561">
        <f>360/(('Plan G&amp;V'!Q18+(-'Plan G&amp;V'!Q10))/(Planbilanz!E16/2))</f>
        <v>184.42622950819671</v>
      </c>
      <c r="F12" s="562">
        <f>360/(('Plan G&amp;V'!V18+(-'Plan G&amp;V'!V10))/((Planbilanz!E16+Planbilanz!G16)/2))</f>
        <v>237.44877049180326</v>
      </c>
      <c r="G12" s="562">
        <f>360/(('Plan G&amp;V'!W18+(-'Plan G&amp;V'!W10))/(Planbilanz!G16+Planbilanz!I16/2))</f>
        <v>479.50819672131149</v>
      </c>
      <c r="H12" s="563">
        <f>360/(('Plan G&amp;V'!T18+(-'Plan G&amp;V'!T10))/((Planbilanz!I16+Planbilanz!K16)/2))</f>
        <v>2766.3934426229512</v>
      </c>
    </row>
    <row r="13" spans="1:8" ht="7.5" customHeight="1" x14ac:dyDescent="0.25">
      <c r="A13" s="540"/>
      <c r="B13" s="541"/>
      <c r="C13" s="541"/>
      <c r="D13" s="542"/>
      <c r="E13" s="543"/>
      <c r="F13" s="544"/>
      <c r="G13" s="544"/>
      <c r="H13" s="545"/>
    </row>
    <row r="14" spans="1:8" ht="18.75" customHeight="1" x14ac:dyDescent="0.25">
      <c r="A14" s="872" t="s">
        <v>242</v>
      </c>
      <c r="B14" s="873"/>
      <c r="C14" s="873"/>
      <c r="D14" s="874"/>
      <c r="E14" s="561">
        <f>360/(('Plan G&amp;V'!Q19+'Plan G&amp;V'!Q20+(-'Plan G&amp;V'!Q10))/(Planbilanz!E34))</f>
        <v>36.638608695651989</v>
      </c>
      <c r="F14" s="562">
        <f>360/(('Plan G&amp;V'!V19+'Plan G&amp;V'!V20+(-'Plan G&amp;V'!V10))/((Planbilanz!E34+Planbilanz!G34)/2))</f>
        <v>15.708599999999979</v>
      </c>
      <c r="G14" s="562">
        <f>360/(('Plan G&amp;V'!W19+'Plan G&amp;V'!W20+(-'Plan G&amp;V'!W10))/((Planbilanz!G34+Planbilanz!I34)/2))</f>
        <v>10.406879999999997</v>
      </c>
      <c r="H14" s="563">
        <f>360/(('Plan G&amp;V'!T19+'Plan G&amp;V'!T20+(-'Plan G&amp;V'!T10))/((Planbilanz!I34+Planbilanz!K34)/2))</f>
        <v>-1.9656000000000786</v>
      </c>
    </row>
    <row r="15" spans="1:8" ht="7.5" customHeight="1" x14ac:dyDescent="0.25">
      <c r="A15" s="540"/>
      <c r="B15" s="541"/>
      <c r="C15" s="541"/>
      <c r="D15" s="542"/>
      <c r="E15" s="546"/>
      <c r="F15" s="547"/>
      <c r="G15" s="547"/>
      <c r="H15" s="548"/>
    </row>
    <row r="16" spans="1:8" ht="18.75" customHeight="1" x14ac:dyDescent="0.25">
      <c r="A16" s="872" t="s">
        <v>243</v>
      </c>
      <c r="B16" s="873"/>
      <c r="C16" s="873"/>
      <c r="D16" s="874"/>
      <c r="E16" s="564" t="str">
        <f>IF(OR('Plan G&amp;V'!Q19=0,Planbilanz!E15=0),"",'Plan G&amp;V'!Q19/Planbilanz!E15)</f>
        <v/>
      </c>
      <c r="F16" s="565" t="str">
        <f>IF(OR('Plan G&amp;V'!V19=0,Planbilanz!G15=0),"",'Plan G&amp;V'!V19/Planbilanz!G15)</f>
        <v/>
      </c>
      <c r="G16" s="565" t="str">
        <f>IF(OR('Plan G&amp;V'!W19=0,Planbilanz!I15=0),"",'Plan G&amp;V'!W19/Planbilanz!I15)</f>
        <v/>
      </c>
      <c r="H16" s="566" t="str">
        <f>IF(OR('Plan G&amp;V'!X19=0,Planbilanz!K15=0),"",'Plan G&amp;V'!X19/Planbilanz!K15)</f>
        <v/>
      </c>
    </row>
    <row r="17" spans="1:8" ht="7.5" customHeight="1" x14ac:dyDescent="0.25">
      <c r="A17" s="549"/>
      <c r="B17" s="550"/>
      <c r="C17" s="550"/>
      <c r="D17" s="551"/>
      <c r="E17" s="546"/>
      <c r="F17" s="547"/>
      <c r="G17" s="547"/>
      <c r="H17" s="548"/>
    </row>
    <row r="18" spans="1:8" ht="18.75" customHeight="1" thickBot="1" x14ac:dyDescent="0.3">
      <c r="A18" s="940" t="s">
        <v>244</v>
      </c>
      <c r="B18" s="941"/>
      <c r="C18" s="941"/>
      <c r="D18" s="942"/>
      <c r="E18" s="567" t="str">
        <f>IF(E16="","",360/E16)</f>
        <v/>
      </c>
      <c r="F18" s="568" t="str">
        <f t="shared" ref="F18:H18" si="0">IF(F16="","",360/F16)</f>
        <v/>
      </c>
      <c r="G18" s="568" t="str">
        <f t="shared" si="0"/>
        <v/>
      </c>
      <c r="H18" s="569" t="str">
        <f t="shared" si="0"/>
        <v/>
      </c>
    </row>
    <row r="19" spans="1:8" x14ac:dyDescent="0.25">
      <c r="E19" s="405"/>
      <c r="F19" s="405"/>
      <c r="G19" s="405"/>
      <c r="H19" s="405"/>
    </row>
    <row r="20" spans="1:8" x14ac:dyDescent="0.25">
      <c r="H20" s="405"/>
    </row>
  </sheetData>
  <sheetProtection algorithmName="SHA-512" hashValue="3BU/jdizFN/B/eyFcndrlQ7uvZScL4TqQHIlcVe4TlQ+mm0SC1cCU4fDQXszJk0bALsvfVdBY+Zi5d+7qlJ/xg==" saltValue="JND3hGmqWMCHf/XJ8lEUGw==" spinCount="100000" sheet="1" objects="1" scenarios="1" selectLockedCells="1"/>
  <mergeCells count="9">
    <mergeCell ref="A14:D14"/>
    <mergeCell ref="A16:D16"/>
    <mergeCell ref="A18:D18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view="pageBreakPreview" zoomScaleNormal="100" zoomScaleSheetLayoutView="100" workbookViewId="0">
      <selection activeCell="L11" sqref="L11"/>
    </sheetView>
  </sheetViews>
  <sheetFormatPr baseColWidth="10" defaultRowHeight="15" x14ac:dyDescent="0.25"/>
  <cols>
    <col min="1" max="2" width="10" style="184" customWidth="1"/>
    <col min="3" max="16384" width="11.42578125" style="184"/>
  </cols>
  <sheetData>
    <row r="1" spans="1:13" s="43" customFormat="1" ht="27" thickBot="1" x14ac:dyDescent="0.3">
      <c r="A1" s="754" t="s">
        <v>157</v>
      </c>
      <c r="B1" s="755"/>
      <c r="C1" s="755"/>
      <c r="D1" s="755"/>
      <c r="E1" s="755"/>
      <c r="F1" s="755"/>
      <c r="G1" s="755"/>
      <c r="H1" s="755"/>
      <c r="I1" s="755"/>
      <c r="J1" s="755"/>
      <c r="K1" s="756"/>
      <c r="L1" s="306"/>
      <c r="M1" s="306"/>
    </row>
    <row r="2" spans="1:13" ht="15.75" thickBot="1" x14ac:dyDescent="0.3"/>
    <row r="3" spans="1:13" ht="30.75" thickBot="1" x14ac:dyDescent="0.3">
      <c r="A3" s="680" t="s">
        <v>158</v>
      </c>
      <c r="B3" s="681" t="s">
        <v>156</v>
      </c>
    </row>
    <row r="4" spans="1:13" ht="18.75" customHeight="1" thickTop="1" x14ac:dyDescent="0.25">
      <c r="A4" s="682">
        <v>0.05</v>
      </c>
      <c r="B4" s="683">
        <v>500</v>
      </c>
    </row>
    <row r="5" spans="1:13" ht="18.75" customHeight="1" thickBot="1" x14ac:dyDescent="0.3">
      <c r="A5" s="684">
        <v>0.3</v>
      </c>
      <c r="B5" s="685">
        <v>2000</v>
      </c>
    </row>
    <row r="6" spans="1:13" ht="7.5" customHeight="1" thickTop="1" x14ac:dyDescent="0.25">
      <c r="A6" s="686"/>
      <c r="B6" s="687"/>
    </row>
    <row r="7" spans="1:13" ht="18.75" customHeight="1" thickBot="1" x14ac:dyDescent="0.3">
      <c r="A7" s="307">
        <v>0.55000000000000004</v>
      </c>
      <c r="B7" s="688">
        <f>SLOPE(B4:B5,A4:A5)*A7+INTERCEPT(B4:B5,A4:A5)</f>
        <v>3500.0000000000009</v>
      </c>
    </row>
  </sheetData>
  <sheetProtection algorithmName="SHA-512" hashValue="w59POXCmgwnQ/yD7LVcCtOnTo6CHvxMPe1P3HDvF13ibHatS3z5m98jojO31iR1V2LXvkh+u4moP7DGiXeD1DA==" saltValue="NlPQGEF+7Nl/FGbns0QXvQ==" spinCount="100000" sheet="1" objects="1" scenarios="1"/>
  <mergeCells count="1">
    <mergeCell ref="A1:K1"/>
  </mergeCells>
  <pageMargins left="0.59055118110236227" right="0.59055118110236227" top="0.78740157480314965" bottom="0.78740157480314965" header="0.31496062992125984" footer="0.31496062992125984"/>
  <pageSetup paperSize="9" orientation="landscape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49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pW/B73h/svGnlrzVdwTnA7rsnceeyUprj01SghhjotEEx2vPeRPSe8QSzWUrjDZ5g/XDSPg6YAzTGwgHM/xpAQ==" saltValue="Ruav7la1BBqqhN2hae0UFg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15</vt:i4>
      </vt:variant>
    </vt:vector>
  </HeadingPairs>
  <TitlesOfParts>
    <vt:vector size="26" baseType="lpstr">
      <vt:lpstr>Stammdaten</vt:lpstr>
      <vt:lpstr>Investitionsplan</vt:lpstr>
      <vt:lpstr>Plankosten</vt:lpstr>
      <vt:lpstr>Plan G&amp;V</vt:lpstr>
      <vt:lpstr>Abschreibung</vt:lpstr>
      <vt:lpstr>Liquiditätsplan</vt:lpstr>
      <vt:lpstr>Planbilanz</vt:lpstr>
      <vt:lpstr>Cash Flow</vt:lpstr>
      <vt:lpstr>Kennzahlen</vt:lpstr>
      <vt:lpstr>Lizenzgebühr</vt:lpstr>
      <vt:lpstr>Auswahltabellen</vt:lpstr>
      <vt:lpstr>Anually</vt:lpstr>
      <vt:lpstr>Bimonthly</vt:lpstr>
      <vt:lpstr>Abschreibung!Druckbereich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2018-01-05T17:32:15Z</cp:lastPrinted>
  <dcterms:created xsi:type="dcterms:W3CDTF">2017-11-17T17:38:13Z</dcterms:created>
  <dcterms:modified xsi:type="dcterms:W3CDTF">2018-01-05T17:36:03Z</dcterms:modified>
</cp:coreProperties>
</file>