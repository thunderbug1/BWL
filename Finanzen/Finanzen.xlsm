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8370" yWindow="0" windowWidth="19560" windowHeight="8115" activeTab="2"/>
  </bookViews>
  <sheets>
    <sheet name="Stammdaten" sheetId="1" r:id="rId1"/>
    <sheet name="Investitionsplan" sheetId="2" r:id="rId2"/>
    <sheet name="Plankosten" sheetId="3" r:id="rId3"/>
  </sheets>
  <definedNames>
    <definedName name="_xlnm.Print_Area" localSheetId="1">Investitionsplan!$A$1:$Y$26</definedName>
    <definedName name="_xlnm.Print_Area" localSheetId="0">Stammdaten!$A$1:$D$43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2" l="1"/>
  <c r="V22" i="2"/>
  <c r="U22" i="2"/>
  <c r="T22" i="2"/>
  <c r="S22" i="2"/>
  <c r="R22" i="2"/>
  <c r="Y21" i="2"/>
  <c r="Y24" i="2" s="1"/>
  <c r="X21" i="2"/>
  <c r="X24" i="2" s="1"/>
  <c r="V21" i="2"/>
  <c r="U21" i="2"/>
  <c r="T21" i="2"/>
  <c r="S21" i="2"/>
  <c r="Q21" i="2"/>
  <c r="Q24" i="2" s="1"/>
  <c r="P21" i="2"/>
  <c r="P24" i="2" s="1"/>
  <c r="O21" i="2"/>
  <c r="O24" i="2" s="1"/>
  <c r="N21" i="2"/>
  <c r="N24" i="2" s="1"/>
  <c r="M21" i="2"/>
  <c r="M24" i="2" s="1"/>
  <c r="L21" i="2"/>
  <c r="L24" i="2" s="1"/>
  <c r="K21" i="2"/>
  <c r="K24" i="2" s="1"/>
  <c r="J21" i="2"/>
  <c r="J24" i="2" s="1"/>
  <c r="I21" i="2"/>
  <c r="I24" i="2" s="1"/>
  <c r="H21" i="2"/>
  <c r="H24" i="2" s="1"/>
  <c r="G21" i="2"/>
  <c r="G24" i="2" s="1"/>
  <c r="F21" i="2"/>
  <c r="V24" i="2" l="1"/>
  <c r="T24" i="2"/>
  <c r="U24" i="2"/>
  <c r="W22" i="2"/>
  <c r="R21" i="2"/>
  <c r="R24" i="2" s="1"/>
  <c r="W21" i="2"/>
  <c r="F24" i="2"/>
  <c r="S24" i="2"/>
  <c r="W24" i="2" l="1"/>
  <c r="B16" i="2"/>
  <c r="V14" i="2"/>
  <c r="U14" i="2"/>
  <c r="T14" i="2"/>
  <c r="S14" i="2"/>
  <c r="R14" i="2"/>
  <c r="Y13" i="2"/>
  <c r="Y16" i="2" s="1"/>
  <c r="X13" i="2"/>
  <c r="X16" i="2" s="1"/>
  <c r="V13" i="2"/>
  <c r="U13" i="2"/>
  <c r="T13" i="2"/>
  <c r="S13" i="2"/>
  <c r="Q13" i="2"/>
  <c r="Q16" i="2" s="1"/>
  <c r="P13" i="2"/>
  <c r="P16" i="2" s="1"/>
  <c r="O13" i="2"/>
  <c r="O16" i="2" s="1"/>
  <c r="N13" i="2"/>
  <c r="N16" i="2" s="1"/>
  <c r="M13" i="2"/>
  <c r="M16" i="2" s="1"/>
  <c r="L13" i="2"/>
  <c r="L16" i="2" s="1"/>
  <c r="K13" i="2"/>
  <c r="K16" i="2" s="1"/>
  <c r="J13" i="2"/>
  <c r="J16" i="2" s="1"/>
  <c r="I13" i="2"/>
  <c r="I16" i="2" s="1"/>
  <c r="H13" i="2"/>
  <c r="H16" i="2" s="1"/>
  <c r="G13" i="2"/>
  <c r="G16" i="2" s="1"/>
  <c r="F13" i="2"/>
  <c r="F16" i="2" s="1"/>
  <c r="S6" i="2"/>
  <c r="T6" i="2"/>
  <c r="U6" i="2"/>
  <c r="V6" i="2"/>
  <c r="S7" i="2"/>
  <c r="T7" i="2"/>
  <c r="U7" i="2"/>
  <c r="V7" i="2"/>
  <c r="S8" i="2"/>
  <c r="T8" i="2"/>
  <c r="U8" i="2"/>
  <c r="V8" i="2"/>
  <c r="V5" i="2"/>
  <c r="U5" i="2"/>
  <c r="T5" i="2"/>
  <c r="Q5" i="2"/>
  <c r="Q10" i="2" s="1"/>
  <c r="R6" i="2"/>
  <c r="R7" i="2"/>
  <c r="R8" i="2"/>
  <c r="B10" i="2"/>
  <c r="T16" i="2" l="1"/>
  <c r="V16" i="2"/>
  <c r="W14" i="2"/>
  <c r="B18" i="2"/>
  <c r="B26" i="2" s="1"/>
  <c r="Q18" i="2"/>
  <c r="Q26" i="2" s="1"/>
  <c r="R13" i="2"/>
  <c r="R16" i="2" s="1"/>
  <c r="W13" i="2"/>
  <c r="U16" i="2"/>
  <c r="W8" i="2"/>
  <c r="W7" i="2"/>
  <c r="W6" i="2"/>
  <c r="S16" i="2"/>
  <c r="V10" i="2"/>
  <c r="V18" i="2" s="1"/>
  <c r="V26" i="2" s="1"/>
  <c r="Y5" i="2"/>
  <c r="Y10" i="2" s="1"/>
  <c r="Y18" i="2" s="1"/>
  <c r="Y26" i="2" s="1"/>
  <c r="X5" i="2"/>
  <c r="X10" i="2" s="1"/>
  <c r="X18" i="2" s="1"/>
  <c r="X26" i="2" s="1"/>
  <c r="U10" i="2"/>
  <c r="T10" i="2"/>
  <c r="T18" i="2" s="1"/>
  <c r="T26" i="2" s="1"/>
  <c r="S5" i="2"/>
  <c r="S10" i="2" s="1"/>
  <c r="G5" i="2"/>
  <c r="H5" i="2"/>
  <c r="H10" i="2" s="1"/>
  <c r="H18" i="2" s="1"/>
  <c r="H26" i="2" s="1"/>
  <c r="I5" i="2"/>
  <c r="I10" i="2" s="1"/>
  <c r="I18" i="2" s="1"/>
  <c r="I26" i="2" s="1"/>
  <c r="J5" i="2"/>
  <c r="J10" i="2" s="1"/>
  <c r="J18" i="2" s="1"/>
  <c r="J26" i="2" s="1"/>
  <c r="K5" i="2"/>
  <c r="K10" i="2" s="1"/>
  <c r="K18" i="2" s="1"/>
  <c r="K26" i="2" s="1"/>
  <c r="L5" i="2"/>
  <c r="L10" i="2" s="1"/>
  <c r="L18" i="2" s="1"/>
  <c r="L26" i="2" s="1"/>
  <c r="M5" i="2"/>
  <c r="M10" i="2" s="1"/>
  <c r="M18" i="2" s="1"/>
  <c r="M26" i="2" s="1"/>
  <c r="N5" i="2"/>
  <c r="N10" i="2" s="1"/>
  <c r="N18" i="2" s="1"/>
  <c r="N26" i="2" s="1"/>
  <c r="O5" i="2"/>
  <c r="O10" i="2" s="1"/>
  <c r="O18" i="2" s="1"/>
  <c r="O26" i="2" s="1"/>
  <c r="P5" i="2"/>
  <c r="P10" i="2" s="1"/>
  <c r="P18" i="2" s="1"/>
  <c r="P26" i="2" s="1"/>
  <c r="F5" i="2"/>
  <c r="F10" i="2" s="1"/>
  <c r="F18" i="2" s="1"/>
  <c r="F26" i="2" s="1"/>
  <c r="U18" i="2" l="1"/>
  <c r="U26" i="2" s="1"/>
  <c r="W5" i="2"/>
  <c r="W10" i="2" s="1"/>
  <c r="S18" i="2"/>
  <c r="S26" i="2" s="1"/>
  <c r="W16" i="2"/>
  <c r="R5" i="2"/>
  <c r="R10" i="2" s="1"/>
  <c r="R18" i="2" s="1"/>
  <c r="R26" i="2" s="1"/>
  <c r="G10" i="2"/>
  <c r="G18" i="2" s="1"/>
  <c r="G26" i="2" s="1"/>
  <c r="W18" i="2" l="1"/>
  <c r="W26" i="2" s="1"/>
</calcChain>
</file>

<file path=xl/sharedStrings.xml><?xml version="1.0" encoding="utf-8"?>
<sst xmlns="http://schemas.openxmlformats.org/spreadsheetml/2006/main" count="66" uniqueCount="49">
  <si>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</si>
  <si>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</si>
  <si>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</si>
  <si>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</si>
  <si>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</si>
  <si>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</si>
  <si>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</si>
  <si>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</si>
  <si>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</si>
  <si>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</si>
  <si>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</si>
  <si>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</si>
  <si>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</si>
  <si>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</si>
  <si>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Mail:
Mobil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</si>
  <si>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</si>
  <si>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</si>
  <si>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</si>
  <si>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</si>
  <si>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</si>
  <si>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</si>
  <si>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</si>
  <si>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</si>
  <si>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</si>
  <si>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</si>
  <si>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</si>
  <si>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</si>
  <si>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</si>
  <si>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</si>
  <si>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</si>
  <si>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</si>
  <si>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</si>
  <si>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Geplatne nicht vorsteuerabzugsfähige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</si>
  <si>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</si>
  <si>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</si>
  <si>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</si>
  <si>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</si>
  <si>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</si>
  <si>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</si>
  <si>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</si>
  <si>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</si>
  <si>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</si>
  <si>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</si>
  <si>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</si>
  <si>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</si>
  <si>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</si>
  <si>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</si>
  <si>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</si>
  <si>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Monat der Zahlung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</si>
</sst>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0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0" borderId="18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right" vertical="top"/>
    </xf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22" xfId="0" applyFill="1" applyBorder="1" applyAlignment="1" applyProtection="1">
      <alignment vertical="center"/>
      <protection locked="0"/>
    </xf>
    <xf numFmtId="0" fontId="0" fillId="7" borderId="49" xfId="0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164" fontId="0" fillId="5" borderId="89" xfId="0" applyNumberFormat="1" applyFont="1" applyFill="1" applyBorder="1" applyAlignment="1" applyProtection="1">
      <alignment vertical="center"/>
    </xf>
    <xf numFmtId="164" fontId="0" fillId="5" borderId="90" xfId="0" applyNumberFormat="1" applyFont="1" applyFill="1" applyBorder="1" applyAlignment="1" applyProtection="1">
      <alignment vertical="center"/>
    </xf>
    <xf numFmtId="164" fontId="0" fillId="5" borderId="92" xfId="0" applyNumberFormat="1" applyFont="1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8" fillId="5" borderId="97" xfId="0" applyNumberFormat="1" applyFont="1" applyFill="1" applyBorder="1" applyAlignment="1" applyProtection="1">
      <alignment vertical="center"/>
    </xf>
    <xf numFmtId="164" fontId="8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8" fillId="5" borderId="66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right"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0" borderId="15" xfId="0" applyBorder="1" applyAlignment="1" applyProtection="1">
      <alignment vertical="center" wrapText="1"/>
    </xf>
    <xf numFmtId="0" fontId="0" fillId="2" borderId="33" xfId="0" applyFill="1" applyBorder="1" applyAlignment="1" applyProtection="1">
      <alignment vertical="center"/>
    </xf>
    <xf numFmtId="0" fontId="0" fillId="2" borderId="98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7" fillId="0" borderId="87" xfId="0" applyFont="1" applyBorder="1" applyAlignment="1" applyProtection="1">
      <alignment horizontal="right"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8" fillId="5" borderId="89" xfId="0" applyNumberFormat="1" applyFont="1" applyFill="1" applyBorder="1" applyAlignment="1" applyProtection="1">
      <alignment vertical="center"/>
    </xf>
    <xf numFmtId="164" fontId="8" fillId="5" borderId="90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8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3" xfId="0" applyBorder="1"/>
    <xf numFmtId="0" fontId="3" fillId="0" borderId="101" xfId="0" applyFont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0" fillId="0" borderId="105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06" xfId="0" applyBorder="1" applyAlignment="1">
      <alignment vertical="top" wrapText="1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0" borderId="10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06" xfId="0" applyBorder="1" applyAlignment="1">
      <alignment horizontal="left" vertical="top" wrapText="1"/>
    </xf>
    <xf numFmtId="0" fontId="0" fillId="0" borderId="10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08" xfId="0" applyBorder="1" applyAlignment="1">
      <alignment horizontal="left" vertical="top" wrapText="1"/>
    </xf>
    <xf numFmtId="0" fontId="6" fillId="0" borderId="104" xfId="0" applyFont="1" applyBorder="1" applyAlignment="1">
      <alignment horizontal="left" vertical="top"/>
    </xf>
    <xf numFmtId="0" fontId="6" fillId="0" borderId="102" xfId="0" applyFont="1" applyBorder="1" applyAlignment="1">
      <alignment horizontal="left" vertical="top"/>
    </xf>
    <xf numFmtId="0" fontId="6" fillId="0" borderId="76" xfId="0" applyFont="1" applyBorder="1" applyAlignment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view="pageBreakPreview" zoomScale="85" zoomScaleNormal="100" zoomScaleSheetLayoutView="85" workbookViewId="0">
      <selection activeCell="B15" sqref="B15:C15"/>
    </sheetView>
  </sheetViews>
  <sheetFormatPr baseColWidth="10" defaultRowHeight="15" x14ac:dyDescent="0.25"/>
  <cols>
    <col min="1" max="2" width="14.28515625" customWidth="1"/>
    <col min="3" max="3" width="25.7109375" bestFit="1" customWidth="1"/>
    <col min="4" max="4" width="32.42578125" bestFit="1" customWidth="1"/>
  </cols>
  <sheetData>
    <row r="1" spans="1:4" ht="27" thickBot="1" x14ac:dyDescent="0.45">
      <c r="A1" s="133" t="s">
        <v>5</v>
      </c>
      <c r="B1" s="134"/>
      <c r="C1" s="134"/>
      <c r="D1" s="135"/>
    </row>
    <row r="2" spans="1:4" ht="7.5" customHeight="1" thickBot="1" x14ac:dyDescent="0.3"/>
    <row r="3" spans="1:4" ht="16.5" thickBot="1" x14ac:dyDescent="0.3">
      <c r="A3" s="136" t="s">
        <v>0</v>
      </c>
      <c r="B3" s="137"/>
      <c r="C3" s="137"/>
      <c r="D3" s="138"/>
    </row>
    <row r="4" spans="1:4" ht="7.5" customHeight="1" x14ac:dyDescent="0.25">
      <c r="A4" s="2"/>
      <c r="B4" s="3"/>
      <c r="C4" s="3"/>
      <c r="D4" s="4"/>
    </row>
    <row r="5" spans="1:4" ht="18.75" customHeight="1" thickBot="1" x14ac:dyDescent="0.3">
      <c r="A5" s="157" t="s">
        <v>10</v>
      </c>
      <c r="B5" s="158"/>
      <c r="C5" s="8" t="s">
        <v>12</v>
      </c>
      <c r="D5" s="9" t="s">
        <v>13</v>
      </c>
    </row>
    <row r="6" spans="1:4" ht="30.75" thickTop="1" x14ac:dyDescent="0.25">
      <c r="A6" s="155" t="s">
        <v>1</v>
      </c>
      <c r="B6" s="156"/>
      <c r="C6" s="122" t="s">
        <v>38</v>
      </c>
      <c r="D6" s="123" t="s">
        <v>14</v>
      </c>
    </row>
    <row r="7" spans="1:4" ht="30" x14ac:dyDescent="0.25">
      <c r="A7" s="139" t="s">
        <v>2</v>
      </c>
      <c r="B7" s="140"/>
      <c r="C7" s="124" t="s">
        <v>39</v>
      </c>
      <c r="D7" s="125" t="s">
        <v>14</v>
      </c>
    </row>
    <row r="8" spans="1:4" ht="30" x14ac:dyDescent="0.25">
      <c r="A8" s="139" t="s">
        <v>3</v>
      </c>
      <c r="B8" s="140"/>
      <c r="C8" s="124" t="s">
        <v>40</v>
      </c>
      <c r="D8" s="125" t="s">
        <v>14</v>
      </c>
    </row>
    <row r="9" spans="1:4" ht="30" x14ac:dyDescent="0.25">
      <c r="A9" s="144" t="s">
        <v>4</v>
      </c>
      <c r="B9" s="145"/>
      <c r="C9" s="126" t="s">
        <v>41</v>
      </c>
      <c r="D9" s="127" t="s">
        <v>16</v>
      </c>
    </row>
    <row r="10" spans="1:4" ht="7.5" customHeight="1" thickBot="1" x14ac:dyDescent="0.3">
      <c r="A10" s="5"/>
      <c r="B10" s="6"/>
      <c r="C10" s="6"/>
      <c r="D10" s="7"/>
    </row>
    <row r="11" spans="1:4" ht="7.5" customHeight="1" thickBot="1" x14ac:dyDescent="0.3">
      <c r="A11" s="115"/>
      <c r="B11" s="115"/>
      <c r="C11" s="115"/>
      <c r="D11" s="115"/>
    </row>
    <row r="12" spans="1:4" ht="16.5" thickBot="1" x14ac:dyDescent="0.3">
      <c r="A12" s="136" t="s">
        <v>15</v>
      </c>
      <c r="B12" s="137"/>
      <c r="C12" s="137"/>
      <c r="D12" s="138"/>
    </row>
    <row r="13" spans="1:4" ht="7.5" customHeight="1" x14ac:dyDescent="0.25">
      <c r="A13" s="10"/>
      <c r="B13" s="1"/>
      <c r="C13" s="1"/>
      <c r="D13" s="11"/>
    </row>
    <row r="14" spans="1:4" ht="18.75" customHeight="1" x14ac:dyDescent="0.25">
      <c r="A14" s="12" t="s">
        <v>11</v>
      </c>
      <c r="B14" s="143" t="s">
        <v>6</v>
      </c>
      <c r="C14" s="143"/>
      <c r="D14" s="128"/>
    </row>
    <row r="15" spans="1:4" ht="37.5" customHeight="1" x14ac:dyDescent="0.25">
      <c r="A15" s="13" t="s">
        <v>17</v>
      </c>
      <c r="B15" s="142" t="s">
        <v>8</v>
      </c>
      <c r="C15" s="142"/>
      <c r="D15" s="129"/>
    </row>
    <row r="16" spans="1:4" ht="20.25" customHeight="1" x14ac:dyDescent="0.25">
      <c r="A16" s="13" t="s">
        <v>9</v>
      </c>
      <c r="B16" s="141" t="s">
        <v>7</v>
      </c>
      <c r="C16" s="141"/>
      <c r="D16" s="130"/>
    </row>
    <row r="17" spans="1:4" x14ac:dyDescent="0.25">
      <c r="A17" s="116" t="s">
        <v>18</v>
      </c>
      <c r="B17" s="159">
        <v>43101</v>
      </c>
      <c r="C17" s="159"/>
      <c r="D17" s="131"/>
    </row>
    <row r="18" spans="1:4" ht="8.25" customHeight="1" thickBot="1" x14ac:dyDescent="0.3">
      <c r="A18" s="5"/>
      <c r="B18" s="6"/>
      <c r="C18" s="6"/>
      <c r="D18" s="7"/>
    </row>
    <row r="40" spans="1:7" x14ac:dyDescent="0.25">
      <c r="A40" s="152" t="s">
        <v>42</v>
      </c>
      <c r="B40" s="153"/>
      <c r="C40" s="153"/>
      <c r="D40" s="154"/>
    </row>
    <row r="41" spans="1:7" ht="30" customHeight="1" x14ac:dyDescent="0.25">
      <c r="A41" s="146" t="s">
        <v>43</v>
      </c>
      <c r="B41" s="147"/>
      <c r="C41" s="147"/>
      <c r="D41" s="148"/>
      <c r="G41" s="118"/>
    </row>
    <row r="42" spans="1:7" ht="7.5" customHeight="1" x14ac:dyDescent="0.25">
      <c r="A42" s="119"/>
      <c r="B42" s="120"/>
      <c r="C42" s="120"/>
      <c r="D42" s="121"/>
    </row>
    <row r="43" spans="1:7" ht="30" customHeight="1" x14ac:dyDescent="0.25">
      <c r="A43" s="149" t="s">
        <v>44</v>
      </c>
      <c r="B43" s="150"/>
      <c r="C43" s="150"/>
      <c r="D43" s="151"/>
    </row>
    <row r="44" spans="1:7" x14ac:dyDescent="0.25">
      <c r="A44" s="117"/>
      <c r="B44" s="117"/>
      <c r="C44" s="117"/>
      <c r="D44" s="117"/>
    </row>
  </sheetData>
  <sheetProtection algorithmName="SHA-512" hashValue="uq9XVPhj6vPb1/dsXUeuQ8W2ZBfWgNxDfTs6E7at7K+obPplWEOb00J8Ny3DP17Qu36PxfwYmNRd/JmUxjOqSg==" saltValue="jLMd0bwVt3Csp7C//U67hw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26"/>
  <sheetViews>
    <sheetView zoomScaleNormal="100" workbookViewId="0">
      <selection activeCell="A6" sqref="A6"/>
    </sheetView>
  </sheetViews>
  <sheetFormatPr baseColWidth="10" defaultRowHeight="15" outlineLevelRow="2" outlineLevelCol="1" x14ac:dyDescent="0.25"/>
  <cols>
    <col min="1" max="1" width="49.7109375" style="58" bestFit="1" customWidth="1"/>
    <col min="2" max="2" width="11.28515625" style="58" customWidth="1"/>
    <col min="3" max="5" width="9.28515625" style="58" customWidth="1"/>
    <col min="6" max="17" width="9.28515625" style="58" customWidth="1" outlineLevel="1"/>
    <col min="18" max="18" width="9.28515625" style="58" customWidth="1"/>
    <col min="19" max="22" width="9.28515625" style="58" customWidth="1" outlineLevel="1"/>
    <col min="23" max="25" width="9.28515625" style="58" customWidth="1"/>
    <col min="26" max="16384" width="11.42578125" style="58"/>
  </cols>
  <sheetData>
    <row r="1" spans="1:25" ht="27" thickBot="1" x14ac:dyDescent="0.3">
      <c r="A1" s="160" t="s">
        <v>19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2"/>
    </row>
    <row r="2" spans="1:25" ht="7.5" customHeight="1" thickBot="1" x14ac:dyDescent="0.3"/>
    <row r="3" spans="1:25" x14ac:dyDescent="0.25">
      <c r="A3" s="181" t="s">
        <v>31</v>
      </c>
      <c r="B3" s="185" t="s">
        <v>20</v>
      </c>
      <c r="C3" s="185" t="s">
        <v>34</v>
      </c>
      <c r="D3" s="185" t="s">
        <v>33</v>
      </c>
      <c r="E3" s="183" t="s">
        <v>48</v>
      </c>
      <c r="F3" s="170" t="s">
        <v>21</v>
      </c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9"/>
      <c r="R3" s="163" t="s">
        <v>21</v>
      </c>
      <c r="S3" s="167" t="s">
        <v>26</v>
      </c>
      <c r="T3" s="168"/>
      <c r="U3" s="168"/>
      <c r="V3" s="169"/>
      <c r="W3" s="165" t="s">
        <v>26</v>
      </c>
      <c r="X3" s="177" t="s">
        <v>27</v>
      </c>
      <c r="Y3" s="179" t="s">
        <v>28</v>
      </c>
    </row>
    <row r="4" spans="1:25" s="18" customFormat="1" ht="15" customHeight="1" thickBot="1" x14ac:dyDescent="0.3">
      <c r="A4" s="182"/>
      <c r="B4" s="186"/>
      <c r="C4" s="186"/>
      <c r="D4" s="186"/>
      <c r="E4" s="184"/>
      <c r="F4" s="14">
        <v>1</v>
      </c>
      <c r="G4" s="15">
        <v>2</v>
      </c>
      <c r="H4" s="15">
        <v>3</v>
      </c>
      <c r="I4" s="15">
        <v>4</v>
      </c>
      <c r="J4" s="15">
        <v>5</v>
      </c>
      <c r="K4" s="15">
        <v>6</v>
      </c>
      <c r="L4" s="15">
        <v>7</v>
      </c>
      <c r="M4" s="15">
        <v>8</v>
      </c>
      <c r="N4" s="15">
        <v>9</v>
      </c>
      <c r="O4" s="15">
        <v>10</v>
      </c>
      <c r="P4" s="15">
        <v>11</v>
      </c>
      <c r="Q4" s="16">
        <v>12</v>
      </c>
      <c r="R4" s="164"/>
      <c r="S4" s="17" t="s">
        <v>22</v>
      </c>
      <c r="T4" s="15" t="s">
        <v>23</v>
      </c>
      <c r="U4" s="15" t="s">
        <v>24</v>
      </c>
      <c r="V4" s="15" t="s">
        <v>25</v>
      </c>
      <c r="W4" s="166"/>
      <c r="X4" s="178"/>
      <c r="Y4" s="180"/>
    </row>
    <row r="5" spans="1:25" ht="18.75" customHeight="1" outlineLevel="2" thickTop="1" x14ac:dyDescent="0.25">
      <c r="A5" s="38"/>
      <c r="B5" s="31"/>
      <c r="C5" s="32"/>
      <c r="D5" s="32"/>
      <c r="E5" s="33"/>
      <c r="F5" s="19" t="str">
        <f>IF($E5=F$4,$B5,"")</f>
        <v/>
      </c>
      <c r="G5" s="20" t="str">
        <f t="shared" ref="G5:Q5" si="0">IF($E5=G$4,$B5,"")</f>
        <v/>
      </c>
      <c r="H5" s="20" t="str">
        <f t="shared" si="0"/>
        <v/>
      </c>
      <c r="I5" s="20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103">
        <f>SUM(F5:Q5)</f>
        <v>0</v>
      </c>
      <c r="S5" s="104" t="str">
        <f>IF(AND($E5&gt;12,$E5&lt;=15),$B5,"")</f>
        <v/>
      </c>
      <c r="T5" s="105" t="str">
        <f>IF(AND($E5&gt;15,$E5&lt;=18),$B5,"")</f>
        <v/>
      </c>
      <c r="U5" s="105" t="str">
        <f>IF(AND($E5&gt;18,$E5&lt;=21),$B5,"")</f>
        <v/>
      </c>
      <c r="V5" s="105" t="str">
        <f>IF(AND($E5&gt;21,$E5&lt;=24),$B5,"")</f>
        <v/>
      </c>
      <c r="W5" s="106">
        <f>SUM(S5:V5)</f>
        <v>0</v>
      </c>
      <c r="X5" s="21" t="str">
        <f>IF(AND($E5&gt;24,$E5&lt;=36),$B5,"")</f>
        <v/>
      </c>
      <c r="Y5" s="22" t="str">
        <f>IF(AND($E5&gt;36,$E5&lt;=48),$B5,"")</f>
        <v/>
      </c>
    </row>
    <row r="6" spans="1:25" ht="18.75" customHeight="1" outlineLevel="2" x14ac:dyDescent="0.25">
      <c r="A6" s="39"/>
      <c r="B6" s="34"/>
      <c r="C6" s="34"/>
      <c r="D6" s="34"/>
      <c r="E6" s="35"/>
      <c r="F6" s="23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107">
        <f t="shared" ref="R6:R8" si="1">SUM(F6:Q6)</f>
        <v>0</v>
      </c>
      <c r="S6" s="108" t="str">
        <f t="shared" ref="S6:S8" si="2">IF(AND($E6&gt;12,$E6&lt;=15),$B6,"")</f>
        <v/>
      </c>
      <c r="T6" s="109" t="str">
        <f t="shared" ref="T6:T8" si="3">IF(AND($E6&gt;15,$E6&lt;=18),$B6,"")</f>
        <v/>
      </c>
      <c r="U6" s="109" t="str">
        <f t="shared" ref="U6:U8" si="4">IF(AND($E6&gt;18,$E6&lt;=21),$B6,"")</f>
        <v/>
      </c>
      <c r="V6" s="109" t="str">
        <f t="shared" ref="V6:V8" si="5">IF(AND($E6&gt;21,$E6&lt;=24),$B6,"")</f>
        <v/>
      </c>
      <c r="W6" s="110">
        <f t="shared" ref="W6:W8" si="6">SUM(S6:V6)</f>
        <v>0</v>
      </c>
      <c r="X6" s="25"/>
      <c r="Y6" s="26"/>
    </row>
    <row r="7" spans="1:25" ht="18.75" customHeight="1" outlineLevel="2" x14ac:dyDescent="0.25">
      <c r="A7" s="39"/>
      <c r="B7" s="34"/>
      <c r="C7" s="34"/>
      <c r="D7" s="34"/>
      <c r="E7" s="35"/>
      <c r="F7" s="23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107">
        <f t="shared" si="1"/>
        <v>0</v>
      </c>
      <c r="S7" s="108" t="str">
        <f t="shared" si="2"/>
        <v/>
      </c>
      <c r="T7" s="109" t="str">
        <f t="shared" si="3"/>
        <v/>
      </c>
      <c r="U7" s="109" t="str">
        <f t="shared" si="4"/>
        <v/>
      </c>
      <c r="V7" s="109" t="str">
        <f t="shared" si="5"/>
        <v/>
      </c>
      <c r="W7" s="110">
        <f t="shared" si="6"/>
        <v>0</v>
      </c>
      <c r="X7" s="25"/>
      <c r="Y7" s="26"/>
    </row>
    <row r="8" spans="1:25" ht="18.75" customHeight="1" outlineLevel="2" thickBot="1" x14ac:dyDescent="0.3">
      <c r="A8" s="40"/>
      <c r="B8" s="36"/>
      <c r="C8" s="36"/>
      <c r="D8" s="36"/>
      <c r="E8" s="37"/>
      <c r="F8" s="27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111">
        <f t="shared" si="1"/>
        <v>0</v>
      </c>
      <c r="S8" s="112" t="str">
        <f t="shared" si="2"/>
        <v/>
      </c>
      <c r="T8" s="113" t="str">
        <f t="shared" si="3"/>
        <v/>
      </c>
      <c r="U8" s="113" t="str">
        <f t="shared" si="4"/>
        <v/>
      </c>
      <c r="V8" s="113" t="str">
        <f t="shared" si="5"/>
        <v/>
      </c>
      <c r="W8" s="114">
        <f t="shared" si="6"/>
        <v>0</v>
      </c>
      <c r="X8" s="29"/>
      <c r="Y8" s="30"/>
    </row>
    <row r="9" spans="1:25" ht="7.5" customHeight="1" outlineLevel="2" thickTop="1" thickBot="1" x14ac:dyDescent="0.3">
      <c r="A9" s="41"/>
      <c r="B9" s="42"/>
      <c r="C9" s="42"/>
      <c r="D9" s="42"/>
      <c r="E9" s="43"/>
      <c r="F9" s="44"/>
      <c r="G9" s="45"/>
      <c r="H9" s="45"/>
      <c r="I9" s="45"/>
      <c r="J9" s="45"/>
      <c r="K9" s="45"/>
      <c r="L9" s="45"/>
      <c r="M9" s="45"/>
      <c r="N9" s="45"/>
      <c r="O9" s="45"/>
      <c r="P9" s="45"/>
      <c r="Q9" s="46"/>
      <c r="R9" s="47"/>
      <c r="S9" s="48"/>
      <c r="T9" s="45"/>
      <c r="U9" s="45"/>
      <c r="V9" s="45"/>
      <c r="W9" s="49"/>
      <c r="X9" s="50"/>
      <c r="Y9" s="51"/>
    </row>
    <row r="10" spans="1:25" ht="18.75" customHeight="1" outlineLevel="1" thickBot="1" x14ac:dyDescent="0.3">
      <c r="A10" s="52" t="s">
        <v>29</v>
      </c>
      <c r="B10" s="53">
        <f>SUM(B5:B9)</f>
        <v>0</v>
      </c>
      <c r="C10" s="59"/>
      <c r="D10" s="60"/>
      <c r="E10" s="61"/>
      <c r="F10" s="62">
        <f>SUM(F5:F9)</f>
        <v>0</v>
      </c>
      <c r="G10" s="63">
        <f t="shared" ref="G10:Y10" si="7">SUM(G5:G9)</f>
        <v>0</v>
      </c>
      <c r="H10" s="63">
        <f t="shared" si="7"/>
        <v>0</v>
      </c>
      <c r="I10" s="63">
        <f t="shared" si="7"/>
        <v>0</v>
      </c>
      <c r="J10" s="63">
        <f t="shared" si="7"/>
        <v>0</v>
      </c>
      <c r="K10" s="63">
        <f t="shared" si="7"/>
        <v>0</v>
      </c>
      <c r="L10" s="63">
        <f t="shared" si="7"/>
        <v>0</v>
      </c>
      <c r="M10" s="63">
        <f t="shared" si="7"/>
        <v>0</v>
      </c>
      <c r="N10" s="63">
        <f t="shared" si="7"/>
        <v>0</v>
      </c>
      <c r="O10" s="63">
        <f t="shared" si="7"/>
        <v>0</v>
      </c>
      <c r="P10" s="63">
        <f t="shared" si="7"/>
        <v>0</v>
      </c>
      <c r="Q10" s="63">
        <f t="shared" si="7"/>
        <v>0</v>
      </c>
      <c r="R10" s="54">
        <f t="shared" si="7"/>
        <v>0</v>
      </c>
      <c r="S10" s="64">
        <f t="shared" si="7"/>
        <v>0</v>
      </c>
      <c r="T10" s="63">
        <f t="shared" si="7"/>
        <v>0</v>
      </c>
      <c r="U10" s="63">
        <f t="shared" si="7"/>
        <v>0</v>
      </c>
      <c r="V10" s="63">
        <f t="shared" si="7"/>
        <v>0</v>
      </c>
      <c r="W10" s="55">
        <f t="shared" si="7"/>
        <v>0</v>
      </c>
      <c r="X10" s="56">
        <f t="shared" si="7"/>
        <v>0</v>
      </c>
      <c r="Y10" s="57">
        <f t="shared" si="7"/>
        <v>0</v>
      </c>
    </row>
    <row r="11" spans="1:25" ht="7.5" customHeight="1" outlineLevel="1" x14ac:dyDescent="0.25">
      <c r="A11" s="171"/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3"/>
    </row>
    <row r="12" spans="1:25" ht="18.75" customHeight="1" outlineLevel="1" thickBot="1" x14ac:dyDescent="0.3">
      <c r="A12" s="65" t="s">
        <v>30</v>
      </c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7"/>
    </row>
    <row r="13" spans="1:25" ht="18.75" customHeight="1" outlineLevel="2" thickTop="1" x14ac:dyDescent="0.25">
      <c r="A13" s="38"/>
      <c r="B13" s="31"/>
      <c r="C13" s="32"/>
      <c r="D13" s="32"/>
      <c r="E13" s="33"/>
      <c r="F13" s="19" t="str">
        <f>IF($E13=F$4,$B13,"")</f>
        <v/>
      </c>
      <c r="G13" s="20" t="str">
        <f t="shared" ref="G13:Q13" si="8">IF($E13=G$4,$B13,"")</f>
        <v/>
      </c>
      <c r="H13" s="20" t="str">
        <f t="shared" si="8"/>
        <v/>
      </c>
      <c r="I13" s="20" t="str">
        <f t="shared" si="8"/>
        <v/>
      </c>
      <c r="J13" s="20" t="str">
        <f t="shared" si="8"/>
        <v/>
      </c>
      <c r="K13" s="20" t="str">
        <f t="shared" si="8"/>
        <v/>
      </c>
      <c r="L13" s="20" t="str">
        <f t="shared" si="8"/>
        <v/>
      </c>
      <c r="M13" s="20" t="str">
        <f t="shared" si="8"/>
        <v/>
      </c>
      <c r="N13" s="20" t="str">
        <f t="shared" si="8"/>
        <v/>
      </c>
      <c r="O13" s="20" t="str">
        <f t="shared" si="8"/>
        <v/>
      </c>
      <c r="P13" s="20" t="str">
        <f t="shared" si="8"/>
        <v/>
      </c>
      <c r="Q13" s="20" t="str">
        <f t="shared" si="8"/>
        <v/>
      </c>
      <c r="R13" s="103">
        <f>SUM(F13:Q13)</f>
        <v>0</v>
      </c>
      <c r="S13" s="104" t="str">
        <f>IF(AND($E13&gt;12,$E13&lt;=15),$B13,"")</f>
        <v/>
      </c>
      <c r="T13" s="105" t="str">
        <f>IF(AND($E13&gt;15,$E13&lt;=18),$B13,"")</f>
        <v/>
      </c>
      <c r="U13" s="105" t="str">
        <f>IF(AND($E13&gt;18,$E13&lt;=21),$B13,"")</f>
        <v/>
      </c>
      <c r="V13" s="105" t="str">
        <f>IF(AND($E13&gt;21,$E13&lt;=24),$B13,"")</f>
        <v/>
      </c>
      <c r="W13" s="106">
        <f>SUM(S13:V13)</f>
        <v>0</v>
      </c>
      <c r="X13" s="21" t="str">
        <f>IF(AND($E13&gt;24,$E13&lt;=36),$B13,"")</f>
        <v/>
      </c>
      <c r="Y13" s="22" t="str">
        <f>IF(AND($E13&gt;36,$E13&lt;=48),$B13,"")</f>
        <v/>
      </c>
    </row>
    <row r="14" spans="1:25" ht="18.75" customHeight="1" outlineLevel="2" thickBot="1" x14ac:dyDescent="0.3">
      <c r="A14" s="40"/>
      <c r="B14" s="36"/>
      <c r="C14" s="36"/>
      <c r="D14" s="36"/>
      <c r="E14" s="37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111">
        <f t="shared" ref="R14" si="9">SUM(F14:Q14)</f>
        <v>0</v>
      </c>
      <c r="S14" s="112" t="str">
        <f t="shared" ref="S14" si="10">IF(AND($E14&gt;12,$E14&lt;=15),$B14,"")</f>
        <v/>
      </c>
      <c r="T14" s="113" t="str">
        <f t="shared" ref="T14" si="11">IF(AND($E14&gt;15,$E14&lt;=18),$B14,"")</f>
        <v/>
      </c>
      <c r="U14" s="113" t="str">
        <f t="shared" ref="U14" si="12">IF(AND($E14&gt;18,$E14&lt;=21),$B14,"")</f>
        <v/>
      </c>
      <c r="V14" s="113" t="str">
        <f t="shared" ref="V14" si="13">IF(AND($E14&gt;21,$E14&lt;=24),$B14,"")</f>
        <v/>
      </c>
      <c r="W14" s="114">
        <f t="shared" ref="W14" si="14">SUM(S14:V14)</f>
        <v>0</v>
      </c>
      <c r="X14" s="29"/>
      <c r="Y14" s="30"/>
    </row>
    <row r="15" spans="1:25" ht="7.5" customHeight="1" outlineLevel="2" thickTop="1" thickBot="1" x14ac:dyDescent="0.3">
      <c r="A15" s="41"/>
      <c r="B15" s="42"/>
      <c r="C15" s="42"/>
      <c r="D15" s="42"/>
      <c r="E15" s="43"/>
      <c r="F15" s="44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6"/>
      <c r="R15" s="47"/>
      <c r="S15" s="48"/>
      <c r="T15" s="45"/>
      <c r="U15" s="45"/>
      <c r="V15" s="45"/>
      <c r="W15" s="49"/>
      <c r="X15" s="50"/>
      <c r="Y15" s="51"/>
    </row>
    <row r="16" spans="1:25" ht="18.75" customHeight="1" outlineLevel="1" thickBot="1" x14ac:dyDescent="0.3">
      <c r="A16" s="52" t="s">
        <v>29</v>
      </c>
      <c r="B16" s="53">
        <f>SUM(B11:B15)</f>
        <v>0</v>
      </c>
      <c r="C16" s="59"/>
      <c r="D16" s="60"/>
      <c r="E16" s="61"/>
      <c r="F16" s="62">
        <f>SUM(F11:F15)</f>
        <v>0</v>
      </c>
      <c r="G16" s="63">
        <f t="shared" ref="G16" si="15">SUM(G11:G15)</f>
        <v>0</v>
      </c>
      <c r="H16" s="63">
        <f t="shared" ref="H16" si="16">SUM(H11:H15)</f>
        <v>0</v>
      </c>
      <c r="I16" s="63">
        <f t="shared" ref="I16" si="17">SUM(I11:I15)</f>
        <v>0</v>
      </c>
      <c r="J16" s="63">
        <f t="shared" ref="J16" si="18">SUM(J11:J15)</f>
        <v>0</v>
      </c>
      <c r="K16" s="63">
        <f t="shared" ref="K16" si="19">SUM(K11:K15)</f>
        <v>0</v>
      </c>
      <c r="L16" s="63">
        <f t="shared" ref="L16" si="20">SUM(L11:L15)</f>
        <v>0</v>
      </c>
      <c r="M16" s="63">
        <f t="shared" ref="M16" si="21">SUM(M11:M15)</f>
        <v>0</v>
      </c>
      <c r="N16" s="63">
        <f t="shared" ref="N16" si="22">SUM(N11:N15)</f>
        <v>0</v>
      </c>
      <c r="O16" s="63">
        <f t="shared" ref="O16" si="23">SUM(O11:O15)</f>
        <v>0</v>
      </c>
      <c r="P16" s="63">
        <f t="shared" ref="P16" si="24">SUM(P11:P15)</f>
        <v>0</v>
      </c>
      <c r="Q16" s="63">
        <f t="shared" ref="Q16" si="25">SUM(Q11:Q15)</f>
        <v>0</v>
      </c>
      <c r="R16" s="54">
        <f t="shared" ref="R16" si="26">SUM(R11:R15)</f>
        <v>0</v>
      </c>
      <c r="S16" s="64">
        <f t="shared" ref="S16" si="27">SUM(S11:S15)</f>
        <v>0</v>
      </c>
      <c r="T16" s="63">
        <f t="shared" ref="T16" si="28">SUM(T11:T15)</f>
        <v>0</v>
      </c>
      <c r="U16" s="63">
        <f t="shared" ref="U16" si="29">SUM(U11:U15)</f>
        <v>0</v>
      </c>
      <c r="V16" s="63">
        <f t="shared" ref="V16" si="30">SUM(V11:V15)</f>
        <v>0</v>
      </c>
      <c r="W16" s="55">
        <f t="shared" ref="W16" si="31">SUM(W11:W15)</f>
        <v>0</v>
      </c>
      <c r="X16" s="56">
        <f t="shared" ref="X16" si="32">SUM(X11:X15)</f>
        <v>0</v>
      </c>
      <c r="Y16" s="57">
        <f t="shared" ref="Y16" si="33">SUM(Y11:Y15)</f>
        <v>0</v>
      </c>
    </row>
    <row r="17" spans="1:25" ht="7.5" customHeight="1" outlineLevel="1" thickBot="1" x14ac:dyDescent="0.3">
      <c r="A17" s="68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7"/>
    </row>
    <row r="18" spans="1:25" s="69" customFormat="1" ht="22.5" customHeight="1" thickBot="1" x14ac:dyDescent="0.3">
      <c r="A18" s="70" t="s">
        <v>35</v>
      </c>
      <c r="B18" s="71">
        <f>B16+B10</f>
        <v>0</v>
      </c>
      <c r="C18" s="72"/>
      <c r="D18" s="72"/>
      <c r="E18" s="72"/>
      <c r="F18" s="73">
        <f>F16+F10</f>
        <v>0</v>
      </c>
      <c r="G18" s="74">
        <f t="shared" ref="G18:Y18" si="34">G16+G10</f>
        <v>0</v>
      </c>
      <c r="H18" s="74">
        <f t="shared" si="34"/>
        <v>0</v>
      </c>
      <c r="I18" s="74">
        <f t="shared" si="34"/>
        <v>0</v>
      </c>
      <c r="J18" s="74">
        <f t="shared" si="34"/>
        <v>0</v>
      </c>
      <c r="K18" s="74">
        <f t="shared" si="34"/>
        <v>0</v>
      </c>
      <c r="L18" s="74">
        <f t="shared" si="34"/>
        <v>0</v>
      </c>
      <c r="M18" s="74">
        <f t="shared" si="34"/>
        <v>0</v>
      </c>
      <c r="N18" s="74">
        <f t="shared" si="34"/>
        <v>0</v>
      </c>
      <c r="O18" s="74">
        <f t="shared" si="34"/>
        <v>0</v>
      </c>
      <c r="P18" s="74">
        <f t="shared" si="34"/>
        <v>0</v>
      </c>
      <c r="Q18" s="74">
        <f t="shared" si="34"/>
        <v>0</v>
      </c>
      <c r="R18" s="75">
        <f t="shared" si="34"/>
        <v>0</v>
      </c>
      <c r="S18" s="76">
        <f t="shared" si="34"/>
        <v>0</v>
      </c>
      <c r="T18" s="74">
        <f t="shared" si="34"/>
        <v>0</v>
      </c>
      <c r="U18" s="74">
        <f t="shared" si="34"/>
        <v>0</v>
      </c>
      <c r="V18" s="74">
        <f t="shared" si="34"/>
        <v>0</v>
      </c>
      <c r="W18" s="75">
        <f t="shared" si="34"/>
        <v>0</v>
      </c>
      <c r="X18" s="77">
        <f t="shared" si="34"/>
        <v>0</v>
      </c>
      <c r="Y18" s="78">
        <f t="shared" si="34"/>
        <v>0</v>
      </c>
    </row>
    <row r="19" spans="1:25" ht="7.5" customHeight="1" x14ac:dyDescent="0.25">
      <c r="A19" s="174"/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6"/>
    </row>
    <row r="20" spans="1:25" ht="30" customHeight="1" thickBot="1" x14ac:dyDescent="0.3">
      <c r="A20" s="88" t="s">
        <v>32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90"/>
    </row>
    <row r="21" spans="1:25" ht="18.75" customHeight="1" outlineLevel="1" thickTop="1" x14ac:dyDescent="0.25">
      <c r="A21" s="38"/>
      <c r="B21" s="31"/>
      <c r="C21" s="32"/>
      <c r="D21" s="32"/>
      <c r="E21" s="33"/>
      <c r="F21" s="19" t="str">
        <f>IF($E21=F$4,$B21,"")</f>
        <v/>
      </c>
      <c r="G21" s="20" t="str">
        <f t="shared" ref="G21:Q21" si="35">IF($E21=G$4,$B21,"")</f>
        <v/>
      </c>
      <c r="H21" s="20" t="str">
        <f t="shared" si="35"/>
        <v/>
      </c>
      <c r="I21" s="20" t="str">
        <f t="shared" si="35"/>
        <v/>
      </c>
      <c r="J21" s="20" t="str">
        <f t="shared" si="35"/>
        <v/>
      </c>
      <c r="K21" s="20" t="str">
        <f t="shared" si="35"/>
        <v/>
      </c>
      <c r="L21" s="20" t="str">
        <f t="shared" si="35"/>
        <v/>
      </c>
      <c r="M21" s="20" t="str">
        <f t="shared" si="35"/>
        <v/>
      </c>
      <c r="N21" s="20" t="str">
        <f t="shared" si="35"/>
        <v/>
      </c>
      <c r="O21" s="20" t="str">
        <f t="shared" si="35"/>
        <v/>
      </c>
      <c r="P21" s="20" t="str">
        <f t="shared" si="35"/>
        <v/>
      </c>
      <c r="Q21" s="20" t="str">
        <f t="shared" si="35"/>
        <v/>
      </c>
      <c r="R21" s="103">
        <f>SUM(F21:Q21)</f>
        <v>0</v>
      </c>
      <c r="S21" s="104" t="str">
        <f>IF(AND($E21&gt;12,$E21&lt;=15),$B21,"")</f>
        <v/>
      </c>
      <c r="T21" s="105" t="str">
        <f>IF(AND($E21&gt;15,$E21&lt;=18),$B21,"")</f>
        <v/>
      </c>
      <c r="U21" s="105" t="str">
        <f>IF(AND($E21&gt;18,$E21&lt;=21),$B21,"")</f>
        <v/>
      </c>
      <c r="V21" s="105" t="str">
        <f>IF(AND($E21&gt;21,$E21&lt;=24),$B21,"")</f>
        <v/>
      </c>
      <c r="W21" s="106">
        <f>SUM(S21:V21)</f>
        <v>0</v>
      </c>
      <c r="X21" s="21" t="str">
        <f>IF(AND($E21&gt;24,$E21&lt;=36),$B21,"")</f>
        <v/>
      </c>
      <c r="Y21" s="22" t="str">
        <f>IF(AND($E21&gt;36,$E21&lt;=48),$B21,"")</f>
        <v/>
      </c>
    </row>
    <row r="22" spans="1:25" ht="18.75" customHeight="1" outlineLevel="1" thickBot="1" x14ac:dyDescent="0.3">
      <c r="A22" s="40"/>
      <c r="B22" s="36"/>
      <c r="C22" s="36"/>
      <c r="D22" s="36"/>
      <c r="E22" s="37"/>
      <c r="F22" s="27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111">
        <f t="shared" ref="R22" si="36">SUM(F22:Q22)</f>
        <v>0</v>
      </c>
      <c r="S22" s="112" t="str">
        <f t="shared" ref="S22" si="37">IF(AND($E22&gt;12,$E22&lt;=15),$B22,"")</f>
        <v/>
      </c>
      <c r="T22" s="113" t="str">
        <f t="shared" ref="T22" si="38">IF(AND($E22&gt;15,$E22&lt;=18),$B22,"")</f>
        <v/>
      </c>
      <c r="U22" s="113" t="str">
        <f t="shared" ref="U22" si="39">IF(AND($E22&gt;18,$E22&lt;=21),$B22,"")</f>
        <v/>
      </c>
      <c r="V22" s="113" t="str">
        <f t="shared" ref="V22" si="40">IF(AND($E22&gt;21,$E22&lt;=24),$B22,"")</f>
        <v/>
      </c>
      <c r="W22" s="114">
        <f t="shared" ref="W22" si="41">SUM(S22:V22)</f>
        <v>0</v>
      </c>
      <c r="X22" s="29"/>
      <c r="Y22" s="30"/>
    </row>
    <row r="23" spans="1:25" ht="7.5" customHeight="1" outlineLevel="1" thickTop="1" thickBot="1" x14ac:dyDescent="0.3">
      <c r="A23" s="41"/>
      <c r="B23" s="42"/>
      <c r="C23" s="42"/>
      <c r="D23" s="42"/>
      <c r="E23" s="43"/>
      <c r="F23" s="44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6"/>
      <c r="R23" s="47"/>
      <c r="S23" s="48"/>
      <c r="T23" s="45"/>
      <c r="U23" s="45"/>
      <c r="V23" s="45"/>
      <c r="W23" s="49"/>
      <c r="X23" s="50"/>
      <c r="Y23" s="51"/>
    </row>
    <row r="24" spans="1:25" ht="22.5" customHeight="1" thickBot="1" x14ac:dyDescent="0.3">
      <c r="A24" s="94" t="s">
        <v>36</v>
      </c>
      <c r="B24" s="95">
        <f>SUM(B19:B23)</f>
        <v>0</v>
      </c>
      <c r="C24" s="91"/>
      <c r="D24" s="92"/>
      <c r="E24" s="93"/>
      <c r="F24" s="96">
        <f>SUM(F19:F23)</f>
        <v>0</v>
      </c>
      <c r="G24" s="97">
        <f t="shared" ref="G24" si="42">SUM(G19:G23)</f>
        <v>0</v>
      </c>
      <c r="H24" s="97">
        <f t="shared" ref="H24" si="43">SUM(H19:H23)</f>
        <v>0</v>
      </c>
      <c r="I24" s="97">
        <f t="shared" ref="I24" si="44">SUM(I19:I23)</f>
        <v>0</v>
      </c>
      <c r="J24" s="97">
        <f t="shared" ref="J24" si="45">SUM(J19:J23)</f>
        <v>0</v>
      </c>
      <c r="K24" s="97">
        <f t="shared" ref="K24" si="46">SUM(K19:K23)</f>
        <v>0</v>
      </c>
      <c r="L24" s="97">
        <f t="shared" ref="L24" si="47">SUM(L19:L23)</f>
        <v>0</v>
      </c>
      <c r="M24" s="97">
        <f t="shared" ref="M24" si="48">SUM(M19:M23)</f>
        <v>0</v>
      </c>
      <c r="N24" s="97">
        <f t="shared" ref="N24" si="49">SUM(N19:N23)</f>
        <v>0</v>
      </c>
      <c r="O24" s="97">
        <f t="shared" ref="O24" si="50">SUM(O19:O23)</f>
        <v>0</v>
      </c>
      <c r="P24" s="97">
        <f t="shared" ref="P24" si="51">SUM(P19:P23)</f>
        <v>0</v>
      </c>
      <c r="Q24" s="97">
        <f t="shared" ref="Q24" si="52">SUM(Q19:Q23)</f>
        <v>0</v>
      </c>
      <c r="R24" s="98">
        <f t="shared" ref="R24" si="53">SUM(R19:R23)</f>
        <v>0</v>
      </c>
      <c r="S24" s="99">
        <f t="shared" ref="S24" si="54">SUM(S19:S23)</f>
        <v>0</v>
      </c>
      <c r="T24" s="97">
        <f t="shared" ref="T24" si="55">SUM(T19:T23)</f>
        <v>0</v>
      </c>
      <c r="U24" s="97">
        <f t="shared" ref="U24" si="56">SUM(U19:U23)</f>
        <v>0</v>
      </c>
      <c r="V24" s="97">
        <f t="shared" ref="V24" si="57">SUM(V19:V23)</f>
        <v>0</v>
      </c>
      <c r="W24" s="100">
        <f t="shared" ref="W24" si="58">SUM(W19:W23)</f>
        <v>0</v>
      </c>
      <c r="X24" s="101">
        <f t="shared" ref="X24" si="59">SUM(X19:X23)</f>
        <v>0</v>
      </c>
      <c r="Y24" s="102">
        <f t="shared" ref="Y24" si="60">SUM(Y19:Y23)</f>
        <v>0</v>
      </c>
    </row>
    <row r="25" spans="1:25" ht="7.5" customHeight="1" thickBot="1" x14ac:dyDescent="0.3">
      <c r="A25" s="171"/>
      <c r="B25" s="172"/>
      <c r="C25" s="172"/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3"/>
    </row>
    <row r="26" spans="1:25" ht="22.5" customHeight="1" thickBot="1" x14ac:dyDescent="0.3">
      <c r="A26" s="79" t="s">
        <v>37</v>
      </c>
      <c r="B26" s="86">
        <f>B24+B18</f>
        <v>0</v>
      </c>
      <c r="C26" s="87"/>
      <c r="D26" s="87"/>
      <c r="E26" s="87"/>
      <c r="F26" s="80">
        <f>F24+F18</f>
        <v>0</v>
      </c>
      <c r="G26" s="81">
        <f t="shared" ref="G26:Y26" si="61">G24+G18</f>
        <v>0</v>
      </c>
      <c r="H26" s="81">
        <f t="shared" si="61"/>
        <v>0</v>
      </c>
      <c r="I26" s="81">
        <f t="shared" si="61"/>
        <v>0</v>
      </c>
      <c r="J26" s="81">
        <f t="shared" si="61"/>
        <v>0</v>
      </c>
      <c r="K26" s="81">
        <f t="shared" si="61"/>
        <v>0</v>
      </c>
      <c r="L26" s="81">
        <f t="shared" si="61"/>
        <v>0</v>
      </c>
      <c r="M26" s="81">
        <f t="shared" si="61"/>
        <v>0</v>
      </c>
      <c r="N26" s="81">
        <f t="shared" si="61"/>
        <v>0</v>
      </c>
      <c r="O26" s="81">
        <f t="shared" si="61"/>
        <v>0</v>
      </c>
      <c r="P26" s="81">
        <f t="shared" si="61"/>
        <v>0</v>
      </c>
      <c r="Q26" s="81">
        <f t="shared" si="61"/>
        <v>0</v>
      </c>
      <c r="R26" s="82">
        <f t="shared" si="61"/>
        <v>0</v>
      </c>
      <c r="S26" s="83">
        <f t="shared" si="61"/>
        <v>0</v>
      </c>
      <c r="T26" s="81">
        <f t="shared" si="61"/>
        <v>0</v>
      </c>
      <c r="U26" s="81">
        <f t="shared" si="61"/>
        <v>0</v>
      </c>
      <c r="V26" s="81">
        <f t="shared" si="61"/>
        <v>0</v>
      </c>
      <c r="W26" s="82">
        <f t="shared" si="61"/>
        <v>0</v>
      </c>
      <c r="X26" s="84">
        <f t="shared" si="61"/>
        <v>0</v>
      </c>
      <c r="Y26" s="85">
        <f t="shared" si="61"/>
        <v>0</v>
      </c>
    </row>
  </sheetData>
  <sheetProtection algorithmName="SHA-512" hashValue="0VjnZFimf/dtKLs6xz6ltQgQwbjQd1LKBToczO63CHIEK51SfCcwIjrEv8kbqh1HlgMbd2wnZs855fSh+MPViw==" saltValue="jSaDjFrHMpIlHmFFXSW5Cw==" spinCount="100000" sheet="1" objects="1" scenarios="1" selectLockedCells="1"/>
  <mergeCells count="15">
    <mergeCell ref="A11:Y11"/>
    <mergeCell ref="A19:Y19"/>
    <mergeCell ref="A25:Y25"/>
    <mergeCell ref="X3:X4"/>
    <mergeCell ref="Y3:Y4"/>
    <mergeCell ref="A3:A4"/>
    <mergeCell ref="E3:E4"/>
    <mergeCell ref="D3:D4"/>
    <mergeCell ref="C3:C4"/>
    <mergeCell ref="B3:B4"/>
    <mergeCell ref="A1:Y1"/>
    <mergeCell ref="R3:R4"/>
    <mergeCell ref="W3:W4"/>
    <mergeCell ref="S3:V3"/>
    <mergeCell ref="F3:Q3"/>
  </mergeCell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X5"/>
  <sheetViews>
    <sheetView tabSelected="1" workbookViewId="0">
      <selection activeCell="E6" sqref="E6"/>
    </sheetView>
  </sheetViews>
  <sheetFormatPr baseColWidth="10" defaultRowHeight="15" x14ac:dyDescent="0.25"/>
  <cols>
    <col min="1" max="1" width="49.7109375" style="132" bestFit="1" customWidth="1"/>
    <col min="2" max="16384" width="11.42578125" style="132"/>
  </cols>
  <sheetData>
    <row r="1" spans="1:24" ht="27" thickBot="1" x14ac:dyDescent="0.3">
      <c r="A1" s="160" t="s">
        <v>45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2"/>
    </row>
    <row r="2" spans="1:24" ht="15.75" thickBot="1" x14ac:dyDescent="0.3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</row>
    <row r="3" spans="1:24" ht="15" customHeight="1" x14ac:dyDescent="0.25">
      <c r="A3" s="181" t="s">
        <v>46</v>
      </c>
      <c r="B3" s="185" t="s">
        <v>20</v>
      </c>
      <c r="C3" s="185" t="s">
        <v>47</v>
      </c>
      <c r="D3" s="183" t="s">
        <v>48</v>
      </c>
      <c r="E3" s="170" t="s">
        <v>21</v>
      </c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9"/>
      <c r="Q3" s="163" t="s">
        <v>21</v>
      </c>
      <c r="R3" s="167" t="s">
        <v>26</v>
      </c>
      <c r="S3" s="168"/>
      <c r="T3" s="168"/>
      <c r="U3" s="169"/>
      <c r="V3" s="165" t="s">
        <v>26</v>
      </c>
      <c r="W3" s="177" t="s">
        <v>27</v>
      </c>
      <c r="X3" s="179" t="s">
        <v>28</v>
      </c>
    </row>
    <row r="4" spans="1:24" ht="15.75" thickBot="1" x14ac:dyDescent="0.3">
      <c r="A4" s="182"/>
      <c r="B4" s="186"/>
      <c r="C4" s="186"/>
      <c r="D4" s="184"/>
      <c r="E4" s="14">
        <v>1</v>
      </c>
      <c r="F4" s="15">
        <v>2</v>
      </c>
      <c r="G4" s="15">
        <v>3</v>
      </c>
      <c r="H4" s="15">
        <v>4</v>
      </c>
      <c r="I4" s="15">
        <v>5</v>
      </c>
      <c r="J4" s="15">
        <v>6</v>
      </c>
      <c r="K4" s="15">
        <v>7</v>
      </c>
      <c r="L4" s="15">
        <v>8</v>
      </c>
      <c r="M4" s="15">
        <v>9</v>
      </c>
      <c r="N4" s="15">
        <v>10</v>
      </c>
      <c r="O4" s="15">
        <v>11</v>
      </c>
      <c r="P4" s="16">
        <v>12</v>
      </c>
      <c r="Q4" s="164"/>
      <c r="R4" s="17" t="s">
        <v>22</v>
      </c>
      <c r="S4" s="15" t="s">
        <v>23</v>
      </c>
      <c r="T4" s="15" t="s">
        <v>24</v>
      </c>
      <c r="U4" s="15" t="s">
        <v>25</v>
      </c>
      <c r="V4" s="166"/>
      <c r="W4" s="178"/>
      <c r="X4" s="180"/>
    </row>
    <row r="5" spans="1:24" ht="15.75" thickTop="1" x14ac:dyDescent="0.25"/>
  </sheetData>
  <sheetProtection algorithmName="SHA-512" hashValue="fj1psaWPUnr6JuPwZ29s12APygFFt2LPO6J30VbnbsHKmrWP+OiO4iSDrK3zsnN21vgMZ72KbtJQbGbLKAYZ2g==" saltValue="AdUIleDQeiGR09cLrryodw==" spinCount="100000" sheet="1" objects="1" scenarios="1"/>
  <mergeCells count="11">
    <mergeCell ref="W3:W4"/>
    <mergeCell ref="X3:X4"/>
    <mergeCell ref="A1:X1"/>
    <mergeCell ref="A3:A4"/>
    <mergeCell ref="B3:B4"/>
    <mergeCell ref="C3:C4"/>
    <mergeCell ref="D3:D4"/>
    <mergeCell ref="E3:P3"/>
    <mergeCell ref="Q3:Q4"/>
    <mergeCell ref="R3:U3"/>
    <mergeCell ref="V3:V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Stammdaten</vt:lpstr>
      <vt:lpstr>Investitionsplan</vt:lpstr>
      <vt:lpstr>Plankosten</vt:lpstr>
      <vt:lpstr>Investitionsplan!Druckbereich</vt:lpstr>
      <vt:lpstr>Stammdaten!Druckbereich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2017-12-12T20:49:10Z</cp:lastPrinted>
  <dcterms:created xsi:type="dcterms:W3CDTF">2017-11-17T17:38:13Z</dcterms:created>
  <dcterms:modified xsi:type="dcterms:W3CDTF">2017-12-12T21:29:03Z</dcterms:modified>
</cp:coreProperties>
</file>