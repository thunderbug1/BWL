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15810" yWindow="0" windowWidth="19560" windowHeight="8115" firstSheet="1" activeTab="3"/>
  </bookViews>
  <sheets>
    <sheet name="Stammdaten" sheetId="1" r:id="rId1"/>
    <sheet name="Investitionsplan" sheetId="2" r:id="rId2"/>
    <sheet name="Plankosten" sheetId="3" r:id="rId3"/>
    <sheet name="Plan G&amp;V" sheetId="6" r:id="rId4"/>
    <sheet name="Abschreibung" sheetId="8" r:id="rId5"/>
    <sheet name="Auswahltabellen" sheetId="4" state="hidden" r:id="rId6"/>
  </sheets>
  <definedNames>
    <definedName name="Anually">Auswahltabellen!$B$2:$B$13</definedName>
    <definedName name="Bimonthly">Auswahltabellen!$E$2:$E$3</definedName>
    <definedName name="_xlnm.Print_Area" localSheetId="4">Abschreibung!$A$1:$M$39</definedName>
    <definedName name="_xlnm.Print_Area" localSheetId="1">Investitionsplan!$A$1:$Y$39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6" i="6" l="1"/>
  <c r="W36" i="6"/>
  <c r="S36" i="6"/>
  <c r="T36" i="6"/>
  <c r="U36" i="6"/>
  <c r="R36" i="6"/>
  <c r="F36" i="6"/>
  <c r="G36" i="6"/>
  <c r="H36" i="6"/>
  <c r="I36" i="6"/>
  <c r="J36" i="6"/>
  <c r="K36" i="6"/>
  <c r="L36" i="6"/>
  <c r="M36" i="6"/>
  <c r="N36" i="6"/>
  <c r="O36" i="6"/>
  <c r="P36" i="6"/>
  <c r="E36" i="6"/>
  <c r="M39" i="8"/>
  <c r="L39" i="8"/>
  <c r="J39" i="8"/>
  <c r="H39" i="8"/>
  <c r="F39" i="8"/>
  <c r="G28" i="8"/>
  <c r="I28" i="8"/>
  <c r="K28" i="8"/>
  <c r="M28" i="8"/>
  <c r="G26" i="8"/>
  <c r="I26" i="8"/>
  <c r="K26" i="8"/>
  <c r="M26" i="8"/>
  <c r="G37" i="8"/>
  <c r="H37" i="8"/>
  <c r="I37" i="8"/>
  <c r="J37" i="8"/>
  <c r="K37" i="8"/>
  <c r="L37" i="8"/>
  <c r="M37" i="8"/>
  <c r="B37" i="8"/>
  <c r="F32" i="8"/>
  <c r="G32" i="8"/>
  <c r="H32" i="8"/>
  <c r="I32" i="8"/>
  <c r="K32" i="8" s="1"/>
  <c r="J32" i="8"/>
  <c r="F33" i="8"/>
  <c r="G33" i="8"/>
  <c r="H33" i="8"/>
  <c r="I33" i="8"/>
  <c r="K33" i="8" s="1"/>
  <c r="J33" i="8"/>
  <c r="F34" i="8"/>
  <c r="G34" i="8"/>
  <c r="H34" i="8"/>
  <c r="I34" i="8"/>
  <c r="J34" i="8"/>
  <c r="K34" i="8"/>
  <c r="L34" i="8"/>
  <c r="M34" i="8"/>
  <c r="F35" i="8"/>
  <c r="G35" i="8"/>
  <c r="H35" i="8"/>
  <c r="I35" i="8"/>
  <c r="J35" i="8"/>
  <c r="K35" i="8"/>
  <c r="L35" i="8"/>
  <c r="M35" i="8"/>
  <c r="J31" i="8"/>
  <c r="H31" i="8"/>
  <c r="F31" i="8"/>
  <c r="G31" i="8" s="1"/>
  <c r="I31" i="8" s="1"/>
  <c r="K31" i="8" s="1"/>
  <c r="E32" i="8"/>
  <c r="E33" i="8"/>
  <c r="E34" i="8"/>
  <c r="E35" i="8"/>
  <c r="E31" i="8"/>
  <c r="A31" i="8" a="1"/>
  <c r="A31" i="8" s="1"/>
  <c r="M24" i="8"/>
  <c r="M23" i="8"/>
  <c r="M22" i="8"/>
  <c r="K24" i="8"/>
  <c r="K23" i="8"/>
  <c r="K22" i="8"/>
  <c r="I24" i="8"/>
  <c r="I23" i="8"/>
  <c r="I22" i="8"/>
  <c r="G23" i="8"/>
  <c r="G24" i="8"/>
  <c r="G22" i="8"/>
  <c r="A22" i="8" a="1"/>
  <c r="A22" i="8" s="1"/>
  <c r="L5" i="8"/>
  <c r="L6" i="8"/>
  <c r="L8" i="8"/>
  <c r="L9" i="8"/>
  <c r="L10" i="8"/>
  <c r="L11" i="8"/>
  <c r="L12" i="8"/>
  <c r="L13" i="8"/>
  <c r="L14" i="8"/>
  <c r="L15" i="8"/>
  <c r="L16" i="8"/>
  <c r="L17" i="8"/>
  <c r="L7" i="8"/>
  <c r="A5" i="8" a="1"/>
  <c r="A5" i="8" s="1"/>
  <c r="L32" i="8" l="1"/>
  <c r="M32" i="8" s="1"/>
  <c r="L33" i="8"/>
  <c r="M33" i="8" s="1"/>
  <c r="L31" i="8"/>
  <c r="M31" i="8" s="1"/>
  <c r="C31" i="8"/>
  <c r="D35" i="8"/>
  <c r="D33" i="8"/>
  <c r="D32" i="8"/>
  <c r="D31" i="8"/>
  <c r="B35" i="8"/>
  <c r="B34" i="8"/>
  <c r="B33" i="8"/>
  <c r="B32" i="8"/>
  <c r="B31" i="8"/>
  <c r="D34" i="8"/>
  <c r="C35" i="8"/>
  <c r="C34" i="8"/>
  <c r="C33" i="8"/>
  <c r="C32" i="8"/>
  <c r="A35" i="8"/>
  <c r="A34" i="8"/>
  <c r="A33" i="8"/>
  <c r="A32" i="8"/>
  <c r="D22" i="8"/>
  <c r="C24" i="8"/>
  <c r="C23" i="8"/>
  <c r="C22" i="8"/>
  <c r="B24" i="8"/>
  <c r="B23" i="8"/>
  <c r="B22" i="8"/>
  <c r="D24" i="8"/>
  <c r="D23" i="8"/>
  <c r="A24" i="8"/>
  <c r="A23" i="8"/>
  <c r="B26" i="8"/>
  <c r="D18" i="8"/>
  <c r="E18" i="8" s="1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F37" i="8" l="1"/>
  <c r="E7" i="8"/>
  <c r="F7" i="8" s="1"/>
  <c r="G7" i="8" s="1"/>
  <c r="I7" i="8" s="1"/>
  <c r="K7" i="8" s="1"/>
  <c r="H7" i="8"/>
  <c r="J7" i="8"/>
  <c r="E11" i="8"/>
  <c r="H11" i="8" s="1"/>
  <c r="I11" i="8" s="1"/>
  <c r="K11" i="8" s="1"/>
  <c r="F11" i="8"/>
  <c r="J11" i="8"/>
  <c r="G11" i="8"/>
  <c r="E15" i="8"/>
  <c r="F15" i="8" s="1"/>
  <c r="G15" i="8" s="1"/>
  <c r="I15" i="8" s="1"/>
  <c r="K15" i="8" s="1"/>
  <c r="H15" i="8"/>
  <c r="J15" i="8"/>
  <c r="E8" i="8"/>
  <c r="F8" i="8" s="1"/>
  <c r="G8" i="8" s="1"/>
  <c r="J8" i="8"/>
  <c r="H8" i="8"/>
  <c r="E12" i="8"/>
  <c r="H12" i="8" s="1"/>
  <c r="I12" i="8" s="1"/>
  <c r="F12" i="8"/>
  <c r="J12" i="8"/>
  <c r="G12" i="8"/>
  <c r="E16" i="8"/>
  <c r="H16" i="8" s="1"/>
  <c r="I16" i="8" s="1"/>
  <c r="K16" i="8" s="1"/>
  <c r="G16" i="8"/>
  <c r="F16" i="8"/>
  <c r="J16" i="8"/>
  <c r="J5" i="8"/>
  <c r="H5" i="8"/>
  <c r="E9" i="8"/>
  <c r="F9" i="8" s="1"/>
  <c r="G9" i="8" s="1"/>
  <c r="H9" i="8"/>
  <c r="J9" i="8"/>
  <c r="E13" i="8"/>
  <c r="J13" i="8" s="1"/>
  <c r="K13" i="8" s="1"/>
  <c r="H13" i="8"/>
  <c r="I13" i="8"/>
  <c r="F13" i="8"/>
  <c r="G13" i="8"/>
  <c r="E17" i="8"/>
  <c r="I17" i="8"/>
  <c r="J17" i="8"/>
  <c r="G17" i="8"/>
  <c r="K17" i="8"/>
  <c r="F17" i="8"/>
  <c r="H17" i="8"/>
  <c r="M17" i="8"/>
  <c r="E6" i="8"/>
  <c r="F6" i="8" s="1"/>
  <c r="G6" i="8" s="1"/>
  <c r="H6" i="8"/>
  <c r="J6" i="8"/>
  <c r="E10" i="8"/>
  <c r="F10" i="8" s="1"/>
  <c r="G10" i="8" s="1"/>
  <c r="H10" i="8"/>
  <c r="J10" i="8"/>
  <c r="E14" i="8"/>
  <c r="F14" i="8" s="1"/>
  <c r="G14" i="8" s="1"/>
  <c r="H14" i="8"/>
  <c r="J14" i="8"/>
  <c r="E5" i="8"/>
  <c r="F5" i="8" s="1"/>
  <c r="G5" i="8" s="1"/>
  <c r="B19" i="8"/>
  <c r="B28" i="8" s="1"/>
  <c r="X10" i="6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40" i="6"/>
  <c r="V39" i="6"/>
  <c r="Q40" i="6"/>
  <c r="Q39" i="6"/>
  <c r="F42" i="6"/>
  <c r="G42" i="6"/>
  <c r="H42" i="6"/>
  <c r="I42" i="6"/>
  <c r="J42" i="6"/>
  <c r="K42" i="6"/>
  <c r="L42" i="6"/>
  <c r="M42" i="6"/>
  <c r="N42" i="6"/>
  <c r="O42" i="6"/>
  <c r="P42" i="6"/>
  <c r="R42" i="6"/>
  <c r="S42" i="6"/>
  <c r="T42" i="6"/>
  <c r="U42" i="6"/>
  <c r="W42" i="6"/>
  <c r="X42" i="6"/>
  <c r="E42" i="6"/>
  <c r="B125" i="3"/>
  <c r="B124" i="3"/>
  <c r="B31" i="3"/>
  <c r="V15" i="6"/>
  <c r="V16" i="6"/>
  <c r="V36" i="6"/>
  <c r="V9" i="6"/>
  <c r="Q15" i="6"/>
  <c r="Q16" i="6"/>
  <c r="Q36" i="6"/>
  <c r="Q9" i="6"/>
  <c r="X35" i="6"/>
  <c r="X34" i="6"/>
  <c r="X32" i="6"/>
  <c r="X30" i="6"/>
  <c r="X29" i="6"/>
  <c r="X26" i="6"/>
  <c r="X25" i="6"/>
  <c r="W35" i="6"/>
  <c r="W34" i="6"/>
  <c r="W32" i="6"/>
  <c r="W30" i="6"/>
  <c r="W29" i="6"/>
  <c r="W26" i="6"/>
  <c r="W25" i="6"/>
  <c r="S25" i="6"/>
  <c r="T25" i="6"/>
  <c r="U25" i="6"/>
  <c r="S26" i="6"/>
  <c r="T26" i="6"/>
  <c r="U26" i="6"/>
  <c r="S29" i="6"/>
  <c r="T29" i="6"/>
  <c r="U29" i="6"/>
  <c r="S30" i="6"/>
  <c r="T30" i="6"/>
  <c r="U30" i="6"/>
  <c r="S32" i="6"/>
  <c r="T32" i="6"/>
  <c r="U32" i="6"/>
  <c r="S34" i="6"/>
  <c r="T34" i="6"/>
  <c r="U34" i="6"/>
  <c r="S35" i="6"/>
  <c r="T35" i="6"/>
  <c r="U35" i="6"/>
  <c r="R35" i="6"/>
  <c r="R34" i="6"/>
  <c r="R32" i="6"/>
  <c r="R30" i="6"/>
  <c r="R29" i="6"/>
  <c r="R26" i="6"/>
  <c r="R25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F34" i="6"/>
  <c r="G34" i="6"/>
  <c r="H34" i="6"/>
  <c r="I34" i="6"/>
  <c r="J34" i="6"/>
  <c r="K34" i="6"/>
  <c r="L34" i="6"/>
  <c r="M34" i="6"/>
  <c r="N34" i="6"/>
  <c r="O34" i="6"/>
  <c r="P34" i="6"/>
  <c r="F35" i="6"/>
  <c r="G35" i="6"/>
  <c r="H35" i="6"/>
  <c r="I35" i="6"/>
  <c r="J35" i="6"/>
  <c r="K35" i="6"/>
  <c r="L35" i="6"/>
  <c r="M35" i="6"/>
  <c r="N35" i="6"/>
  <c r="O35" i="6"/>
  <c r="P35" i="6"/>
  <c r="E35" i="6"/>
  <c r="E34" i="6"/>
  <c r="E32" i="6"/>
  <c r="E30" i="6"/>
  <c r="E29" i="6"/>
  <c r="E26" i="6"/>
  <c r="E25" i="6"/>
  <c r="B35" i="6"/>
  <c r="B34" i="6"/>
  <c r="B33" i="6"/>
  <c r="B32" i="6"/>
  <c r="B31" i="6"/>
  <c r="B30" i="6"/>
  <c r="B29" i="6"/>
  <c r="B28" i="6"/>
  <c r="B27" i="6"/>
  <c r="B26" i="6"/>
  <c r="B25" i="6"/>
  <c r="Z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E65" i="3"/>
  <c r="B36" i="3"/>
  <c r="B35" i="3"/>
  <c r="X35" i="3"/>
  <c r="W35" i="3"/>
  <c r="X34" i="3"/>
  <c r="W34" i="3"/>
  <c r="V35" i="3"/>
  <c r="V36" i="3"/>
  <c r="V34" i="3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I8" i="8" l="1"/>
  <c r="K8" i="8" s="1"/>
  <c r="K12" i="8"/>
  <c r="M7" i="8"/>
  <c r="M13" i="8"/>
  <c r="M16" i="8"/>
  <c r="M15" i="8"/>
  <c r="I6" i="8"/>
  <c r="K6" i="8" s="1"/>
  <c r="I10" i="8"/>
  <c r="K10" i="8" s="1"/>
  <c r="M11" i="8"/>
  <c r="I9" i="8"/>
  <c r="K9" i="8" s="1"/>
  <c r="M12" i="8"/>
  <c r="M8" i="8"/>
  <c r="H19" i="8"/>
  <c r="J19" i="8"/>
  <c r="I14" i="8"/>
  <c r="K14" i="8" s="1"/>
  <c r="I5" i="8"/>
  <c r="G19" i="8"/>
  <c r="F19" i="8"/>
  <c r="X13" i="6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V35" i="6"/>
  <c r="Q25" i="6"/>
  <c r="V25" i="6"/>
  <c r="V30" i="6"/>
  <c r="Q42" i="6"/>
  <c r="V26" i="6"/>
  <c r="V32" i="6"/>
  <c r="V34" i="6"/>
  <c r="V29" i="6"/>
  <c r="Q35" i="6"/>
  <c r="Q29" i="6"/>
  <c r="Q34" i="6"/>
  <c r="Q32" i="6"/>
  <c r="Q26" i="6"/>
  <c r="V10" i="6"/>
  <c r="V12" i="6" s="1"/>
  <c r="Q10" i="6"/>
  <c r="Q12" i="6"/>
  <c r="V42" i="6"/>
  <c r="W18" i="6"/>
  <c r="U18" i="6"/>
  <c r="F32" i="2"/>
  <c r="G32" i="2"/>
  <c r="H32" i="2"/>
  <c r="R32" i="2" s="1"/>
  <c r="I32" i="2"/>
  <c r="J32" i="2"/>
  <c r="K32" i="2"/>
  <c r="L32" i="2"/>
  <c r="M32" i="2"/>
  <c r="N32" i="2"/>
  <c r="O32" i="2"/>
  <c r="P32" i="2"/>
  <c r="Q32" i="2"/>
  <c r="S32" i="2"/>
  <c r="T32" i="2"/>
  <c r="W32" i="2" s="1"/>
  <c r="U32" i="2"/>
  <c r="V32" i="2"/>
  <c r="X32" i="2"/>
  <c r="Y32" i="2"/>
  <c r="F33" i="2"/>
  <c r="G33" i="2"/>
  <c r="H33" i="2"/>
  <c r="R33" i="2" s="1"/>
  <c r="I33" i="2"/>
  <c r="J33" i="2"/>
  <c r="K33" i="2"/>
  <c r="L33" i="2"/>
  <c r="M33" i="2"/>
  <c r="N33" i="2"/>
  <c r="O33" i="2"/>
  <c r="P33" i="2"/>
  <c r="Q33" i="2"/>
  <c r="S33" i="2"/>
  <c r="T33" i="2"/>
  <c r="W33" i="2" s="1"/>
  <c r="U33" i="2"/>
  <c r="V33" i="2"/>
  <c r="X33" i="2"/>
  <c r="Y33" i="2"/>
  <c r="F34" i="2"/>
  <c r="G34" i="2"/>
  <c r="H34" i="2"/>
  <c r="R34" i="2" s="1"/>
  <c r="I34" i="2"/>
  <c r="J34" i="2"/>
  <c r="K34" i="2"/>
  <c r="L34" i="2"/>
  <c r="M34" i="2"/>
  <c r="N34" i="2"/>
  <c r="O34" i="2"/>
  <c r="P34" i="2"/>
  <c r="Q34" i="2"/>
  <c r="S34" i="2"/>
  <c r="T34" i="2"/>
  <c r="W34" i="2" s="1"/>
  <c r="U34" i="2"/>
  <c r="V34" i="2"/>
  <c r="X34" i="2"/>
  <c r="Y34" i="2"/>
  <c r="F35" i="2"/>
  <c r="G35" i="2"/>
  <c r="H35" i="2"/>
  <c r="R35" i="2" s="1"/>
  <c r="I35" i="2"/>
  <c r="J35" i="2"/>
  <c r="K35" i="2"/>
  <c r="L35" i="2"/>
  <c r="M35" i="2"/>
  <c r="N35" i="2"/>
  <c r="O35" i="2"/>
  <c r="P35" i="2"/>
  <c r="Q35" i="2"/>
  <c r="S35" i="2"/>
  <c r="T35" i="2"/>
  <c r="W35" i="2" s="1"/>
  <c r="U35" i="2"/>
  <c r="V35" i="2"/>
  <c r="X35" i="2"/>
  <c r="Y35" i="2"/>
  <c r="B37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W11" i="2" s="1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W13" i="2" s="1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M9" i="8" l="1"/>
  <c r="M14" i="8"/>
  <c r="M10" i="8"/>
  <c r="L19" i="8"/>
  <c r="K5" i="8"/>
  <c r="I19" i="8"/>
  <c r="I39" i="8" s="1"/>
  <c r="G39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M6" i="8" l="1"/>
  <c r="M5" i="8"/>
  <c r="M19" i="8" s="1"/>
  <c r="K19" i="8"/>
  <c r="K39" i="8" s="1"/>
  <c r="V18" i="6"/>
  <c r="Q18" i="6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J30" i="3" s="1"/>
  <c r="J34" i="3" s="1"/>
  <c r="E28" i="3"/>
  <c r="E30" i="3" s="1"/>
  <c r="E34" i="3" s="1"/>
  <c r="I28" i="3"/>
  <c r="M28" i="3"/>
  <c r="R28" i="3"/>
  <c r="W28" i="3"/>
  <c r="F13" i="3"/>
  <c r="F30" i="3" s="1"/>
  <c r="F34" i="3" s="1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W159" i="3"/>
  <c r="U159" i="3"/>
  <c r="T159" i="3"/>
  <c r="T164" i="3" s="1"/>
  <c r="S159" i="3"/>
  <c r="S164" i="3" s="1"/>
  <c r="R159" i="3"/>
  <c r="P159" i="3"/>
  <c r="O159" i="3"/>
  <c r="O164" i="3" s="1"/>
  <c r="N159" i="3"/>
  <c r="M159" i="3"/>
  <c r="L159" i="3"/>
  <c r="K159" i="3"/>
  <c r="K164" i="3" s="1"/>
  <c r="J159" i="3"/>
  <c r="I159" i="3"/>
  <c r="H159" i="3"/>
  <c r="G159" i="3"/>
  <c r="G164" i="3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W150" i="3"/>
  <c r="U150" i="3"/>
  <c r="T150" i="3"/>
  <c r="T155" i="3" s="1"/>
  <c r="S150" i="3"/>
  <c r="S155" i="3" s="1"/>
  <c r="R150" i="3"/>
  <c r="P150" i="3"/>
  <c r="O150" i="3"/>
  <c r="O155" i="3" s="1"/>
  <c r="N150" i="3"/>
  <c r="M150" i="3"/>
  <c r="L150" i="3"/>
  <c r="K150" i="3"/>
  <c r="K155" i="3" s="1"/>
  <c r="J150" i="3"/>
  <c r="I150" i="3"/>
  <c r="H150" i="3"/>
  <c r="G150" i="3"/>
  <c r="G155" i="3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X33" i="6" s="1"/>
  <c r="W141" i="3"/>
  <c r="U141" i="3"/>
  <c r="T141" i="3"/>
  <c r="T146" i="3" s="1"/>
  <c r="T33" i="6" s="1"/>
  <c r="S141" i="3"/>
  <c r="S146" i="3" s="1"/>
  <c r="S33" i="6" s="1"/>
  <c r="R141" i="3"/>
  <c r="P141" i="3"/>
  <c r="O141" i="3"/>
  <c r="O146" i="3" s="1"/>
  <c r="O33" i="6" s="1"/>
  <c r="N141" i="3"/>
  <c r="M141" i="3"/>
  <c r="L141" i="3"/>
  <c r="K141" i="3"/>
  <c r="K146" i="3" s="1"/>
  <c r="K33" i="6" s="1"/>
  <c r="J141" i="3"/>
  <c r="I141" i="3"/>
  <c r="H141" i="3"/>
  <c r="G141" i="3"/>
  <c r="G146" i="3" s="1"/>
  <c r="G33" i="6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5" i="3"/>
  <c r="W125" i="3"/>
  <c r="U125" i="3"/>
  <c r="T125" i="3"/>
  <c r="S125" i="3"/>
  <c r="R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X124" i="3"/>
  <c r="W124" i="3"/>
  <c r="U124" i="3"/>
  <c r="T124" i="3"/>
  <c r="S124" i="3"/>
  <c r="R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X123" i="3"/>
  <c r="X128" i="3" s="1"/>
  <c r="X31" i="6" s="1"/>
  <c r="W123" i="3"/>
  <c r="U123" i="3"/>
  <c r="T123" i="3"/>
  <c r="T128" i="3" s="1"/>
  <c r="T31" i="6" s="1"/>
  <c r="S123" i="3"/>
  <c r="S128" i="3" s="1"/>
  <c r="S31" i="6" s="1"/>
  <c r="R123" i="3"/>
  <c r="P123" i="3"/>
  <c r="O123" i="3"/>
  <c r="O128" i="3" s="1"/>
  <c r="O31" i="6" s="1"/>
  <c r="N123" i="3"/>
  <c r="M123" i="3"/>
  <c r="L123" i="3"/>
  <c r="K123" i="3"/>
  <c r="K128" i="3" s="1"/>
  <c r="K31" i="6" s="1"/>
  <c r="J123" i="3"/>
  <c r="I123" i="3"/>
  <c r="H123" i="3"/>
  <c r="G123" i="3"/>
  <c r="G128" i="3" s="1"/>
  <c r="G31" i="6" s="1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U60" i="3"/>
  <c r="T60" i="3"/>
  <c r="S60" i="3"/>
  <c r="R60" i="3"/>
  <c r="P60" i="3"/>
  <c r="O60" i="3"/>
  <c r="N60" i="3"/>
  <c r="M60" i="3"/>
  <c r="L60" i="3"/>
  <c r="K60" i="3"/>
  <c r="J60" i="3"/>
  <c r="I60" i="3"/>
  <c r="H60" i="3"/>
  <c r="G60" i="3"/>
  <c r="F60" i="3"/>
  <c r="E60" i="3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R137" i="3" l="1"/>
  <c r="R146" i="3"/>
  <c r="R33" i="6" s="1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S27" i="6" s="1"/>
  <c r="X92" i="3"/>
  <c r="X27" i="6" s="1"/>
  <c r="S101" i="3"/>
  <c r="S28" i="6" s="1"/>
  <c r="X101" i="3"/>
  <c r="X28" i="6" s="1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G27" i="6" s="1"/>
  <c r="K92" i="3"/>
  <c r="K27" i="6" s="1"/>
  <c r="O92" i="3"/>
  <c r="O27" i="6" s="1"/>
  <c r="T92" i="3"/>
  <c r="T27" i="6" s="1"/>
  <c r="R92" i="3"/>
  <c r="R27" i="6" s="1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4" i="3"/>
  <c r="Z124" i="3" s="1"/>
  <c r="V124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V153" i="3"/>
  <c r="Q160" i="3"/>
  <c r="Z160" i="3" s="1"/>
  <c r="R164" i="3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H27" i="6" s="1"/>
  <c r="L92" i="3"/>
  <c r="L27" i="6" s="1"/>
  <c r="P92" i="3"/>
  <c r="P27" i="6" s="1"/>
  <c r="U92" i="3"/>
  <c r="U27" i="6" s="1"/>
  <c r="H110" i="3"/>
  <c r="L110" i="3"/>
  <c r="P110" i="3"/>
  <c r="U110" i="3"/>
  <c r="H119" i="3"/>
  <c r="L119" i="3"/>
  <c r="P119" i="3"/>
  <c r="U119" i="3"/>
  <c r="H128" i="3"/>
  <c r="H31" i="6" s="1"/>
  <c r="L128" i="3"/>
  <c r="L31" i="6" s="1"/>
  <c r="P128" i="3"/>
  <c r="P31" i="6" s="1"/>
  <c r="U128" i="3"/>
  <c r="U31" i="6" s="1"/>
  <c r="H137" i="3"/>
  <c r="L137" i="3"/>
  <c r="P137" i="3"/>
  <c r="U137" i="3"/>
  <c r="H146" i="3"/>
  <c r="H33" i="6" s="1"/>
  <c r="L146" i="3"/>
  <c r="L33" i="6" s="1"/>
  <c r="P146" i="3"/>
  <c r="P33" i="6" s="1"/>
  <c r="U146" i="3"/>
  <c r="U33" i="6" s="1"/>
  <c r="H155" i="3"/>
  <c r="L155" i="3"/>
  <c r="P155" i="3"/>
  <c r="U155" i="3"/>
  <c r="H164" i="3"/>
  <c r="L164" i="3"/>
  <c r="P164" i="3"/>
  <c r="U164" i="3"/>
  <c r="H30" i="3"/>
  <c r="H34" i="3" s="1"/>
  <c r="S30" i="3"/>
  <c r="S34" i="3" s="1"/>
  <c r="I30" i="3"/>
  <c r="I34" i="3" s="1"/>
  <c r="M30" i="3"/>
  <c r="M34" i="3" s="1"/>
  <c r="P30" i="3"/>
  <c r="P34" i="3" s="1"/>
  <c r="X30" i="3"/>
  <c r="G30" i="3"/>
  <c r="G34" i="3" s="1"/>
  <c r="O30" i="3"/>
  <c r="O34" i="3" s="1"/>
  <c r="T30" i="3"/>
  <c r="T34" i="3" s="1"/>
  <c r="T38" i="3" s="1"/>
  <c r="T23" i="6" s="1"/>
  <c r="R30" i="3"/>
  <c r="R34" i="3" s="1"/>
  <c r="R38" i="3" s="1"/>
  <c r="R23" i="6" s="1"/>
  <c r="L30" i="3"/>
  <c r="L34" i="3" s="1"/>
  <c r="W30" i="3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F27" i="6" s="1"/>
  <c r="J92" i="3"/>
  <c r="J27" i="6" s="1"/>
  <c r="N92" i="3"/>
  <c r="N27" i="6" s="1"/>
  <c r="F119" i="3"/>
  <c r="J119" i="3"/>
  <c r="N119" i="3"/>
  <c r="F128" i="3"/>
  <c r="F31" i="6" s="1"/>
  <c r="J128" i="3"/>
  <c r="J31" i="6" s="1"/>
  <c r="N128" i="3"/>
  <c r="N31" i="6" s="1"/>
  <c r="F137" i="3"/>
  <c r="J137" i="3"/>
  <c r="N137" i="3"/>
  <c r="F146" i="3"/>
  <c r="F33" i="6" s="1"/>
  <c r="J146" i="3"/>
  <c r="J33" i="6" s="1"/>
  <c r="N146" i="3"/>
  <c r="N33" i="6" s="1"/>
  <c r="F155" i="3"/>
  <c r="J155" i="3"/>
  <c r="N155" i="3"/>
  <c r="F164" i="3"/>
  <c r="J164" i="3"/>
  <c r="N164" i="3"/>
  <c r="Q153" i="3"/>
  <c r="Z153" i="3" s="1"/>
  <c r="S56" i="3"/>
  <c r="S20" i="6" s="1"/>
  <c r="X56" i="3"/>
  <c r="X20" i="6" s="1"/>
  <c r="S24" i="6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E27" i="6" s="1"/>
  <c r="I92" i="3"/>
  <c r="I27" i="6" s="1"/>
  <c r="M92" i="3"/>
  <c r="M27" i="6" s="1"/>
  <c r="V87" i="3"/>
  <c r="W92" i="3"/>
  <c r="W27" i="6" s="1"/>
  <c r="Q89" i="3"/>
  <c r="Z89" i="3" s="1"/>
  <c r="V89" i="3"/>
  <c r="E101" i="3"/>
  <c r="E28" i="6" s="1"/>
  <c r="I101" i="3"/>
  <c r="I28" i="6" s="1"/>
  <c r="M101" i="3"/>
  <c r="M28" i="6" s="1"/>
  <c r="W101" i="3"/>
  <c r="W28" i="6" s="1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E128" i="3"/>
  <c r="E31" i="6" s="1"/>
  <c r="I128" i="3"/>
  <c r="I31" i="6" s="1"/>
  <c r="M128" i="3"/>
  <c r="M31" i="6" s="1"/>
  <c r="V123" i="3"/>
  <c r="W128" i="3"/>
  <c r="W31" i="6" s="1"/>
  <c r="Q125" i="3"/>
  <c r="Z125" i="3" s="1"/>
  <c r="V125" i="3"/>
  <c r="E137" i="3"/>
  <c r="I137" i="3"/>
  <c r="M137" i="3"/>
  <c r="V132" i="3"/>
  <c r="W137" i="3"/>
  <c r="Q134" i="3"/>
  <c r="Z134" i="3" s="1"/>
  <c r="V134" i="3"/>
  <c r="E146" i="3"/>
  <c r="E33" i="6" s="1"/>
  <c r="I146" i="3"/>
  <c r="I33" i="6" s="1"/>
  <c r="M146" i="3"/>
  <c r="M33" i="6" s="1"/>
  <c r="V141" i="3"/>
  <c r="W146" i="3"/>
  <c r="W33" i="6" s="1"/>
  <c r="Q143" i="3"/>
  <c r="Z143" i="3" s="1"/>
  <c r="V143" i="3"/>
  <c r="E155" i="3"/>
  <c r="I155" i="3"/>
  <c r="M155" i="3"/>
  <c r="V150" i="3"/>
  <c r="W155" i="3"/>
  <c r="Q152" i="3"/>
  <c r="Z152" i="3" s="1"/>
  <c r="V152" i="3"/>
  <c r="E164" i="3"/>
  <c r="I164" i="3"/>
  <c r="M164" i="3"/>
  <c r="V159" i="3"/>
  <c r="W164" i="3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R128" i="3"/>
  <c r="R31" i="6" s="1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H28" i="6" s="1"/>
  <c r="L101" i="3"/>
  <c r="L28" i="6" s="1"/>
  <c r="P101" i="3"/>
  <c r="P28" i="6" s="1"/>
  <c r="U101" i="3"/>
  <c r="U28" i="6" s="1"/>
  <c r="G101" i="3"/>
  <c r="G28" i="6" s="1"/>
  <c r="K101" i="3"/>
  <c r="K28" i="6" s="1"/>
  <c r="O101" i="3"/>
  <c r="O28" i="6" s="1"/>
  <c r="T101" i="3"/>
  <c r="T28" i="6" s="1"/>
  <c r="Q97" i="3"/>
  <c r="Z97" i="3" s="1"/>
  <c r="V96" i="3"/>
  <c r="R101" i="3"/>
  <c r="R28" i="6" s="1"/>
  <c r="V28" i="6" s="1"/>
  <c r="F101" i="3"/>
  <c r="F28" i="6" s="1"/>
  <c r="J101" i="3"/>
  <c r="J28" i="6" s="1"/>
  <c r="N101" i="3"/>
  <c r="N28" i="6" s="1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Q33" i="6" l="1"/>
  <c r="V33" i="6"/>
  <c r="Q28" i="6"/>
  <c r="Q20" i="6"/>
  <c r="I22" i="6"/>
  <c r="V20" i="6"/>
  <c r="N22" i="6"/>
  <c r="M22" i="6"/>
  <c r="R22" i="6"/>
  <c r="V19" i="6"/>
  <c r="V22" i="6" s="1"/>
  <c r="V24" i="6"/>
  <c r="S22" i="6"/>
  <c r="E22" i="6"/>
  <c r="Q19" i="6"/>
  <c r="T22" i="6"/>
  <c r="T38" i="6" s="1"/>
  <c r="T44" i="6" s="1"/>
  <c r="Q24" i="6"/>
  <c r="Q31" i="6"/>
  <c r="V31" i="6"/>
  <c r="Q27" i="6"/>
  <c r="V27" i="6"/>
  <c r="R38" i="6"/>
  <c r="R44" i="6" s="1"/>
  <c r="V92" i="3"/>
  <c r="F22" i="6"/>
  <c r="G22" i="6"/>
  <c r="V119" i="3"/>
  <c r="V155" i="3"/>
  <c r="X22" i="6"/>
  <c r="L22" i="6"/>
  <c r="B13" i="3"/>
  <c r="K22" i="6"/>
  <c r="J22" i="6"/>
  <c r="B28" i="3"/>
  <c r="Z36" i="3"/>
  <c r="V83" i="3"/>
  <c r="V137" i="3"/>
  <c r="V146" i="3"/>
  <c r="V164" i="3"/>
  <c r="V128" i="3"/>
  <c r="V74" i="3"/>
  <c r="Q30" i="3"/>
  <c r="V30" i="3"/>
  <c r="V56" i="3"/>
  <c r="V110" i="3"/>
  <c r="Q164" i="3"/>
  <c r="Z159" i="3"/>
  <c r="Z164" i="3" s="1"/>
  <c r="B164" i="3" s="1"/>
  <c r="Q155" i="3"/>
  <c r="Z150" i="3"/>
  <c r="Z155" i="3" s="1"/>
  <c r="B155" i="3" s="1"/>
  <c r="Q146" i="3"/>
  <c r="Z141" i="3"/>
  <c r="Z146" i="3" s="1"/>
  <c r="B146" i="3" s="1"/>
  <c r="Q137" i="3"/>
  <c r="Z132" i="3"/>
  <c r="Z137" i="3" s="1"/>
  <c r="B137" i="3" s="1"/>
  <c r="Q128" i="3"/>
  <c r="Z123" i="3"/>
  <c r="Z128" i="3" s="1"/>
  <c r="B128" i="3" s="1"/>
  <c r="Q119" i="3"/>
  <c r="Z114" i="3"/>
  <c r="Z119" i="3" s="1"/>
  <c r="B119" i="3" s="1"/>
  <c r="Q110" i="3"/>
  <c r="Z105" i="3"/>
  <c r="Z110" i="3" s="1"/>
  <c r="B110" i="3" s="1"/>
  <c r="V101" i="3"/>
  <c r="Q101" i="3"/>
  <c r="Z96" i="3"/>
  <c r="Z101" i="3" s="1"/>
  <c r="B101" i="3" s="1"/>
  <c r="Q92" i="3"/>
  <c r="Z87" i="3"/>
  <c r="Z92" i="3" s="1"/>
  <c r="B92" i="3" s="1"/>
  <c r="Q83" i="3"/>
  <c r="Z78" i="3"/>
  <c r="Z83" i="3" s="1"/>
  <c r="B83" i="3" s="1"/>
  <c r="Q74" i="3"/>
  <c r="Z69" i="3"/>
  <c r="Z74" i="3" s="1"/>
  <c r="B74" i="3" s="1"/>
  <c r="Z60" i="3"/>
  <c r="B65" i="3" s="1"/>
  <c r="Q56" i="3"/>
  <c r="Z51" i="3"/>
  <c r="Z56" i="3" s="1"/>
  <c r="B56" i="3" s="1"/>
  <c r="V47" i="3"/>
  <c r="Z42" i="3"/>
  <c r="Z47" i="3" s="1"/>
  <c r="B47" i="3" s="1"/>
  <c r="Q47" i="3"/>
  <c r="Y31" i="2"/>
  <c r="Y37" i="2" s="1"/>
  <c r="X31" i="2"/>
  <c r="X37" i="2" s="1"/>
  <c r="V31" i="2"/>
  <c r="V37" i="2" s="1"/>
  <c r="U31" i="2"/>
  <c r="U37" i="2" s="1"/>
  <c r="T31" i="2"/>
  <c r="T37" i="2" s="1"/>
  <c r="S31" i="2"/>
  <c r="S37" i="2" s="1"/>
  <c r="Q31" i="2"/>
  <c r="Q37" i="2" s="1"/>
  <c r="P31" i="2"/>
  <c r="P37" i="2" s="1"/>
  <c r="O31" i="2"/>
  <c r="O37" i="2" s="1"/>
  <c r="N31" i="2"/>
  <c r="N37" i="2" s="1"/>
  <c r="M31" i="2"/>
  <c r="M37" i="2" s="1"/>
  <c r="L31" i="2"/>
  <c r="L37" i="2" s="1"/>
  <c r="K31" i="2"/>
  <c r="K37" i="2" s="1"/>
  <c r="J31" i="2"/>
  <c r="J37" i="2" s="1"/>
  <c r="I31" i="2"/>
  <c r="I37" i="2" s="1"/>
  <c r="H31" i="2"/>
  <c r="H37" i="2" s="1"/>
  <c r="G31" i="2"/>
  <c r="G37" i="2" s="1"/>
  <c r="F31" i="2"/>
  <c r="F37" i="2" s="1"/>
  <c r="Q22" i="6" l="1"/>
  <c r="B30" i="3"/>
  <c r="R31" i="2"/>
  <c r="R37" i="2" s="1"/>
  <c r="W31" i="2"/>
  <c r="W37" i="2" s="1"/>
  <c r="U35" i="3" l="1"/>
  <c r="U38" i="3" s="1"/>
  <c r="U23" i="6" s="1"/>
  <c r="U38" i="6" s="1"/>
  <c r="U44" i="6" s="1"/>
  <c r="S35" i="3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V38" i="3" l="1"/>
  <c r="S38" i="3"/>
  <c r="S23" i="6" s="1"/>
  <c r="Z34" i="3"/>
  <c r="B34" i="3" s="1"/>
  <c r="I35" i="3"/>
  <c r="I38" i="3" s="1"/>
  <c r="I23" i="6" s="1"/>
  <c r="I38" i="6" s="1"/>
  <c r="I44" i="6" s="1"/>
  <c r="M35" i="3"/>
  <c r="M38" i="3" s="1"/>
  <c r="M23" i="6" s="1"/>
  <c r="M38" i="6" s="1"/>
  <c r="M44" i="6" s="1"/>
  <c r="E35" i="3"/>
  <c r="E38" i="3" s="1"/>
  <c r="E23" i="6" s="1"/>
  <c r="H35" i="3"/>
  <c r="H38" i="3" s="1"/>
  <c r="H23" i="6" s="1"/>
  <c r="H38" i="6" s="1"/>
  <c r="H44" i="6" s="1"/>
  <c r="L35" i="3"/>
  <c r="L38" i="3" s="1"/>
  <c r="L23" i="6" s="1"/>
  <c r="L38" i="6" s="1"/>
  <c r="L44" i="6" s="1"/>
  <c r="P35" i="3"/>
  <c r="P38" i="3" s="1"/>
  <c r="P23" i="6" s="1"/>
  <c r="P38" i="6" s="1"/>
  <c r="P44" i="6" s="1"/>
  <c r="F35" i="3"/>
  <c r="F38" i="3" s="1"/>
  <c r="F23" i="6" s="1"/>
  <c r="F38" i="6" s="1"/>
  <c r="F44" i="6" s="1"/>
  <c r="J35" i="3"/>
  <c r="J38" i="3" s="1"/>
  <c r="J23" i="6" s="1"/>
  <c r="J38" i="6" s="1"/>
  <c r="J44" i="6" s="1"/>
  <c r="N35" i="3"/>
  <c r="N38" i="3" s="1"/>
  <c r="N23" i="6" s="1"/>
  <c r="N38" i="6" s="1"/>
  <c r="N44" i="6" s="1"/>
  <c r="G35" i="3"/>
  <c r="G38" i="3" s="1"/>
  <c r="G23" i="6" s="1"/>
  <c r="G38" i="6" s="1"/>
  <c r="G44" i="6" s="1"/>
  <c r="K35" i="3"/>
  <c r="K38" i="3" s="1"/>
  <c r="K23" i="6" s="1"/>
  <c r="K38" i="6" s="1"/>
  <c r="K44" i="6" s="1"/>
  <c r="O35" i="3"/>
  <c r="O38" i="3" s="1"/>
  <c r="O23" i="6" s="1"/>
  <c r="O38" i="6" s="1"/>
  <c r="O44" i="6" s="1"/>
  <c r="T26" i="2"/>
  <c r="V26" i="2"/>
  <c r="W24" i="2"/>
  <c r="B28" i="2"/>
  <c r="B39" i="2" s="1"/>
  <c r="Q28" i="2"/>
  <c r="Q39" i="2" s="1"/>
  <c r="R22" i="2"/>
  <c r="R26" i="2" s="1"/>
  <c r="W22" i="2"/>
  <c r="U26" i="2"/>
  <c r="S26" i="2"/>
  <c r="V19" i="2"/>
  <c r="Y5" i="2"/>
  <c r="Y19" i="2" s="1"/>
  <c r="Y28" i="2" s="1"/>
  <c r="Y39" i="2" s="1"/>
  <c r="X5" i="2"/>
  <c r="X19" i="2" s="1"/>
  <c r="X28" i="2" s="1"/>
  <c r="X39" i="2" s="1"/>
  <c r="U19" i="2"/>
  <c r="T19" i="2"/>
  <c r="T28" i="2" s="1"/>
  <c r="T39" i="2" s="1"/>
  <c r="S5" i="2"/>
  <c r="S19" i="2" s="1"/>
  <c r="G5" i="2"/>
  <c r="H5" i="2"/>
  <c r="H19" i="2" s="1"/>
  <c r="H28" i="2" s="1"/>
  <c r="H39" i="2" s="1"/>
  <c r="I5" i="2"/>
  <c r="I19" i="2" s="1"/>
  <c r="I28" i="2" s="1"/>
  <c r="I39" i="2" s="1"/>
  <c r="J5" i="2"/>
  <c r="J19" i="2" s="1"/>
  <c r="J28" i="2" s="1"/>
  <c r="J39" i="2" s="1"/>
  <c r="K5" i="2"/>
  <c r="K19" i="2" s="1"/>
  <c r="K28" i="2" s="1"/>
  <c r="K39" i="2" s="1"/>
  <c r="L5" i="2"/>
  <c r="L19" i="2" s="1"/>
  <c r="L28" i="2" s="1"/>
  <c r="L39" i="2" s="1"/>
  <c r="M5" i="2"/>
  <c r="M19" i="2" s="1"/>
  <c r="M28" i="2" s="1"/>
  <c r="M39" i="2" s="1"/>
  <c r="N5" i="2"/>
  <c r="N19" i="2" s="1"/>
  <c r="N28" i="2" s="1"/>
  <c r="N39" i="2" s="1"/>
  <c r="O5" i="2"/>
  <c r="O19" i="2" s="1"/>
  <c r="O28" i="2" s="1"/>
  <c r="O39" i="2" s="1"/>
  <c r="P5" i="2"/>
  <c r="P19" i="2" s="1"/>
  <c r="P28" i="2" s="1"/>
  <c r="P39" i="2" s="1"/>
  <c r="F5" i="2"/>
  <c r="F19" i="2" s="1"/>
  <c r="F28" i="2" s="1"/>
  <c r="F39" i="2" s="1"/>
  <c r="Q23" i="6" l="1"/>
  <c r="Q38" i="6" s="1"/>
  <c r="Q44" i="6" s="1"/>
  <c r="E38" i="6"/>
  <c r="E44" i="6" s="1"/>
  <c r="V23" i="6"/>
  <c r="V38" i="6" s="1"/>
  <c r="V44" i="6" s="1"/>
  <c r="V49" i="6" s="1"/>
  <c r="S38" i="6"/>
  <c r="S44" i="6" s="1"/>
  <c r="Q35" i="3"/>
  <c r="Q38" i="3" s="1"/>
  <c r="V28" i="2"/>
  <c r="V39" i="2" s="1"/>
  <c r="U28" i="2"/>
  <c r="U39" i="2" s="1"/>
  <c r="W5" i="2"/>
  <c r="W19" i="2" s="1"/>
  <c r="S28" i="2"/>
  <c r="S39" i="2" s="1"/>
  <c r="W26" i="2"/>
  <c r="R5" i="2"/>
  <c r="R19" i="2" s="1"/>
  <c r="R28" i="2" s="1"/>
  <c r="R39" i="2" s="1"/>
  <c r="G19" i="2"/>
  <c r="G28" i="2" s="1"/>
  <c r="G39" i="2" s="1"/>
  <c r="V50" i="6" l="1"/>
  <c r="Q49" i="6"/>
  <c r="W28" i="2"/>
  <c r="W39" i="2" s="1"/>
  <c r="Q50" i="6" l="1"/>
  <c r="Q52" i="6" s="1"/>
  <c r="V51" i="6" s="1"/>
  <c r="V54" i="6" s="1"/>
  <c r="Q54" i="6"/>
  <c r="V55" i="6" l="1"/>
  <c r="V52" i="6"/>
  <c r="W51" i="6" s="1"/>
  <c r="Q55" i="6"/>
  <c r="Q56" i="6" l="1"/>
  <c r="Q45" i="6" s="1"/>
  <c r="V56" i="6"/>
  <c r="V45" i="6" s="1"/>
  <c r="S45" i="6" l="1"/>
  <c r="S47" i="6" s="1"/>
  <c r="T45" i="6"/>
  <c r="T47" i="6" s="1"/>
  <c r="V47" i="6"/>
  <c r="U45" i="6"/>
  <c r="U47" i="6" s="1"/>
  <c r="R45" i="6"/>
  <c r="R47" i="6" s="1"/>
  <c r="G45" i="6"/>
  <c r="G47" i="6" s="1"/>
  <c r="N45" i="6"/>
  <c r="N47" i="6" s="1"/>
  <c r="F45" i="6"/>
  <c r="F47" i="6" s="1"/>
  <c r="Q47" i="6"/>
  <c r="K45" i="6"/>
  <c r="K47" i="6" s="1"/>
  <c r="H45" i="6"/>
  <c r="H47" i="6" s="1"/>
  <c r="I45" i="6"/>
  <c r="I47" i="6" s="1"/>
  <c r="O45" i="6"/>
  <c r="O47" i="6" s="1"/>
  <c r="L45" i="6"/>
  <c r="L47" i="6" s="1"/>
  <c r="M45" i="6"/>
  <c r="M47" i="6" s="1"/>
  <c r="J45" i="6"/>
  <c r="J47" i="6" s="1"/>
  <c r="P45" i="6"/>
  <c r="P47" i="6" s="1"/>
  <c r="E45" i="6"/>
  <c r="E47" i="6" s="1"/>
  <c r="W38" i="3" l="1"/>
  <c r="W23" i="6" s="1"/>
  <c r="W38" i="6" s="1"/>
  <c r="W44" i="6" s="1"/>
  <c r="X38" i="3"/>
  <c r="X23" i="6" s="1"/>
  <c r="X38" i="6" s="1"/>
  <c r="X44" i="6" s="1"/>
  <c r="X49" i="6" l="1"/>
  <c r="W49" i="6"/>
  <c r="Z35" i="3"/>
  <c r="Z38" i="3" s="1"/>
  <c r="B38" i="3" s="1"/>
  <c r="W54" i="6" l="1"/>
  <c r="W50" i="6"/>
  <c r="W52" i="6" s="1"/>
  <c r="X51" i="6" s="1"/>
  <c r="X54" i="6" s="1"/>
  <c r="X50" i="6"/>
  <c r="X52" i="6" l="1"/>
  <c r="W55" i="6"/>
  <c r="X55" i="6"/>
  <c r="X56" i="6" l="1"/>
  <c r="X45" i="6" s="1"/>
  <c r="X47" i="6" s="1"/>
  <c r="W56" i="6"/>
  <c r="W45" i="6" s="1"/>
  <c r="W47" i="6" s="1"/>
</calcChain>
</file>

<file path=xl/sharedStrings.xml><?xml version="1.0" encoding="utf-8"?>
<sst xmlns="http://schemas.openxmlformats.org/spreadsheetml/2006/main" count="486" uniqueCount="151">
  <si>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</si>
  <si>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</si>
  <si>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</si>
  <si>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</si>
  <si>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</si>
  <si>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</si>
  <si>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</si>
  <si>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</si>
  <si>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</si>
  <si>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</si>
  <si>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</si>
  <si>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</si>
  <si>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</si>
  <si>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</si>
  <si>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</si>
  <si>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</si>
  <si>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</si>
  <si>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</si>
  <si>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</si>
  <si>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</si>
  <si>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</si>
  <si>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</si>
  <si>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</si>
  <si>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</si>
  <si>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</si>
  <si>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</si>
  <si>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</si>
  <si>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</si>
  <si>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</si>
  <si>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</si>
  <si>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</si>
  <si>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</si>
  <si>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</si>
  <si>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</si>
  <si>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</si>
  <si>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</si>
  <si>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</si>
  <si>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</si>
  <si>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</si>
  <si>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</si>
  <si>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</si>
  <si>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</si>
  <si>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</si>
  <si>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</si>
  <si>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</si>
  <si>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</si>
  <si>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Monat der Zahlung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</si>
  <si>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</si>
  <si>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</si>
  <si>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</si>
  <si>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</si>
  <si>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</si>
  <si>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</si>
  <si>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</si>
  <si>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</si>
  <si>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</si>
  <si>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</si>
  <si>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</si>
  <si>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</si>
  <si>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</si>
  <si>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</si>
  <si>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Geplante nicht vorsteuerabzugsfähige Investitionen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</si>
  <si>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</si>
  <si>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</si>
  <si>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</si>
  <si>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</si>
  <si>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</si>
  <si>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</si>
  <si>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</si>
  <si>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</si>
  <si>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</si>
  <si>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</si>
  <si>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</si>
  <si>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</si>
  <si>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</si>
  <si>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</si>
  <si>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</si>
  <si>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</si>
  <si>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</si>
  <si>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</si>
  <si>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</si>
  <si>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</si>
  <si>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</si>
  <si>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</si>
  <si>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</si>
  <si>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</si>
  <si>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</si>
  <si>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</si>
  <si>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</si>
  <si>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</si>
  <si>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</si>
  <si>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Monat der Anstellung</t>
  </si>
  <si>
    <t>Mail:
Mobil: +43 (0)681 841 06 358</t>
  </si>
  <si>
    <t>Mail:
Mobil: +43 (0)699 181 19 053</t>
  </si>
  <si>
    <t>Mail:
Mobil: +43 (0)660 410 94 24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</si>
  <si>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</si>
  <si>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</si>
  <si>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</si>
  <si>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</si>
  <si>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</si>
  <si>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</si>
  <si>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</si>
  <si>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</si>
  <si>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</si>
  <si>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</si>
  <si>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</si>
  <si>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</si>
  <si>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</si>
  <si>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</si>
  <si>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</si>
  <si>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</si>
  <si>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</si>
  <si>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</si>
  <si>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</si>
  <si>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</si>
  <si>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</si>
  <si>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</si>
  <si>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</si>
  <si>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</si>
  <si>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</si>
  <si>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</si>
  <si>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</si>
  <si>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</si>
  <si>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</si>
  <si>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</si>
  <si>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</si>
  <si>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"Zinsaufwand"</t>
  </si>
  <si>
    <t>"Zinserträge"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</si>
  <si>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</si>
  <si>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</si>
  <si>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</si>
  <si>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</si>
  <si>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</si>
  <si>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</si>
  <si>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KöSt. Bzw. Ertragssteuer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</si>
  <si>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</si>
  <si>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</si>
  <si>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</si>
  <si>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</si>
  <si>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</si>
  <si>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</si>
  <si>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</si>
  <si>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</si>
  <si>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</si>
  <si>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</si>
  <si>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</si>
  <si>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</si>
  <si>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Halbjahr der IBN</t>
  </si>
  <si>
    <t>AfA</t>
  </si>
  <si>
    <t>Buchwert</t>
  </si>
  <si>
    <t>AfA / Buchwert 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</si>
</sst>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€&quot;;[Red]\-#,##0.00\ &quot;€&quot;"/>
    <numFmt numFmtId="164" formatCode="#,##0.00\ &quot;€&quot;"/>
  </numFmts>
  <fonts count="1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</borders>
  <cellStyleXfs count="1">
    <xf numFmtId="0" fontId="0" fillId="0" borderId="0"/>
  </cellStyleXfs>
  <cellXfs count="586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0" borderId="18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right" vertical="top"/>
    </xf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164" fontId="0" fillId="5" borderId="89" xfId="0" applyNumberFormat="1" applyFont="1" applyFill="1" applyBorder="1" applyAlignment="1" applyProtection="1">
      <alignment vertical="center"/>
    </xf>
    <xf numFmtId="164" fontId="0" fillId="5" borderId="90" xfId="0" applyNumberFormat="1" applyFont="1" applyFill="1" applyBorder="1" applyAlignment="1" applyProtection="1">
      <alignment vertical="center"/>
    </xf>
    <xf numFmtId="164" fontId="0" fillId="5" borderId="92" xfId="0" applyNumberFormat="1" applyFont="1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8" fillId="5" borderId="97" xfId="0" applyNumberFormat="1" applyFont="1" applyFill="1" applyBorder="1" applyAlignment="1" applyProtection="1">
      <alignment vertical="center"/>
    </xf>
    <xf numFmtId="164" fontId="8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8" fillId="5" borderId="66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right"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0" borderId="15" xfId="0" applyBorder="1" applyAlignment="1" applyProtection="1">
      <alignment vertical="center" wrapText="1"/>
    </xf>
    <xf numFmtId="0" fontId="0" fillId="2" borderId="33" xfId="0" applyFill="1" applyBorder="1" applyAlignment="1" applyProtection="1">
      <alignment vertical="center"/>
    </xf>
    <xf numFmtId="0" fontId="0" fillId="2" borderId="98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7" fillId="0" borderId="87" xfId="0" applyFont="1" applyBorder="1" applyAlignment="1" applyProtection="1">
      <alignment horizontal="right"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8" fillId="5" borderId="89" xfId="0" applyNumberFormat="1" applyFont="1" applyFill="1" applyBorder="1" applyAlignment="1" applyProtection="1">
      <alignment vertical="center"/>
    </xf>
    <xf numFmtId="164" fontId="8" fillId="5" borderId="90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8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3" xfId="0" applyBorder="1"/>
    <xf numFmtId="0" fontId="3" fillId="0" borderId="101" xfId="0" applyFont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0" fillId="0" borderId="105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06" xfId="0" applyBorder="1" applyAlignment="1">
      <alignment vertical="top" wrapText="1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80" xfId="0" applyNumberFormat="1" applyBorder="1" applyAlignment="1">
      <alignment vertical="center"/>
    </xf>
    <xf numFmtId="164" fontId="0" fillId="0" borderId="78" xfId="0" applyNumberFormat="1" applyBorder="1" applyAlignment="1">
      <alignment vertical="center"/>
    </xf>
    <xf numFmtId="164" fontId="0" fillId="0" borderId="82" xfId="0" applyNumberFormat="1" applyBorder="1" applyAlignment="1">
      <alignment vertical="center"/>
    </xf>
    <xf numFmtId="164" fontId="0" fillId="0" borderId="83" xfId="0" applyNumberFormat="1" applyBorder="1" applyAlignment="1">
      <alignment vertical="center"/>
    </xf>
    <xf numFmtId="164" fontId="0" fillId="0" borderId="85" xfId="0" applyNumberFormat="1" applyBorder="1" applyAlignment="1">
      <alignment vertical="center"/>
    </xf>
    <xf numFmtId="164" fontId="0" fillId="0" borderId="86" xfId="0" applyNumberFormat="1" applyBorder="1" applyAlignment="1">
      <alignment vertical="center"/>
    </xf>
    <xf numFmtId="0" fontId="0" fillId="3" borderId="110" xfId="0" applyFill="1" applyBorder="1" applyAlignment="1">
      <alignment vertical="center"/>
    </xf>
    <xf numFmtId="164" fontId="0" fillId="0" borderId="44" xfId="0" applyNumberFormat="1" applyBorder="1" applyAlignment="1">
      <alignment vertical="center"/>
    </xf>
    <xf numFmtId="164" fontId="0" fillId="0" borderId="42" xfId="0" applyNumberFormat="1" applyBorder="1" applyAlignment="1">
      <alignment vertical="center"/>
    </xf>
    <xf numFmtId="164" fontId="0" fillId="0" borderId="45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48" xfId="0" applyNumberFormat="1" applyBorder="1" applyAlignment="1">
      <alignment vertical="center"/>
    </xf>
    <xf numFmtId="0" fontId="0" fillId="3" borderId="21" xfId="0" applyFill="1" applyBorder="1" applyAlignment="1">
      <alignment vertical="center"/>
    </xf>
    <xf numFmtId="164" fontId="0" fillId="0" borderId="50" xfId="0" applyNumberFormat="1" applyBorder="1" applyAlignment="1">
      <alignment vertical="center"/>
    </xf>
    <xf numFmtId="164" fontId="0" fillId="0" borderId="22" xfId="0" applyNumberFormat="1" applyBorder="1" applyAlignment="1">
      <alignment vertical="center"/>
    </xf>
    <xf numFmtId="164" fontId="0" fillId="0" borderId="51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54" xfId="0" applyNumberFormat="1" applyBorder="1" applyAlignment="1">
      <alignment vertical="center"/>
    </xf>
    <xf numFmtId="0" fontId="0" fillId="3" borderId="101" xfId="0" applyFill="1" applyBorder="1" applyAlignment="1">
      <alignment vertical="center"/>
    </xf>
    <xf numFmtId="164" fontId="0" fillId="0" borderId="58" xfId="0" applyNumberFormat="1" applyBorder="1" applyAlignment="1">
      <alignment vertical="center"/>
    </xf>
    <xf numFmtId="164" fontId="0" fillId="0" borderId="56" xfId="0" applyNumberFormat="1" applyBorder="1" applyAlignment="1">
      <alignment vertical="center"/>
    </xf>
    <xf numFmtId="164" fontId="0" fillId="0" borderId="59" xfId="0" applyNumberFormat="1" applyBorder="1" applyAlignment="1">
      <alignment vertical="center"/>
    </xf>
    <xf numFmtId="164" fontId="0" fillId="0" borderId="60" xfId="0" applyNumberFormat="1" applyBorder="1" applyAlignment="1">
      <alignment vertical="center"/>
    </xf>
    <xf numFmtId="164" fontId="0" fillId="0" borderId="61" xfId="0" applyNumberFormat="1" applyBorder="1" applyAlignment="1">
      <alignment vertical="center"/>
    </xf>
    <xf numFmtId="164" fontId="0" fillId="0" borderId="62" xfId="0" applyNumberFormat="1" applyBorder="1" applyAlignment="1">
      <alignment vertical="center"/>
    </xf>
    <xf numFmtId="164" fontId="0" fillId="0" borderId="116" xfId="0" applyNumberFormat="1" applyBorder="1" applyAlignment="1">
      <alignment vertical="center"/>
    </xf>
    <xf numFmtId="164" fontId="0" fillId="0" borderId="117" xfId="0" applyNumberFormat="1" applyBorder="1" applyAlignment="1">
      <alignment vertical="center"/>
    </xf>
    <xf numFmtId="164" fontId="0" fillId="0" borderId="118" xfId="0" applyNumberFormat="1" applyBorder="1" applyAlignment="1">
      <alignment vertical="center"/>
    </xf>
    <xf numFmtId="0" fontId="0" fillId="0" borderId="119" xfId="0" applyBorder="1" applyAlignment="1">
      <alignment vertical="center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5" borderId="112" xfId="0" applyNumberFormat="1" applyFill="1" applyBorder="1" applyAlignment="1">
      <alignment vertical="center"/>
    </xf>
    <xf numFmtId="164" fontId="0" fillId="5" borderId="90" xfId="0" applyNumberFormat="1" applyFill="1" applyBorder="1" applyAlignment="1">
      <alignment vertical="center"/>
    </xf>
    <xf numFmtId="164" fontId="0" fillId="5" borderId="89" xfId="0" applyNumberFormat="1" applyFill="1" applyBorder="1" applyAlignment="1">
      <alignment vertical="center"/>
    </xf>
    <xf numFmtId="164" fontId="6" fillId="5" borderId="113" xfId="0" applyNumberFormat="1" applyFont="1" applyFill="1" applyBorder="1" applyAlignment="1">
      <alignment vertical="center"/>
    </xf>
    <xf numFmtId="0" fontId="6" fillId="0" borderId="112" xfId="0" applyFont="1" applyBorder="1" applyAlignment="1">
      <alignment horizontal="right" vertical="center"/>
    </xf>
    <xf numFmtId="164" fontId="6" fillId="5" borderId="91" xfId="0" applyNumberFormat="1" applyFont="1" applyFill="1" applyBorder="1" applyAlignment="1">
      <alignment vertical="center"/>
    </xf>
    <xf numFmtId="164" fontId="6" fillId="5" borderId="94" xfId="0" applyNumberFormat="1" applyFont="1" applyFill="1" applyBorder="1" applyAlignment="1">
      <alignment vertical="center"/>
    </xf>
    <xf numFmtId="164" fontId="6" fillId="5" borderId="95" xfId="0" applyNumberFormat="1" applyFont="1" applyFill="1" applyBorder="1" applyAlignment="1">
      <alignment vertical="center"/>
    </xf>
    <xf numFmtId="164" fontId="6" fillId="5" borderId="11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69" xfId="0" applyBorder="1" applyAlignment="1">
      <alignment vertical="center"/>
    </xf>
    <xf numFmtId="0" fontId="10" fillId="0" borderId="123" xfId="0" applyFont="1" applyBorder="1" applyAlignment="1">
      <alignment vertical="center"/>
    </xf>
    <xf numFmtId="0" fontId="0" fillId="3" borderId="124" xfId="0" applyFill="1" applyBorder="1" applyAlignment="1">
      <alignment vertical="center"/>
    </xf>
    <xf numFmtId="0" fontId="0" fillId="3" borderId="125" xfId="0" applyFill="1" applyBorder="1" applyAlignment="1">
      <alignment vertical="center"/>
    </xf>
    <xf numFmtId="0" fontId="2" fillId="0" borderId="115" xfId="0" applyFont="1" applyBorder="1" applyAlignment="1">
      <alignment vertical="center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127" xfId="0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135" xfId="0" applyFill="1" applyBorder="1" applyAlignment="1">
      <alignment horizontal="center" vertical="center"/>
    </xf>
    <xf numFmtId="0" fontId="0" fillId="7" borderId="133" xfId="0" applyFill="1" applyBorder="1" applyAlignment="1">
      <alignment horizontal="center" vertical="center"/>
    </xf>
    <xf numFmtId="1" fontId="0" fillId="7" borderId="43" xfId="0" applyNumberFormat="1" applyFill="1" applyBorder="1" applyAlignment="1" applyProtection="1">
      <alignment horizontal="center" vertical="center"/>
    </xf>
    <xf numFmtId="1" fontId="0" fillId="7" borderId="49" xfId="0" applyNumberFormat="1" applyFill="1" applyBorder="1" applyAlignment="1" applyProtection="1">
      <alignment horizontal="center" vertical="center"/>
    </xf>
    <xf numFmtId="1" fontId="0" fillId="7" borderId="135" xfId="0" applyNumberFormat="1" applyFill="1" applyBorder="1" applyAlignment="1" applyProtection="1">
      <alignment horizontal="center" vertical="center"/>
    </xf>
    <xf numFmtId="1" fontId="0" fillId="7" borderId="120" xfId="0" applyNumberFormat="1" applyFill="1" applyBorder="1" applyAlignment="1">
      <alignment horizontal="center" vertical="center"/>
    </xf>
    <xf numFmtId="0" fontId="7" fillId="0" borderId="136" xfId="0" applyFont="1" applyBorder="1" applyAlignment="1">
      <alignment horizontal="right" vertical="center"/>
    </xf>
    <xf numFmtId="0" fontId="10" fillId="0" borderId="125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37" xfId="0" applyNumberFormat="1" applyBorder="1" applyAlignment="1">
      <alignment vertical="center"/>
    </xf>
    <xf numFmtId="164" fontId="0" fillId="0" borderId="134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126" xfId="0" applyNumberFormat="1" applyBorder="1" applyAlignment="1">
      <alignment vertical="center"/>
    </xf>
    <xf numFmtId="164" fontId="0" fillId="0" borderId="139" xfId="0" applyNumberFormat="1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9" xfId="0" applyBorder="1" applyAlignment="1">
      <alignment vertical="center"/>
    </xf>
    <xf numFmtId="164" fontId="0" fillId="0" borderId="142" xfId="0" applyNumberFormat="1" applyBorder="1" applyAlignment="1">
      <alignment vertical="center"/>
    </xf>
    <xf numFmtId="164" fontId="0" fillId="5" borderId="92" xfId="0" applyNumberFormat="1" applyFill="1" applyBorder="1" applyAlignment="1">
      <alignment vertical="center"/>
    </xf>
    <xf numFmtId="164" fontId="0" fillId="0" borderId="140" xfId="0" applyNumberFormat="1" applyBorder="1" applyAlignment="1">
      <alignment vertical="center"/>
    </xf>
    <xf numFmtId="164" fontId="0" fillId="0" borderId="141" xfId="0" applyNumberFormat="1" applyBorder="1" applyAlignment="1">
      <alignment vertical="center"/>
    </xf>
    <xf numFmtId="164" fontId="0" fillId="5" borderId="136" xfId="0" applyNumberFormat="1" applyFill="1" applyBorder="1" applyAlignment="1">
      <alignment vertical="center"/>
    </xf>
    <xf numFmtId="164" fontId="0" fillId="5" borderId="143" xfId="0" applyNumberFormat="1" applyFill="1" applyBorder="1" applyAlignment="1">
      <alignment vertical="center"/>
    </xf>
    <xf numFmtId="164" fontId="6" fillId="5" borderId="144" xfId="0" applyNumberFormat="1" applyFont="1" applyFill="1" applyBorder="1" applyAlignment="1">
      <alignment vertical="center"/>
    </xf>
    <xf numFmtId="164" fontId="0" fillId="5" borderId="145" xfId="0" applyNumberFormat="1" applyFill="1" applyBorder="1" applyAlignment="1">
      <alignment vertical="center"/>
    </xf>
    <xf numFmtId="164" fontId="6" fillId="5" borderId="146" xfId="0" applyNumberFormat="1" applyFont="1" applyFill="1" applyBorder="1" applyAlignment="1">
      <alignment vertical="center"/>
    </xf>
    <xf numFmtId="164" fontId="6" fillId="5" borderId="147" xfId="0" applyNumberFormat="1" applyFont="1" applyFill="1" applyBorder="1" applyAlignment="1">
      <alignment vertical="center"/>
    </xf>
    <xf numFmtId="164" fontId="6" fillId="6" borderId="64" xfId="0" applyNumberFormat="1" applyFont="1" applyFill="1" applyBorder="1" applyAlignment="1">
      <alignment vertical="center"/>
    </xf>
    <xf numFmtId="164" fontId="6" fillId="6" borderId="65" xfId="0" applyNumberFormat="1" applyFont="1" applyFill="1" applyBorder="1" applyAlignment="1">
      <alignment vertical="center"/>
    </xf>
    <xf numFmtId="164" fontId="6" fillId="6" borderId="67" xfId="0" applyNumberFormat="1" applyFont="1" applyFill="1" applyBorder="1" applyAlignment="1">
      <alignment vertical="center"/>
    </xf>
    <xf numFmtId="0" fontId="6" fillId="0" borderId="148" xfId="0" applyFont="1" applyBorder="1" applyAlignment="1">
      <alignment horizontal="right" vertical="center"/>
    </xf>
    <xf numFmtId="164" fontId="0" fillId="6" borderId="97" xfId="0" applyNumberFormat="1" applyFont="1" applyFill="1" applyBorder="1" applyAlignment="1">
      <alignment vertical="center"/>
    </xf>
    <xf numFmtId="164" fontId="0" fillId="6" borderId="63" xfId="0" applyNumberFormat="1" applyFont="1" applyFill="1" applyBorder="1" applyAlignment="1">
      <alignment vertical="center"/>
    </xf>
    <xf numFmtId="164" fontId="0" fillId="6" borderId="66" xfId="0" applyNumberFormat="1" applyFont="1" applyFill="1" applyBorder="1" applyAlignment="1">
      <alignment vertical="center"/>
    </xf>
    <xf numFmtId="0" fontId="0" fillId="7" borderId="57" xfId="0" applyFill="1" applyBorder="1" applyAlignment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49" xfId="0" applyBorder="1" applyAlignment="1">
      <alignment horizontal="right" vertical="center"/>
    </xf>
    <xf numFmtId="0" fontId="0" fillId="0" borderId="151" xfId="0" applyBorder="1" applyAlignment="1">
      <alignment horizontal="right" vertical="center"/>
    </xf>
    <xf numFmtId="9" fontId="0" fillId="7" borderId="152" xfId="0" applyNumberFormat="1" applyFill="1" applyBorder="1" applyAlignment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0" fillId="0" borderId="21" xfId="0" applyBorder="1" applyAlignment="1">
      <alignment horizontal="right" vertical="center"/>
    </xf>
    <xf numFmtId="9" fontId="0" fillId="7" borderId="23" xfId="0" applyNumberFormat="1" applyFill="1" applyBorder="1" applyAlignment="1">
      <alignment vertical="center"/>
    </xf>
    <xf numFmtId="164" fontId="0" fillId="7" borderId="150" xfId="0" applyNumberFormat="1" applyFill="1" applyBorder="1" applyAlignment="1">
      <alignment vertical="center"/>
    </xf>
    <xf numFmtId="0" fontId="0" fillId="0" borderId="115" xfId="0" applyBorder="1" applyAlignment="1">
      <alignment vertical="center"/>
    </xf>
    <xf numFmtId="0" fontId="0" fillId="0" borderId="116" xfId="0" applyBorder="1" applyAlignment="1">
      <alignment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0" fontId="0" fillId="0" borderId="0" xfId="0" applyBorder="1" applyAlignment="1" applyProtection="1">
      <alignment horizontal="right"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0" borderId="10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06" xfId="0" applyBorder="1" applyAlignment="1">
      <alignment horizontal="left" vertical="top" wrapText="1"/>
    </xf>
    <xf numFmtId="0" fontId="0" fillId="0" borderId="10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08" xfId="0" applyBorder="1" applyAlignment="1">
      <alignment horizontal="left" vertical="top" wrapText="1"/>
    </xf>
    <xf numFmtId="0" fontId="6" fillId="0" borderId="104" xfId="0" applyFont="1" applyBorder="1" applyAlignment="1">
      <alignment horizontal="left" vertical="top"/>
    </xf>
    <xf numFmtId="0" fontId="6" fillId="0" borderId="102" xfId="0" applyFont="1" applyBorder="1" applyAlignment="1">
      <alignment horizontal="left" vertical="top"/>
    </xf>
    <xf numFmtId="0" fontId="6" fillId="0" borderId="76" xfId="0" applyFont="1" applyBorder="1" applyAlignment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6" xfId="0" applyBorder="1" applyAlignment="1">
      <alignment horizontal="center" vertical="center" wrapText="1"/>
    </xf>
    <xf numFmtId="0" fontId="0" fillId="0" borderId="114" xfId="0" applyBorder="1" applyAlignment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164" fontId="6" fillId="6" borderId="8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8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4" fontId="0" fillId="5" borderId="88" xfId="0" applyNumberFormat="1" applyFill="1" applyBorder="1" applyAlignment="1">
      <alignment horizontal="center" vertical="center"/>
    </xf>
    <xf numFmtId="0" fontId="0" fillId="5" borderId="122" xfId="0" applyFill="1" applyBorder="1" applyAlignment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4" fontId="0" fillId="7" borderId="134" xfId="0" applyNumberFormat="1" applyFill="1" applyBorder="1" applyAlignment="1">
      <alignment horizontal="center" vertical="center"/>
    </xf>
    <xf numFmtId="0" fontId="0" fillId="7" borderId="126" xfId="0" applyFill="1" applyBorder="1" applyAlignment="1">
      <alignment horizontal="center" vertical="center"/>
    </xf>
    <xf numFmtId="0" fontId="6" fillId="0" borderId="40" xfId="0" applyFont="1" applyBorder="1" applyAlignment="1" applyProtection="1">
      <alignment horizontal="center" vertical="center" wrapText="1"/>
    </xf>
    <xf numFmtId="0" fontId="6" fillId="0" borderId="41" xfId="0" applyFont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27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157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0" fontId="0" fillId="0" borderId="158" xfId="0" applyBorder="1" applyAlignment="1" applyProtection="1">
      <alignment horizontal="center" vertical="center"/>
    </xf>
    <xf numFmtId="0" fontId="0" fillId="0" borderId="10" xfId="0" applyFill="1" applyBorder="1" applyAlignment="1" applyProtection="1">
      <alignment vertical="center"/>
      <protection locked="0"/>
    </xf>
    <xf numFmtId="0" fontId="0" fillId="0" borderId="42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vertical="center"/>
      <protection locked="0"/>
    </xf>
    <xf numFmtId="0" fontId="0" fillId="0" borderId="77" xfId="0" applyFill="1" applyBorder="1" applyAlignment="1" applyProtection="1">
      <alignment vertical="center"/>
      <protection locked="0"/>
    </xf>
    <xf numFmtId="0" fontId="0" fillId="0" borderId="78" xfId="0" applyFill="1" applyBorder="1" applyAlignment="1" applyProtection="1">
      <alignment vertical="center"/>
      <protection locked="0"/>
    </xf>
    <xf numFmtId="0" fontId="0" fillId="0" borderId="79" xfId="0" applyFill="1" applyBorder="1" applyAlignment="1" applyProtection="1">
      <alignment vertical="center"/>
      <protection locked="0"/>
    </xf>
    <xf numFmtId="0" fontId="0" fillId="0" borderId="10" xfId="0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39" xfId="0" applyFont="1" applyBorder="1" applyAlignment="1" applyProtection="1">
      <alignment horizontal="center" vertical="center"/>
    </xf>
    <xf numFmtId="164" fontId="0" fillId="5" borderId="91" xfId="0" applyNumberFormat="1" applyFont="1" applyFill="1" applyBorder="1" applyAlignment="1" applyProtection="1">
      <alignment vertical="center"/>
    </xf>
    <xf numFmtId="164" fontId="0" fillId="5" borderId="93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  <protection locked="0"/>
    </xf>
    <xf numFmtId="0" fontId="0" fillId="0" borderId="5" xfId="0" applyFill="1" applyBorder="1" applyAlignment="1" applyProtection="1">
      <alignment vertical="center"/>
      <protection locked="0"/>
    </xf>
    <xf numFmtId="164" fontId="0" fillId="0" borderId="126" xfId="0" applyNumberFormat="1" applyFill="1" applyBorder="1" applyAlignment="1" applyProtection="1">
      <alignment vertical="center"/>
      <protection locked="0"/>
    </xf>
    <xf numFmtId="0" fontId="0" fillId="0" borderId="126" xfId="0" applyFill="1" applyBorder="1" applyAlignment="1" applyProtection="1">
      <alignment horizontal="center" vertical="center"/>
      <protection locked="0"/>
    </xf>
    <xf numFmtId="0" fontId="0" fillId="0" borderId="127" xfId="0" applyFill="1" applyBorder="1" applyAlignment="1" applyProtection="1">
      <alignment horizontal="center" vertical="center"/>
      <protection locked="0"/>
    </xf>
    <xf numFmtId="0" fontId="0" fillId="0" borderId="56" xfId="0" applyFill="1" applyBorder="1" applyAlignment="1" applyProtection="1">
      <alignment vertical="center"/>
      <protection locked="0"/>
    </xf>
    <xf numFmtId="0" fontId="0" fillId="0" borderId="57" xfId="0" applyFill="1" applyBorder="1" applyAlignment="1" applyProtection="1">
      <alignment vertical="center"/>
      <protection locked="0"/>
    </xf>
    <xf numFmtId="164" fontId="0" fillId="0" borderId="45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215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164" fontId="0" fillId="5" borderId="113" xfId="0" applyNumberFormat="1" applyFon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  <protection locked="0"/>
    </xf>
    <xf numFmtId="0" fontId="0" fillId="0" borderId="154" xfId="0" applyFill="1" applyBorder="1" applyAlignment="1" applyProtection="1">
      <alignment vertical="center"/>
      <protection locked="0"/>
    </xf>
    <xf numFmtId="0" fontId="0" fillId="0" borderId="134" xfId="0" applyFill="1" applyBorder="1" applyAlignment="1" applyProtection="1">
      <alignment vertical="center"/>
      <protection locked="0"/>
    </xf>
    <xf numFmtId="0" fontId="0" fillId="0" borderId="135" xfId="0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164" fontId="0" fillId="5" borderId="88" xfId="0" applyNumberFormat="1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128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130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D7" sqref="D7"/>
    </sheetView>
  </sheetViews>
  <sheetFormatPr baseColWidth="10" defaultRowHeight="15" x14ac:dyDescent="0.25"/>
  <cols>
    <col min="1" max="2" width="14.28515625" customWidth="1"/>
    <col min="3" max="3" width="25.7109375" bestFit="1" customWidth="1"/>
    <col min="4" max="4" width="34.28515625" customWidth="1"/>
  </cols>
  <sheetData>
    <row r="1" spans="1:4" ht="27" thickBot="1" x14ac:dyDescent="0.45">
      <c r="A1" s="394" t="s">
        <v>5</v>
      </c>
      <c r="B1" s="395"/>
      <c r="C1" s="395"/>
      <c r="D1" s="396"/>
    </row>
    <row r="2" spans="1:4" ht="7.5" customHeight="1" thickBot="1" x14ac:dyDescent="0.3"/>
    <row r="3" spans="1:4" ht="16.5" thickBot="1" x14ac:dyDescent="0.3">
      <c r="A3" s="397" t="s">
        <v>0</v>
      </c>
      <c r="B3" s="398"/>
      <c r="C3" s="398"/>
      <c r="D3" s="399"/>
    </row>
    <row r="4" spans="1:4" ht="7.5" customHeight="1" x14ac:dyDescent="0.25">
      <c r="A4" s="2"/>
      <c r="B4" s="3"/>
      <c r="C4" s="3"/>
      <c r="D4" s="4"/>
    </row>
    <row r="5" spans="1:4" ht="18.75" customHeight="1" thickBot="1" x14ac:dyDescent="0.3">
      <c r="A5" s="418" t="s">
        <v>10</v>
      </c>
      <c r="B5" s="419"/>
      <c r="C5" s="8" t="s">
        <v>12</v>
      </c>
      <c r="D5" s="9" t="s">
        <v>13</v>
      </c>
    </row>
    <row r="6" spans="1:4" ht="30.75" thickTop="1" x14ac:dyDescent="0.25">
      <c r="A6" s="416" t="s">
        <v>1</v>
      </c>
      <c r="B6" s="417"/>
      <c r="C6" s="120" t="s">
        <v>36</v>
      </c>
      <c r="D6" s="121" t="s">
        <v>92</v>
      </c>
    </row>
    <row r="7" spans="1:4" ht="30" x14ac:dyDescent="0.25">
      <c r="A7" s="400" t="s">
        <v>2</v>
      </c>
      <c r="B7" s="401"/>
      <c r="C7" s="122" t="s">
        <v>37</v>
      </c>
      <c r="D7" s="123" t="s">
        <v>93</v>
      </c>
    </row>
    <row r="8" spans="1:4" ht="30" x14ac:dyDescent="0.25">
      <c r="A8" s="400" t="s">
        <v>3</v>
      </c>
      <c r="B8" s="401"/>
      <c r="C8" s="122" t="s">
        <v>38</v>
      </c>
      <c r="D8" s="123" t="s">
        <v>94</v>
      </c>
    </row>
    <row r="9" spans="1:4" ht="30" x14ac:dyDescent="0.25">
      <c r="A9" s="405" t="s">
        <v>4</v>
      </c>
      <c r="B9" s="406"/>
      <c r="C9" s="124" t="s">
        <v>39</v>
      </c>
      <c r="D9" s="125" t="s">
        <v>15</v>
      </c>
    </row>
    <row r="10" spans="1:4" ht="7.5" customHeight="1" thickBot="1" x14ac:dyDescent="0.3">
      <c r="A10" s="5"/>
      <c r="B10" s="6"/>
      <c r="C10" s="6"/>
      <c r="D10" s="7"/>
    </row>
    <row r="11" spans="1:4" ht="7.5" customHeight="1" thickBot="1" x14ac:dyDescent="0.3">
      <c r="A11" s="113"/>
      <c r="B11" s="113"/>
      <c r="C11" s="113"/>
      <c r="D11" s="113"/>
    </row>
    <row r="12" spans="1:4" ht="16.5" thickBot="1" x14ac:dyDescent="0.3">
      <c r="A12" s="397" t="s">
        <v>14</v>
      </c>
      <c r="B12" s="398"/>
      <c r="C12" s="398"/>
      <c r="D12" s="399"/>
    </row>
    <row r="13" spans="1:4" ht="7.5" customHeight="1" x14ac:dyDescent="0.25">
      <c r="A13" s="10"/>
      <c r="B13" s="1"/>
      <c r="C13" s="1"/>
      <c r="D13" s="11"/>
    </row>
    <row r="14" spans="1:4" ht="18.75" customHeight="1" x14ac:dyDescent="0.25">
      <c r="A14" s="12" t="s">
        <v>11</v>
      </c>
      <c r="B14" s="404" t="s">
        <v>6</v>
      </c>
      <c r="C14" s="404"/>
      <c r="D14" s="126"/>
    </row>
    <row r="15" spans="1:4" ht="37.5" customHeight="1" x14ac:dyDescent="0.25">
      <c r="A15" s="13" t="s">
        <v>16</v>
      </c>
      <c r="B15" s="403" t="s">
        <v>8</v>
      </c>
      <c r="C15" s="403"/>
      <c r="D15" s="127"/>
    </row>
    <row r="16" spans="1:4" ht="20.25" customHeight="1" x14ac:dyDescent="0.25">
      <c r="A16" s="13" t="s">
        <v>9</v>
      </c>
      <c r="B16" s="402" t="s">
        <v>7</v>
      </c>
      <c r="C16" s="402"/>
      <c r="D16" s="128"/>
    </row>
    <row r="17" spans="1:4" x14ac:dyDescent="0.25">
      <c r="A17" s="114" t="s">
        <v>17</v>
      </c>
      <c r="B17" s="420">
        <v>43282</v>
      </c>
      <c r="C17" s="420"/>
      <c r="D17" s="129"/>
    </row>
    <row r="18" spans="1:4" ht="8.25" customHeight="1" thickBot="1" x14ac:dyDescent="0.3">
      <c r="A18" s="5"/>
      <c r="B18" s="6"/>
      <c r="C18" s="6"/>
      <c r="D18" s="7"/>
    </row>
    <row r="40" spans="1:7" x14ac:dyDescent="0.25">
      <c r="A40" s="413" t="s">
        <v>40</v>
      </c>
      <c r="B40" s="414"/>
      <c r="C40" s="414"/>
      <c r="D40" s="415"/>
    </row>
    <row r="41" spans="1:7" ht="30" customHeight="1" x14ac:dyDescent="0.25">
      <c r="A41" s="407" t="s">
        <v>41</v>
      </c>
      <c r="B41" s="408"/>
      <c r="C41" s="408"/>
      <c r="D41" s="409"/>
      <c r="G41" s="116"/>
    </row>
    <row r="42" spans="1:7" ht="7.5" customHeight="1" x14ac:dyDescent="0.25">
      <c r="A42" s="117"/>
      <c r="B42" s="118"/>
      <c r="C42" s="118"/>
      <c r="D42" s="119"/>
    </row>
    <row r="43" spans="1:7" ht="30" customHeight="1" x14ac:dyDescent="0.25">
      <c r="A43" s="410" t="s">
        <v>42</v>
      </c>
      <c r="B43" s="411"/>
      <c r="C43" s="411"/>
      <c r="D43" s="412"/>
    </row>
    <row r="44" spans="1:7" x14ac:dyDescent="0.25">
      <c r="A44" s="115"/>
      <c r="B44" s="115"/>
      <c r="C44" s="115"/>
      <c r="D44" s="115"/>
    </row>
  </sheetData>
  <sheetProtection algorithmName="SHA-512" hashValue="xBJkuqe0bV3awJ0ujw5yhgSxD71O91KNtnl+hO6vJB28TdP+E0oQAvt1kCz54oV/IeiJ6NE80ZmdAJajXczUCw==" saltValue="XdhKLnGMwHE3aEbUxU63VA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9"/>
  <sheetViews>
    <sheetView showZeros="0" zoomScaleNormal="100" workbookViewId="0">
      <pane xSplit="5" ySplit="4" topLeftCell="R26" activePane="bottomRight" state="frozen"/>
      <selection pane="topRight" activeCell="F1" sqref="F1"/>
      <selection pane="bottomLeft" activeCell="A5" sqref="A5"/>
      <selection pane="bottomRight" activeCell="B23" sqref="B23"/>
    </sheetView>
  </sheetViews>
  <sheetFormatPr baseColWidth="10" defaultRowHeight="15" outlineLevelRow="2" outlineLevelCol="1" x14ac:dyDescent="0.25"/>
  <cols>
    <col min="1" max="1" width="49.7109375" style="56" bestFit="1" customWidth="1"/>
    <col min="2" max="2" width="13" style="56" bestFit="1" customWidth="1"/>
    <col min="3" max="5" width="9.28515625" style="56" customWidth="1"/>
    <col min="6" max="6" width="11.85546875" style="56" hidden="1" customWidth="1" outlineLevel="1"/>
    <col min="7" max="7" width="2" style="56" hidden="1" customWidth="1" outlineLevel="1"/>
    <col min="8" max="8" width="11.85546875" style="56" hidden="1" customWidth="1" outlineLevel="1"/>
    <col min="9" max="10" width="2" style="56" hidden="1" customWidth="1" outlineLevel="1"/>
    <col min="11" max="11" width="11.85546875" style="56" hidden="1" customWidth="1" outlineLevel="1"/>
    <col min="12" max="14" width="2" style="56" hidden="1" customWidth="1" outlineLevel="1"/>
    <col min="15" max="17" width="3" style="56" hidden="1" customWidth="1" outlineLevel="1"/>
    <col min="18" max="18" width="13" style="56" bestFit="1" customWidth="1" collapsed="1"/>
    <col min="19" max="19" width="11.85546875" style="56" hidden="1" customWidth="1" outlineLevel="1"/>
    <col min="20" max="20" width="7.140625" style="56" hidden="1" customWidth="1" outlineLevel="1"/>
    <col min="21" max="21" width="10.7109375" style="56" hidden="1" customWidth="1" outlineLevel="1"/>
    <col min="22" max="22" width="7.140625" style="56" hidden="1" customWidth="1" outlineLevel="1"/>
    <col min="23" max="23" width="11.85546875" style="56" bestFit="1" customWidth="1" collapsed="1"/>
    <col min="24" max="24" width="11.85546875" style="56" bestFit="1" customWidth="1"/>
    <col min="25" max="25" width="6.5703125" style="56" bestFit="1" customWidth="1"/>
    <col min="26" max="16384" width="11.42578125" style="56"/>
  </cols>
  <sheetData>
    <row r="1" spans="1:25" ht="27" thickBot="1" x14ac:dyDescent="0.3">
      <c r="A1" s="421" t="s">
        <v>18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3"/>
    </row>
    <row r="2" spans="1:25" ht="7.5" customHeight="1" thickBot="1" x14ac:dyDescent="0.3"/>
    <row r="3" spans="1:25" x14ac:dyDescent="0.25">
      <c r="A3" s="442" t="s">
        <v>30</v>
      </c>
      <c r="B3" s="446" t="s">
        <v>19</v>
      </c>
      <c r="C3" s="446" t="s">
        <v>32</v>
      </c>
      <c r="D3" s="446" t="s">
        <v>31</v>
      </c>
      <c r="E3" s="444" t="s">
        <v>46</v>
      </c>
      <c r="F3" s="431" t="s">
        <v>20</v>
      </c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30"/>
      <c r="R3" s="424" t="s">
        <v>20</v>
      </c>
      <c r="S3" s="428" t="s">
        <v>25</v>
      </c>
      <c r="T3" s="429"/>
      <c r="U3" s="429"/>
      <c r="V3" s="430"/>
      <c r="W3" s="426" t="s">
        <v>25</v>
      </c>
      <c r="X3" s="438" t="s">
        <v>26</v>
      </c>
      <c r="Y3" s="440" t="s">
        <v>27</v>
      </c>
    </row>
    <row r="4" spans="1:25" s="18" customFormat="1" ht="15" customHeight="1" thickBot="1" x14ac:dyDescent="0.3">
      <c r="A4" s="443"/>
      <c r="B4" s="447"/>
      <c r="C4" s="447"/>
      <c r="D4" s="447"/>
      <c r="E4" s="445"/>
      <c r="F4" s="14">
        <v>1</v>
      </c>
      <c r="G4" s="15">
        <v>2</v>
      </c>
      <c r="H4" s="15">
        <v>3</v>
      </c>
      <c r="I4" s="15">
        <v>4</v>
      </c>
      <c r="J4" s="15">
        <v>5</v>
      </c>
      <c r="K4" s="15">
        <v>6</v>
      </c>
      <c r="L4" s="15">
        <v>7</v>
      </c>
      <c r="M4" s="15">
        <v>8</v>
      </c>
      <c r="N4" s="15">
        <v>9</v>
      </c>
      <c r="O4" s="15">
        <v>10</v>
      </c>
      <c r="P4" s="15">
        <v>11</v>
      </c>
      <c r="Q4" s="16">
        <v>12</v>
      </c>
      <c r="R4" s="425"/>
      <c r="S4" s="17" t="s">
        <v>21</v>
      </c>
      <c r="T4" s="15" t="s">
        <v>22</v>
      </c>
      <c r="U4" s="15" t="s">
        <v>23</v>
      </c>
      <c r="V4" s="15" t="s">
        <v>24</v>
      </c>
      <c r="W4" s="427"/>
      <c r="X4" s="439"/>
      <c r="Y4" s="441"/>
    </row>
    <row r="5" spans="1:25" ht="18.75" customHeight="1" outlineLevel="2" thickTop="1" x14ac:dyDescent="0.25">
      <c r="A5" s="36" t="s">
        <v>62</v>
      </c>
      <c r="B5" s="191">
        <v>25000</v>
      </c>
      <c r="C5" s="32">
        <v>10</v>
      </c>
      <c r="D5" s="32">
        <v>1</v>
      </c>
      <c r="E5" s="33">
        <v>1</v>
      </c>
      <c r="F5" s="19">
        <f>IF($E5=F$4,$B5,"")</f>
        <v>25000</v>
      </c>
      <c r="G5" s="20" t="str">
        <f t="shared" ref="G5:Q17" si="0">IF($E5=G$4,$B5,"")</f>
        <v/>
      </c>
      <c r="H5" s="20" t="str">
        <f t="shared" si="0"/>
        <v/>
      </c>
      <c r="I5" s="20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101">
        <f>SUM(F5:Q5)</f>
        <v>25000</v>
      </c>
      <c r="S5" s="102" t="str">
        <f>IF(AND($E5&gt;12,$E5&lt;=15),$B5,"")</f>
        <v/>
      </c>
      <c r="T5" s="103" t="str">
        <f>IF(AND($E5&gt;15,$E5&lt;=18),$B5,"")</f>
        <v/>
      </c>
      <c r="U5" s="103" t="str">
        <f>IF(AND($E5&gt;18,$E5&lt;=21),$B5,"")</f>
        <v/>
      </c>
      <c r="V5" s="103" t="str">
        <f>IF(AND($E5&gt;21,$E5&lt;=24),$B5,"")</f>
        <v/>
      </c>
      <c r="W5" s="104">
        <f>SUM(S5:V5)</f>
        <v>0</v>
      </c>
      <c r="X5" s="21" t="str">
        <f>IF(AND($E5&gt;24,$E5&lt;=36),$B5,"")</f>
        <v/>
      </c>
      <c r="Y5" s="22" t="str">
        <f>IF(AND($E5&gt;36,$E5&lt;=48),$B5,"")</f>
        <v/>
      </c>
    </row>
    <row r="6" spans="1:25" ht="18.75" customHeight="1" outlineLevel="2" x14ac:dyDescent="0.25">
      <c r="A6" s="37" t="s">
        <v>63</v>
      </c>
      <c r="B6" s="192">
        <v>3000</v>
      </c>
      <c r="C6" s="166">
        <v>5</v>
      </c>
      <c r="D6" s="166">
        <v>1</v>
      </c>
      <c r="E6" s="167">
        <v>1</v>
      </c>
      <c r="F6" s="23">
        <f t="shared" ref="F6:F17" si="1">IF($E6=F$4,$B6,"")</f>
        <v>3000</v>
      </c>
      <c r="G6" s="24" t="str">
        <f t="shared" si="0"/>
        <v/>
      </c>
      <c r="H6" s="24" t="str">
        <f t="shared" si="0"/>
        <v/>
      </c>
      <c r="I6" s="24" t="str">
        <f t="shared" si="0"/>
        <v/>
      </c>
      <c r="J6" s="24" t="str">
        <f t="shared" si="0"/>
        <v/>
      </c>
      <c r="K6" s="24" t="str">
        <f t="shared" si="0"/>
        <v/>
      </c>
      <c r="L6" s="24" t="str">
        <f t="shared" si="0"/>
        <v/>
      </c>
      <c r="M6" s="24" t="str">
        <f t="shared" si="0"/>
        <v/>
      </c>
      <c r="N6" s="24" t="str">
        <f t="shared" si="0"/>
        <v/>
      </c>
      <c r="O6" s="24" t="str">
        <f t="shared" si="0"/>
        <v/>
      </c>
      <c r="P6" s="24" t="str">
        <f t="shared" si="0"/>
        <v/>
      </c>
      <c r="Q6" s="24" t="str">
        <f t="shared" si="0"/>
        <v/>
      </c>
      <c r="R6" s="105">
        <f t="shared" ref="R6:R17" si="2">SUM(F6:Q6)</f>
        <v>3000</v>
      </c>
      <c r="S6" s="106" t="str">
        <f t="shared" ref="S6:S17" si="3">IF(AND($E6&gt;12,$E6&lt;=15),$B6,"")</f>
        <v/>
      </c>
      <c r="T6" s="107" t="str">
        <f t="shared" ref="T6:T17" si="4">IF(AND($E6&gt;15,$E6&lt;=18),$B6,"")</f>
        <v/>
      </c>
      <c r="U6" s="107" t="str">
        <f t="shared" ref="U6:U17" si="5">IF(AND($E6&gt;18,$E6&lt;=21),$B6,"")</f>
        <v/>
      </c>
      <c r="V6" s="107" t="str">
        <f t="shared" ref="V6:V17" si="6">IF(AND($E6&gt;21,$E6&lt;=24),$B6,"")</f>
        <v/>
      </c>
      <c r="W6" s="108">
        <f t="shared" ref="W6:W17" si="7">SUM(S6:V6)</f>
        <v>0</v>
      </c>
      <c r="X6" s="25" t="str">
        <f t="shared" ref="X6:X17" si="8">IF(AND($E6&gt;24,$E6&lt;=36),$B6,"")</f>
        <v/>
      </c>
      <c r="Y6" s="26" t="str">
        <f t="shared" ref="Y6:Y17" si="9">IF(AND($E6&gt;36,$E6&lt;=48),$B6,"")</f>
        <v/>
      </c>
    </row>
    <row r="7" spans="1:25" ht="18.75" customHeight="1" outlineLevel="2" x14ac:dyDescent="0.25">
      <c r="A7" s="37"/>
      <c r="B7" s="192"/>
      <c r="C7" s="166"/>
      <c r="D7" s="166"/>
      <c r="E7" s="167"/>
      <c r="F7" s="23" t="str">
        <f t="shared" si="1"/>
        <v/>
      </c>
      <c r="G7" s="24" t="str">
        <f t="shared" si="0"/>
        <v/>
      </c>
      <c r="H7" s="24" t="str">
        <f t="shared" si="0"/>
        <v/>
      </c>
      <c r="I7" s="24" t="str">
        <f t="shared" si="0"/>
        <v/>
      </c>
      <c r="J7" s="24" t="str">
        <f t="shared" si="0"/>
        <v/>
      </c>
      <c r="K7" s="24" t="str">
        <f t="shared" si="0"/>
        <v/>
      </c>
      <c r="L7" s="24" t="str">
        <f t="shared" si="0"/>
        <v/>
      </c>
      <c r="M7" s="24" t="str">
        <f t="shared" si="0"/>
        <v/>
      </c>
      <c r="N7" s="24" t="str">
        <f t="shared" si="0"/>
        <v/>
      </c>
      <c r="O7" s="24" t="str">
        <f t="shared" si="0"/>
        <v/>
      </c>
      <c r="P7" s="24" t="str">
        <f t="shared" si="0"/>
        <v/>
      </c>
      <c r="Q7" s="24" t="str">
        <f t="shared" si="0"/>
        <v/>
      </c>
      <c r="R7" s="105">
        <f t="shared" ref="R7:R14" si="10">SUM(F7:Q7)</f>
        <v>0</v>
      </c>
      <c r="S7" s="106" t="str">
        <f t="shared" si="3"/>
        <v/>
      </c>
      <c r="T7" s="107" t="str">
        <f t="shared" si="4"/>
        <v/>
      </c>
      <c r="U7" s="107" t="str">
        <f t="shared" si="5"/>
        <v/>
      </c>
      <c r="V7" s="107" t="str">
        <f t="shared" si="6"/>
        <v/>
      </c>
      <c r="W7" s="108">
        <f t="shared" ref="W7:W14" si="11">SUM(S7:V7)</f>
        <v>0</v>
      </c>
      <c r="X7" s="25" t="str">
        <f t="shared" si="8"/>
        <v/>
      </c>
      <c r="Y7" s="26" t="str">
        <f t="shared" si="9"/>
        <v/>
      </c>
    </row>
    <row r="8" spans="1:25" ht="18.75" customHeight="1" outlineLevel="2" x14ac:dyDescent="0.25">
      <c r="A8" s="37" t="s">
        <v>64</v>
      </c>
      <c r="B8" s="192">
        <v>10000</v>
      </c>
      <c r="C8" s="166">
        <v>4</v>
      </c>
      <c r="D8" s="166">
        <v>1</v>
      </c>
      <c r="E8" s="167">
        <v>1</v>
      </c>
      <c r="F8" s="23">
        <f t="shared" si="1"/>
        <v>10000</v>
      </c>
      <c r="G8" s="24" t="str">
        <f t="shared" si="0"/>
        <v/>
      </c>
      <c r="H8" s="24" t="str">
        <f t="shared" si="0"/>
        <v/>
      </c>
      <c r="I8" s="24" t="str">
        <f t="shared" si="0"/>
        <v/>
      </c>
      <c r="J8" s="24" t="str">
        <f t="shared" si="0"/>
        <v/>
      </c>
      <c r="K8" s="24" t="str">
        <f t="shared" si="0"/>
        <v/>
      </c>
      <c r="L8" s="24" t="str">
        <f t="shared" si="0"/>
        <v/>
      </c>
      <c r="M8" s="24" t="str">
        <f t="shared" si="0"/>
        <v/>
      </c>
      <c r="N8" s="24" t="str">
        <f t="shared" si="0"/>
        <v/>
      </c>
      <c r="O8" s="24" t="str">
        <f t="shared" si="0"/>
        <v/>
      </c>
      <c r="P8" s="24" t="str">
        <f t="shared" si="0"/>
        <v/>
      </c>
      <c r="Q8" s="24" t="str">
        <f t="shared" si="0"/>
        <v/>
      </c>
      <c r="R8" s="105">
        <f t="shared" si="10"/>
        <v>10000</v>
      </c>
      <c r="S8" s="106" t="str">
        <f t="shared" si="3"/>
        <v/>
      </c>
      <c r="T8" s="107" t="str">
        <f t="shared" si="4"/>
        <v/>
      </c>
      <c r="U8" s="107" t="str">
        <f t="shared" si="5"/>
        <v/>
      </c>
      <c r="V8" s="107" t="str">
        <f t="shared" si="6"/>
        <v/>
      </c>
      <c r="W8" s="108">
        <f t="shared" si="11"/>
        <v>0</v>
      </c>
      <c r="X8" s="25" t="str">
        <f t="shared" si="8"/>
        <v/>
      </c>
      <c r="Y8" s="26" t="str">
        <f t="shared" si="9"/>
        <v/>
      </c>
    </row>
    <row r="9" spans="1:25" ht="18.75" customHeight="1" outlineLevel="2" x14ac:dyDescent="0.25">
      <c r="A9" s="37" t="s">
        <v>68</v>
      </c>
      <c r="B9" s="192">
        <v>12000</v>
      </c>
      <c r="C9" s="166">
        <v>4</v>
      </c>
      <c r="D9" s="166">
        <v>1</v>
      </c>
      <c r="E9" s="167">
        <v>1</v>
      </c>
      <c r="F9" s="23">
        <f t="shared" si="1"/>
        <v>12000</v>
      </c>
      <c r="G9" s="24" t="str">
        <f t="shared" si="0"/>
        <v/>
      </c>
      <c r="H9" s="24" t="str">
        <f t="shared" si="0"/>
        <v/>
      </c>
      <c r="I9" s="24" t="str">
        <f t="shared" si="0"/>
        <v/>
      </c>
      <c r="J9" s="24" t="str">
        <f t="shared" si="0"/>
        <v/>
      </c>
      <c r="K9" s="24" t="str">
        <f t="shared" si="0"/>
        <v/>
      </c>
      <c r="L9" s="24" t="str">
        <f t="shared" si="0"/>
        <v/>
      </c>
      <c r="M9" s="24" t="str">
        <f t="shared" si="0"/>
        <v/>
      </c>
      <c r="N9" s="24" t="str">
        <f t="shared" si="0"/>
        <v/>
      </c>
      <c r="O9" s="24" t="str">
        <f t="shared" si="0"/>
        <v/>
      </c>
      <c r="P9" s="24" t="str">
        <f t="shared" si="0"/>
        <v/>
      </c>
      <c r="Q9" s="24" t="str">
        <f t="shared" si="0"/>
        <v/>
      </c>
      <c r="R9" s="105">
        <f t="shared" si="10"/>
        <v>12000</v>
      </c>
      <c r="S9" s="106" t="str">
        <f t="shared" si="3"/>
        <v/>
      </c>
      <c r="T9" s="107" t="str">
        <f t="shared" si="4"/>
        <v/>
      </c>
      <c r="U9" s="107" t="str">
        <f t="shared" si="5"/>
        <v/>
      </c>
      <c r="V9" s="107" t="str">
        <f t="shared" si="6"/>
        <v/>
      </c>
      <c r="W9" s="108">
        <f t="shared" si="11"/>
        <v>0</v>
      </c>
      <c r="X9" s="25" t="str">
        <f t="shared" si="8"/>
        <v/>
      </c>
      <c r="Y9" s="26" t="str">
        <f t="shared" si="9"/>
        <v/>
      </c>
    </row>
    <row r="10" spans="1:25" ht="18.75" customHeight="1" outlineLevel="2" x14ac:dyDescent="0.25">
      <c r="A10" s="168" t="s">
        <v>65</v>
      </c>
      <c r="B10" s="192">
        <v>8000</v>
      </c>
      <c r="C10" s="166">
        <v>4</v>
      </c>
      <c r="D10" s="166">
        <v>1</v>
      </c>
      <c r="E10" s="167">
        <v>1</v>
      </c>
      <c r="F10" s="23">
        <f t="shared" si="1"/>
        <v>8000</v>
      </c>
      <c r="G10" s="24" t="str">
        <f t="shared" si="0"/>
        <v/>
      </c>
      <c r="H10" s="24" t="str">
        <f t="shared" si="0"/>
        <v/>
      </c>
      <c r="I10" s="24" t="str">
        <f t="shared" si="0"/>
        <v/>
      </c>
      <c r="J10" s="24" t="str">
        <f t="shared" si="0"/>
        <v/>
      </c>
      <c r="K10" s="24" t="str">
        <f t="shared" si="0"/>
        <v/>
      </c>
      <c r="L10" s="24" t="str">
        <f t="shared" si="0"/>
        <v/>
      </c>
      <c r="M10" s="24" t="str">
        <f t="shared" si="0"/>
        <v/>
      </c>
      <c r="N10" s="24" t="str">
        <f t="shared" si="0"/>
        <v/>
      </c>
      <c r="O10" s="24" t="str">
        <f t="shared" si="0"/>
        <v/>
      </c>
      <c r="P10" s="24" t="str">
        <f t="shared" si="0"/>
        <v/>
      </c>
      <c r="Q10" s="24" t="str">
        <f t="shared" si="0"/>
        <v/>
      </c>
      <c r="R10" s="105">
        <f t="shared" si="10"/>
        <v>8000</v>
      </c>
      <c r="S10" s="106" t="str">
        <f t="shared" si="3"/>
        <v/>
      </c>
      <c r="T10" s="107" t="str">
        <f t="shared" si="4"/>
        <v/>
      </c>
      <c r="U10" s="107" t="str">
        <f t="shared" si="5"/>
        <v/>
      </c>
      <c r="V10" s="107" t="str">
        <f t="shared" si="6"/>
        <v/>
      </c>
      <c r="W10" s="108">
        <f t="shared" si="11"/>
        <v>0</v>
      </c>
      <c r="X10" s="25" t="str">
        <f t="shared" si="8"/>
        <v/>
      </c>
      <c r="Y10" s="26" t="str">
        <f t="shared" si="9"/>
        <v/>
      </c>
    </row>
    <row r="11" spans="1:25" ht="18.75" customHeight="1" outlineLevel="2" x14ac:dyDescent="0.25">
      <c r="A11" s="168" t="s">
        <v>65</v>
      </c>
      <c r="B11" s="192">
        <v>8000</v>
      </c>
      <c r="C11" s="166">
        <v>4</v>
      </c>
      <c r="D11" s="166">
        <v>13</v>
      </c>
      <c r="E11" s="167">
        <v>13</v>
      </c>
      <c r="F11" s="23" t="str">
        <f t="shared" si="1"/>
        <v/>
      </c>
      <c r="G11" s="24" t="str">
        <f t="shared" si="0"/>
        <v/>
      </c>
      <c r="H11" s="24" t="str">
        <f t="shared" si="0"/>
        <v/>
      </c>
      <c r="I11" s="24" t="str">
        <f t="shared" si="0"/>
        <v/>
      </c>
      <c r="J11" s="24" t="str">
        <f t="shared" si="0"/>
        <v/>
      </c>
      <c r="K11" s="24" t="str">
        <f t="shared" si="0"/>
        <v/>
      </c>
      <c r="L11" s="24" t="str">
        <f t="shared" si="0"/>
        <v/>
      </c>
      <c r="M11" s="24" t="str">
        <f t="shared" si="0"/>
        <v/>
      </c>
      <c r="N11" s="24" t="str">
        <f t="shared" si="0"/>
        <v/>
      </c>
      <c r="O11" s="24" t="str">
        <f t="shared" si="0"/>
        <v/>
      </c>
      <c r="P11" s="24" t="str">
        <f t="shared" si="0"/>
        <v/>
      </c>
      <c r="Q11" s="24" t="str">
        <f t="shared" si="0"/>
        <v/>
      </c>
      <c r="R11" s="105">
        <f t="shared" ref="R11:R13" si="12">SUM(F11:Q11)</f>
        <v>0</v>
      </c>
      <c r="S11" s="106">
        <f t="shared" si="3"/>
        <v>8000</v>
      </c>
      <c r="T11" s="107" t="str">
        <f t="shared" si="4"/>
        <v/>
      </c>
      <c r="U11" s="107" t="str">
        <f t="shared" si="5"/>
        <v/>
      </c>
      <c r="V11" s="107" t="str">
        <f t="shared" si="6"/>
        <v/>
      </c>
      <c r="W11" s="108">
        <f t="shared" ref="W11:W13" si="13">SUM(S11:V11)</f>
        <v>8000</v>
      </c>
      <c r="X11" s="25" t="str">
        <f t="shared" si="8"/>
        <v/>
      </c>
      <c r="Y11" s="26" t="str">
        <f t="shared" si="9"/>
        <v/>
      </c>
    </row>
    <row r="12" spans="1:25" ht="18.75" customHeight="1" outlineLevel="2" x14ac:dyDescent="0.25">
      <c r="A12" s="168" t="s">
        <v>65</v>
      </c>
      <c r="B12" s="192">
        <v>6000</v>
      </c>
      <c r="C12" s="166">
        <v>4</v>
      </c>
      <c r="D12" s="166">
        <v>19</v>
      </c>
      <c r="E12" s="167">
        <v>19</v>
      </c>
      <c r="F12" s="23" t="str">
        <f t="shared" si="1"/>
        <v/>
      </c>
      <c r="G12" s="24" t="str">
        <f t="shared" si="0"/>
        <v/>
      </c>
      <c r="H12" s="24" t="str">
        <f t="shared" si="0"/>
        <v/>
      </c>
      <c r="I12" s="24" t="str">
        <f t="shared" si="0"/>
        <v/>
      </c>
      <c r="J12" s="24" t="str">
        <f t="shared" si="0"/>
        <v/>
      </c>
      <c r="K12" s="24" t="str">
        <f t="shared" si="0"/>
        <v/>
      </c>
      <c r="L12" s="24" t="str">
        <f t="shared" si="0"/>
        <v/>
      </c>
      <c r="M12" s="24" t="str">
        <f t="shared" si="0"/>
        <v/>
      </c>
      <c r="N12" s="24" t="str">
        <f t="shared" si="0"/>
        <v/>
      </c>
      <c r="O12" s="24" t="str">
        <f t="shared" si="0"/>
        <v/>
      </c>
      <c r="P12" s="24" t="str">
        <f t="shared" si="0"/>
        <v/>
      </c>
      <c r="Q12" s="24" t="str">
        <f t="shared" si="0"/>
        <v/>
      </c>
      <c r="R12" s="105">
        <f t="shared" si="12"/>
        <v>0</v>
      </c>
      <c r="S12" s="106" t="str">
        <f t="shared" si="3"/>
        <v/>
      </c>
      <c r="T12" s="107" t="str">
        <f t="shared" si="4"/>
        <v/>
      </c>
      <c r="U12" s="107">
        <f t="shared" si="5"/>
        <v>6000</v>
      </c>
      <c r="V12" s="107" t="str">
        <f t="shared" si="6"/>
        <v/>
      </c>
      <c r="W12" s="108">
        <f t="shared" si="13"/>
        <v>6000</v>
      </c>
      <c r="X12" s="25" t="str">
        <f t="shared" si="8"/>
        <v/>
      </c>
      <c r="Y12" s="26" t="str">
        <f t="shared" si="9"/>
        <v/>
      </c>
    </row>
    <row r="13" spans="1:25" ht="18.75" customHeight="1" outlineLevel="2" x14ac:dyDescent="0.25">
      <c r="A13" s="168" t="s">
        <v>65</v>
      </c>
      <c r="B13" s="192">
        <v>2000</v>
      </c>
      <c r="C13" s="166">
        <v>4</v>
      </c>
      <c r="D13" s="166">
        <v>25</v>
      </c>
      <c r="E13" s="167">
        <v>25</v>
      </c>
      <c r="F13" s="23" t="str">
        <f t="shared" si="1"/>
        <v/>
      </c>
      <c r="G13" s="24" t="str">
        <f t="shared" si="0"/>
        <v/>
      </c>
      <c r="H13" s="24" t="str">
        <f t="shared" si="0"/>
        <v/>
      </c>
      <c r="I13" s="24" t="str">
        <f t="shared" si="0"/>
        <v/>
      </c>
      <c r="J13" s="24" t="str">
        <f t="shared" si="0"/>
        <v/>
      </c>
      <c r="K13" s="24" t="str">
        <f t="shared" si="0"/>
        <v/>
      </c>
      <c r="L13" s="24" t="str">
        <f t="shared" si="0"/>
        <v/>
      </c>
      <c r="M13" s="24" t="str">
        <f t="shared" si="0"/>
        <v/>
      </c>
      <c r="N13" s="24" t="str">
        <f t="shared" si="0"/>
        <v/>
      </c>
      <c r="O13" s="24" t="str">
        <f t="shared" si="0"/>
        <v/>
      </c>
      <c r="P13" s="24" t="str">
        <f t="shared" si="0"/>
        <v/>
      </c>
      <c r="Q13" s="24" t="str">
        <f t="shared" si="0"/>
        <v/>
      </c>
      <c r="R13" s="105">
        <f t="shared" si="12"/>
        <v>0</v>
      </c>
      <c r="S13" s="106" t="str">
        <f t="shared" si="3"/>
        <v/>
      </c>
      <c r="T13" s="107" t="str">
        <f t="shared" si="4"/>
        <v/>
      </c>
      <c r="U13" s="107" t="str">
        <f t="shared" si="5"/>
        <v/>
      </c>
      <c r="V13" s="107" t="str">
        <f t="shared" si="6"/>
        <v/>
      </c>
      <c r="W13" s="108">
        <f t="shared" si="13"/>
        <v>0</v>
      </c>
      <c r="X13" s="25">
        <f t="shared" si="8"/>
        <v>2000</v>
      </c>
      <c r="Y13" s="26" t="str">
        <f t="shared" si="9"/>
        <v/>
      </c>
    </row>
    <row r="14" spans="1:25" ht="18.75" customHeight="1" outlineLevel="2" x14ac:dyDescent="0.25">
      <c r="A14" s="37" t="s">
        <v>66</v>
      </c>
      <c r="B14" s="192">
        <v>10000</v>
      </c>
      <c r="C14" s="166">
        <v>4</v>
      </c>
      <c r="D14" s="166">
        <v>2</v>
      </c>
      <c r="E14" s="167">
        <v>3</v>
      </c>
      <c r="F14" s="23" t="str">
        <f t="shared" si="1"/>
        <v/>
      </c>
      <c r="G14" s="24" t="str">
        <f t="shared" si="0"/>
        <v/>
      </c>
      <c r="H14" s="24">
        <f t="shared" si="0"/>
        <v>10000</v>
      </c>
      <c r="I14" s="24" t="str">
        <f t="shared" si="0"/>
        <v/>
      </c>
      <c r="J14" s="24" t="str">
        <f t="shared" si="0"/>
        <v/>
      </c>
      <c r="K14" s="24" t="str">
        <f t="shared" si="0"/>
        <v/>
      </c>
      <c r="L14" s="24" t="str">
        <f t="shared" si="0"/>
        <v/>
      </c>
      <c r="M14" s="24" t="str">
        <f t="shared" si="0"/>
        <v/>
      </c>
      <c r="N14" s="24" t="str">
        <f t="shared" si="0"/>
        <v/>
      </c>
      <c r="O14" s="24" t="str">
        <f t="shared" si="0"/>
        <v/>
      </c>
      <c r="P14" s="24" t="str">
        <f t="shared" si="0"/>
        <v/>
      </c>
      <c r="Q14" s="24" t="str">
        <f t="shared" si="0"/>
        <v/>
      </c>
      <c r="R14" s="105">
        <f t="shared" si="10"/>
        <v>10000</v>
      </c>
      <c r="S14" s="106" t="str">
        <f t="shared" si="3"/>
        <v/>
      </c>
      <c r="T14" s="107" t="str">
        <f t="shared" si="4"/>
        <v/>
      </c>
      <c r="U14" s="107" t="str">
        <f t="shared" si="5"/>
        <v/>
      </c>
      <c r="V14" s="107" t="str">
        <f t="shared" si="6"/>
        <v/>
      </c>
      <c r="W14" s="108">
        <f t="shared" si="11"/>
        <v>0</v>
      </c>
      <c r="X14" s="25" t="str">
        <f t="shared" si="8"/>
        <v/>
      </c>
      <c r="Y14" s="26" t="str">
        <f t="shared" si="9"/>
        <v/>
      </c>
    </row>
    <row r="15" spans="1:25" ht="18.75" customHeight="1" outlineLevel="2" x14ac:dyDescent="0.25">
      <c r="A15" s="38" t="s">
        <v>69</v>
      </c>
      <c r="B15" s="193">
        <v>10000</v>
      </c>
      <c r="C15" s="170">
        <v>5</v>
      </c>
      <c r="D15" s="170">
        <v>5</v>
      </c>
      <c r="E15" s="171">
        <v>6</v>
      </c>
      <c r="F15" s="27" t="str">
        <f t="shared" si="1"/>
        <v/>
      </c>
      <c r="G15" s="28" t="str">
        <f t="shared" si="0"/>
        <v/>
      </c>
      <c r="H15" s="28" t="str">
        <f t="shared" si="0"/>
        <v/>
      </c>
      <c r="I15" s="28" t="str">
        <f t="shared" si="0"/>
        <v/>
      </c>
      <c r="J15" s="28" t="str">
        <f t="shared" si="0"/>
        <v/>
      </c>
      <c r="K15" s="28">
        <f t="shared" si="0"/>
        <v>10000</v>
      </c>
      <c r="L15" s="28" t="str">
        <f t="shared" si="0"/>
        <v/>
      </c>
      <c r="M15" s="28" t="str">
        <f t="shared" si="0"/>
        <v/>
      </c>
      <c r="N15" s="28" t="str">
        <f t="shared" si="0"/>
        <v/>
      </c>
      <c r="O15" s="28" t="str">
        <f t="shared" si="0"/>
        <v/>
      </c>
      <c r="P15" s="28" t="str">
        <f t="shared" si="0"/>
        <v/>
      </c>
      <c r="Q15" s="28" t="str">
        <f t="shared" si="0"/>
        <v/>
      </c>
      <c r="R15" s="109">
        <f t="shared" ref="R15:R16" si="14">SUM(F15:Q15)</f>
        <v>10000</v>
      </c>
      <c r="S15" s="110" t="str">
        <f t="shared" si="3"/>
        <v/>
      </c>
      <c r="T15" s="111" t="str">
        <f t="shared" si="4"/>
        <v/>
      </c>
      <c r="U15" s="111" t="str">
        <f t="shared" si="5"/>
        <v/>
      </c>
      <c r="V15" s="111" t="str">
        <f t="shared" si="6"/>
        <v/>
      </c>
      <c r="W15" s="112">
        <f t="shared" ref="W15:W16" si="15">SUM(S15:V15)</f>
        <v>0</v>
      </c>
      <c r="X15" s="29" t="str">
        <f t="shared" si="8"/>
        <v/>
      </c>
      <c r="Y15" s="30" t="str">
        <f t="shared" si="9"/>
        <v/>
      </c>
    </row>
    <row r="16" spans="1:25" ht="18.75" customHeight="1" outlineLevel="2" x14ac:dyDescent="0.25">
      <c r="A16" s="38" t="s">
        <v>69</v>
      </c>
      <c r="B16" s="193">
        <v>10000</v>
      </c>
      <c r="C16" s="170">
        <v>5</v>
      </c>
      <c r="D16" s="170">
        <v>19</v>
      </c>
      <c r="E16" s="171">
        <v>20</v>
      </c>
      <c r="F16" s="27" t="str">
        <f t="shared" si="1"/>
        <v/>
      </c>
      <c r="G16" s="28" t="str">
        <f t="shared" si="0"/>
        <v/>
      </c>
      <c r="H16" s="28" t="str">
        <f t="shared" si="0"/>
        <v/>
      </c>
      <c r="I16" s="28" t="str">
        <f t="shared" si="0"/>
        <v/>
      </c>
      <c r="J16" s="28" t="str">
        <f t="shared" si="0"/>
        <v/>
      </c>
      <c r="K16" s="28" t="str">
        <f t="shared" si="0"/>
        <v/>
      </c>
      <c r="L16" s="28" t="str">
        <f t="shared" si="0"/>
        <v/>
      </c>
      <c r="M16" s="28" t="str">
        <f t="shared" si="0"/>
        <v/>
      </c>
      <c r="N16" s="28" t="str">
        <f t="shared" si="0"/>
        <v/>
      </c>
      <c r="O16" s="28" t="str">
        <f t="shared" si="0"/>
        <v/>
      </c>
      <c r="P16" s="28" t="str">
        <f t="shared" si="0"/>
        <v/>
      </c>
      <c r="Q16" s="28" t="str">
        <f t="shared" si="0"/>
        <v/>
      </c>
      <c r="R16" s="109">
        <f t="shared" si="14"/>
        <v>0</v>
      </c>
      <c r="S16" s="110" t="str">
        <f t="shared" si="3"/>
        <v/>
      </c>
      <c r="T16" s="111" t="str">
        <f t="shared" si="4"/>
        <v/>
      </c>
      <c r="U16" s="111">
        <f t="shared" si="5"/>
        <v>10000</v>
      </c>
      <c r="V16" s="111" t="str">
        <f t="shared" si="6"/>
        <v/>
      </c>
      <c r="W16" s="112">
        <f t="shared" si="15"/>
        <v>10000</v>
      </c>
      <c r="X16" s="29" t="str">
        <f t="shared" si="8"/>
        <v/>
      </c>
      <c r="Y16" s="30" t="str">
        <f t="shared" si="9"/>
        <v/>
      </c>
    </row>
    <row r="17" spans="1:25" ht="18.75" customHeight="1" outlineLevel="2" thickBot="1" x14ac:dyDescent="0.3">
      <c r="A17" s="38"/>
      <c r="B17" s="193"/>
      <c r="C17" s="170"/>
      <c r="D17" s="170"/>
      <c r="E17" s="171"/>
      <c r="F17" s="27" t="str">
        <f t="shared" si="1"/>
        <v/>
      </c>
      <c r="G17" s="28" t="str">
        <f t="shared" si="0"/>
        <v/>
      </c>
      <c r="H17" s="28" t="str">
        <f t="shared" si="0"/>
        <v/>
      </c>
      <c r="I17" s="28" t="str">
        <f t="shared" si="0"/>
        <v/>
      </c>
      <c r="J17" s="28" t="str">
        <f t="shared" si="0"/>
        <v/>
      </c>
      <c r="K17" s="28" t="str">
        <f t="shared" si="0"/>
        <v/>
      </c>
      <c r="L17" s="28" t="str">
        <f t="shared" si="0"/>
        <v/>
      </c>
      <c r="M17" s="28" t="str">
        <f t="shared" si="0"/>
        <v/>
      </c>
      <c r="N17" s="28" t="str">
        <f t="shared" si="0"/>
        <v/>
      </c>
      <c r="O17" s="28" t="str">
        <f t="shared" si="0"/>
        <v/>
      </c>
      <c r="P17" s="28" t="str">
        <f t="shared" si="0"/>
        <v/>
      </c>
      <c r="Q17" s="28" t="str">
        <f t="shared" si="0"/>
        <v/>
      </c>
      <c r="R17" s="109">
        <f t="shared" si="2"/>
        <v>0</v>
      </c>
      <c r="S17" s="110" t="str">
        <f t="shared" si="3"/>
        <v/>
      </c>
      <c r="T17" s="111" t="str">
        <f t="shared" si="4"/>
        <v/>
      </c>
      <c r="U17" s="111" t="str">
        <f t="shared" si="5"/>
        <v/>
      </c>
      <c r="V17" s="111" t="str">
        <f t="shared" si="6"/>
        <v/>
      </c>
      <c r="W17" s="112">
        <f t="shared" si="7"/>
        <v>0</v>
      </c>
      <c r="X17" s="29" t="str">
        <f t="shared" si="8"/>
        <v/>
      </c>
      <c r="Y17" s="30" t="str">
        <f t="shared" si="9"/>
        <v/>
      </c>
    </row>
    <row r="18" spans="1:25" ht="7.5" customHeight="1" outlineLevel="2" thickTop="1" thickBot="1" x14ac:dyDescent="0.3">
      <c r="A18" s="39"/>
      <c r="B18" s="40"/>
      <c r="C18" s="40"/>
      <c r="D18" s="40"/>
      <c r="E18" s="41"/>
      <c r="F18" s="42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/>
      <c r="R18" s="45"/>
      <c r="S18" s="46"/>
      <c r="T18" s="43"/>
      <c r="U18" s="43"/>
      <c r="V18" s="43"/>
      <c r="W18" s="47"/>
      <c r="X18" s="48"/>
      <c r="Y18" s="49"/>
    </row>
    <row r="19" spans="1:25" ht="18.75" customHeight="1" outlineLevel="1" thickBot="1" x14ac:dyDescent="0.3">
      <c r="A19" s="50" t="s">
        <v>28</v>
      </c>
      <c r="B19" s="51">
        <f>SUM(B5:B18)</f>
        <v>104000</v>
      </c>
      <c r="C19" s="57"/>
      <c r="D19" s="58"/>
      <c r="E19" s="59"/>
      <c r="F19" s="60">
        <f t="shared" ref="F19:Y19" si="16">SUM(F5:F18)</f>
        <v>58000</v>
      </c>
      <c r="G19" s="61">
        <f t="shared" si="16"/>
        <v>0</v>
      </c>
      <c r="H19" s="61">
        <f t="shared" si="16"/>
        <v>10000</v>
      </c>
      <c r="I19" s="61">
        <f t="shared" si="16"/>
        <v>0</v>
      </c>
      <c r="J19" s="61">
        <f t="shared" si="16"/>
        <v>0</v>
      </c>
      <c r="K19" s="61">
        <f t="shared" si="16"/>
        <v>10000</v>
      </c>
      <c r="L19" s="61">
        <f t="shared" si="16"/>
        <v>0</v>
      </c>
      <c r="M19" s="61">
        <f t="shared" si="16"/>
        <v>0</v>
      </c>
      <c r="N19" s="61">
        <f t="shared" si="16"/>
        <v>0</v>
      </c>
      <c r="O19" s="61">
        <f t="shared" si="16"/>
        <v>0</v>
      </c>
      <c r="P19" s="61">
        <f t="shared" si="16"/>
        <v>0</v>
      </c>
      <c r="Q19" s="61">
        <f t="shared" si="16"/>
        <v>0</v>
      </c>
      <c r="R19" s="52">
        <f t="shared" si="16"/>
        <v>78000</v>
      </c>
      <c r="S19" s="62">
        <f t="shared" si="16"/>
        <v>8000</v>
      </c>
      <c r="T19" s="61">
        <f t="shared" si="16"/>
        <v>0</v>
      </c>
      <c r="U19" s="61">
        <f t="shared" si="16"/>
        <v>16000</v>
      </c>
      <c r="V19" s="61">
        <f t="shared" si="16"/>
        <v>0</v>
      </c>
      <c r="W19" s="53">
        <f t="shared" si="16"/>
        <v>24000</v>
      </c>
      <c r="X19" s="54">
        <f t="shared" si="16"/>
        <v>2000</v>
      </c>
      <c r="Y19" s="55">
        <f t="shared" si="16"/>
        <v>0</v>
      </c>
    </row>
    <row r="20" spans="1:25" ht="7.5" customHeight="1" outlineLevel="1" x14ac:dyDescent="0.25">
      <c r="A20" s="432"/>
      <c r="B20" s="433"/>
      <c r="C20" s="433"/>
      <c r="D20" s="433"/>
      <c r="E20" s="433"/>
      <c r="F20" s="433"/>
      <c r="G20" s="433"/>
      <c r="H20" s="433"/>
      <c r="I20" s="433"/>
      <c r="J20" s="433"/>
      <c r="K20" s="433"/>
      <c r="L20" s="433"/>
      <c r="M20" s="433"/>
      <c r="N20" s="433"/>
      <c r="O20" s="433"/>
      <c r="P20" s="433"/>
      <c r="Q20" s="433"/>
      <c r="R20" s="433"/>
      <c r="S20" s="433"/>
      <c r="T20" s="433"/>
      <c r="U20" s="433"/>
      <c r="V20" s="433"/>
      <c r="W20" s="433"/>
      <c r="X20" s="433"/>
      <c r="Y20" s="434"/>
    </row>
    <row r="21" spans="1:25" ht="18.75" customHeight="1" outlineLevel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5"/>
    </row>
    <row r="22" spans="1:25" ht="18.75" customHeight="1" outlineLevel="2" thickTop="1" x14ac:dyDescent="0.25">
      <c r="A22" s="36"/>
      <c r="B22" s="31"/>
      <c r="C22" s="32"/>
      <c r="D22" s="32"/>
      <c r="E22" s="33"/>
      <c r="F22" s="19" t="str">
        <f>IF($E22=F$4,$B22,"")</f>
        <v/>
      </c>
      <c r="G22" s="20" t="str">
        <f t="shared" ref="G22:Q22" si="17">IF($E22=G$4,$B22,"")</f>
        <v/>
      </c>
      <c r="H22" s="20" t="str">
        <f t="shared" si="17"/>
        <v/>
      </c>
      <c r="I22" s="20" t="str">
        <f t="shared" si="17"/>
        <v/>
      </c>
      <c r="J22" s="20" t="str">
        <f t="shared" si="17"/>
        <v/>
      </c>
      <c r="K22" s="20" t="str">
        <f t="shared" si="17"/>
        <v/>
      </c>
      <c r="L22" s="20" t="str">
        <f t="shared" si="17"/>
        <v/>
      </c>
      <c r="M22" s="20" t="str">
        <f t="shared" si="17"/>
        <v/>
      </c>
      <c r="N22" s="20" t="str">
        <f t="shared" si="17"/>
        <v/>
      </c>
      <c r="O22" s="20" t="str">
        <f t="shared" si="17"/>
        <v/>
      </c>
      <c r="P22" s="20" t="str">
        <f t="shared" si="17"/>
        <v/>
      </c>
      <c r="Q22" s="20" t="str">
        <f t="shared" si="17"/>
        <v/>
      </c>
      <c r="R22" s="101">
        <f>SUM(F22:Q22)</f>
        <v>0</v>
      </c>
      <c r="S22" s="102" t="str">
        <f>IF(AND($E22&gt;12,$E22&lt;=15),$B22,"")</f>
        <v/>
      </c>
      <c r="T22" s="103" t="str">
        <f>IF(AND($E22&gt;15,$E22&lt;=18),$B22,"")</f>
        <v/>
      </c>
      <c r="U22" s="103" t="str">
        <f>IF(AND($E22&gt;18,$E22&lt;=21),$B22,"")</f>
        <v/>
      </c>
      <c r="V22" s="103" t="str">
        <f>IF(AND($E22&gt;21,$E22&lt;=24),$B22,"")</f>
        <v/>
      </c>
      <c r="W22" s="104">
        <f>SUM(S22:V22)</f>
        <v>0</v>
      </c>
      <c r="X22" s="21" t="str">
        <f>IF(AND($E22&gt;24,$E22&lt;=36),$B22,"")</f>
        <v/>
      </c>
      <c r="Y22" s="22" t="str">
        <f>IF(AND($E22&gt;36,$E22&lt;=48),$B22,"")</f>
        <v/>
      </c>
    </row>
    <row r="23" spans="1:25" ht="18.75" customHeight="1" outlineLevel="2" x14ac:dyDescent="0.25">
      <c r="A23" s="194"/>
      <c r="B23" s="195"/>
      <c r="C23" s="196"/>
      <c r="D23" s="196"/>
      <c r="E23" s="197"/>
      <c r="F23" s="198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200"/>
      <c r="S23" s="201"/>
      <c r="T23" s="202"/>
      <c r="U23" s="202"/>
      <c r="V23" s="202"/>
      <c r="W23" s="203"/>
      <c r="X23" s="204"/>
      <c r="Y23" s="205"/>
    </row>
    <row r="24" spans="1:25" ht="18.75" customHeight="1" outlineLevel="2" thickBot="1" x14ac:dyDescent="0.3">
      <c r="A24" s="38"/>
      <c r="B24" s="34"/>
      <c r="C24" s="34"/>
      <c r="D24" s="34"/>
      <c r="E24" s="35"/>
      <c r="F24" s="27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109">
        <f t="shared" ref="R24" si="18">SUM(F24:Q24)</f>
        <v>0</v>
      </c>
      <c r="S24" s="110" t="str">
        <f t="shared" ref="S24" si="19">IF(AND($E24&gt;12,$E24&lt;=15),$B24,"")</f>
        <v/>
      </c>
      <c r="T24" s="111" t="str">
        <f t="shared" ref="T24" si="20">IF(AND($E24&gt;15,$E24&lt;=18),$B24,"")</f>
        <v/>
      </c>
      <c r="U24" s="111" t="str">
        <f t="shared" ref="U24" si="21">IF(AND($E24&gt;18,$E24&lt;=21),$B24,"")</f>
        <v/>
      </c>
      <c r="V24" s="111" t="str">
        <f t="shared" ref="V24" si="22">IF(AND($E24&gt;21,$E24&lt;=24),$B24,"")</f>
        <v/>
      </c>
      <c r="W24" s="112">
        <f t="shared" ref="W24" si="23">SUM(S24:V24)</f>
        <v>0</v>
      </c>
      <c r="X24" s="29"/>
      <c r="Y24" s="30"/>
    </row>
    <row r="25" spans="1:25" ht="7.5" customHeight="1" outlineLevel="2" thickTop="1" thickBot="1" x14ac:dyDescent="0.3">
      <c r="A25" s="39"/>
      <c r="B25" s="40"/>
      <c r="C25" s="40"/>
      <c r="D25" s="40"/>
      <c r="E25" s="41"/>
      <c r="F25" s="42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4"/>
      <c r="R25" s="45"/>
      <c r="S25" s="46"/>
      <c r="T25" s="43"/>
      <c r="U25" s="43"/>
      <c r="V25" s="43"/>
      <c r="W25" s="47"/>
      <c r="X25" s="48"/>
      <c r="Y25" s="49"/>
    </row>
    <row r="26" spans="1:25" ht="18.75" customHeight="1" outlineLevel="1" thickBot="1" x14ac:dyDescent="0.3">
      <c r="A26" s="50" t="s">
        <v>28</v>
      </c>
      <c r="B26" s="51">
        <f>SUM(B20:B25)</f>
        <v>0</v>
      </c>
      <c r="C26" s="57"/>
      <c r="D26" s="58"/>
      <c r="E26" s="59"/>
      <c r="F26" s="60">
        <f>SUM(F20:F25)</f>
        <v>0</v>
      </c>
      <c r="G26" s="61">
        <f t="shared" ref="G26" si="24">SUM(G20:G25)</f>
        <v>0</v>
      </c>
      <c r="H26" s="61">
        <f t="shared" ref="H26" si="25">SUM(H20:H25)</f>
        <v>0</v>
      </c>
      <c r="I26" s="61">
        <f t="shared" ref="I26" si="26">SUM(I20:I25)</f>
        <v>0</v>
      </c>
      <c r="J26" s="61">
        <f t="shared" ref="J26" si="27">SUM(J20:J25)</f>
        <v>0</v>
      </c>
      <c r="K26" s="61">
        <f t="shared" ref="K26" si="28">SUM(K20:K25)</f>
        <v>0</v>
      </c>
      <c r="L26" s="61">
        <f t="shared" ref="L26" si="29">SUM(L20:L25)</f>
        <v>0</v>
      </c>
      <c r="M26" s="61">
        <f t="shared" ref="M26" si="30">SUM(M20:M25)</f>
        <v>0</v>
      </c>
      <c r="N26" s="61">
        <f t="shared" ref="N26" si="31">SUM(N20:N25)</f>
        <v>0</v>
      </c>
      <c r="O26" s="61">
        <f t="shared" ref="O26" si="32">SUM(O20:O25)</f>
        <v>0</v>
      </c>
      <c r="P26" s="61">
        <f t="shared" ref="P26" si="33">SUM(P20:P25)</f>
        <v>0</v>
      </c>
      <c r="Q26" s="61">
        <f t="shared" ref="Q26" si="34">SUM(Q20:Q25)</f>
        <v>0</v>
      </c>
      <c r="R26" s="52">
        <f t="shared" ref="R26" si="35">SUM(R20:R25)</f>
        <v>0</v>
      </c>
      <c r="S26" s="62">
        <f t="shared" ref="S26" si="36">SUM(S20:S25)</f>
        <v>0</v>
      </c>
      <c r="T26" s="61">
        <f t="shared" ref="T26" si="37">SUM(T20:T25)</f>
        <v>0</v>
      </c>
      <c r="U26" s="61">
        <f t="shared" ref="U26" si="38">SUM(U20:U25)</f>
        <v>0</v>
      </c>
      <c r="V26" s="61">
        <f t="shared" ref="V26" si="39">SUM(V20:V25)</f>
        <v>0</v>
      </c>
      <c r="W26" s="53">
        <f t="shared" ref="W26" si="40">SUM(W20:W25)</f>
        <v>0</v>
      </c>
      <c r="X26" s="54">
        <f t="shared" ref="X26" si="41">SUM(X20:X25)</f>
        <v>0</v>
      </c>
      <c r="Y26" s="55">
        <f t="shared" ref="Y26" si="42">SUM(Y20:Y25)</f>
        <v>0</v>
      </c>
    </row>
    <row r="27" spans="1:25" ht="7.5" customHeight="1" outlineLevel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5"/>
    </row>
    <row r="28" spans="1:25" s="67" customFormat="1" ht="18.75" customHeight="1" thickBot="1" x14ac:dyDescent="0.3">
      <c r="A28" s="68" t="s">
        <v>33</v>
      </c>
      <c r="B28" s="69">
        <f>B26+B19</f>
        <v>104000</v>
      </c>
      <c r="C28" s="70"/>
      <c r="D28" s="70"/>
      <c r="E28" s="267"/>
      <c r="F28" s="71">
        <f>F26+F19</f>
        <v>58000</v>
      </c>
      <c r="G28" s="72">
        <f t="shared" ref="G28:Y28" si="43">G26+G19</f>
        <v>0</v>
      </c>
      <c r="H28" s="72">
        <f t="shared" si="43"/>
        <v>10000</v>
      </c>
      <c r="I28" s="72">
        <f t="shared" si="43"/>
        <v>0</v>
      </c>
      <c r="J28" s="72">
        <f t="shared" si="43"/>
        <v>0</v>
      </c>
      <c r="K28" s="72">
        <f t="shared" si="43"/>
        <v>10000</v>
      </c>
      <c r="L28" s="72">
        <f t="shared" si="43"/>
        <v>0</v>
      </c>
      <c r="M28" s="72">
        <f t="shared" si="43"/>
        <v>0</v>
      </c>
      <c r="N28" s="72">
        <f t="shared" si="43"/>
        <v>0</v>
      </c>
      <c r="O28" s="72">
        <f t="shared" si="43"/>
        <v>0</v>
      </c>
      <c r="P28" s="72">
        <f t="shared" si="43"/>
        <v>0</v>
      </c>
      <c r="Q28" s="72">
        <f t="shared" si="43"/>
        <v>0</v>
      </c>
      <c r="R28" s="73">
        <f t="shared" si="43"/>
        <v>78000</v>
      </c>
      <c r="S28" s="74">
        <f t="shared" si="43"/>
        <v>8000</v>
      </c>
      <c r="T28" s="72">
        <f t="shared" si="43"/>
        <v>0</v>
      </c>
      <c r="U28" s="72">
        <f t="shared" si="43"/>
        <v>16000</v>
      </c>
      <c r="V28" s="72">
        <f t="shared" si="43"/>
        <v>0</v>
      </c>
      <c r="W28" s="73">
        <f t="shared" si="43"/>
        <v>24000</v>
      </c>
      <c r="X28" s="75">
        <f t="shared" si="43"/>
        <v>2000</v>
      </c>
      <c r="Y28" s="76">
        <f t="shared" si="43"/>
        <v>0</v>
      </c>
    </row>
    <row r="29" spans="1:25" ht="7.5" customHeight="1" x14ac:dyDescent="0.25">
      <c r="A29" s="435"/>
      <c r="B29" s="436"/>
      <c r="C29" s="436"/>
      <c r="D29" s="436"/>
      <c r="E29" s="436"/>
      <c r="F29" s="436"/>
      <c r="G29" s="436"/>
      <c r="H29" s="436"/>
      <c r="I29" s="436"/>
      <c r="J29" s="436"/>
      <c r="K29" s="436"/>
      <c r="L29" s="436"/>
      <c r="M29" s="436"/>
      <c r="N29" s="436"/>
      <c r="O29" s="436"/>
      <c r="P29" s="436"/>
      <c r="Q29" s="436"/>
      <c r="R29" s="436"/>
      <c r="S29" s="436"/>
      <c r="T29" s="436"/>
      <c r="U29" s="436"/>
      <c r="V29" s="436"/>
      <c r="W29" s="436"/>
      <c r="X29" s="436"/>
      <c r="Y29" s="437"/>
    </row>
    <row r="30" spans="1:25" ht="30" customHeight="1" thickBot="1" x14ac:dyDescent="0.3">
      <c r="A30" s="86" t="s">
        <v>61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</row>
    <row r="31" spans="1:25" ht="18.75" customHeight="1" outlineLevel="1" thickTop="1" x14ac:dyDescent="0.25">
      <c r="A31" s="36" t="s">
        <v>102</v>
      </c>
      <c r="B31" s="31">
        <v>35000</v>
      </c>
      <c r="C31" s="32">
        <v>4</v>
      </c>
      <c r="D31" s="32">
        <v>2</v>
      </c>
      <c r="E31" s="33">
        <v>3</v>
      </c>
      <c r="F31" s="19" t="str">
        <f>IF($E31=F$4,$B31,"")</f>
        <v/>
      </c>
      <c r="G31" s="20" t="str">
        <f t="shared" ref="G31:Q35" si="44">IF($E31=G$4,$B31,"")</f>
        <v/>
      </c>
      <c r="H31" s="20">
        <f t="shared" si="44"/>
        <v>35000</v>
      </c>
      <c r="I31" s="20" t="str">
        <f t="shared" si="44"/>
        <v/>
      </c>
      <c r="J31" s="20" t="str">
        <f t="shared" si="44"/>
        <v/>
      </c>
      <c r="K31" s="20" t="str">
        <f t="shared" si="44"/>
        <v/>
      </c>
      <c r="L31" s="20" t="str">
        <f t="shared" si="44"/>
        <v/>
      </c>
      <c r="M31" s="20" t="str">
        <f t="shared" si="44"/>
        <v/>
      </c>
      <c r="N31" s="20" t="str">
        <f t="shared" si="44"/>
        <v/>
      </c>
      <c r="O31" s="20" t="str">
        <f t="shared" si="44"/>
        <v/>
      </c>
      <c r="P31" s="20" t="str">
        <f t="shared" si="44"/>
        <v/>
      </c>
      <c r="Q31" s="20" t="str">
        <f t="shared" si="44"/>
        <v/>
      </c>
      <c r="R31" s="101">
        <f>SUM(F31:Q31)</f>
        <v>35000</v>
      </c>
      <c r="S31" s="102" t="str">
        <f>IF(AND($E31&gt;12,$E31&lt;=15),$B31,"")</f>
        <v/>
      </c>
      <c r="T31" s="103" t="str">
        <f>IF(AND($E31&gt;15,$E31&lt;=18),$B31,"")</f>
        <v/>
      </c>
      <c r="U31" s="103" t="str">
        <f>IF(AND($E31&gt;18,$E31&lt;=21),$B31,"")</f>
        <v/>
      </c>
      <c r="V31" s="103" t="str">
        <f>IF(AND($E31&gt;21,$E31&lt;=24),$B31,"")</f>
        <v/>
      </c>
      <c r="W31" s="104">
        <f>SUM(S31:V31)</f>
        <v>0</v>
      </c>
      <c r="X31" s="21" t="str">
        <f>IF(AND($E31&gt;24,$E31&lt;=36),$B31,"")</f>
        <v/>
      </c>
      <c r="Y31" s="22" t="str">
        <f>IF(AND($E31&gt;36,$E31&lt;=48),$B31,"")</f>
        <v/>
      </c>
    </row>
    <row r="32" spans="1:25" ht="18.75" customHeight="1" outlineLevel="1" x14ac:dyDescent="0.25">
      <c r="A32" s="37" t="s">
        <v>102</v>
      </c>
      <c r="B32" s="165">
        <v>35000</v>
      </c>
      <c r="C32" s="166">
        <v>4</v>
      </c>
      <c r="D32" s="166">
        <v>13</v>
      </c>
      <c r="E32" s="167">
        <v>14</v>
      </c>
      <c r="F32" s="23" t="str">
        <f t="shared" ref="F32:F35" si="45">IF($E32=F$4,$B32,"")</f>
        <v/>
      </c>
      <c r="G32" s="24" t="str">
        <f t="shared" si="44"/>
        <v/>
      </c>
      <c r="H32" s="24" t="str">
        <f t="shared" si="44"/>
        <v/>
      </c>
      <c r="I32" s="24" t="str">
        <f t="shared" si="44"/>
        <v/>
      </c>
      <c r="J32" s="24" t="str">
        <f t="shared" si="44"/>
        <v/>
      </c>
      <c r="K32" s="24" t="str">
        <f t="shared" si="44"/>
        <v/>
      </c>
      <c r="L32" s="24" t="str">
        <f t="shared" si="44"/>
        <v/>
      </c>
      <c r="M32" s="24" t="str">
        <f t="shared" si="44"/>
        <v/>
      </c>
      <c r="N32" s="24" t="str">
        <f t="shared" si="44"/>
        <v/>
      </c>
      <c r="O32" s="24" t="str">
        <f t="shared" si="44"/>
        <v/>
      </c>
      <c r="P32" s="24" t="str">
        <f t="shared" si="44"/>
        <v/>
      </c>
      <c r="Q32" s="24" t="str">
        <f t="shared" si="44"/>
        <v/>
      </c>
      <c r="R32" s="105">
        <f t="shared" ref="R32:R35" si="46">SUM(F32:Q32)</f>
        <v>0</v>
      </c>
      <c r="S32" s="106">
        <f t="shared" ref="S32:S35" si="47">IF(AND($E32&gt;12,$E32&lt;=15),$B32,"")</f>
        <v>35000</v>
      </c>
      <c r="T32" s="107" t="str">
        <f t="shared" ref="T32:T35" si="48">IF(AND($E32&gt;15,$E32&lt;=18),$B32,"")</f>
        <v/>
      </c>
      <c r="U32" s="107" t="str">
        <f t="shared" ref="U32:U35" si="49">IF(AND($E32&gt;18,$E32&lt;=21),$B32,"")</f>
        <v/>
      </c>
      <c r="V32" s="107" t="str">
        <f t="shared" ref="V32:V35" si="50">IF(AND($E32&gt;21,$E32&lt;=24),$B32,"")</f>
        <v/>
      </c>
      <c r="W32" s="108">
        <f t="shared" ref="W32:W35" si="51">SUM(S32:V32)</f>
        <v>35000</v>
      </c>
      <c r="X32" s="25" t="str">
        <f t="shared" ref="X32:X35" si="52">IF(AND($E32&gt;24,$E32&lt;=36),$B32,"")</f>
        <v/>
      </c>
      <c r="Y32" s="26" t="str">
        <f t="shared" ref="Y32:Y35" si="53">IF(AND($E32&gt;36,$E32&lt;=48),$B32,"")</f>
        <v/>
      </c>
    </row>
    <row r="33" spans="1:25" ht="18.75" customHeight="1" outlineLevel="1" x14ac:dyDescent="0.25">
      <c r="A33" s="37" t="s">
        <v>103</v>
      </c>
      <c r="B33" s="165">
        <v>25000</v>
      </c>
      <c r="C33" s="166">
        <v>4</v>
      </c>
      <c r="D33" s="166">
        <v>13</v>
      </c>
      <c r="E33" s="167">
        <v>14</v>
      </c>
      <c r="F33" s="23" t="str">
        <f t="shared" si="45"/>
        <v/>
      </c>
      <c r="G33" s="24" t="str">
        <f t="shared" si="44"/>
        <v/>
      </c>
      <c r="H33" s="24" t="str">
        <f t="shared" si="44"/>
        <v/>
      </c>
      <c r="I33" s="24" t="str">
        <f t="shared" si="44"/>
        <v/>
      </c>
      <c r="J33" s="24" t="str">
        <f t="shared" si="44"/>
        <v/>
      </c>
      <c r="K33" s="24" t="str">
        <f t="shared" si="44"/>
        <v/>
      </c>
      <c r="L33" s="24" t="str">
        <f t="shared" si="44"/>
        <v/>
      </c>
      <c r="M33" s="24" t="str">
        <f t="shared" si="44"/>
        <v/>
      </c>
      <c r="N33" s="24" t="str">
        <f t="shared" si="44"/>
        <v/>
      </c>
      <c r="O33" s="24" t="str">
        <f t="shared" si="44"/>
        <v/>
      </c>
      <c r="P33" s="24" t="str">
        <f t="shared" si="44"/>
        <v/>
      </c>
      <c r="Q33" s="24" t="str">
        <f t="shared" si="44"/>
        <v/>
      </c>
      <c r="R33" s="105">
        <f t="shared" si="46"/>
        <v>0</v>
      </c>
      <c r="S33" s="106">
        <f t="shared" si="47"/>
        <v>25000</v>
      </c>
      <c r="T33" s="107" t="str">
        <f t="shared" si="48"/>
        <v/>
      </c>
      <c r="U33" s="107" t="str">
        <f t="shared" si="49"/>
        <v/>
      </c>
      <c r="V33" s="107" t="str">
        <f t="shared" si="50"/>
        <v/>
      </c>
      <c r="W33" s="108">
        <f t="shared" si="51"/>
        <v>25000</v>
      </c>
      <c r="X33" s="25" t="str">
        <f t="shared" si="52"/>
        <v/>
      </c>
      <c r="Y33" s="26" t="str">
        <f t="shared" si="53"/>
        <v/>
      </c>
    </row>
    <row r="34" spans="1:25" ht="18.75" customHeight="1" outlineLevel="1" x14ac:dyDescent="0.25">
      <c r="A34" s="37" t="s">
        <v>103</v>
      </c>
      <c r="B34" s="165">
        <v>25000</v>
      </c>
      <c r="C34" s="166">
        <v>4</v>
      </c>
      <c r="D34" s="166">
        <v>25</v>
      </c>
      <c r="E34" s="167">
        <v>26</v>
      </c>
      <c r="F34" s="23" t="str">
        <f t="shared" si="45"/>
        <v/>
      </c>
      <c r="G34" s="24" t="str">
        <f t="shared" si="44"/>
        <v/>
      </c>
      <c r="H34" s="24" t="str">
        <f t="shared" si="44"/>
        <v/>
      </c>
      <c r="I34" s="24" t="str">
        <f t="shared" si="44"/>
        <v/>
      </c>
      <c r="J34" s="24" t="str">
        <f t="shared" si="44"/>
        <v/>
      </c>
      <c r="K34" s="24" t="str">
        <f t="shared" si="44"/>
        <v/>
      </c>
      <c r="L34" s="24" t="str">
        <f t="shared" si="44"/>
        <v/>
      </c>
      <c r="M34" s="24" t="str">
        <f t="shared" si="44"/>
        <v/>
      </c>
      <c r="N34" s="24" t="str">
        <f t="shared" si="44"/>
        <v/>
      </c>
      <c r="O34" s="24" t="str">
        <f t="shared" si="44"/>
        <v/>
      </c>
      <c r="P34" s="24" t="str">
        <f t="shared" si="44"/>
        <v/>
      </c>
      <c r="Q34" s="24" t="str">
        <f t="shared" si="44"/>
        <v/>
      </c>
      <c r="R34" s="105">
        <f t="shared" si="46"/>
        <v>0</v>
      </c>
      <c r="S34" s="106" t="str">
        <f t="shared" si="47"/>
        <v/>
      </c>
      <c r="T34" s="107" t="str">
        <f t="shared" si="48"/>
        <v/>
      </c>
      <c r="U34" s="107" t="str">
        <f t="shared" si="49"/>
        <v/>
      </c>
      <c r="V34" s="107" t="str">
        <f t="shared" si="50"/>
        <v/>
      </c>
      <c r="W34" s="108">
        <f t="shared" si="51"/>
        <v>0</v>
      </c>
      <c r="X34" s="25">
        <f t="shared" si="52"/>
        <v>25000</v>
      </c>
      <c r="Y34" s="26" t="str">
        <f t="shared" si="53"/>
        <v/>
      </c>
    </row>
    <row r="35" spans="1:25" ht="18.75" customHeight="1" outlineLevel="1" thickBot="1" x14ac:dyDescent="0.3">
      <c r="A35" s="268"/>
      <c r="B35" s="269"/>
      <c r="C35" s="269"/>
      <c r="D35" s="269"/>
      <c r="E35" s="270"/>
      <c r="F35" s="271" t="str">
        <f t="shared" si="45"/>
        <v/>
      </c>
      <c r="G35" s="272" t="str">
        <f t="shared" si="44"/>
        <v/>
      </c>
      <c r="H35" s="272" t="str">
        <f t="shared" si="44"/>
        <v/>
      </c>
      <c r="I35" s="272" t="str">
        <f t="shared" si="44"/>
        <v/>
      </c>
      <c r="J35" s="272" t="str">
        <f t="shared" si="44"/>
        <v/>
      </c>
      <c r="K35" s="272" t="str">
        <f t="shared" si="44"/>
        <v/>
      </c>
      <c r="L35" s="272" t="str">
        <f t="shared" si="44"/>
        <v/>
      </c>
      <c r="M35" s="272" t="str">
        <f t="shared" si="44"/>
        <v/>
      </c>
      <c r="N35" s="272" t="str">
        <f t="shared" si="44"/>
        <v/>
      </c>
      <c r="O35" s="272" t="str">
        <f t="shared" si="44"/>
        <v/>
      </c>
      <c r="P35" s="272" t="str">
        <f t="shared" si="44"/>
        <v/>
      </c>
      <c r="Q35" s="272" t="str">
        <f t="shared" si="44"/>
        <v/>
      </c>
      <c r="R35" s="273">
        <f t="shared" si="46"/>
        <v>0</v>
      </c>
      <c r="S35" s="274" t="str">
        <f t="shared" si="47"/>
        <v/>
      </c>
      <c r="T35" s="275" t="str">
        <f t="shared" si="48"/>
        <v/>
      </c>
      <c r="U35" s="275" t="str">
        <f t="shared" si="49"/>
        <v/>
      </c>
      <c r="V35" s="275" t="str">
        <f t="shared" si="50"/>
        <v/>
      </c>
      <c r="W35" s="276">
        <f t="shared" si="51"/>
        <v>0</v>
      </c>
      <c r="X35" s="277" t="str">
        <f t="shared" si="52"/>
        <v/>
      </c>
      <c r="Y35" s="278" t="str">
        <f t="shared" si="53"/>
        <v/>
      </c>
    </row>
    <row r="36" spans="1:25" ht="7.5" customHeight="1" outlineLevel="1" thickTop="1" thickBot="1" x14ac:dyDescent="0.3">
      <c r="A36" s="39"/>
      <c r="B36" s="40"/>
      <c r="C36" s="40"/>
      <c r="D36" s="40"/>
      <c r="E36" s="41"/>
      <c r="F36" s="42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  <c r="R36" s="45"/>
      <c r="S36" s="46"/>
      <c r="T36" s="43"/>
      <c r="U36" s="43"/>
      <c r="V36" s="43"/>
      <c r="W36" s="47"/>
      <c r="X36" s="48"/>
      <c r="Y36" s="49"/>
    </row>
    <row r="37" spans="1:25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94">
        <f>SUM(F31:F36)</f>
        <v>0</v>
      </c>
      <c r="G37" s="95">
        <f t="shared" ref="G37:Y37" si="54">SUM(G31:G36)</f>
        <v>0</v>
      </c>
      <c r="H37" s="95">
        <f t="shared" si="54"/>
        <v>35000</v>
      </c>
      <c r="I37" s="95">
        <f t="shared" si="54"/>
        <v>0</v>
      </c>
      <c r="J37" s="95">
        <f t="shared" si="54"/>
        <v>0</v>
      </c>
      <c r="K37" s="95">
        <f t="shared" si="54"/>
        <v>0</v>
      </c>
      <c r="L37" s="95">
        <f t="shared" si="54"/>
        <v>0</v>
      </c>
      <c r="M37" s="95">
        <f t="shared" si="54"/>
        <v>0</v>
      </c>
      <c r="N37" s="95">
        <f t="shared" si="54"/>
        <v>0</v>
      </c>
      <c r="O37" s="95">
        <f t="shared" si="54"/>
        <v>0</v>
      </c>
      <c r="P37" s="95">
        <f t="shared" si="54"/>
        <v>0</v>
      </c>
      <c r="Q37" s="95">
        <f t="shared" si="54"/>
        <v>0</v>
      </c>
      <c r="R37" s="96">
        <f t="shared" si="54"/>
        <v>35000</v>
      </c>
      <c r="S37" s="97">
        <f t="shared" si="54"/>
        <v>60000</v>
      </c>
      <c r="T37" s="95">
        <f t="shared" si="54"/>
        <v>0</v>
      </c>
      <c r="U37" s="95">
        <f t="shared" si="54"/>
        <v>0</v>
      </c>
      <c r="V37" s="95">
        <f t="shared" si="54"/>
        <v>0</v>
      </c>
      <c r="W37" s="98">
        <f t="shared" si="54"/>
        <v>60000</v>
      </c>
      <c r="X37" s="99">
        <f t="shared" si="54"/>
        <v>25000</v>
      </c>
      <c r="Y37" s="100">
        <f t="shared" si="54"/>
        <v>0</v>
      </c>
    </row>
    <row r="38" spans="1:25" ht="7.5" customHeight="1" thickBot="1" x14ac:dyDescent="0.3">
      <c r="A38" s="432"/>
      <c r="B38" s="433"/>
      <c r="C38" s="433"/>
      <c r="D38" s="433"/>
      <c r="E38" s="433"/>
      <c r="F38" s="433"/>
      <c r="G38" s="433"/>
      <c r="H38" s="433"/>
      <c r="I38" s="433"/>
      <c r="J38" s="433"/>
      <c r="K38" s="433"/>
      <c r="L38" s="433"/>
      <c r="M38" s="433"/>
      <c r="N38" s="433"/>
      <c r="O38" s="433"/>
      <c r="P38" s="433"/>
      <c r="Q38" s="433"/>
      <c r="R38" s="433"/>
      <c r="S38" s="433"/>
      <c r="T38" s="433"/>
      <c r="U38" s="433"/>
      <c r="V38" s="433"/>
      <c r="W38" s="433"/>
      <c r="X38" s="433"/>
      <c r="Y38" s="434"/>
    </row>
    <row r="39" spans="1:25" ht="22.5" customHeight="1" thickBot="1" x14ac:dyDescent="0.3">
      <c r="A39" s="77" t="s">
        <v>35</v>
      </c>
      <c r="B39" s="84">
        <f>B37+B28</f>
        <v>224000</v>
      </c>
      <c r="C39" s="85"/>
      <c r="D39" s="85"/>
      <c r="E39" s="279"/>
      <c r="F39" s="78">
        <f>F37+F28</f>
        <v>58000</v>
      </c>
      <c r="G39" s="79">
        <f t="shared" ref="G39:Y39" si="55">G37+G28</f>
        <v>0</v>
      </c>
      <c r="H39" s="79">
        <f t="shared" si="55"/>
        <v>45000</v>
      </c>
      <c r="I39" s="79">
        <f t="shared" si="55"/>
        <v>0</v>
      </c>
      <c r="J39" s="79">
        <f t="shared" si="55"/>
        <v>0</v>
      </c>
      <c r="K39" s="79">
        <f t="shared" si="55"/>
        <v>10000</v>
      </c>
      <c r="L39" s="79">
        <f t="shared" si="55"/>
        <v>0</v>
      </c>
      <c r="M39" s="79">
        <f t="shared" si="55"/>
        <v>0</v>
      </c>
      <c r="N39" s="79">
        <f t="shared" si="55"/>
        <v>0</v>
      </c>
      <c r="O39" s="79">
        <f t="shared" si="55"/>
        <v>0</v>
      </c>
      <c r="P39" s="79">
        <f t="shared" si="55"/>
        <v>0</v>
      </c>
      <c r="Q39" s="79">
        <f t="shared" si="55"/>
        <v>0</v>
      </c>
      <c r="R39" s="80">
        <f t="shared" si="55"/>
        <v>113000</v>
      </c>
      <c r="S39" s="81">
        <f t="shared" si="55"/>
        <v>68000</v>
      </c>
      <c r="T39" s="79">
        <f t="shared" si="55"/>
        <v>0</v>
      </c>
      <c r="U39" s="79">
        <f t="shared" si="55"/>
        <v>16000</v>
      </c>
      <c r="V39" s="79">
        <f t="shared" si="55"/>
        <v>0</v>
      </c>
      <c r="W39" s="80">
        <f t="shared" si="55"/>
        <v>84000</v>
      </c>
      <c r="X39" s="82">
        <f t="shared" si="55"/>
        <v>27000</v>
      </c>
      <c r="Y39" s="83">
        <f t="shared" si="55"/>
        <v>0</v>
      </c>
    </row>
  </sheetData>
  <sheetProtection selectLockedCells="1"/>
  <mergeCells count="15">
    <mergeCell ref="A20:Y20"/>
    <mergeCell ref="A29:Y29"/>
    <mergeCell ref="A38:Y38"/>
    <mergeCell ref="X3:X4"/>
    <mergeCell ref="Y3:Y4"/>
    <mergeCell ref="A3:A4"/>
    <mergeCell ref="E3:E4"/>
    <mergeCell ref="D3:D4"/>
    <mergeCell ref="C3:C4"/>
    <mergeCell ref="B3:B4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22:E25 D31:E36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Z164"/>
  <sheetViews>
    <sheetView workbookViewId="0">
      <selection activeCell="A142" sqref="A142"/>
    </sheetView>
  </sheetViews>
  <sheetFormatPr baseColWidth="10" defaultRowHeight="15" outlineLevelCol="1" x14ac:dyDescent="0.25"/>
  <cols>
    <col min="1" max="1" width="51.42578125" style="130" bestFit="1" customWidth="1"/>
    <col min="2" max="4" width="11.42578125" style="130"/>
    <col min="5" max="16" width="11.42578125" style="130" customWidth="1" outlineLevel="1"/>
    <col min="17" max="17" width="13" style="130" bestFit="1" customWidth="1"/>
    <col min="18" max="21" width="11.42578125" style="130" customWidth="1" outlineLevel="1"/>
    <col min="22" max="24" width="13" style="130" bestFit="1" customWidth="1"/>
    <col min="25" max="25" width="11.42578125" style="130"/>
    <col min="26" max="26" width="16.5703125" style="130" bestFit="1" customWidth="1"/>
    <col min="27" max="16384" width="11.42578125" style="130"/>
  </cols>
  <sheetData>
    <row r="1" spans="1:24" ht="27" thickBot="1" x14ac:dyDescent="0.3">
      <c r="A1" s="421" t="s">
        <v>43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3"/>
    </row>
    <row r="2" spans="1:24" ht="15.75" thickBot="1" x14ac:dyDescent="0.3"/>
    <row r="3" spans="1:24" x14ac:dyDescent="0.25">
      <c r="A3" s="256" t="s">
        <v>101</v>
      </c>
      <c r="B3" s="264">
        <v>30</v>
      </c>
    </row>
    <row r="4" spans="1:24" x14ac:dyDescent="0.25">
      <c r="A4" s="262" t="s">
        <v>99</v>
      </c>
      <c r="B4" s="263">
        <v>0.34</v>
      </c>
    </row>
    <row r="5" spans="1:24" ht="15.75" thickBot="1" x14ac:dyDescent="0.3">
      <c r="A5" s="257" t="s">
        <v>95</v>
      </c>
      <c r="B5" s="258">
        <v>0.05</v>
      </c>
    </row>
    <row r="6" spans="1:24" ht="22.5" customHeight="1" thickBot="1" x14ac:dyDescent="0.3">
      <c r="A6" s="190" t="s">
        <v>96</v>
      </c>
      <c r="B6" s="458" t="s">
        <v>55</v>
      </c>
      <c r="C6" s="459"/>
      <c r="D6" s="474" t="s">
        <v>91</v>
      </c>
      <c r="E6" s="429" t="s">
        <v>20</v>
      </c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30"/>
      <c r="Q6" s="424" t="s">
        <v>20</v>
      </c>
      <c r="R6" s="428" t="s">
        <v>25</v>
      </c>
      <c r="S6" s="429"/>
      <c r="T6" s="429"/>
      <c r="U6" s="430"/>
      <c r="V6" s="426" t="s">
        <v>25</v>
      </c>
      <c r="W6" s="438" t="s">
        <v>26</v>
      </c>
      <c r="X6" s="440" t="s">
        <v>27</v>
      </c>
    </row>
    <row r="7" spans="1:24" ht="18.75" customHeight="1" thickBot="1" x14ac:dyDescent="0.3">
      <c r="A7" s="187" t="s">
        <v>53</v>
      </c>
      <c r="B7" s="460"/>
      <c r="C7" s="460"/>
      <c r="D7" s="475"/>
      <c r="E7" s="206">
        <v>1</v>
      </c>
      <c r="F7" s="15">
        <v>2</v>
      </c>
      <c r="G7" s="15">
        <v>3</v>
      </c>
      <c r="H7" s="15">
        <v>4</v>
      </c>
      <c r="I7" s="15">
        <v>5</v>
      </c>
      <c r="J7" s="15">
        <v>6</v>
      </c>
      <c r="K7" s="15">
        <v>7</v>
      </c>
      <c r="L7" s="15">
        <v>8</v>
      </c>
      <c r="M7" s="15">
        <v>9</v>
      </c>
      <c r="N7" s="15">
        <v>10</v>
      </c>
      <c r="O7" s="15">
        <v>11</v>
      </c>
      <c r="P7" s="16">
        <v>12</v>
      </c>
      <c r="Q7" s="425"/>
      <c r="R7" s="17" t="s">
        <v>21</v>
      </c>
      <c r="S7" s="15" t="s">
        <v>22</v>
      </c>
      <c r="T7" s="15" t="s">
        <v>23</v>
      </c>
      <c r="U7" s="15" t="s">
        <v>24</v>
      </c>
      <c r="V7" s="427"/>
      <c r="W7" s="439"/>
      <c r="X7" s="441"/>
    </row>
    <row r="8" spans="1:24" ht="18.75" customHeight="1" thickTop="1" x14ac:dyDescent="0.25">
      <c r="A8" s="138" t="s">
        <v>1</v>
      </c>
      <c r="B8" s="465">
        <v>3000</v>
      </c>
      <c r="C8" s="465"/>
      <c r="D8" s="212">
        <v>1</v>
      </c>
      <c r="E8" s="139">
        <f>IF($D8="","",IF($D8&lt;=E$7,$B8,""))</f>
        <v>3000</v>
      </c>
      <c r="F8" s="140">
        <f t="shared" ref="F8:P11" si="0">IF($D8="","",IF($D8&lt;=F$7,$B8,""))</f>
        <v>3000</v>
      </c>
      <c r="G8" s="140">
        <f t="shared" si="0"/>
        <v>3000</v>
      </c>
      <c r="H8" s="140">
        <f t="shared" si="0"/>
        <v>3000</v>
      </c>
      <c r="I8" s="140">
        <f t="shared" si="0"/>
        <v>3000</v>
      </c>
      <c r="J8" s="140">
        <f t="shared" si="0"/>
        <v>3000</v>
      </c>
      <c r="K8" s="140">
        <f t="shared" si="0"/>
        <v>3000</v>
      </c>
      <c r="L8" s="140">
        <f t="shared" si="0"/>
        <v>3000</v>
      </c>
      <c r="M8" s="140">
        <f t="shared" si="0"/>
        <v>3000</v>
      </c>
      <c r="N8" s="140">
        <f t="shared" si="0"/>
        <v>3000</v>
      </c>
      <c r="O8" s="140">
        <f t="shared" si="0"/>
        <v>3000</v>
      </c>
      <c r="P8" s="140">
        <f t="shared" si="0"/>
        <v>3000</v>
      </c>
      <c r="Q8" s="141">
        <f>SUM(E8:P8)</f>
        <v>36000</v>
      </c>
      <c r="R8" s="142">
        <f>IF($D8="","",IF(AND($D8&lt;=15,$D8&gt;12),(15-$D8+1)*$B8*(1+$B$5)^1,IF(AND($D8&lt;=15,$D8&lt;=12),3*$B8*(1+$B$5)^1,"")))</f>
        <v>9450</v>
      </c>
      <c r="S8" s="140">
        <f t="shared" ref="S8:U11" si="1">IF($D8="","",IF(AND($D8&lt;=15,$D8&gt;12),(15-$D8+1)*$B8*(1+$B$5)^1,IF(AND($D8&lt;=15,$D8&lt;=12),3*$B8*(1+$B$5)^1,"")))</f>
        <v>9450</v>
      </c>
      <c r="T8" s="140">
        <f t="shared" si="1"/>
        <v>9450</v>
      </c>
      <c r="U8" s="140">
        <f t="shared" si="1"/>
        <v>9450</v>
      </c>
      <c r="V8" s="141">
        <f>SUM(R8:U8)</f>
        <v>37800</v>
      </c>
      <c r="W8" s="143">
        <f>IF($D8="","",IF(AND($D8&lt;=36,$D8&gt;24),(36-$D8+1)*$B8*(1+$B$5)^2,IF(AND($D8&lt;=36,$D8&lt;=24),(36-24)*$B8*(1+$B$5)^2,"")))</f>
        <v>39690</v>
      </c>
      <c r="X8" s="144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145" t="s">
        <v>2</v>
      </c>
      <c r="B9" s="464">
        <v>3000</v>
      </c>
      <c r="C9" s="464"/>
      <c r="D9" s="213">
        <v>1</v>
      </c>
      <c r="E9" s="146">
        <f t="shared" ref="E9:E11" si="2">IF($D9="","",IF($D9&lt;=E$7,$B9,""))</f>
        <v>3000</v>
      </c>
      <c r="F9" s="147">
        <f t="shared" si="0"/>
        <v>3000</v>
      </c>
      <c r="G9" s="147">
        <f t="shared" si="0"/>
        <v>3000</v>
      </c>
      <c r="H9" s="147">
        <f t="shared" si="0"/>
        <v>3000</v>
      </c>
      <c r="I9" s="147">
        <f t="shared" si="0"/>
        <v>3000</v>
      </c>
      <c r="J9" s="147">
        <f t="shared" si="0"/>
        <v>3000</v>
      </c>
      <c r="K9" s="147">
        <f t="shared" si="0"/>
        <v>3000</v>
      </c>
      <c r="L9" s="147">
        <f t="shared" si="0"/>
        <v>3000</v>
      </c>
      <c r="M9" s="147">
        <f t="shared" si="0"/>
        <v>3000</v>
      </c>
      <c r="N9" s="147">
        <f t="shared" si="0"/>
        <v>3000</v>
      </c>
      <c r="O9" s="147">
        <f t="shared" si="0"/>
        <v>3000</v>
      </c>
      <c r="P9" s="147">
        <f t="shared" si="0"/>
        <v>3000</v>
      </c>
      <c r="Q9" s="148">
        <f t="shared" ref="Q9:Q11" si="3">SUM(E9:P9)</f>
        <v>36000</v>
      </c>
      <c r="R9" s="149">
        <f t="shared" ref="R9:R11" si="4">IF($D9="","",IF(AND($D9&lt;=15,$D9&gt;12),(15-$D9+1)*$B9*(1+$B$5)^1,IF(AND($D9&lt;=15,$D9&lt;=12),3*$B9*(1+$B$5)^1,"")))</f>
        <v>9450</v>
      </c>
      <c r="S9" s="147">
        <f t="shared" si="1"/>
        <v>9450</v>
      </c>
      <c r="T9" s="147">
        <f t="shared" si="1"/>
        <v>9450</v>
      </c>
      <c r="U9" s="147">
        <f t="shared" si="1"/>
        <v>9450</v>
      </c>
      <c r="V9" s="148">
        <f t="shared" ref="V9:V11" si="5">SUM(R9:U9)</f>
        <v>37800</v>
      </c>
      <c r="W9" s="150">
        <f t="shared" ref="W9:W11" si="6">IF($D9="","",IF(AND($D9&lt;=36,$D9&gt;24),(36-$D9+1)*$B9*(1+$B$5)^2,IF(AND($D9&lt;=36,$D9&lt;=24),(36-24)*$B9*(1+$B$5)^2,"")))</f>
        <v>39690</v>
      </c>
      <c r="X9" s="151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145" t="s">
        <v>3</v>
      </c>
      <c r="B10" s="464">
        <v>3000</v>
      </c>
      <c r="C10" s="464"/>
      <c r="D10" s="213">
        <v>1</v>
      </c>
      <c r="E10" s="146">
        <f t="shared" si="2"/>
        <v>3000</v>
      </c>
      <c r="F10" s="147">
        <f t="shared" si="0"/>
        <v>3000</v>
      </c>
      <c r="G10" s="147">
        <f t="shared" si="0"/>
        <v>3000</v>
      </c>
      <c r="H10" s="147">
        <f t="shared" si="0"/>
        <v>3000</v>
      </c>
      <c r="I10" s="147">
        <f t="shared" si="0"/>
        <v>3000</v>
      </c>
      <c r="J10" s="147">
        <f t="shared" si="0"/>
        <v>3000</v>
      </c>
      <c r="K10" s="147">
        <f t="shared" si="0"/>
        <v>3000</v>
      </c>
      <c r="L10" s="147">
        <f t="shared" si="0"/>
        <v>3000</v>
      </c>
      <c r="M10" s="147">
        <f t="shared" si="0"/>
        <v>3000</v>
      </c>
      <c r="N10" s="147">
        <f t="shared" si="0"/>
        <v>3000</v>
      </c>
      <c r="O10" s="147">
        <f t="shared" si="0"/>
        <v>3000</v>
      </c>
      <c r="P10" s="147">
        <f t="shared" si="0"/>
        <v>3000</v>
      </c>
      <c r="Q10" s="148">
        <f t="shared" si="3"/>
        <v>36000</v>
      </c>
      <c r="R10" s="149">
        <f t="shared" si="4"/>
        <v>9450</v>
      </c>
      <c r="S10" s="147">
        <f t="shared" si="1"/>
        <v>9450</v>
      </c>
      <c r="T10" s="147">
        <f t="shared" si="1"/>
        <v>9450</v>
      </c>
      <c r="U10" s="147">
        <f t="shared" si="1"/>
        <v>9450</v>
      </c>
      <c r="V10" s="148">
        <f t="shared" si="5"/>
        <v>37800</v>
      </c>
      <c r="W10" s="150">
        <f t="shared" si="6"/>
        <v>39690</v>
      </c>
      <c r="X10" s="151">
        <f t="shared" si="7"/>
        <v>41674.500000000007</v>
      </c>
    </row>
    <row r="11" spans="1:24" ht="18.75" customHeight="1" thickBot="1" x14ac:dyDescent="0.3">
      <c r="A11" s="188" t="s">
        <v>4</v>
      </c>
      <c r="B11" s="463">
        <v>3000</v>
      </c>
      <c r="C11" s="463"/>
      <c r="D11" s="214">
        <v>1</v>
      </c>
      <c r="E11" s="219">
        <f t="shared" si="2"/>
        <v>3000</v>
      </c>
      <c r="F11" s="220">
        <f t="shared" si="0"/>
        <v>3000</v>
      </c>
      <c r="G11" s="220">
        <f t="shared" si="0"/>
        <v>3000</v>
      </c>
      <c r="H11" s="220">
        <f t="shared" si="0"/>
        <v>3000</v>
      </c>
      <c r="I11" s="220">
        <f t="shared" si="0"/>
        <v>3000</v>
      </c>
      <c r="J11" s="220">
        <f t="shared" si="0"/>
        <v>3000</v>
      </c>
      <c r="K11" s="220">
        <f t="shared" si="0"/>
        <v>3000</v>
      </c>
      <c r="L11" s="220">
        <f t="shared" si="0"/>
        <v>3000</v>
      </c>
      <c r="M11" s="220">
        <f t="shared" si="0"/>
        <v>3000</v>
      </c>
      <c r="N11" s="220">
        <f t="shared" si="0"/>
        <v>3000</v>
      </c>
      <c r="O11" s="220">
        <f t="shared" si="0"/>
        <v>3000</v>
      </c>
      <c r="P11" s="220">
        <f t="shared" si="0"/>
        <v>3000</v>
      </c>
      <c r="Q11" s="221">
        <f t="shared" si="3"/>
        <v>36000</v>
      </c>
      <c r="R11" s="223">
        <f t="shared" si="4"/>
        <v>9450</v>
      </c>
      <c r="S11" s="220">
        <f t="shared" si="1"/>
        <v>9450</v>
      </c>
      <c r="T11" s="220">
        <f t="shared" si="1"/>
        <v>9450</v>
      </c>
      <c r="U11" s="220">
        <f t="shared" si="1"/>
        <v>9450</v>
      </c>
      <c r="V11" s="221">
        <f t="shared" si="5"/>
        <v>37800</v>
      </c>
      <c r="W11" s="231">
        <f t="shared" si="6"/>
        <v>39690</v>
      </c>
      <c r="X11" s="232">
        <f t="shared" si="7"/>
        <v>41674.500000000007</v>
      </c>
    </row>
    <row r="12" spans="1:24" ht="7.5" customHeight="1" thickTop="1" thickBot="1" x14ac:dyDescent="0.3">
      <c r="A12" s="189"/>
      <c r="B12" s="473"/>
      <c r="C12" s="473"/>
      <c r="D12" s="215"/>
      <c r="E12" s="229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8"/>
      <c r="R12" s="226"/>
      <c r="S12" s="227"/>
      <c r="T12" s="227"/>
      <c r="U12" s="227"/>
      <c r="V12" s="228"/>
      <c r="W12" s="224"/>
      <c r="X12" s="225"/>
    </row>
    <row r="13" spans="1:24" ht="18.75" customHeight="1" thickBot="1" x14ac:dyDescent="0.3">
      <c r="A13" s="216" t="s">
        <v>97</v>
      </c>
      <c r="B13" s="461">
        <f>SUM(Q13,V13,W13,X13)/48</f>
        <v>12930.375</v>
      </c>
      <c r="C13" s="462"/>
      <c r="D13" s="265"/>
      <c r="E13" s="176">
        <f>SUM(E8:E11)</f>
        <v>12000</v>
      </c>
      <c r="F13" s="177">
        <f t="shared" ref="F13:X13" si="8">SUM(F8:F11)</f>
        <v>12000</v>
      </c>
      <c r="G13" s="177">
        <f t="shared" si="8"/>
        <v>12000</v>
      </c>
      <c r="H13" s="177">
        <f t="shared" si="8"/>
        <v>12000</v>
      </c>
      <c r="I13" s="177">
        <f t="shared" si="8"/>
        <v>12000</v>
      </c>
      <c r="J13" s="177">
        <f t="shared" si="8"/>
        <v>12000</v>
      </c>
      <c r="K13" s="177">
        <f t="shared" si="8"/>
        <v>12000</v>
      </c>
      <c r="L13" s="177">
        <f t="shared" si="8"/>
        <v>12000</v>
      </c>
      <c r="M13" s="177">
        <f t="shared" si="8"/>
        <v>12000</v>
      </c>
      <c r="N13" s="177">
        <f t="shared" si="8"/>
        <v>12000</v>
      </c>
      <c r="O13" s="177">
        <f t="shared" si="8"/>
        <v>12000</v>
      </c>
      <c r="P13" s="177">
        <f t="shared" si="8"/>
        <v>12000</v>
      </c>
      <c r="Q13" s="181">
        <f t="shared" si="8"/>
        <v>144000</v>
      </c>
      <c r="R13" s="230">
        <f>SUM(R8:R11)</f>
        <v>37800</v>
      </c>
      <c r="S13" s="177">
        <f t="shared" si="8"/>
        <v>37800</v>
      </c>
      <c r="T13" s="177">
        <f t="shared" si="8"/>
        <v>37800</v>
      </c>
      <c r="U13" s="177">
        <f t="shared" si="8"/>
        <v>37800</v>
      </c>
      <c r="V13" s="181">
        <f t="shared" si="8"/>
        <v>151200</v>
      </c>
      <c r="W13" s="182">
        <f t="shared" si="8"/>
        <v>158760</v>
      </c>
      <c r="X13" s="183">
        <f t="shared" si="8"/>
        <v>166698.00000000003</v>
      </c>
    </row>
    <row r="14" spans="1:24" ht="7.5" customHeight="1" thickBot="1" x14ac:dyDescent="0.3">
      <c r="A14" s="467"/>
      <c r="B14" s="468"/>
      <c r="C14" s="468"/>
      <c r="D14" s="468"/>
      <c r="E14" s="468"/>
      <c r="F14" s="468"/>
      <c r="G14" s="468"/>
      <c r="H14" s="468"/>
      <c r="I14" s="468"/>
      <c r="J14" s="468"/>
      <c r="K14" s="468"/>
      <c r="L14" s="468"/>
      <c r="M14" s="468"/>
      <c r="N14" s="468"/>
      <c r="O14" s="468"/>
      <c r="P14" s="468"/>
      <c r="Q14" s="468"/>
      <c r="R14" s="468"/>
      <c r="S14" s="468"/>
      <c r="T14" s="468"/>
      <c r="U14" s="468"/>
      <c r="V14" s="468"/>
      <c r="W14" s="468"/>
      <c r="X14" s="469"/>
    </row>
    <row r="15" spans="1:24" ht="18.75" customHeight="1" thickBot="1" x14ac:dyDescent="0.3">
      <c r="A15" s="217" t="s">
        <v>54</v>
      </c>
      <c r="B15" s="218"/>
      <c r="C15" s="218"/>
      <c r="D15" s="207"/>
    </row>
    <row r="16" spans="1:24" ht="15.75" thickTop="1" x14ac:dyDescent="0.25">
      <c r="A16" s="138" t="s">
        <v>67</v>
      </c>
      <c r="B16" s="466">
        <v>1700</v>
      </c>
      <c r="C16" s="466"/>
      <c r="D16" s="208">
        <v>2</v>
      </c>
      <c r="E16" s="139" t="str">
        <f t="shared" ref="E16:P16" si="9">IF($D16="","",IF($D16&lt;=E$7,$B16,""))</f>
        <v/>
      </c>
      <c r="F16" s="140">
        <f t="shared" si="9"/>
        <v>1700</v>
      </c>
      <c r="G16" s="140">
        <f t="shared" si="9"/>
        <v>1700</v>
      </c>
      <c r="H16" s="140">
        <f t="shared" si="9"/>
        <v>1700</v>
      </c>
      <c r="I16" s="140">
        <f t="shared" si="9"/>
        <v>1700</v>
      </c>
      <c r="J16" s="140">
        <f t="shared" si="9"/>
        <v>1700</v>
      </c>
      <c r="K16" s="140">
        <f t="shared" si="9"/>
        <v>1700</v>
      </c>
      <c r="L16" s="140">
        <f t="shared" si="9"/>
        <v>1700</v>
      </c>
      <c r="M16" s="140">
        <f t="shared" si="9"/>
        <v>1700</v>
      </c>
      <c r="N16" s="140">
        <f t="shared" si="9"/>
        <v>1700</v>
      </c>
      <c r="O16" s="140">
        <f t="shared" si="9"/>
        <v>1700</v>
      </c>
      <c r="P16" s="140">
        <f t="shared" si="9"/>
        <v>1700</v>
      </c>
      <c r="Q16" s="141">
        <f>SUM(E16:P16)</f>
        <v>18700</v>
      </c>
      <c r="R16" s="142">
        <f>IF($D16="","",IF(AND($D16&lt;=15,$D16&gt;12),(15-$D16+1)*$B16*(1+$B$5)^1,IF(AND($D16&lt;=15,$D16&lt;=12),3*$B16*(1+$B$5)^1,"")))</f>
        <v>5355</v>
      </c>
      <c r="S16" s="140">
        <f>IF($D16="","",IF(AND($D16&lt;=15,$D16&gt;12),(15-$D16+1)*$B16*(1+$B$5)^1,IF(AND($D16&lt;=15,$D16&lt;=12),3*$B16*(1+$B$5)^1,"")))</f>
        <v>5355</v>
      </c>
      <c r="T16" s="140">
        <f>IF($D16="","",IF(AND($D16&lt;=15,$D16&gt;12),(15-$D16+1)*$B16*(1+$B$5)^1,IF(AND($D16&lt;=15,$D16&lt;=12),3*$B16*(1+$B$5)^1,"")))</f>
        <v>5355</v>
      </c>
      <c r="U16" s="140">
        <f>IF($D16="","",IF(AND($D16&lt;=15,$D16&gt;12),(15-$D16+1)*$B16*(1+$B$5)^1,IF(AND($D16&lt;=15,$D16&lt;=12),3*$B16*(1+$B$5)^1,"")))</f>
        <v>5355</v>
      </c>
      <c r="V16" s="141">
        <f>SUM(R16:U16)</f>
        <v>21420</v>
      </c>
      <c r="W16" s="143">
        <f>IF($D16="","",IF(AND($D16&lt;=36,$D16&gt;24),(36-$D16+1)*$B16*(1+$B$5)^2,IF(AND($D16&lt;=36,$D16&lt;=24),(36-24)*$B16*(1+$B$5)^2,"")))</f>
        <v>22491</v>
      </c>
      <c r="X16" s="144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145" t="s">
        <v>76</v>
      </c>
      <c r="B17" s="470">
        <v>2700</v>
      </c>
      <c r="C17" s="470"/>
      <c r="D17" s="209">
        <v>4</v>
      </c>
      <c r="E17" s="146" t="str">
        <f t="shared" ref="E17:E26" si="10">IF($D17="","",IF($D17&lt;=E$7,$B17,""))</f>
        <v/>
      </c>
      <c r="F17" s="147" t="str">
        <f t="shared" ref="F17:P25" si="11">IF($D17="","",IF($D17&lt;=F$7,$B17,""))</f>
        <v/>
      </c>
      <c r="G17" s="147" t="str">
        <f t="shared" si="11"/>
        <v/>
      </c>
      <c r="H17" s="147">
        <f t="shared" si="11"/>
        <v>2700</v>
      </c>
      <c r="I17" s="147">
        <f t="shared" si="11"/>
        <v>2700</v>
      </c>
      <c r="J17" s="147">
        <f t="shared" si="11"/>
        <v>2700</v>
      </c>
      <c r="K17" s="147">
        <f t="shared" si="11"/>
        <v>2700</v>
      </c>
      <c r="L17" s="147">
        <f t="shared" si="11"/>
        <v>2700</v>
      </c>
      <c r="M17" s="147">
        <f t="shared" si="11"/>
        <v>2700</v>
      </c>
      <c r="N17" s="147">
        <f t="shared" si="11"/>
        <v>2700</v>
      </c>
      <c r="O17" s="147">
        <f t="shared" si="11"/>
        <v>2700</v>
      </c>
      <c r="P17" s="147">
        <f t="shared" si="11"/>
        <v>2700</v>
      </c>
      <c r="Q17" s="148">
        <f t="shared" ref="Q17:Q26" si="12">SUM(E17:P17)</f>
        <v>24300</v>
      </c>
      <c r="R17" s="149">
        <f t="shared" ref="R17:R26" si="13">IF($D17="","",IF(AND($D17&lt;=15,$D17&gt;12),(15-$D17+1)*$B17*(1+$B$5)^1,IF(AND($D17&lt;=15,$D17&lt;=12),3*$B17*(1+$B$5)^1,"")))</f>
        <v>8505</v>
      </c>
      <c r="S17" s="147">
        <f t="shared" ref="S17:U26" si="14">IF($D17="","",IF(AND($D17&lt;=15,$D17&gt;12),(15-$D17+1)*$B17*(1+$B$5)^1,IF(AND($D17&lt;=15,$D17&lt;=12),3*$B17*(1+$B$5)^1,"")))</f>
        <v>8505</v>
      </c>
      <c r="T17" s="147">
        <f t="shared" si="14"/>
        <v>8505</v>
      </c>
      <c r="U17" s="147">
        <f t="shared" si="14"/>
        <v>8505</v>
      </c>
      <c r="V17" s="148">
        <f t="shared" ref="V17:V26" si="15">SUM(R17:U17)</f>
        <v>34020</v>
      </c>
      <c r="W17" s="150">
        <f t="shared" ref="W17:W26" si="16">IF($D17="","",IF(AND($D17&lt;=36,$D17&gt;24),(36-$D17+1)*$B17*(1+$B$5)^2,IF(AND($D17&lt;=36,$D17&lt;=24),(36-24)*$B17*(1+$B$5)^2,"")))</f>
        <v>35721</v>
      </c>
      <c r="X17" s="151">
        <f t="shared" ref="X17:X26" si="17">IF($D17="","",IF(AND($D17&lt;=48,$D17&gt;36),(48-$D17+1)*$B17*(1+$B$5)^3,IF(AND($D17&lt;=48,$D17&lt;=36),(48-36)*$B17*(1+$B$5)^3,"")))</f>
        <v>37507.050000000003</v>
      </c>
    </row>
    <row r="18" spans="1:26" x14ac:dyDescent="0.25">
      <c r="A18" s="152" t="s">
        <v>76</v>
      </c>
      <c r="B18" s="470">
        <v>2700</v>
      </c>
      <c r="C18" s="470"/>
      <c r="D18" s="209">
        <v>13</v>
      </c>
      <c r="E18" s="146" t="str">
        <f t="shared" si="10"/>
        <v/>
      </c>
      <c r="F18" s="147" t="str">
        <f t="shared" si="11"/>
        <v/>
      </c>
      <c r="G18" s="147" t="str">
        <f t="shared" si="11"/>
        <v/>
      </c>
      <c r="H18" s="147" t="str">
        <f t="shared" si="11"/>
        <v/>
      </c>
      <c r="I18" s="147" t="str">
        <f t="shared" si="11"/>
        <v/>
      </c>
      <c r="J18" s="147" t="str">
        <f t="shared" si="11"/>
        <v/>
      </c>
      <c r="K18" s="147" t="str">
        <f t="shared" si="11"/>
        <v/>
      </c>
      <c r="L18" s="147" t="str">
        <f t="shared" si="11"/>
        <v/>
      </c>
      <c r="M18" s="147" t="str">
        <f t="shared" si="11"/>
        <v/>
      </c>
      <c r="N18" s="147" t="str">
        <f t="shared" si="11"/>
        <v/>
      </c>
      <c r="O18" s="147" t="str">
        <f t="shared" si="11"/>
        <v/>
      </c>
      <c r="P18" s="147" t="str">
        <f t="shared" si="11"/>
        <v/>
      </c>
      <c r="Q18" s="148">
        <f t="shared" si="12"/>
        <v>0</v>
      </c>
      <c r="R18" s="149">
        <f t="shared" si="13"/>
        <v>8505</v>
      </c>
      <c r="S18" s="147">
        <f t="shared" si="14"/>
        <v>8505</v>
      </c>
      <c r="T18" s="147">
        <f t="shared" si="14"/>
        <v>8505</v>
      </c>
      <c r="U18" s="147">
        <f t="shared" si="14"/>
        <v>8505</v>
      </c>
      <c r="V18" s="148">
        <f t="shared" si="15"/>
        <v>34020</v>
      </c>
      <c r="W18" s="150">
        <f t="shared" si="16"/>
        <v>35721</v>
      </c>
      <c r="X18" s="151">
        <f t="shared" si="17"/>
        <v>37507.050000000003</v>
      </c>
    </row>
    <row r="19" spans="1:26" x14ac:dyDescent="0.25">
      <c r="A19" s="152" t="s">
        <v>76</v>
      </c>
      <c r="B19" s="470">
        <v>2700</v>
      </c>
      <c r="C19" s="470"/>
      <c r="D19" s="246">
        <v>19</v>
      </c>
      <c r="E19" s="153" t="str">
        <f t="shared" si="10"/>
        <v/>
      </c>
      <c r="F19" s="154" t="str">
        <f t="shared" si="11"/>
        <v/>
      </c>
      <c r="G19" s="154" t="str">
        <f t="shared" si="11"/>
        <v/>
      </c>
      <c r="H19" s="154" t="str">
        <f t="shared" si="11"/>
        <v/>
      </c>
      <c r="I19" s="154" t="str">
        <f t="shared" si="11"/>
        <v/>
      </c>
      <c r="J19" s="154" t="str">
        <f t="shared" si="11"/>
        <v/>
      </c>
      <c r="K19" s="154" t="str">
        <f t="shared" si="11"/>
        <v/>
      </c>
      <c r="L19" s="154" t="str">
        <f t="shared" si="11"/>
        <v/>
      </c>
      <c r="M19" s="154" t="str">
        <f t="shared" si="11"/>
        <v/>
      </c>
      <c r="N19" s="154" t="str">
        <f t="shared" si="11"/>
        <v/>
      </c>
      <c r="O19" s="154" t="str">
        <f t="shared" si="11"/>
        <v/>
      </c>
      <c r="P19" s="154" t="str">
        <f t="shared" si="11"/>
        <v/>
      </c>
      <c r="Q19" s="155">
        <f t="shared" si="12"/>
        <v>0</v>
      </c>
      <c r="R19" s="156" t="str">
        <f t="shared" si="13"/>
        <v/>
      </c>
      <c r="S19" s="154" t="str">
        <f t="shared" si="14"/>
        <v/>
      </c>
      <c r="T19" s="154" t="str">
        <f t="shared" si="14"/>
        <v/>
      </c>
      <c r="U19" s="154" t="str">
        <f t="shared" si="14"/>
        <v/>
      </c>
      <c r="V19" s="155">
        <f t="shared" si="15"/>
        <v>0</v>
      </c>
      <c r="W19" s="157">
        <f t="shared" si="16"/>
        <v>35721</v>
      </c>
      <c r="X19" s="158">
        <f t="shared" si="17"/>
        <v>37507.050000000003</v>
      </c>
    </row>
    <row r="20" spans="1:26" x14ac:dyDescent="0.25">
      <c r="A20" s="152" t="s">
        <v>77</v>
      </c>
      <c r="B20" s="470">
        <v>2700</v>
      </c>
      <c r="C20" s="470"/>
      <c r="D20" s="246">
        <v>4</v>
      </c>
      <c r="E20" s="153" t="str">
        <f t="shared" si="10"/>
        <v/>
      </c>
      <c r="F20" s="154" t="str">
        <f t="shared" si="11"/>
        <v/>
      </c>
      <c r="G20" s="154" t="str">
        <f t="shared" si="11"/>
        <v/>
      </c>
      <c r="H20" s="154">
        <f t="shared" si="11"/>
        <v>2700</v>
      </c>
      <c r="I20" s="154">
        <f t="shared" si="11"/>
        <v>2700</v>
      </c>
      <c r="J20" s="154">
        <f t="shared" si="11"/>
        <v>2700</v>
      </c>
      <c r="K20" s="154">
        <f t="shared" si="11"/>
        <v>2700</v>
      </c>
      <c r="L20" s="154">
        <f t="shared" si="11"/>
        <v>2700</v>
      </c>
      <c r="M20" s="154">
        <f t="shared" si="11"/>
        <v>2700</v>
      </c>
      <c r="N20" s="154">
        <f t="shared" si="11"/>
        <v>2700</v>
      </c>
      <c r="O20" s="154">
        <f t="shared" si="11"/>
        <v>2700</v>
      </c>
      <c r="P20" s="154">
        <f t="shared" si="11"/>
        <v>2700</v>
      </c>
      <c r="Q20" s="155">
        <f t="shared" si="12"/>
        <v>24300</v>
      </c>
      <c r="R20" s="156">
        <f t="shared" si="13"/>
        <v>8505</v>
      </c>
      <c r="S20" s="154">
        <f t="shared" si="14"/>
        <v>8505</v>
      </c>
      <c r="T20" s="154">
        <f t="shared" si="14"/>
        <v>8505</v>
      </c>
      <c r="U20" s="154">
        <f t="shared" si="14"/>
        <v>8505</v>
      </c>
      <c r="V20" s="155">
        <f t="shared" si="15"/>
        <v>34020</v>
      </c>
      <c r="W20" s="157">
        <f t="shared" si="16"/>
        <v>35721</v>
      </c>
      <c r="X20" s="158">
        <f t="shared" si="17"/>
        <v>37507.050000000003</v>
      </c>
    </row>
    <row r="21" spans="1:26" x14ac:dyDescent="0.25">
      <c r="A21" s="152" t="s">
        <v>77</v>
      </c>
      <c r="B21" s="470">
        <v>2700</v>
      </c>
      <c r="C21" s="470"/>
      <c r="D21" s="246">
        <v>13</v>
      </c>
      <c r="E21" s="153" t="str">
        <f t="shared" si="10"/>
        <v/>
      </c>
      <c r="F21" s="154" t="str">
        <f t="shared" si="11"/>
        <v/>
      </c>
      <c r="G21" s="154" t="str">
        <f t="shared" si="11"/>
        <v/>
      </c>
      <c r="H21" s="154" t="str">
        <f t="shared" si="11"/>
        <v/>
      </c>
      <c r="I21" s="154" t="str">
        <f t="shared" si="11"/>
        <v/>
      </c>
      <c r="J21" s="154" t="str">
        <f t="shared" si="11"/>
        <v/>
      </c>
      <c r="K21" s="154" t="str">
        <f t="shared" si="11"/>
        <v/>
      </c>
      <c r="L21" s="154" t="str">
        <f t="shared" si="11"/>
        <v/>
      </c>
      <c r="M21" s="154" t="str">
        <f t="shared" si="11"/>
        <v/>
      </c>
      <c r="N21" s="154" t="str">
        <f t="shared" si="11"/>
        <v/>
      </c>
      <c r="O21" s="154" t="str">
        <f t="shared" si="11"/>
        <v/>
      </c>
      <c r="P21" s="154" t="str">
        <f t="shared" si="11"/>
        <v/>
      </c>
      <c r="Q21" s="155">
        <f t="shared" si="12"/>
        <v>0</v>
      </c>
      <c r="R21" s="156">
        <f t="shared" si="13"/>
        <v>8505</v>
      </c>
      <c r="S21" s="154">
        <f t="shared" si="14"/>
        <v>8505</v>
      </c>
      <c r="T21" s="154">
        <f t="shared" si="14"/>
        <v>8505</v>
      </c>
      <c r="U21" s="154">
        <f t="shared" si="14"/>
        <v>8505</v>
      </c>
      <c r="V21" s="155">
        <f t="shared" si="15"/>
        <v>34020</v>
      </c>
      <c r="W21" s="157">
        <f t="shared" si="16"/>
        <v>35721</v>
      </c>
      <c r="X21" s="158">
        <f t="shared" si="17"/>
        <v>37507.050000000003</v>
      </c>
    </row>
    <row r="22" spans="1:26" x14ac:dyDescent="0.25">
      <c r="A22" s="152" t="s">
        <v>77</v>
      </c>
      <c r="B22" s="470">
        <v>2700</v>
      </c>
      <c r="C22" s="470"/>
      <c r="D22" s="246">
        <v>19</v>
      </c>
      <c r="E22" s="153" t="str">
        <f t="shared" si="10"/>
        <v/>
      </c>
      <c r="F22" s="154" t="str">
        <f t="shared" si="11"/>
        <v/>
      </c>
      <c r="G22" s="154" t="str">
        <f t="shared" si="11"/>
        <v/>
      </c>
      <c r="H22" s="154" t="str">
        <f t="shared" si="11"/>
        <v/>
      </c>
      <c r="I22" s="154" t="str">
        <f t="shared" si="11"/>
        <v/>
      </c>
      <c r="J22" s="154" t="str">
        <f t="shared" si="11"/>
        <v/>
      </c>
      <c r="K22" s="154" t="str">
        <f t="shared" si="11"/>
        <v/>
      </c>
      <c r="L22" s="154" t="str">
        <f t="shared" si="11"/>
        <v/>
      </c>
      <c r="M22" s="154" t="str">
        <f t="shared" si="11"/>
        <v/>
      </c>
      <c r="N22" s="154" t="str">
        <f t="shared" si="11"/>
        <v/>
      </c>
      <c r="O22" s="154" t="str">
        <f t="shared" si="11"/>
        <v/>
      </c>
      <c r="P22" s="154" t="str">
        <f t="shared" si="11"/>
        <v/>
      </c>
      <c r="Q22" s="155">
        <f t="shared" si="12"/>
        <v>0</v>
      </c>
      <c r="R22" s="156" t="str">
        <f t="shared" si="13"/>
        <v/>
      </c>
      <c r="S22" s="154" t="str">
        <f t="shared" si="14"/>
        <v/>
      </c>
      <c r="T22" s="154" t="str">
        <f t="shared" si="14"/>
        <v/>
      </c>
      <c r="U22" s="154" t="str">
        <f t="shared" si="14"/>
        <v/>
      </c>
      <c r="V22" s="155">
        <f t="shared" si="15"/>
        <v>0</v>
      </c>
      <c r="W22" s="157">
        <f t="shared" si="16"/>
        <v>35721</v>
      </c>
      <c r="X22" s="158">
        <f t="shared" si="17"/>
        <v>37507.050000000003</v>
      </c>
    </row>
    <row r="23" spans="1:26" x14ac:dyDescent="0.25">
      <c r="A23" s="152" t="s">
        <v>98</v>
      </c>
      <c r="B23" s="470">
        <v>2500</v>
      </c>
      <c r="C23" s="470"/>
      <c r="D23" s="246">
        <v>13</v>
      </c>
      <c r="E23" s="153" t="str">
        <f t="shared" si="10"/>
        <v/>
      </c>
      <c r="F23" s="154" t="str">
        <f t="shared" si="11"/>
        <v/>
      </c>
      <c r="G23" s="154" t="str">
        <f t="shared" si="11"/>
        <v/>
      </c>
      <c r="H23" s="154" t="str">
        <f t="shared" si="11"/>
        <v/>
      </c>
      <c r="I23" s="154" t="str">
        <f t="shared" si="11"/>
        <v/>
      </c>
      <c r="J23" s="154" t="str">
        <f t="shared" si="11"/>
        <v/>
      </c>
      <c r="K23" s="154" t="str">
        <f t="shared" si="11"/>
        <v/>
      </c>
      <c r="L23" s="154" t="str">
        <f t="shared" si="11"/>
        <v/>
      </c>
      <c r="M23" s="154" t="str">
        <f t="shared" si="11"/>
        <v/>
      </c>
      <c r="N23" s="154" t="str">
        <f t="shared" si="11"/>
        <v/>
      </c>
      <c r="O23" s="154" t="str">
        <f t="shared" si="11"/>
        <v/>
      </c>
      <c r="P23" s="154" t="str">
        <f t="shared" si="11"/>
        <v/>
      </c>
      <c r="Q23" s="155">
        <f t="shared" si="12"/>
        <v>0</v>
      </c>
      <c r="R23" s="156">
        <f t="shared" si="13"/>
        <v>7875</v>
      </c>
      <c r="S23" s="154">
        <f t="shared" si="14"/>
        <v>7875</v>
      </c>
      <c r="T23" s="154">
        <f t="shared" si="14"/>
        <v>7875</v>
      </c>
      <c r="U23" s="154">
        <f t="shared" si="14"/>
        <v>7875</v>
      </c>
      <c r="V23" s="155">
        <f t="shared" si="15"/>
        <v>31500</v>
      </c>
      <c r="W23" s="157">
        <f t="shared" si="16"/>
        <v>33075</v>
      </c>
      <c r="X23" s="158">
        <f t="shared" si="17"/>
        <v>34728.750000000007</v>
      </c>
    </row>
    <row r="24" spans="1:26" x14ac:dyDescent="0.25">
      <c r="A24" s="152" t="s">
        <v>98</v>
      </c>
      <c r="B24" s="470">
        <v>2500</v>
      </c>
      <c r="C24" s="470"/>
      <c r="D24" s="246">
        <v>25</v>
      </c>
      <c r="E24" s="153" t="str">
        <f t="shared" si="10"/>
        <v/>
      </c>
      <c r="F24" s="154" t="str">
        <f t="shared" si="11"/>
        <v/>
      </c>
      <c r="G24" s="154" t="str">
        <f t="shared" si="11"/>
        <v/>
      </c>
      <c r="H24" s="154" t="str">
        <f t="shared" si="11"/>
        <v/>
      </c>
      <c r="I24" s="154" t="str">
        <f t="shared" si="11"/>
        <v/>
      </c>
      <c r="J24" s="154" t="str">
        <f t="shared" si="11"/>
        <v/>
      </c>
      <c r="K24" s="154" t="str">
        <f t="shared" si="11"/>
        <v/>
      </c>
      <c r="L24" s="154" t="str">
        <f t="shared" si="11"/>
        <v/>
      </c>
      <c r="M24" s="154" t="str">
        <f t="shared" si="11"/>
        <v/>
      </c>
      <c r="N24" s="154" t="str">
        <f t="shared" si="11"/>
        <v/>
      </c>
      <c r="O24" s="154" t="str">
        <f t="shared" si="11"/>
        <v/>
      </c>
      <c r="P24" s="154" t="str">
        <f t="shared" si="11"/>
        <v/>
      </c>
      <c r="Q24" s="155">
        <f t="shared" si="12"/>
        <v>0</v>
      </c>
      <c r="R24" s="156" t="str">
        <f t="shared" si="13"/>
        <v/>
      </c>
      <c r="S24" s="154" t="str">
        <f t="shared" si="14"/>
        <v/>
      </c>
      <c r="T24" s="154" t="str">
        <f t="shared" si="14"/>
        <v/>
      </c>
      <c r="U24" s="154" t="str">
        <f t="shared" si="14"/>
        <v/>
      </c>
      <c r="V24" s="155">
        <f t="shared" si="15"/>
        <v>0</v>
      </c>
      <c r="W24" s="157">
        <f t="shared" si="16"/>
        <v>33075</v>
      </c>
      <c r="X24" s="158">
        <f t="shared" si="17"/>
        <v>34728.750000000007</v>
      </c>
    </row>
    <row r="25" spans="1:26" x14ac:dyDescent="0.25">
      <c r="A25" s="152"/>
      <c r="B25" s="470"/>
      <c r="C25" s="470"/>
      <c r="D25" s="246"/>
      <c r="E25" s="153" t="str">
        <f t="shared" si="10"/>
        <v/>
      </c>
      <c r="F25" s="154" t="str">
        <f t="shared" si="11"/>
        <v/>
      </c>
      <c r="G25" s="154" t="str">
        <f t="shared" si="11"/>
        <v/>
      </c>
      <c r="H25" s="154" t="str">
        <f t="shared" si="11"/>
        <v/>
      </c>
      <c r="I25" s="154" t="str">
        <f t="shared" si="11"/>
        <v/>
      </c>
      <c r="J25" s="154" t="str">
        <f t="shared" si="11"/>
        <v/>
      </c>
      <c r="K25" s="154" t="str">
        <f t="shared" si="11"/>
        <v/>
      </c>
      <c r="L25" s="154" t="str">
        <f t="shared" si="11"/>
        <v/>
      </c>
      <c r="M25" s="154" t="str">
        <f t="shared" si="11"/>
        <v/>
      </c>
      <c r="N25" s="154" t="str">
        <f t="shared" si="11"/>
        <v/>
      </c>
      <c r="O25" s="154" t="str">
        <f t="shared" si="11"/>
        <v/>
      </c>
      <c r="P25" s="154" t="str">
        <f t="shared" si="11"/>
        <v/>
      </c>
      <c r="Q25" s="155">
        <f t="shared" si="12"/>
        <v>0</v>
      </c>
      <c r="R25" s="156" t="str">
        <f t="shared" si="13"/>
        <v/>
      </c>
      <c r="S25" s="154" t="str">
        <f t="shared" si="14"/>
        <v/>
      </c>
      <c r="T25" s="154" t="str">
        <f t="shared" si="14"/>
        <v/>
      </c>
      <c r="U25" s="154" t="str">
        <f t="shared" si="14"/>
        <v/>
      </c>
      <c r="V25" s="155">
        <f t="shared" si="15"/>
        <v>0</v>
      </c>
      <c r="W25" s="157" t="str">
        <f t="shared" si="16"/>
        <v/>
      </c>
      <c r="X25" s="158" t="str">
        <f t="shared" si="17"/>
        <v/>
      </c>
    </row>
    <row r="26" spans="1:26" ht="15.75" thickBot="1" x14ac:dyDescent="0.3">
      <c r="A26" s="188"/>
      <c r="B26" s="472"/>
      <c r="C26" s="472"/>
      <c r="D26" s="210"/>
      <c r="E26" s="219" t="str">
        <f t="shared" si="10"/>
        <v/>
      </c>
      <c r="F26" s="220" t="str">
        <f>IF($D26="","",IF($D26&lt;=F$7,$B26,""))</f>
        <v/>
      </c>
      <c r="G26" s="220" t="str">
        <f>IF($D26="","",IF($D26&lt;=G$7,$B26,""))</f>
        <v/>
      </c>
      <c r="H26" s="220" t="str">
        <f t="shared" ref="H26:P26" si="18">IF($D26="","",IF($D26&lt;=H$7,$B26,""))</f>
        <v/>
      </c>
      <c r="I26" s="220" t="str">
        <f t="shared" si="18"/>
        <v/>
      </c>
      <c r="J26" s="220" t="str">
        <f t="shared" si="18"/>
        <v/>
      </c>
      <c r="K26" s="220" t="str">
        <f t="shared" si="18"/>
        <v/>
      </c>
      <c r="L26" s="220" t="str">
        <f t="shared" si="18"/>
        <v/>
      </c>
      <c r="M26" s="220" t="str">
        <f t="shared" si="18"/>
        <v/>
      </c>
      <c r="N26" s="220" t="str">
        <f t="shared" si="18"/>
        <v/>
      </c>
      <c r="O26" s="220" t="str">
        <f t="shared" si="18"/>
        <v/>
      </c>
      <c r="P26" s="220" t="str">
        <f t="shared" si="18"/>
        <v/>
      </c>
      <c r="Q26" s="221">
        <f t="shared" si="12"/>
        <v>0</v>
      </c>
      <c r="R26" s="223" t="str">
        <f t="shared" si="13"/>
        <v/>
      </c>
      <c r="S26" s="220" t="str">
        <f t="shared" si="14"/>
        <v/>
      </c>
      <c r="T26" s="220" t="str">
        <f t="shared" si="14"/>
        <v/>
      </c>
      <c r="U26" s="220" t="str">
        <f t="shared" si="14"/>
        <v/>
      </c>
      <c r="V26" s="221">
        <f t="shared" si="15"/>
        <v>0</v>
      </c>
      <c r="W26" s="231" t="str">
        <f t="shared" si="16"/>
        <v/>
      </c>
      <c r="X26" s="232" t="str">
        <f t="shared" si="17"/>
        <v/>
      </c>
    </row>
    <row r="27" spans="1:26" ht="7.5" customHeight="1" thickTop="1" thickBot="1" x14ac:dyDescent="0.3">
      <c r="A27" s="189"/>
      <c r="B27" s="471"/>
      <c r="C27" s="471"/>
      <c r="D27" s="211"/>
      <c r="E27" s="229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8"/>
      <c r="R27" s="226"/>
      <c r="S27" s="227"/>
      <c r="T27" s="227"/>
      <c r="U27" s="227"/>
      <c r="V27" s="228"/>
      <c r="W27" s="224"/>
      <c r="X27" s="225"/>
    </row>
    <row r="28" spans="1:26" ht="18.75" customHeight="1" thickBot="1" x14ac:dyDescent="0.3">
      <c r="A28" s="216" t="s">
        <v>97</v>
      </c>
      <c r="B28" s="461">
        <f>SUM(Q28,V28,W28,X28)/48</f>
        <v>18278.798958333333</v>
      </c>
      <c r="C28" s="462"/>
      <c r="D28" s="265"/>
      <c r="E28" s="233">
        <f>SUM(E16:E26)</f>
        <v>0</v>
      </c>
      <c r="F28" s="234">
        <f t="shared" ref="F28:Q28" si="19">SUM(F16:F26)</f>
        <v>1700</v>
      </c>
      <c r="G28" s="234">
        <f t="shared" si="19"/>
        <v>1700</v>
      </c>
      <c r="H28" s="234">
        <f t="shared" si="19"/>
        <v>7100</v>
      </c>
      <c r="I28" s="234">
        <f t="shared" si="19"/>
        <v>7100</v>
      </c>
      <c r="J28" s="234">
        <f t="shared" si="19"/>
        <v>7100</v>
      </c>
      <c r="K28" s="234">
        <f t="shared" si="19"/>
        <v>7100</v>
      </c>
      <c r="L28" s="234">
        <f t="shared" si="19"/>
        <v>7100</v>
      </c>
      <c r="M28" s="234">
        <f t="shared" si="19"/>
        <v>7100</v>
      </c>
      <c r="N28" s="234">
        <f t="shared" si="19"/>
        <v>7100</v>
      </c>
      <c r="O28" s="234">
        <f t="shared" si="19"/>
        <v>7100</v>
      </c>
      <c r="P28" s="234">
        <f t="shared" si="19"/>
        <v>7100</v>
      </c>
      <c r="Q28" s="235">
        <f t="shared" si="19"/>
        <v>67300</v>
      </c>
      <c r="R28" s="236">
        <f>SUM(R16:R26)</f>
        <v>47250</v>
      </c>
      <c r="S28" s="234">
        <f t="shared" ref="S28:X28" si="20">SUM(S16:S26)</f>
        <v>47250</v>
      </c>
      <c r="T28" s="234">
        <f t="shared" si="20"/>
        <v>47250</v>
      </c>
      <c r="U28" s="234">
        <f t="shared" si="20"/>
        <v>47250</v>
      </c>
      <c r="V28" s="235">
        <f t="shared" si="20"/>
        <v>189000</v>
      </c>
      <c r="W28" s="237">
        <f t="shared" si="20"/>
        <v>302967</v>
      </c>
      <c r="X28" s="238">
        <f t="shared" si="20"/>
        <v>318115.34999999998</v>
      </c>
    </row>
    <row r="29" spans="1:26" ht="7.5" customHeight="1" thickBot="1" x14ac:dyDescent="0.3">
      <c r="A29" s="467"/>
      <c r="B29" s="468"/>
      <c r="C29" s="468"/>
      <c r="D29" s="468"/>
      <c r="E29" s="468"/>
      <c r="F29" s="468"/>
      <c r="G29" s="468"/>
      <c r="H29" s="468"/>
      <c r="I29" s="468"/>
      <c r="J29" s="468"/>
      <c r="K29" s="468"/>
      <c r="L29" s="468"/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9"/>
    </row>
    <row r="30" spans="1:26" ht="18.75" customHeight="1" thickBot="1" x14ac:dyDescent="0.3">
      <c r="A30" s="242" t="s">
        <v>97</v>
      </c>
      <c r="B30" s="456">
        <f>SUM(Q30,V30,W30,X30)/48</f>
        <v>31209.173958333336</v>
      </c>
      <c r="C30" s="457"/>
      <c r="D30" s="266"/>
      <c r="E30" s="243">
        <f>SUM(E13+E28)</f>
        <v>12000</v>
      </c>
      <c r="F30" s="244">
        <f t="shared" ref="F30:X30" si="21">SUM(F13+F28)</f>
        <v>13700</v>
      </c>
      <c r="G30" s="244">
        <f t="shared" si="21"/>
        <v>13700</v>
      </c>
      <c r="H30" s="244">
        <f t="shared" si="21"/>
        <v>19100</v>
      </c>
      <c r="I30" s="244">
        <f t="shared" si="21"/>
        <v>19100</v>
      </c>
      <c r="J30" s="244">
        <f t="shared" si="21"/>
        <v>19100</v>
      </c>
      <c r="K30" s="244">
        <f t="shared" si="21"/>
        <v>19100</v>
      </c>
      <c r="L30" s="244">
        <f t="shared" si="21"/>
        <v>19100</v>
      </c>
      <c r="M30" s="244">
        <f t="shared" si="21"/>
        <v>19100</v>
      </c>
      <c r="N30" s="244">
        <f t="shared" si="21"/>
        <v>19100</v>
      </c>
      <c r="O30" s="244">
        <f t="shared" si="21"/>
        <v>19100</v>
      </c>
      <c r="P30" s="244">
        <f t="shared" si="21"/>
        <v>19100</v>
      </c>
      <c r="Q30" s="239">
        <f t="shared" si="21"/>
        <v>211300</v>
      </c>
      <c r="R30" s="245">
        <f t="shared" si="21"/>
        <v>85050</v>
      </c>
      <c r="S30" s="244">
        <f t="shared" si="21"/>
        <v>85050</v>
      </c>
      <c r="T30" s="244">
        <f t="shared" si="21"/>
        <v>85050</v>
      </c>
      <c r="U30" s="244">
        <f t="shared" si="21"/>
        <v>85050</v>
      </c>
      <c r="V30" s="239">
        <f t="shared" si="21"/>
        <v>340200</v>
      </c>
      <c r="W30" s="240">
        <f t="shared" si="21"/>
        <v>461727</v>
      </c>
      <c r="X30" s="241">
        <f t="shared" si="21"/>
        <v>484813.35</v>
      </c>
    </row>
    <row r="31" spans="1:26" ht="15.75" thickBot="1" x14ac:dyDescent="0.3">
      <c r="B31" s="185">
        <f>B30*0.36%</f>
        <v>112.35302625000001</v>
      </c>
      <c r="C31" s="131"/>
    </row>
    <row r="32" spans="1:26" ht="15" customHeight="1" x14ac:dyDescent="0.25">
      <c r="A32" s="450" t="s">
        <v>120</v>
      </c>
      <c r="B32" s="452" t="s">
        <v>122</v>
      </c>
      <c r="C32" s="452" t="s">
        <v>45</v>
      </c>
      <c r="D32" s="454" t="s">
        <v>46</v>
      </c>
      <c r="E32" s="431" t="s">
        <v>20</v>
      </c>
      <c r="F32" s="429"/>
      <c r="G32" s="429"/>
      <c r="H32" s="429"/>
      <c r="I32" s="429"/>
      <c r="J32" s="429"/>
      <c r="K32" s="429"/>
      <c r="L32" s="429"/>
      <c r="M32" s="429"/>
      <c r="N32" s="429"/>
      <c r="O32" s="429"/>
      <c r="P32" s="430"/>
      <c r="Q32" s="424" t="s">
        <v>20</v>
      </c>
      <c r="R32" s="428" t="s">
        <v>25</v>
      </c>
      <c r="S32" s="429"/>
      <c r="T32" s="429"/>
      <c r="U32" s="430"/>
      <c r="V32" s="426" t="s">
        <v>25</v>
      </c>
      <c r="W32" s="438" t="s">
        <v>26</v>
      </c>
      <c r="X32" s="440" t="s">
        <v>27</v>
      </c>
      <c r="Z32" s="448" t="s">
        <v>51</v>
      </c>
    </row>
    <row r="33" spans="1:26" ht="15.75" thickBot="1" x14ac:dyDescent="0.3">
      <c r="A33" s="451"/>
      <c r="B33" s="453"/>
      <c r="C33" s="453"/>
      <c r="D33" s="455"/>
      <c r="E33" s="14">
        <v>1</v>
      </c>
      <c r="F33" s="15">
        <v>2</v>
      </c>
      <c r="G33" s="15">
        <v>3</v>
      </c>
      <c r="H33" s="15">
        <v>4</v>
      </c>
      <c r="I33" s="15">
        <v>5</v>
      </c>
      <c r="J33" s="15">
        <v>6</v>
      </c>
      <c r="K33" s="15">
        <v>7</v>
      </c>
      <c r="L33" s="15">
        <v>8</v>
      </c>
      <c r="M33" s="15">
        <v>9</v>
      </c>
      <c r="N33" s="15">
        <v>10</v>
      </c>
      <c r="O33" s="15">
        <v>11</v>
      </c>
      <c r="P33" s="16">
        <v>12</v>
      </c>
      <c r="Q33" s="425"/>
      <c r="R33" s="17" t="s">
        <v>21</v>
      </c>
      <c r="S33" s="15" t="s">
        <v>22</v>
      </c>
      <c r="T33" s="15" t="s">
        <v>23</v>
      </c>
      <c r="U33" s="15" t="s">
        <v>24</v>
      </c>
      <c r="V33" s="427"/>
      <c r="W33" s="439"/>
      <c r="X33" s="441"/>
      <c r="Z33" s="449"/>
    </row>
    <row r="34" spans="1:26" ht="18.75" customHeight="1" thickTop="1" x14ac:dyDescent="0.25">
      <c r="A34" s="252" t="s">
        <v>56</v>
      </c>
      <c r="B34" s="103">
        <f>Z34</f>
        <v>41820.293104166667</v>
      </c>
      <c r="C34" s="247" t="s">
        <v>47</v>
      </c>
      <c r="D34" s="248" t="s">
        <v>50</v>
      </c>
      <c r="E34" s="139">
        <f>E30*(1+$B$4)</f>
        <v>16080.000000000002</v>
      </c>
      <c r="F34" s="140">
        <f t="shared" ref="F34:X34" si="22">F30*(1+$B$4)</f>
        <v>18358</v>
      </c>
      <c r="G34" s="140">
        <f t="shared" si="22"/>
        <v>18358</v>
      </c>
      <c r="H34" s="140">
        <f t="shared" si="22"/>
        <v>25594</v>
      </c>
      <c r="I34" s="140">
        <f t="shared" si="22"/>
        <v>25594</v>
      </c>
      <c r="J34" s="140">
        <f t="shared" si="22"/>
        <v>25594</v>
      </c>
      <c r="K34" s="140">
        <f t="shared" si="22"/>
        <v>25594</v>
      </c>
      <c r="L34" s="140">
        <f t="shared" si="22"/>
        <v>25594</v>
      </c>
      <c r="M34" s="140">
        <f t="shared" si="22"/>
        <v>25594</v>
      </c>
      <c r="N34" s="140">
        <f t="shared" si="22"/>
        <v>25594</v>
      </c>
      <c r="O34" s="140">
        <f t="shared" si="22"/>
        <v>25594</v>
      </c>
      <c r="P34" s="140">
        <f t="shared" si="22"/>
        <v>25594</v>
      </c>
      <c r="Q34" s="141">
        <f>SUM(E34:P34)</f>
        <v>283142</v>
      </c>
      <c r="R34" s="142">
        <f t="shared" si="22"/>
        <v>113967</v>
      </c>
      <c r="S34" s="142">
        <f t="shared" si="22"/>
        <v>113967</v>
      </c>
      <c r="T34" s="142">
        <f t="shared" si="22"/>
        <v>113967</v>
      </c>
      <c r="U34" s="142">
        <f t="shared" si="22"/>
        <v>113967</v>
      </c>
      <c r="V34" s="141">
        <f>SUM(R34:U34)</f>
        <v>455868</v>
      </c>
      <c r="W34" s="143">
        <f t="shared" si="22"/>
        <v>618714.18000000005</v>
      </c>
      <c r="X34" s="144">
        <f t="shared" si="22"/>
        <v>649649.88899999997</v>
      </c>
      <c r="Z34" s="159">
        <f>((Q34+V34+W34+X34)/4)/12</f>
        <v>41820.293104166667</v>
      </c>
    </row>
    <row r="35" spans="1:26" ht="18.75" customHeight="1" x14ac:dyDescent="0.25">
      <c r="A35" s="253" t="s">
        <v>57</v>
      </c>
      <c r="B35" s="107">
        <f>Z35</f>
        <v>6970.0488506944448</v>
      </c>
      <c r="C35" s="249" t="s">
        <v>48</v>
      </c>
      <c r="D35" s="167">
        <v>5</v>
      </c>
      <c r="E35" s="146">
        <f>($Q$34/12)*IF($D35=IF(MOD(E$33,6)=0,6,MOD(E$33,6)),1,0)</f>
        <v>0</v>
      </c>
      <c r="F35" s="147">
        <f t="shared" ref="F35:P35" si="23">($Q$34/12)*IF($D35=IF(MOD(F$33,6)=0,6,MOD(F$33,6)),1,0)</f>
        <v>0</v>
      </c>
      <c r="G35" s="147">
        <f t="shared" si="23"/>
        <v>0</v>
      </c>
      <c r="H35" s="147">
        <f t="shared" si="23"/>
        <v>0</v>
      </c>
      <c r="I35" s="147">
        <f t="shared" si="23"/>
        <v>23595.166666666668</v>
      </c>
      <c r="J35" s="147">
        <f t="shared" si="23"/>
        <v>0</v>
      </c>
      <c r="K35" s="147">
        <f t="shared" si="23"/>
        <v>0</v>
      </c>
      <c r="L35" s="147">
        <f t="shared" si="23"/>
        <v>0</v>
      </c>
      <c r="M35" s="147">
        <f t="shared" si="23"/>
        <v>0</v>
      </c>
      <c r="N35" s="147">
        <f t="shared" si="23"/>
        <v>0</v>
      </c>
      <c r="O35" s="147">
        <f t="shared" si="23"/>
        <v>23595.166666666668</v>
      </c>
      <c r="P35" s="147">
        <f t="shared" si="23"/>
        <v>0</v>
      </c>
      <c r="Q35" s="148">
        <f t="shared" ref="Q35" si="24">SUM(E35:P35)</f>
        <v>47190.333333333336</v>
      </c>
      <c r="R35" s="149" t="str">
        <f>IF(AND($D35&gt;=1,$D35&lt;=3),$V$34/12,"")</f>
        <v/>
      </c>
      <c r="S35" s="147">
        <f>IF(AND($D35&gt;=4,$D35&lt;=6),$V$34/12,"")</f>
        <v>37989</v>
      </c>
      <c r="T35" s="147" t="str">
        <f>IF(AND($D35&gt;=1,$D35&lt;=3),$V$34/12,"")</f>
        <v/>
      </c>
      <c r="U35" s="147">
        <f>IF(AND($D35&gt;=4,$D35&lt;=6),$V$34/12,"")</f>
        <v>37989</v>
      </c>
      <c r="V35" s="148">
        <f t="shared" ref="V35:V36" si="25">SUM(R35:U35)</f>
        <v>75978</v>
      </c>
      <c r="W35" s="150">
        <f>W34/12*2</f>
        <v>103119.03000000001</v>
      </c>
      <c r="X35" s="151">
        <f>X34/12*2</f>
        <v>108274.98149999999</v>
      </c>
      <c r="Z35" s="160">
        <f>((Q35+V35+W35+X35)/4)/12</f>
        <v>6970.0488506944448</v>
      </c>
    </row>
    <row r="36" spans="1:26" ht="18.75" customHeight="1" thickBot="1" x14ac:dyDescent="0.3">
      <c r="A36" s="259" t="s">
        <v>100</v>
      </c>
      <c r="B36" s="202">
        <f>Z36</f>
        <v>318.125</v>
      </c>
      <c r="C36" s="260" t="s">
        <v>47</v>
      </c>
      <c r="D36" s="261" t="s">
        <v>50</v>
      </c>
      <c r="E36" s="153">
        <f>COUNT(E$8:E$12,E$16:E$27)*$B$3</f>
        <v>120</v>
      </c>
      <c r="F36" s="154">
        <f t="shared" ref="F36:P36" si="26">COUNT(F$8:F$12,F$16:F$27)*$B$3</f>
        <v>150</v>
      </c>
      <c r="G36" s="154">
        <f t="shared" si="26"/>
        <v>150</v>
      </c>
      <c r="H36" s="154">
        <f t="shared" si="26"/>
        <v>210</v>
      </c>
      <c r="I36" s="154">
        <f t="shared" si="26"/>
        <v>210</v>
      </c>
      <c r="J36" s="154">
        <f t="shared" si="26"/>
        <v>210</v>
      </c>
      <c r="K36" s="154">
        <f t="shared" si="26"/>
        <v>210</v>
      </c>
      <c r="L36" s="154">
        <f t="shared" si="26"/>
        <v>210</v>
      </c>
      <c r="M36" s="154">
        <f t="shared" si="26"/>
        <v>210</v>
      </c>
      <c r="N36" s="154">
        <f t="shared" si="26"/>
        <v>210</v>
      </c>
      <c r="O36" s="154">
        <f t="shared" si="26"/>
        <v>210</v>
      </c>
      <c r="P36" s="154">
        <f t="shared" si="26"/>
        <v>210</v>
      </c>
      <c r="Q36" s="155">
        <f t="shared" ref="Q36" si="27">SUM(E36:P36)</f>
        <v>2310</v>
      </c>
      <c r="R36" s="156">
        <f>(COUNT(R$8:R$12,R$16:R$27)*3)*$B$3</f>
        <v>900</v>
      </c>
      <c r="S36" s="154">
        <f t="shared" ref="S36:U36" si="28">(COUNT(S$8:S$12,S$16:S$27)*3)*$B$3</f>
        <v>900</v>
      </c>
      <c r="T36" s="154">
        <f t="shared" si="28"/>
        <v>900</v>
      </c>
      <c r="U36" s="154">
        <f t="shared" si="28"/>
        <v>900</v>
      </c>
      <c r="V36" s="155">
        <f t="shared" si="25"/>
        <v>3600</v>
      </c>
      <c r="W36" s="157">
        <f>(COUNT(W$8:W$12,W$16:W$27)*12)*$B$3</f>
        <v>4680</v>
      </c>
      <c r="X36" s="158">
        <f>(COUNT(X$8:X$12,X$16:X$27)*12)*$B$3</f>
        <v>4680</v>
      </c>
      <c r="Z36" s="160">
        <f>((Q36+V36+W36+X36)/4)/12</f>
        <v>318.125</v>
      </c>
    </row>
    <row r="37" spans="1:26" ht="7.5" customHeight="1" thickTop="1" thickBot="1" x14ac:dyDescent="0.3">
      <c r="A37" s="254"/>
      <c r="B37" s="255"/>
      <c r="C37" s="250"/>
      <c r="D37" s="251"/>
      <c r="E37" s="132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4"/>
      <c r="R37" s="135"/>
      <c r="S37" s="133"/>
      <c r="T37" s="133"/>
      <c r="U37" s="133"/>
      <c r="V37" s="134"/>
      <c r="W37" s="136"/>
      <c r="X37" s="137"/>
      <c r="Z37" s="162"/>
    </row>
    <row r="38" spans="1:26" ht="18.75" customHeight="1" thickBot="1" x14ac:dyDescent="0.3">
      <c r="A38" s="180" t="s">
        <v>58</v>
      </c>
      <c r="B38" s="179">
        <f>Z38</f>
        <v>49108.466954861113</v>
      </c>
      <c r="D38" s="186"/>
      <c r="E38" s="176">
        <f>SUM(E34:E37)</f>
        <v>16200.000000000002</v>
      </c>
      <c r="F38" s="177">
        <f t="shared" ref="F38:X38" si="29">SUM(F34:F37)</f>
        <v>18508</v>
      </c>
      <c r="G38" s="177">
        <f t="shared" si="29"/>
        <v>18508</v>
      </c>
      <c r="H38" s="177">
        <f t="shared" si="29"/>
        <v>25804</v>
      </c>
      <c r="I38" s="177">
        <f t="shared" si="29"/>
        <v>49399.166666666672</v>
      </c>
      <c r="J38" s="177">
        <f t="shared" si="29"/>
        <v>25804</v>
      </c>
      <c r="K38" s="177">
        <f t="shared" si="29"/>
        <v>25804</v>
      </c>
      <c r="L38" s="177">
        <f t="shared" si="29"/>
        <v>25804</v>
      </c>
      <c r="M38" s="177">
        <f t="shared" si="29"/>
        <v>25804</v>
      </c>
      <c r="N38" s="177">
        <f t="shared" si="29"/>
        <v>25804</v>
      </c>
      <c r="O38" s="177">
        <f t="shared" si="29"/>
        <v>49399.166666666672</v>
      </c>
      <c r="P38" s="177">
        <f t="shared" si="29"/>
        <v>25804</v>
      </c>
      <c r="Q38" s="181">
        <f t="shared" si="29"/>
        <v>332642.33333333331</v>
      </c>
      <c r="R38" s="178">
        <f t="shared" si="29"/>
        <v>114867</v>
      </c>
      <c r="S38" s="177">
        <f t="shared" si="29"/>
        <v>152856</v>
      </c>
      <c r="T38" s="177">
        <f t="shared" si="29"/>
        <v>114867</v>
      </c>
      <c r="U38" s="177">
        <f t="shared" si="29"/>
        <v>152856</v>
      </c>
      <c r="V38" s="181">
        <f t="shared" si="29"/>
        <v>535446</v>
      </c>
      <c r="W38" s="182">
        <f t="shared" si="29"/>
        <v>726513.21000000008</v>
      </c>
      <c r="X38" s="183">
        <f t="shared" si="29"/>
        <v>762604.87049999996</v>
      </c>
      <c r="Z38" s="184">
        <f>SUM(Z34:Z37)</f>
        <v>49108.466954861113</v>
      </c>
    </row>
    <row r="39" spans="1:26" ht="15.75" thickBot="1" x14ac:dyDescent="0.3">
      <c r="B39" s="185"/>
      <c r="C39" s="131"/>
    </row>
    <row r="40" spans="1:26" ht="15" customHeight="1" x14ac:dyDescent="0.25">
      <c r="A40" s="450" t="s">
        <v>44</v>
      </c>
      <c r="B40" s="452" t="s">
        <v>19</v>
      </c>
      <c r="C40" s="452" t="s">
        <v>45</v>
      </c>
      <c r="D40" s="454" t="s">
        <v>46</v>
      </c>
      <c r="E40" s="431" t="s">
        <v>20</v>
      </c>
      <c r="F40" s="429"/>
      <c r="G40" s="429"/>
      <c r="H40" s="429"/>
      <c r="I40" s="429"/>
      <c r="J40" s="429"/>
      <c r="K40" s="429"/>
      <c r="L40" s="429"/>
      <c r="M40" s="429"/>
      <c r="N40" s="429"/>
      <c r="O40" s="429"/>
      <c r="P40" s="430"/>
      <c r="Q40" s="424" t="s">
        <v>20</v>
      </c>
      <c r="R40" s="428" t="s">
        <v>25</v>
      </c>
      <c r="S40" s="429"/>
      <c r="T40" s="429"/>
      <c r="U40" s="430"/>
      <c r="V40" s="426" t="s">
        <v>25</v>
      </c>
      <c r="W40" s="438" t="s">
        <v>26</v>
      </c>
      <c r="X40" s="440" t="s">
        <v>27</v>
      </c>
      <c r="Z40" s="448" t="s">
        <v>51</v>
      </c>
    </row>
    <row r="41" spans="1:26" ht="15.75" thickBot="1" x14ac:dyDescent="0.3">
      <c r="A41" s="451"/>
      <c r="B41" s="453"/>
      <c r="C41" s="453"/>
      <c r="D41" s="455"/>
      <c r="E41" s="14">
        <v>1</v>
      </c>
      <c r="F41" s="15">
        <v>2</v>
      </c>
      <c r="G41" s="15">
        <v>3</v>
      </c>
      <c r="H41" s="15">
        <v>4</v>
      </c>
      <c r="I41" s="15">
        <v>5</v>
      </c>
      <c r="J41" s="15">
        <v>6</v>
      </c>
      <c r="K41" s="15">
        <v>7</v>
      </c>
      <c r="L41" s="15">
        <v>8</v>
      </c>
      <c r="M41" s="15">
        <v>9</v>
      </c>
      <c r="N41" s="15">
        <v>10</v>
      </c>
      <c r="O41" s="15">
        <v>11</v>
      </c>
      <c r="P41" s="16">
        <v>12</v>
      </c>
      <c r="Q41" s="425"/>
      <c r="R41" s="17" t="s">
        <v>21</v>
      </c>
      <c r="S41" s="15" t="s">
        <v>22</v>
      </c>
      <c r="T41" s="15" t="s">
        <v>23</v>
      </c>
      <c r="U41" s="15" t="s">
        <v>24</v>
      </c>
      <c r="V41" s="427"/>
      <c r="W41" s="439"/>
      <c r="X41" s="441"/>
      <c r="Z41" s="449"/>
    </row>
    <row r="42" spans="1:26" ht="18.75" customHeight="1" thickTop="1" x14ac:dyDescent="0.25">
      <c r="A42" s="163"/>
      <c r="B42" s="31"/>
      <c r="C42" s="32"/>
      <c r="D42" s="33"/>
      <c r="E42" s="139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140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140">
        <f t="shared" si="30"/>
        <v>0</v>
      </c>
      <c r="H42" s="140">
        <f t="shared" si="30"/>
        <v>0</v>
      </c>
      <c r="I42" s="140">
        <f t="shared" si="30"/>
        <v>0</v>
      </c>
      <c r="J42" s="140">
        <f t="shared" si="30"/>
        <v>0</v>
      </c>
      <c r="K42" s="140">
        <f t="shared" si="30"/>
        <v>0</v>
      </c>
      <c r="L42" s="140">
        <f t="shared" si="30"/>
        <v>0</v>
      </c>
      <c r="M42" s="140">
        <f t="shared" si="30"/>
        <v>0</v>
      </c>
      <c r="N42" s="140">
        <f t="shared" si="30"/>
        <v>0</v>
      </c>
      <c r="O42" s="140">
        <f t="shared" si="30"/>
        <v>0</v>
      </c>
      <c r="P42" s="140">
        <f t="shared" si="30"/>
        <v>0</v>
      </c>
      <c r="Q42" s="141">
        <f>SUM(E42:P42)</f>
        <v>0</v>
      </c>
      <c r="R42" s="142">
        <f>IF(AND($C42="j",$D42&gt;=1,$D42&lt;=3),$B42,IF(AND($C42="h",$D42&gt;=1,$D42&lt;=3),$B42,IF(AND($C42="q",$D42&gt;=1,$D42&lt;=3),$B42,IF($C42="z",IF($D42=1,2*$B42,$B42),IF($C42="m",3*$B42,0)))))</f>
        <v>0</v>
      </c>
      <c r="S42" s="140">
        <f>IF(AND($C42="j",$D42&gt;=4,$D42&lt;=6),$B42,IF(AND($C42="h",$D42&gt;=4,$D42&lt;=6),$B42,IF(AND($C42="q",$D42&gt;=1,$D42&lt;=3),$B42,IF($C42="z",IF($D42=2,2*$B42,$B42),IF($C42="m",3*$B42,0)))))</f>
        <v>0</v>
      </c>
      <c r="T42" s="140">
        <f>IF(AND($C42="j",$D42&gt;=7,$D42&lt;=9),$B42,IF(AND($C42="h",$D42&gt;=1,$D42&lt;=3),$B42,IF(AND($C42="q",$D42&gt;=1,$D42&lt;=3),$B42,IF($C42="z",IF($D42=1,2*$B42,$B42),IF($C42="m",3*$B42,0)))))</f>
        <v>0</v>
      </c>
      <c r="U42" s="140">
        <f>IF(AND($C42="j",$D42&gt;=10,$D42&lt;=12),$B42,IF(AND($C42="h",$D42&gt;=4,$D42&lt;=6),$B42,IF(AND($C42="q",$D42&gt;=1,$D42&lt;=3),$B42,IF($C42="z",IF($D42=2,2*$B42,$B42),IF($C42="m",3*$B42,0)))))</f>
        <v>0</v>
      </c>
      <c r="V42" s="141">
        <f>SUM(R42:U42)</f>
        <v>0</v>
      </c>
      <c r="W42" s="143">
        <f>IF($C42="j",$B42,IF($C42="h",2*$B42,IF($C42="q",4*$B42,IF($C42="z",6*$B42,12*$B42))))</f>
        <v>0</v>
      </c>
      <c r="X42" s="144">
        <f>IF($C42="j",$B42,IF($C42="h",2*$B42,IF($C42="q",4*$B42,IF($C42="z",6*$B42,12*$B42))))</f>
        <v>0</v>
      </c>
      <c r="Z42" s="159">
        <f>Q42/12</f>
        <v>0</v>
      </c>
    </row>
    <row r="43" spans="1:26" ht="18.75" customHeight="1" x14ac:dyDescent="0.25">
      <c r="A43" s="164"/>
      <c r="B43" s="165"/>
      <c r="C43" s="166"/>
      <c r="D43" s="167"/>
      <c r="E43" s="146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47">
        <f t="shared" si="30"/>
        <v>0</v>
      </c>
      <c r="G43" s="147">
        <f t="shared" si="30"/>
        <v>0</v>
      </c>
      <c r="H43" s="147">
        <f t="shared" si="30"/>
        <v>0</v>
      </c>
      <c r="I43" s="147">
        <f t="shared" si="30"/>
        <v>0</v>
      </c>
      <c r="J43" s="147">
        <f t="shared" si="30"/>
        <v>0</v>
      </c>
      <c r="K43" s="147">
        <f t="shared" si="30"/>
        <v>0</v>
      </c>
      <c r="L43" s="147">
        <f t="shared" si="30"/>
        <v>0</v>
      </c>
      <c r="M43" s="147">
        <f t="shared" si="30"/>
        <v>0</v>
      </c>
      <c r="N43" s="147">
        <f t="shared" si="30"/>
        <v>0</v>
      </c>
      <c r="O43" s="147">
        <f t="shared" si="30"/>
        <v>0</v>
      </c>
      <c r="P43" s="147">
        <f t="shared" si="30"/>
        <v>0</v>
      </c>
      <c r="Q43" s="148">
        <f t="shared" ref="Q43:Q45" si="32">SUM(E43:P43)</f>
        <v>0</v>
      </c>
      <c r="R43" s="149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47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47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47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148">
        <f t="shared" ref="V43:V45" si="37">SUM(R43:U43)</f>
        <v>0</v>
      </c>
      <c r="W43" s="150">
        <f t="shared" ref="W43:X45" si="38">IF($C43="j",$B43,IF($C43="h",2*$B43,IF($C43="q",4*$B43,IF($C43="z",6*$B43,12*$B43))))</f>
        <v>0</v>
      </c>
      <c r="X43" s="151">
        <f t="shared" si="38"/>
        <v>0</v>
      </c>
      <c r="Z43" s="160">
        <f t="shared" ref="Z43:Z45" si="39">Q43/12</f>
        <v>0</v>
      </c>
    </row>
    <row r="44" spans="1:26" ht="18.75" customHeight="1" x14ac:dyDescent="0.25">
      <c r="A44" s="164"/>
      <c r="B44" s="165"/>
      <c r="C44" s="166"/>
      <c r="D44" s="167"/>
      <c r="E44" s="146">
        <f t="shared" si="31"/>
        <v>0</v>
      </c>
      <c r="F44" s="147">
        <f t="shared" si="30"/>
        <v>0</v>
      </c>
      <c r="G44" s="147">
        <f t="shared" si="30"/>
        <v>0</v>
      </c>
      <c r="H44" s="147">
        <f t="shared" si="30"/>
        <v>0</v>
      </c>
      <c r="I44" s="147">
        <f t="shared" si="30"/>
        <v>0</v>
      </c>
      <c r="J44" s="147">
        <f t="shared" si="30"/>
        <v>0</v>
      </c>
      <c r="K44" s="147">
        <f t="shared" si="30"/>
        <v>0</v>
      </c>
      <c r="L44" s="147">
        <f t="shared" si="30"/>
        <v>0</v>
      </c>
      <c r="M44" s="147">
        <f t="shared" si="30"/>
        <v>0</v>
      </c>
      <c r="N44" s="147">
        <f t="shared" si="30"/>
        <v>0</v>
      </c>
      <c r="O44" s="147">
        <f t="shared" si="30"/>
        <v>0</v>
      </c>
      <c r="P44" s="147">
        <f t="shared" si="30"/>
        <v>0</v>
      </c>
      <c r="Q44" s="148">
        <f t="shared" si="32"/>
        <v>0</v>
      </c>
      <c r="R44" s="149">
        <f t="shared" si="33"/>
        <v>0</v>
      </c>
      <c r="S44" s="147">
        <f t="shared" si="34"/>
        <v>0</v>
      </c>
      <c r="T44" s="147">
        <f t="shared" si="35"/>
        <v>0</v>
      </c>
      <c r="U44" s="147">
        <f t="shared" si="36"/>
        <v>0</v>
      </c>
      <c r="V44" s="148">
        <f t="shared" si="37"/>
        <v>0</v>
      </c>
      <c r="W44" s="150">
        <f t="shared" si="38"/>
        <v>0</v>
      </c>
      <c r="X44" s="151">
        <f t="shared" si="38"/>
        <v>0</v>
      </c>
      <c r="Z44" s="160">
        <f t="shared" si="39"/>
        <v>0</v>
      </c>
    </row>
    <row r="45" spans="1:26" ht="18.75" customHeight="1" thickBot="1" x14ac:dyDescent="0.3">
      <c r="A45" s="168"/>
      <c r="B45" s="169"/>
      <c r="C45" s="170"/>
      <c r="D45" s="171"/>
      <c r="E45" s="153">
        <f t="shared" si="31"/>
        <v>0</v>
      </c>
      <c r="F45" s="154">
        <f t="shared" si="30"/>
        <v>0</v>
      </c>
      <c r="G45" s="154">
        <f t="shared" si="30"/>
        <v>0</v>
      </c>
      <c r="H45" s="154">
        <f t="shared" si="30"/>
        <v>0</v>
      </c>
      <c r="I45" s="154">
        <f t="shared" si="30"/>
        <v>0</v>
      </c>
      <c r="J45" s="154">
        <f t="shared" si="30"/>
        <v>0</v>
      </c>
      <c r="K45" s="154">
        <f t="shared" si="30"/>
        <v>0</v>
      </c>
      <c r="L45" s="154">
        <f t="shared" si="30"/>
        <v>0</v>
      </c>
      <c r="M45" s="154">
        <f t="shared" si="30"/>
        <v>0</v>
      </c>
      <c r="N45" s="154">
        <f t="shared" si="30"/>
        <v>0</v>
      </c>
      <c r="O45" s="154">
        <f t="shared" si="30"/>
        <v>0</v>
      </c>
      <c r="P45" s="154">
        <f t="shared" si="30"/>
        <v>0</v>
      </c>
      <c r="Q45" s="155">
        <f t="shared" si="32"/>
        <v>0</v>
      </c>
      <c r="R45" s="156">
        <f t="shared" si="33"/>
        <v>0</v>
      </c>
      <c r="S45" s="154">
        <f t="shared" si="34"/>
        <v>0</v>
      </c>
      <c r="T45" s="154">
        <f t="shared" si="35"/>
        <v>0</v>
      </c>
      <c r="U45" s="154">
        <f t="shared" si="36"/>
        <v>0</v>
      </c>
      <c r="V45" s="155">
        <f t="shared" si="37"/>
        <v>0</v>
      </c>
      <c r="W45" s="157">
        <f t="shared" si="38"/>
        <v>0</v>
      </c>
      <c r="X45" s="158">
        <f t="shared" si="38"/>
        <v>0</v>
      </c>
      <c r="Z45" s="161">
        <f t="shared" si="39"/>
        <v>0</v>
      </c>
    </row>
    <row r="46" spans="1:26" ht="7.5" customHeight="1" thickTop="1" thickBot="1" x14ac:dyDescent="0.3">
      <c r="A46" s="172"/>
      <c r="B46" s="173"/>
      <c r="C46" s="174"/>
      <c r="D46" s="175"/>
      <c r="E46" s="132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4"/>
      <c r="R46" s="135"/>
      <c r="S46" s="133"/>
      <c r="T46" s="133"/>
      <c r="U46" s="133"/>
      <c r="V46" s="134"/>
      <c r="W46" s="136"/>
      <c r="X46" s="137"/>
      <c r="Z46" s="162"/>
    </row>
    <row r="47" spans="1:26" ht="18.75" customHeight="1" thickBot="1" x14ac:dyDescent="0.3">
      <c r="A47" s="180" t="s">
        <v>52</v>
      </c>
      <c r="B47" s="179">
        <f>Z47</f>
        <v>0</v>
      </c>
      <c r="E47" s="176">
        <f>SUM(E42:E45)</f>
        <v>0</v>
      </c>
      <c r="F47" s="177">
        <f t="shared" ref="F47:X47" si="40">SUM(F42:F45)</f>
        <v>0</v>
      </c>
      <c r="G47" s="177">
        <f t="shared" si="40"/>
        <v>0</v>
      </c>
      <c r="H47" s="177">
        <f t="shared" si="40"/>
        <v>0</v>
      </c>
      <c r="I47" s="177">
        <f t="shared" si="40"/>
        <v>0</v>
      </c>
      <c r="J47" s="177">
        <f t="shared" si="40"/>
        <v>0</v>
      </c>
      <c r="K47" s="177">
        <f t="shared" si="40"/>
        <v>0</v>
      </c>
      <c r="L47" s="177">
        <f t="shared" si="40"/>
        <v>0</v>
      </c>
      <c r="M47" s="177">
        <f t="shared" si="40"/>
        <v>0</v>
      </c>
      <c r="N47" s="177">
        <f t="shared" si="40"/>
        <v>0</v>
      </c>
      <c r="O47" s="177">
        <f t="shared" si="40"/>
        <v>0</v>
      </c>
      <c r="P47" s="177">
        <f t="shared" si="40"/>
        <v>0</v>
      </c>
      <c r="Q47" s="181">
        <f t="shared" si="40"/>
        <v>0</v>
      </c>
      <c r="R47" s="178">
        <f t="shared" si="40"/>
        <v>0</v>
      </c>
      <c r="S47" s="177">
        <f t="shared" si="40"/>
        <v>0</v>
      </c>
      <c r="T47" s="177">
        <f t="shared" si="40"/>
        <v>0</v>
      </c>
      <c r="U47" s="177">
        <f t="shared" si="40"/>
        <v>0</v>
      </c>
      <c r="V47" s="181">
        <f t="shared" si="40"/>
        <v>0</v>
      </c>
      <c r="W47" s="182">
        <f t="shared" si="40"/>
        <v>0</v>
      </c>
      <c r="X47" s="183">
        <f t="shared" si="40"/>
        <v>0</v>
      </c>
      <c r="Z47" s="184">
        <f>SUM(Z42:Z45)</f>
        <v>0</v>
      </c>
    </row>
    <row r="48" spans="1:26" ht="15.75" thickBot="1" x14ac:dyDescent="0.3"/>
    <row r="49" spans="1:26" ht="15" customHeight="1" x14ac:dyDescent="0.25">
      <c r="A49" s="450" t="s">
        <v>59</v>
      </c>
      <c r="B49" s="452" t="s">
        <v>19</v>
      </c>
      <c r="C49" s="452" t="s">
        <v>45</v>
      </c>
      <c r="D49" s="454" t="s">
        <v>46</v>
      </c>
      <c r="E49" s="431" t="s">
        <v>20</v>
      </c>
      <c r="F49" s="429"/>
      <c r="G49" s="429"/>
      <c r="H49" s="429"/>
      <c r="I49" s="429"/>
      <c r="J49" s="429"/>
      <c r="K49" s="429"/>
      <c r="L49" s="429"/>
      <c r="M49" s="429"/>
      <c r="N49" s="429"/>
      <c r="O49" s="429"/>
      <c r="P49" s="430"/>
      <c r="Q49" s="424" t="s">
        <v>20</v>
      </c>
      <c r="R49" s="428" t="s">
        <v>25</v>
      </c>
      <c r="S49" s="429"/>
      <c r="T49" s="429"/>
      <c r="U49" s="430"/>
      <c r="V49" s="426" t="s">
        <v>25</v>
      </c>
      <c r="W49" s="438" t="s">
        <v>26</v>
      </c>
      <c r="X49" s="440" t="s">
        <v>27</v>
      </c>
      <c r="Z49" s="448" t="s">
        <v>51</v>
      </c>
    </row>
    <row r="50" spans="1:26" ht="15.75" thickBot="1" x14ac:dyDescent="0.3">
      <c r="A50" s="451"/>
      <c r="B50" s="453"/>
      <c r="C50" s="453"/>
      <c r="D50" s="455"/>
      <c r="E50" s="14">
        <v>1</v>
      </c>
      <c r="F50" s="15">
        <v>2</v>
      </c>
      <c r="G50" s="15">
        <v>3</v>
      </c>
      <c r="H50" s="15">
        <v>4</v>
      </c>
      <c r="I50" s="15">
        <v>5</v>
      </c>
      <c r="J50" s="15">
        <v>6</v>
      </c>
      <c r="K50" s="15">
        <v>7</v>
      </c>
      <c r="L50" s="15">
        <v>8</v>
      </c>
      <c r="M50" s="15">
        <v>9</v>
      </c>
      <c r="N50" s="15">
        <v>10</v>
      </c>
      <c r="O50" s="15">
        <v>11</v>
      </c>
      <c r="P50" s="16">
        <v>12</v>
      </c>
      <c r="Q50" s="425"/>
      <c r="R50" s="17" t="s">
        <v>21</v>
      </c>
      <c r="S50" s="15" t="s">
        <v>22</v>
      </c>
      <c r="T50" s="15" t="s">
        <v>23</v>
      </c>
      <c r="U50" s="15" t="s">
        <v>24</v>
      </c>
      <c r="V50" s="427"/>
      <c r="W50" s="439"/>
      <c r="X50" s="441"/>
      <c r="Z50" s="449"/>
    </row>
    <row r="51" spans="1:26" ht="18.75" customHeight="1" thickTop="1" x14ac:dyDescent="0.25">
      <c r="A51" s="163"/>
      <c r="B51" s="31"/>
      <c r="C51" s="32"/>
      <c r="D51" s="33"/>
      <c r="E51" s="139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140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140">
        <f t="shared" si="41"/>
        <v>0</v>
      </c>
      <c r="H51" s="140">
        <f t="shared" si="41"/>
        <v>0</v>
      </c>
      <c r="I51" s="140">
        <f t="shared" si="41"/>
        <v>0</v>
      </c>
      <c r="J51" s="140">
        <f t="shared" si="41"/>
        <v>0</v>
      </c>
      <c r="K51" s="140">
        <f t="shared" si="41"/>
        <v>0</v>
      </c>
      <c r="L51" s="140">
        <f t="shared" si="41"/>
        <v>0</v>
      </c>
      <c r="M51" s="140">
        <f t="shared" si="41"/>
        <v>0</v>
      </c>
      <c r="N51" s="140">
        <f t="shared" si="41"/>
        <v>0</v>
      </c>
      <c r="O51" s="140">
        <f t="shared" si="41"/>
        <v>0</v>
      </c>
      <c r="P51" s="140">
        <f t="shared" si="41"/>
        <v>0</v>
      </c>
      <c r="Q51" s="141">
        <f>SUM(E51:P51)</f>
        <v>0</v>
      </c>
      <c r="R51" s="142">
        <f>IF(AND($C51="j",$D51&gt;=1,$D51&lt;=3),$B51,IF(AND($C51="h",$D51&gt;=1,$D51&lt;=3),$B51,IF(AND($C51="q",$D51&gt;=1,$D51&lt;=3),$B51,IF($C51="z",IF($D51=1,2*$B51,$B51),IF($C51="m",3*$B51,0)))))</f>
        <v>0</v>
      </c>
      <c r="S51" s="140">
        <f>IF(AND($C51="j",$D51&gt;=4,$D51&lt;=6),$B51,IF(AND($C51="h",$D51&gt;=4,$D51&lt;=6),$B51,IF(AND($C51="q",$D51&gt;=1,$D51&lt;=3),$B51,IF($C51="z",IF($D51=2,2*$B51,$B51),IF($C51="m",3*$B51,0)))))</f>
        <v>0</v>
      </c>
      <c r="T51" s="140">
        <f>IF(AND($C51="j",$D51&gt;=7,$D51&lt;=9),$B51,IF(AND($C51="h",$D51&gt;=1,$D51&lt;=3),$B51,IF(AND($C51="q",$D51&gt;=1,$D51&lt;=3),$B51,IF($C51="z",IF($D51=1,2*$B51,$B51),IF($C51="m",3*$B51,0)))))</f>
        <v>0</v>
      </c>
      <c r="U51" s="140">
        <f>IF(AND($C51="j",$D51&gt;=10,$D51&lt;=12),$B51,IF(AND($C51="h",$D51&gt;=4,$D51&lt;=6),$B51,IF(AND($C51="q",$D51&gt;=1,$D51&lt;=3),$B51,IF($C51="z",IF($D51=2,2*$B51,$B51),IF($C51="m",3*$B51,0)))))</f>
        <v>0</v>
      </c>
      <c r="V51" s="141">
        <f>SUM(R51:U51)</f>
        <v>0</v>
      </c>
      <c r="W51" s="143">
        <f>IF($C51="j",$B51,IF($C51="h",2*$B51,IF($C51="q",4*$B51,IF($C51="z",6*$B51,12*$B51))))</f>
        <v>0</v>
      </c>
      <c r="X51" s="144">
        <f>IF($C51="j",$B51,IF($C51="h",2*$B51,IF($C51="q",4*$B51,IF($C51="z",6*$B51,12*$B51))))</f>
        <v>0</v>
      </c>
      <c r="Z51" s="159">
        <f>Q51/12</f>
        <v>0</v>
      </c>
    </row>
    <row r="52" spans="1:26" ht="18.75" customHeight="1" x14ac:dyDescent="0.25">
      <c r="A52" s="164"/>
      <c r="B52" s="165"/>
      <c r="C52" s="166"/>
      <c r="D52" s="167"/>
      <c r="E52" s="146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47">
        <f t="shared" si="41"/>
        <v>0</v>
      </c>
      <c r="G52" s="147">
        <f t="shared" si="41"/>
        <v>0</v>
      </c>
      <c r="H52" s="147">
        <f t="shared" si="41"/>
        <v>0</v>
      </c>
      <c r="I52" s="147">
        <f t="shared" si="41"/>
        <v>0</v>
      </c>
      <c r="J52" s="147">
        <f t="shared" si="41"/>
        <v>0</v>
      </c>
      <c r="K52" s="147">
        <f t="shared" si="41"/>
        <v>0</v>
      </c>
      <c r="L52" s="147">
        <f t="shared" si="41"/>
        <v>0</v>
      </c>
      <c r="M52" s="147">
        <f t="shared" si="41"/>
        <v>0</v>
      </c>
      <c r="N52" s="147">
        <f t="shared" si="41"/>
        <v>0</v>
      </c>
      <c r="O52" s="147">
        <f t="shared" si="41"/>
        <v>0</v>
      </c>
      <c r="P52" s="147">
        <f t="shared" si="41"/>
        <v>0</v>
      </c>
      <c r="Q52" s="148">
        <f t="shared" ref="Q52:Q54" si="43">SUM(E52:P52)</f>
        <v>0</v>
      </c>
      <c r="R52" s="149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47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47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47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148">
        <f t="shared" ref="V52:V54" si="48">SUM(R52:U52)</f>
        <v>0</v>
      </c>
      <c r="W52" s="150">
        <f t="shared" ref="W52:X54" si="49">IF($C52="j",$B52,IF($C52="h",2*$B52,IF($C52="q",4*$B52,IF($C52="z",6*$B52,12*$B52))))</f>
        <v>0</v>
      </c>
      <c r="X52" s="151">
        <f t="shared" si="49"/>
        <v>0</v>
      </c>
      <c r="Z52" s="160">
        <f t="shared" ref="Z52:Z54" si="50">Q52/12</f>
        <v>0</v>
      </c>
    </row>
    <row r="53" spans="1:26" ht="18.75" customHeight="1" x14ac:dyDescent="0.25">
      <c r="A53" s="164"/>
      <c r="B53" s="165"/>
      <c r="C53" s="166"/>
      <c r="D53" s="167"/>
      <c r="E53" s="146">
        <f t="shared" si="42"/>
        <v>0</v>
      </c>
      <c r="F53" s="147">
        <f t="shared" si="41"/>
        <v>0</v>
      </c>
      <c r="G53" s="147">
        <f t="shared" si="41"/>
        <v>0</v>
      </c>
      <c r="H53" s="147">
        <f t="shared" si="41"/>
        <v>0</v>
      </c>
      <c r="I53" s="147">
        <f t="shared" si="41"/>
        <v>0</v>
      </c>
      <c r="J53" s="147">
        <f t="shared" si="41"/>
        <v>0</v>
      </c>
      <c r="K53" s="147">
        <f t="shared" si="41"/>
        <v>0</v>
      </c>
      <c r="L53" s="147">
        <f t="shared" si="41"/>
        <v>0</v>
      </c>
      <c r="M53" s="147">
        <f t="shared" si="41"/>
        <v>0</v>
      </c>
      <c r="N53" s="147">
        <f t="shared" si="41"/>
        <v>0</v>
      </c>
      <c r="O53" s="147">
        <f t="shared" si="41"/>
        <v>0</v>
      </c>
      <c r="P53" s="147">
        <f t="shared" si="41"/>
        <v>0</v>
      </c>
      <c r="Q53" s="148">
        <f t="shared" si="43"/>
        <v>0</v>
      </c>
      <c r="R53" s="149">
        <f t="shared" si="44"/>
        <v>0</v>
      </c>
      <c r="S53" s="147">
        <f t="shared" si="45"/>
        <v>0</v>
      </c>
      <c r="T53" s="147">
        <f t="shared" si="46"/>
        <v>0</v>
      </c>
      <c r="U53" s="147">
        <f t="shared" si="47"/>
        <v>0</v>
      </c>
      <c r="V53" s="148">
        <f t="shared" si="48"/>
        <v>0</v>
      </c>
      <c r="W53" s="150">
        <f t="shared" si="49"/>
        <v>0</v>
      </c>
      <c r="X53" s="151">
        <f t="shared" si="49"/>
        <v>0</v>
      </c>
      <c r="Z53" s="160">
        <f t="shared" si="50"/>
        <v>0</v>
      </c>
    </row>
    <row r="54" spans="1:26" ht="18.75" customHeight="1" thickBot="1" x14ac:dyDescent="0.3">
      <c r="A54" s="168"/>
      <c r="B54" s="169"/>
      <c r="C54" s="170"/>
      <c r="D54" s="171"/>
      <c r="E54" s="153">
        <f t="shared" si="42"/>
        <v>0</v>
      </c>
      <c r="F54" s="154">
        <f t="shared" si="41"/>
        <v>0</v>
      </c>
      <c r="G54" s="154">
        <f t="shared" si="41"/>
        <v>0</v>
      </c>
      <c r="H54" s="154">
        <f t="shared" si="41"/>
        <v>0</v>
      </c>
      <c r="I54" s="154">
        <f t="shared" si="41"/>
        <v>0</v>
      </c>
      <c r="J54" s="154">
        <f t="shared" si="41"/>
        <v>0</v>
      </c>
      <c r="K54" s="154">
        <f t="shared" si="41"/>
        <v>0</v>
      </c>
      <c r="L54" s="154">
        <f t="shared" si="41"/>
        <v>0</v>
      </c>
      <c r="M54" s="154">
        <f t="shared" si="41"/>
        <v>0</v>
      </c>
      <c r="N54" s="154">
        <f t="shared" si="41"/>
        <v>0</v>
      </c>
      <c r="O54" s="154">
        <f t="shared" si="41"/>
        <v>0</v>
      </c>
      <c r="P54" s="154">
        <f t="shared" si="41"/>
        <v>0</v>
      </c>
      <c r="Q54" s="155">
        <f t="shared" si="43"/>
        <v>0</v>
      </c>
      <c r="R54" s="156">
        <f t="shared" si="44"/>
        <v>0</v>
      </c>
      <c r="S54" s="154">
        <f t="shared" si="45"/>
        <v>0</v>
      </c>
      <c r="T54" s="154">
        <f t="shared" si="46"/>
        <v>0</v>
      </c>
      <c r="U54" s="154">
        <f t="shared" si="47"/>
        <v>0</v>
      </c>
      <c r="V54" s="155">
        <f t="shared" si="48"/>
        <v>0</v>
      </c>
      <c r="W54" s="157">
        <f t="shared" si="49"/>
        <v>0</v>
      </c>
      <c r="X54" s="158">
        <f t="shared" si="49"/>
        <v>0</v>
      </c>
      <c r="Z54" s="161">
        <f t="shared" si="50"/>
        <v>0</v>
      </c>
    </row>
    <row r="55" spans="1:26" ht="7.5" customHeight="1" thickTop="1" thickBot="1" x14ac:dyDescent="0.3">
      <c r="A55" s="172"/>
      <c r="B55" s="173"/>
      <c r="C55" s="174"/>
      <c r="D55" s="175"/>
      <c r="E55" s="132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4"/>
      <c r="R55" s="135"/>
      <c r="S55" s="133"/>
      <c r="T55" s="133"/>
      <c r="U55" s="133"/>
      <c r="V55" s="134"/>
      <c r="W55" s="136"/>
      <c r="X55" s="137"/>
      <c r="Z55" s="162"/>
    </row>
    <row r="56" spans="1:26" ht="18.75" customHeight="1" thickBot="1" x14ac:dyDescent="0.3">
      <c r="A56" s="180" t="s">
        <v>52</v>
      </c>
      <c r="B56" s="179">
        <f>Z56</f>
        <v>0</v>
      </c>
      <c r="D56" s="186"/>
      <c r="E56" s="176">
        <f>SUM(E51:E55)</f>
        <v>0</v>
      </c>
      <c r="F56" s="177">
        <f t="shared" ref="F56:X56" si="51">SUM(F51:F54)</f>
        <v>0</v>
      </c>
      <c r="G56" s="177">
        <f t="shared" si="51"/>
        <v>0</v>
      </c>
      <c r="H56" s="177">
        <f t="shared" si="51"/>
        <v>0</v>
      </c>
      <c r="I56" s="177">
        <f t="shared" si="51"/>
        <v>0</v>
      </c>
      <c r="J56" s="177">
        <f t="shared" si="51"/>
        <v>0</v>
      </c>
      <c r="K56" s="177">
        <f t="shared" si="51"/>
        <v>0</v>
      </c>
      <c r="L56" s="177">
        <f t="shared" si="51"/>
        <v>0</v>
      </c>
      <c r="M56" s="177">
        <f t="shared" si="51"/>
        <v>0</v>
      </c>
      <c r="N56" s="177">
        <f t="shared" si="51"/>
        <v>0</v>
      </c>
      <c r="O56" s="177">
        <f t="shared" si="51"/>
        <v>0</v>
      </c>
      <c r="P56" s="177">
        <f t="shared" si="51"/>
        <v>0</v>
      </c>
      <c r="Q56" s="181">
        <f t="shared" si="51"/>
        <v>0</v>
      </c>
      <c r="R56" s="178">
        <f t="shared" si="51"/>
        <v>0</v>
      </c>
      <c r="S56" s="177">
        <f t="shared" si="51"/>
        <v>0</v>
      </c>
      <c r="T56" s="177">
        <f t="shared" si="51"/>
        <v>0</v>
      </c>
      <c r="U56" s="177">
        <f t="shared" si="51"/>
        <v>0</v>
      </c>
      <c r="V56" s="181">
        <f t="shared" si="51"/>
        <v>0</v>
      </c>
      <c r="W56" s="182">
        <f t="shared" si="51"/>
        <v>0</v>
      </c>
      <c r="X56" s="183">
        <f t="shared" si="51"/>
        <v>0</v>
      </c>
      <c r="Z56" s="184">
        <f>SUM(Z51:Z54)</f>
        <v>0</v>
      </c>
    </row>
    <row r="57" spans="1:26" ht="15.75" thickBot="1" x14ac:dyDescent="0.3"/>
    <row r="58" spans="1:26" ht="15" customHeight="1" x14ac:dyDescent="0.25">
      <c r="A58" s="450" t="s">
        <v>60</v>
      </c>
      <c r="B58" s="452" t="s">
        <v>19</v>
      </c>
      <c r="C58" s="452" t="s">
        <v>45</v>
      </c>
      <c r="D58" s="454" t="s">
        <v>46</v>
      </c>
      <c r="E58" s="431" t="s">
        <v>20</v>
      </c>
      <c r="F58" s="429"/>
      <c r="G58" s="429"/>
      <c r="H58" s="429"/>
      <c r="I58" s="429"/>
      <c r="J58" s="429"/>
      <c r="K58" s="429"/>
      <c r="L58" s="429"/>
      <c r="M58" s="429"/>
      <c r="N58" s="429"/>
      <c r="O58" s="429"/>
      <c r="P58" s="430"/>
      <c r="Q58" s="424" t="s">
        <v>20</v>
      </c>
      <c r="R58" s="428" t="s">
        <v>25</v>
      </c>
      <c r="S58" s="429"/>
      <c r="T58" s="429"/>
      <c r="U58" s="430"/>
      <c r="V58" s="426" t="s">
        <v>25</v>
      </c>
      <c r="W58" s="438" t="s">
        <v>26</v>
      </c>
      <c r="X58" s="440" t="s">
        <v>27</v>
      </c>
      <c r="Z58" s="448" t="s">
        <v>51</v>
      </c>
    </row>
    <row r="59" spans="1:26" ht="15.75" thickBot="1" x14ac:dyDescent="0.3">
      <c r="A59" s="451"/>
      <c r="B59" s="453"/>
      <c r="C59" s="453"/>
      <c r="D59" s="455"/>
      <c r="E59" s="14">
        <v>1</v>
      </c>
      <c r="F59" s="15">
        <v>2</v>
      </c>
      <c r="G59" s="15">
        <v>3</v>
      </c>
      <c r="H59" s="15">
        <v>4</v>
      </c>
      <c r="I59" s="15">
        <v>5</v>
      </c>
      <c r="J59" s="15">
        <v>6</v>
      </c>
      <c r="K59" s="15">
        <v>7</v>
      </c>
      <c r="L59" s="15">
        <v>8</v>
      </c>
      <c r="M59" s="15">
        <v>9</v>
      </c>
      <c r="N59" s="15">
        <v>10</v>
      </c>
      <c r="O59" s="15">
        <v>11</v>
      </c>
      <c r="P59" s="16">
        <v>12</v>
      </c>
      <c r="Q59" s="425"/>
      <c r="R59" s="17" t="s">
        <v>21</v>
      </c>
      <c r="S59" s="15" t="s">
        <v>22</v>
      </c>
      <c r="T59" s="15" t="s">
        <v>23</v>
      </c>
      <c r="U59" s="15" t="s">
        <v>24</v>
      </c>
      <c r="V59" s="427"/>
      <c r="W59" s="439"/>
      <c r="X59" s="441"/>
      <c r="Z59" s="449"/>
    </row>
    <row r="60" spans="1:26" ht="18.75" customHeight="1" thickTop="1" x14ac:dyDescent="0.25">
      <c r="A60" s="163" t="s">
        <v>70</v>
      </c>
      <c r="B60" s="31">
        <v>1026</v>
      </c>
      <c r="C60" s="32" t="s">
        <v>47</v>
      </c>
      <c r="D60" s="33" t="s">
        <v>50</v>
      </c>
      <c r="E60" s="139">
        <f>IF(AND($C60="j",$D60=E$41),$B60,IF($C60="h",$B60*IF($D60=IF(MOD(E$41,6)=0,6,MOD(E$41,6)),1,0),IF($C60="q",$B60*IF($D60=IF(MOD(E$41,3)=0,3,MOD(E$41,3)),1,0),IF($C60="z",$B60*IF($D60=IF(MOD(E$41,2)=0,2,MOD(E$41,2)),1,0),IF($C60="m",$B60,0)))))</f>
        <v>1026</v>
      </c>
      <c r="F60" s="140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1026</v>
      </c>
      <c r="G60" s="140">
        <f t="shared" si="52"/>
        <v>1026</v>
      </c>
      <c r="H60" s="140">
        <f t="shared" si="52"/>
        <v>1026</v>
      </c>
      <c r="I60" s="140">
        <f t="shared" si="52"/>
        <v>1026</v>
      </c>
      <c r="J60" s="140">
        <f t="shared" si="52"/>
        <v>1026</v>
      </c>
      <c r="K60" s="140">
        <f t="shared" si="52"/>
        <v>1026</v>
      </c>
      <c r="L60" s="140">
        <f t="shared" si="52"/>
        <v>1026</v>
      </c>
      <c r="M60" s="140">
        <f t="shared" si="52"/>
        <v>1026</v>
      </c>
      <c r="N60" s="140">
        <f t="shared" si="52"/>
        <v>1026</v>
      </c>
      <c r="O60" s="140">
        <f t="shared" si="52"/>
        <v>1026</v>
      </c>
      <c r="P60" s="140">
        <f t="shared" si="52"/>
        <v>1026</v>
      </c>
      <c r="Q60" s="141">
        <f>SUM(E60:P60)</f>
        <v>12312</v>
      </c>
      <c r="R60" s="142">
        <f>IF(AND($C60="j",$D60&gt;=1,$D60&lt;=3),$B60,IF(AND($C60="h",$D60&gt;=1,$D60&lt;=3),$B60,IF(AND($C60="q",$D60&gt;=1,$D60&lt;=3),$B60,IF($C60="z",IF($D60=1,2*$B60,$B60),IF($C60="m",3*$B60,0)))))</f>
        <v>3078</v>
      </c>
      <c r="S60" s="140">
        <f>IF(AND($C60="j",$D60&gt;=4,$D60&lt;=6),$B60,IF(AND($C60="h",$D60&gt;=4,$D60&lt;=6),$B60,IF(AND($C60="q",$D60&gt;=1,$D60&lt;=3),$B60,IF($C60="z",IF($D60=2,2*$B60,$B60),IF($C60="m",3*$B60,0)))))</f>
        <v>3078</v>
      </c>
      <c r="T60" s="140">
        <f>IF(AND($C60="j",$D60&gt;=7,$D60&lt;=9),$B60,IF(AND($C60="h",$D60&gt;=1,$D60&lt;=3),$B60,IF(AND($C60="q",$D60&gt;=1,$D60&lt;=3),$B60,IF($C60="z",IF($D60=1,2*$B60,$B60),IF($C60="m",3*$B60,0)))))</f>
        <v>3078</v>
      </c>
      <c r="U60" s="140">
        <f>IF(AND($C60="j",$D60&gt;=10,$D60&lt;=12),$B60,IF(AND($C60="h",$D60&gt;=4,$D60&lt;=6),$B60,IF(AND($C60="q",$D60&gt;=1,$D60&lt;=3),$B60,IF($C60="z",IF($D60=2,2*$B60,$B60),IF($C60="m",3*$B60,0)))))</f>
        <v>3078</v>
      </c>
      <c r="V60" s="141">
        <f>SUM(R60:U60)</f>
        <v>12312</v>
      </c>
      <c r="W60" s="143">
        <f>IF($C60="j",$B60,IF($C60="h",2*$B60,IF($C60="q",4*$B60,IF($C60="z",6*$B60,12*$B60))))</f>
        <v>12312</v>
      </c>
      <c r="X60" s="144">
        <f>IF($C60="j",$B60,IF($C60="h",2*$B60,IF($C60="q",4*$B60,IF($C60="z",6*$B60,12*$B60))))</f>
        <v>12312</v>
      </c>
      <c r="Z60" s="159">
        <f>Q60/12</f>
        <v>1026</v>
      </c>
    </row>
    <row r="61" spans="1:26" ht="18.75" customHeight="1" x14ac:dyDescent="0.25">
      <c r="A61" s="164" t="s">
        <v>71</v>
      </c>
      <c r="B61" s="165">
        <v>45</v>
      </c>
      <c r="C61" s="166" t="s">
        <v>47</v>
      </c>
      <c r="D61" s="167" t="s">
        <v>50</v>
      </c>
      <c r="E61" s="146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45</v>
      </c>
      <c r="F61" s="147">
        <f t="shared" si="52"/>
        <v>45</v>
      </c>
      <c r="G61" s="147">
        <f t="shared" si="52"/>
        <v>45</v>
      </c>
      <c r="H61" s="147">
        <f t="shared" si="52"/>
        <v>45</v>
      </c>
      <c r="I61" s="147">
        <f t="shared" si="52"/>
        <v>45</v>
      </c>
      <c r="J61" s="147">
        <f t="shared" si="52"/>
        <v>45</v>
      </c>
      <c r="K61" s="147">
        <f t="shared" si="52"/>
        <v>45</v>
      </c>
      <c r="L61" s="147">
        <f t="shared" si="52"/>
        <v>45</v>
      </c>
      <c r="M61" s="147">
        <f t="shared" si="52"/>
        <v>45</v>
      </c>
      <c r="N61" s="147">
        <f t="shared" si="52"/>
        <v>45</v>
      </c>
      <c r="O61" s="147">
        <f t="shared" si="52"/>
        <v>45</v>
      </c>
      <c r="P61" s="147">
        <f t="shared" si="52"/>
        <v>45</v>
      </c>
      <c r="Q61" s="148">
        <f t="shared" ref="Q61:Q63" si="54">SUM(E61:P61)</f>
        <v>540</v>
      </c>
      <c r="R61" s="149">
        <f t="shared" ref="R61:R63" si="55">IF(AND($C61="j",$D61&gt;=1,$D61&lt;=3),$B61,IF(AND($C61="h",$D61&gt;=1,$D61&lt;=3),$B61,IF(AND($C61="q",$D61&gt;=1,$D61&lt;=3),$B61,IF($C61="z",IF($D61=1,2*$B61,$B61),IF($C61="m",3*$B61,0)))))</f>
        <v>135</v>
      </c>
      <c r="S61" s="147">
        <f t="shared" ref="S61:S63" si="56">IF(AND($C61="j",$D61&gt;=4,$D61&lt;=6),$B61,IF(AND($C61="h",$D61&gt;=4,$D61&lt;=6),$B61,IF(AND($C61="q",$D61&gt;=1,$D61&lt;=3),$B61,IF($C61="z",IF($D61=2,2*$B61,$B61),IF($C61="m",3*$B61,0)))))</f>
        <v>135</v>
      </c>
      <c r="T61" s="147">
        <f t="shared" ref="T61:T63" si="57">IF(AND($C61="j",$D61&gt;=7,$D61&lt;=9),$B61,IF(AND($C61="h",$D61&gt;=1,$D61&lt;=3),$B61,IF(AND($C61="q",$D61&gt;=1,$D61&lt;=3),$B61,IF($C61="z",IF($D61=1,2*$B61,$B61),IF($C61="m",3*$B61,0)))))</f>
        <v>135</v>
      </c>
      <c r="U61" s="147">
        <f t="shared" ref="U61:U63" si="58">IF(AND($C61="j",$D61&gt;=10,$D61&lt;=12),$B61,IF(AND($C61="h",$D61&gt;=4,$D61&lt;=6),$B61,IF(AND($C61="q",$D61&gt;=1,$D61&lt;=3),$B61,IF($C61="z",IF($D61=2,2*$B61,$B61),IF($C61="m",3*$B61,0)))))</f>
        <v>135</v>
      </c>
      <c r="V61" s="148">
        <f t="shared" ref="V61:V63" si="59">SUM(R61:U61)</f>
        <v>540</v>
      </c>
      <c r="W61" s="150">
        <f t="shared" ref="W61:X63" si="60">IF($C61="j",$B61,IF($C61="h",2*$B61,IF($C61="q",4*$B61,IF($C61="z",6*$B61,12*$B61))))</f>
        <v>540</v>
      </c>
      <c r="X61" s="151">
        <f t="shared" si="60"/>
        <v>540</v>
      </c>
      <c r="Z61" s="160">
        <f t="shared" ref="Z61:Z63" si="61">Q61/12</f>
        <v>45</v>
      </c>
    </row>
    <row r="62" spans="1:26" ht="18.75" customHeight="1" x14ac:dyDescent="0.25">
      <c r="A62" s="164" t="s">
        <v>123</v>
      </c>
      <c r="B62" s="165">
        <v>200</v>
      </c>
      <c r="C62" s="166" t="s">
        <v>47</v>
      </c>
      <c r="D62" s="167" t="s">
        <v>50</v>
      </c>
      <c r="E62" s="146">
        <f t="shared" si="53"/>
        <v>200</v>
      </c>
      <c r="F62" s="147">
        <f t="shared" si="52"/>
        <v>200</v>
      </c>
      <c r="G62" s="147">
        <f t="shared" si="52"/>
        <v>200</v>
      </c>
      <c r="H62" s="147">
        <f t="shared" si="52"/>
        <v>200</v>
      </c>
      <c r="I62" s="147">
        <f t="shared" si="52"/>
        <v>200</v>
      </c>
      <c r="J62" s="147">
        <f t="shared" si="52"/>
        <v>200</v>
      </c>
      <c r="K62" s="147">
        <f t="shared" si="52"/>
        <v>200</v>
      </c>
      <c r="L62" s="147">
        <f t="shared" si="52"/>
        <v>200</v>
      </c>
      <c r="M62" s="147">
        <f t="shared" si="52"/>
        <v>200</v>
      </c>
      <c r="N62" s="147">
        <f t="shared" si="52"/>
        <v>200</v>
      </c>
      <c r="O62" s="147">
        <f t="shared" si="52"/>
        <v>200</v>
      </c>
      <c r="P62" s="147">
        <f t="shared" si="52"/>
        <v>200</v>
      </c>
      <c r="Q62" s="148">
        <f t="shared" si="54"/>
        <v>2400</v>
      </c>
      <c r="R62" s="149">
        <f t="shared" si="55"/>
        <v>600</v>
      </c>
      <c r="S62" s="147">
        <f t="shared" si="56"/>
        <v>600</v>
      </c>
      <c r="T62" s="147">
        <f t="shared" si="57"/>
        <v>600</v>
      </c>
      <c r="U62" s="147">
        <f t="shared" si="58"/>
        <v>600</v>
      </c>
      <c r="V62" s="148">
        <f t="shared" si="59"/>
        <v>2400</v>
      </c>
      <c r="W62" s="150">
        <f t="shared" si="60"/>
        <v>2400</v>
      </c>
      <c r="X62" s="151">
        <f t="shared" si="60"/>
        <v>2400</v>
      </c>
      <c r="Z62" s="160">
        <f t="shared" si="61"/>
        <v>200</v>
      </c>
    </row>
    <row r="63" spans="1:26" ht="18.75" customHeight="1" thickBot="1" x14ac:dyDescent="0.3">
      <c r="A63" s="168"/>
      <c r="B63" s="169"/>
      <c r="C63" s="170"/>
      <c r="D63" s="171"/>
      <c r="E63" s="153">
        <f t="shared" si="53"/>
        <v>0</v>
      </c>
      <c r="F63" s="154">
        <f t="shared" si="52"/>
        <v>0</v>
      </c>
      <c r="G63" s="154">
        <f t="shared" si="52"/>
        <v>0</v>
      </c>
      <c r="H63" s="154">
        <f t="shared" si="52"/>
        <v>0</v>
      </c>
      <c r="I63" s="154">
        <f t="shared" si="52"/>
        <v>0</v>
      </c>
      <c r="J63" s="154">
        <f t="shared" si="52"/>
        <v>0</v>
      </c>
      <c r="K63" s="154">
        <f t="shared" si="52"/>
        <v>0</v>
      </c>
      <c r="L63" s="154">
        <f t="shared" si="52"/>
        <v>0</v>
      </c>
      <c r="M63" s="154">
        <f t="shared" si="52"/>
        <v>0</v>
      </c>
      <c r="N63" s="154">
        <f t="shared" si="52"/>
        <v>0</v>
      </c>
      <c r="O63" s="154">
        <f t="shared" si="52"/>
        <v>0</v>
      </c>
      <c r="P63" s="154">
        <f t="shared" si="52"/>
        <v>0</v>
      </c>
      <c r="Q63" s="155">
        <f t="shared" si="54"/>
        <v>0</v>
      </c>
      <c r="R63" s="156">
        <f t="shared" si="55"/>
        <v>0</v>
      </c>
      <c r="S63" s="154">
        <f t="shared" si="56"/>
        <v>0</v>
      </c>
      <c r="T63" s="154">
        <f t="shared" si="57"/>
        <v>0</v>
      </c>
      <c r="U63" s="154">
        <f t="shared" si="58"/>
        <v>0</v>
      </c>
      <c r="V63" s="155">
        <f t="shared" si="59"/>
        <v>0</v>
      </c>
      <c r="W63" s="157">
        <f t="shared" si="60"/>
        <v>0</v>
      </c>
      <c r="X63" s="158">
        <f t="shared" si="60"/>
        <v>0</v>
      </c>
      <c r="Z63" s="161">
        <f t="shared" si="61"/>
        <v>0</v>
      </c>
    </row>
    <row r="64" spans="1:26" ht="7.5" customHeight="1" thickTop="1" thickBot="1" x14ac:dyDescent="0.3">
      <c r="A64" s="172"/>
      <c r="B64" s="173"/>
      <c r="C64" s="174"/>
      <c r="D64" s="175"/>
      <c r="E64" s="132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4"/>
      <c r="R64" s="135"/>
      <c r="S64" s="133"/>
      <c r="T64" s="133"/>
      <c r="U64" s="133"/>
      <c r="V64" s="134"/>
      <c r="W64" s="136"/>
      <c r="X64" s="137"/>
      <c r="Z64" s="162"/>
    </row>
    <row r="65" spans="1:26" ht="18.75" customHeight="1" thickBot="1" x14ac:dyDescent="0.3">
      <c r="A65" s="180" t="s">
        <v>52</v>
      </c>
      <c r="B65" s="179">
        <f>Z65</f>
        <v>1271</v>
      </c>
      <c r="D65" s="186"/>
      <c r="E65" s="176">
        <f>SUM(E60:E64)</f>
        <v>1271</v>
      </c>
      <c r="F65" s="177">
        <f t="shared" ref="F65:X65" si="62">SUM(F60:F64)</f>
        <v>1271</v>
      </c>
      <c r="G65" s="177">
        <f t="shared" si="62"/>
        <v>1271</v>
      </c>
      <c r="H65" s="177">
        <f t="shared" si="62"/>
        <v>1271</v>
      </c>
      <c r="I65" s="177">
        <f t="shared" si="62"/>
        <v>1271</v>
      </c>
      <c r="J65" s="177">
        <f t="shared" si="62"/>
        <v>1271</v>
      </c>
      <c r="K65" s="177">
        <f t="shared" si="62"/>
        <v>1271</v>
      </c>
      <c r="L65" s="177">
        <f t="shared" si="62"/>
        <v>1271</v>
      </c>
      <c r="M65" s="177">
        <f t="shared" si="62"/>
        <v>1271</v>
      </c>
      <c r="N65" s="177">
        <f t="shared" si="62"/>
        <v>1271</v>
      </c>
      <c r="O65" s="177">
        <f t="shared" si="62"/>
        <v>1271</v>
      </c>
      <c r="P65" s="177">
        <f t="shared" si="62"/>
        <v>1271</v>
      </c>
      <c r="Q65" s="181">
        <f t="shared" si="62"/>
        <v>15252</v>
      </c>
      <c r="R65" s="178">
        <f t="shared" si="62"/>
        <v>3813</v>
      </c>
      <c r="S65" s="177">
        <f t="shared" si="62"/>
        <v>3813</v>
      </c>
      <c r="T65" s="177">
        <f t="shared" si="62"/>
        <v>3813</v>
      </c>
      <c r="U65" s="177">
        <f t="shared" si="62"/>
        <v>3813</v>
      </c>
      <c r="V65" s="181">
        <f t="shared" si="62"/>
        <v>15252</v>
      </c>
      <c r="W65" s="182">
        <f t="shared" si="62"/>
        <v>15252</v>
      </c>
      <c r="X65" s="183">
        <f t="shared" si="62"/>
        <v>15252</v>
      </c>
      <c r="Z65" s="184">
        <f>SUM(Z60:Z64)</f>
        <v>1271</v>
      </c>
    </row>
    <row r="66" spans="1:26" ht="15.75" thickBot="1" x14ac:dyDescent="0.3"/>
    <row r="67" spans="1:26" ht="15" customHeight="1" x14ac:dyDescent="0.25">
      <c r="A67" s="450" t="s">
        <v>72</v>
      </c>
      <c r="B67" s="452" t="s">
        <v>19</v>
      </c>
      <c r="C67" s="452" t="s">
        <v>45</v>
      </c>
      <c r="D67" s="454" t="s">
        <v>46</v>
      </c>
      <c r="E67" s="431" t="s">
        <v>20</v>
      </c>
      <c r="F67" s="429"/>
      <c r="G67" s="429"/>
      <c r="H67" s="429"/>
      <c r="I67" s="429"/>
      <c r="J67" s="429"/>
      <c r="K67" s="429"/>
      <c r="L67" s="429"/>
      <c r="M67" s="429"/>
      <c r="N67" s="429"/>
      <c r="O67" s="429"/>
      <c r="P67" s="430"/>
      <c r="Q67" s="424" t="s">
        <v>20</v>
      </c>
      <c r="R67" s="428" t="s">
        <v>25</v>
      </c>
      <c r="S67" s="429"/>
      <c r="T67" s="429"/>
      <c r="U67" s="430"/>
      <c r="V67" s="426" t="s">
        <v>25</v>
      </c>
      <c r="W67" s="438" t="s">
        <v>26</v>
      </c>
      <c r="X67" s="440" t="s">
        <v>27</v>
      </c>
      <c r="Z67" s="448" t="s">
        <v>51</v>
      </c>
    </row>
    <row r="68" spans="1:26" ht="15.75" thickBot="1" x14ac:dyDescent="0.3">
      <c r="A68" s="451"/>
      <c r="B68" s="453"/>
      <c r="C68" s="453"/>
      <c r="D68" s="455"/>
      <c r="E68" s="14">
        <v>1</v>
      </c>
      <c r="F68" s="15">
        <v>2</v>
      </c>
      <c r="G68" s="15">
        <v>3</v>
      </c>
      <c r="H68" s="15">
        <v>4</v>
      </c>
      <c r="I68" s="15">
        <v>5</v>
      </c>
      <c r="J68" s="15">
        <v>6</v>
      </c>
      <c r="K68" s="15">
        <v>7</v>
      </c>
      <c r="L68" s="15">
        <v>8</v>
      </c>
      <c r="M68" s="15">
        <v>9</v>
      </c>
      <c r="N68" s="15">
        <v>10</v>
      </c>
      <c r="O68" s="15">
        <v>11</v>
      </c>
      <c r="P68" s="16">
        <v>12</v>
      </c>
      <c r="Q68" s="425"/>
      <c r="R68" s="17" t="s">
        <v>21</v>
      </c>
      <c r="S68" s="15" t="s">
        <v>22</v>
      </c>
      <c r="T68" s="15" t="s">
        <v>23</v>
      </c>
      <c r="U68" s="15" t="s">
        <v>24</v>
      </c>
      <c r="V68" s="427"/>
      <c r="W68" s="439"/>
      <c r="X68" s="441"/>
      <c r="Z68" s="449"/>
    </row>
    <row r="69" spans="1:26" ht="18.75" customHeight="1" thickTop="1" x14ac:dyDescent="0.25">
      <c r="A69" s="163" t="s">
        <v>124</v>
      </c>
      <c r="B69" s="31">
        <v>2000</v>
      </c>
      <c r="C69" s="32" t="s">
        <v>49</v>
      </c>
      <c r="D69" s="33">
        <v>12</v>
      </c>
      <c r="E69" s="139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140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140">
        <f t="shared" si="63"/>
        <v>0</v>
      </c>
      <c r="H69" s="140">
        <f t="shared" si="63"/>
        <v>0</v>
      </c>
      <c r="I69" s="140">
        <f t="shared" si="63"/>
        <v>0</v>
      </c>
      <c r="J69" s="140">
        <f t="shared" si="63"/>
        <v>0</v>
      </c>
      <c r="K69" s="140">
        <f t="shared" si="63"/>
        <v>0</v>
      </c>
      <c r="L69" s="140">
        <f t="shared" si="63"/>
        <v>0</v>
      </c>
      <c r="M69" s="140">
        <f t="shared" si="63"/>
        <v>0</v>
      </c>
      <c r="N69" s="140">
        <f t="shared" si="63"/>
        <v>0</v>
      </c>
      <c r="O69" s="140">
        <f t="shared" si="63"/>
        <v>0</v>
      </c>
      <c r="P69" s="140">
        <f t="shared" si="63"/>
        <v>2000</v>
      </c>
      <c r="Q69" s="141">
        <f>SUM(E69:P69)</f>
        <v>2000</v>
      </c>
      <c r="R69" s="142">
        <f>IF(AND($C69="j",$D69&gt;=1,$D69&lt;=3),$B69,IF(AND($C69="h",$D69&gt;=1,$D69&lt;=3),$B69,IF(AND($C69="q",$D69&gt;=1,$D69&lt;=3),$B69,IF($C69="z",IF($D69=1,2*$B69,$B69),IF($C69="m",3*$B69,0)))))</f>
        <v>0</v>
      </c>
      <c r="S69" s="140">
        <f>IF(AND($C69="j",$D69&gt;=4,$D69&lt;=6),$B69,IF(AND($C69="h",$D69&gt;=4,$D69&lt;=6),$B69,IF(AND($C69="q",$D69&gt;=1,$D69&lt;=3),$B69,IF($C69="z",IF($D69=2,2*$B69,$B69),IF($C69="m",3*$B69,0)))))</f>
        <v>0</v>
      </c>
      <c r="T69" s="140">
        <f>IF(AND($C69="j",$D69&gt;=7,$D69&lt;=9),$B69,IF(AND($C69="h",$D69&gt;=1,$D69&lt;=3),$B69,IF(AND($C69="q",$D69&gt;=1,$D69&lt;=3),$B69,IF($C69="z",IF($D69=1,2*$B69,$B69),IF($C69="m",3*$B69,0)))))</f>
        <v>0</v>
      </c>
      <c r="U69" s="140">
        <f>IF(AND($C69="j",$D69&gt;=10,$D69&lt;=12),$B69,IF(AND($C69="h",$D69&gt;=4,$D69&lt;=6),$B69,IF(AND($C69="q",$D69&gt;=1,$D69&lt;=3),$B69,IF($C69="z",IF($D69=2,2*$B69,$B69),IF($C69="m",3*$B69,0)))))</f>
        <v>2000</v>
      </c>
      <c r="V69" s="141">
        <f>SUM(R69:U69)</f>
        <v>2000</v>
      </c>
      <c r="W69" s="143">
        <f>IF($C69="j",$B69,IF($C69="h",2*$B69,IF($C69="q",4*$B69,IF($C69="z",6*$B69,12*$B69))))</f>
        <v>2000</v>
      </c>
      <c r="X69" s="144">
        <f>IF($C69="j",$B69,IF($C69="h",2*$B69,IF($C69="q",4*$B69,IF($C69="z",6*$B69,12*$B69))))</f>
        <v>2000</v>
      </c>
      <c r="Z69" s="159">
        <f>Q69/12</f>
        <v>166.66666666666666</v>
      </c>
    </row>
    <row r="70" spans="1:26" ht="18.75" customHeight="1" x14ac:dyDescent="0.25">
      <c r="A70" s="164"/>
      <c r="B70" s="165"/>
      <c r="C70" s="166"/>
      <c r="D70" s="167"/>
      <c r="E70" s="146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47">
        <f t="shared" si="63"/>
        <v>0</v>
      </c>
      <c r="G70" s="147">
        <f t="shared" si="63"/>
        <v>0</v>
      </c>
      <c r="H70" s="147">
        <f t="shared" si="63"/>
        <v>0</v>
      </c>
      <c r="I70" s="147">
        <f t="shared" si="63"/>
        <v>0</v>
      </c>
      <c r="J70" s="147">
        <f t="shared" si="63"/>
        <v>0</v>
      </c>
      <c r="K70" s="147">
        <f t="shared" si="63"/>
        <v>0</v>
      </c>
      <c r="L70" s="147">
        <f t="shared" si="63"/>
        <v>0</v>
      </c>
      <c r="M70" s="147">
        <f t="shared" si="63"/>
        <v>0</v>
      </c>
      <c r="N70" s="147">
        <f t="shared" si="63"/>
        <v>0</v>
      </c>
      <c r="O70" s="147">
        <f t="shared" si="63"/>
        <v>0</v>
      </c>
      <c r="P70" s="147">
        <f t="shared" si="63"/>
        <v>0</v>
      </c>
      <c r="Q70" s="148">
        <f t="shared" ref="Q70:Q72" si="65">SUM(E70:P70)</f>
        <v>0</v>
      </c>
      <c r="R70" s="149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47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47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47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148">
        <f t="shared" ref="V70:V72" si="70">SUM(R70:U70)</f>
        <v>0</v>
      </c>
      <c r="W70" s="150">
        <f t="shared" ref="W70:X72" si="71">IF($C70="j",$B70,IF($C70="h",2*$B70,IF($C70="q",4*$B70,IF($C70="z",6*$B70,12*$B70))))</f>
        <v>0</v>
      </c>
      <c r="X70" s="151">
        <f t="shared" si="71"/>
        <v>0</v>
      </c>
      <c r="Z70" s="160">
        <f t="shared" ref="Z70:Z72" si="72">Q70/12</f>
        <v>0</v>
      </c>
    </row>
    <row r="71" spans="1:26" ht="18.75" customHeight="1" x14ac:dyDescent="0.25">
      <c r="A71" s="164"/>
      <c r="B71" s="165"/>
      <c r="C71" s="166"/>
      <c r="D71" s="167"/>
      <c r="E71" s="146">
        <f t="shared" si="64"/>
        <v>0</v>
      </c>
      <c r="F71" s="147">
        <f t="shared" si="63"/>
        <v>0</v>
      </c>
      <c r="G71" s="147">
        <f t="shared" si="63"/>
        <v>0</v>
      </c>
      <c r="H71" s="147">
        <f t="shared" si="63"/>
        <v>0</v>
      </c>
      <c r="I71" s="147">
        <f t="shared" si="63"/>
        <v>0</v>
      </c>
      <c r="J71" s="147">
        <f t="shared" si="63"/>
        <v>0</v>
      </c>
      <c r="K71" s="147">
        <f t="shared" si="63"/>
        <v>0</v>
      </c>
      <c r="L71" s="147">
        <f t="shared" si="63"/>
        <v>0</v>
      </c>
      <c r="M71" s="147">
        <f t="shared" si="63"/>
        <v>0</v>
      </c>
      <c r="N71" s="147">
        <f t="shared" si="63"/>
        <v>0</v>
      </c>
      <c r="O71" s="147">
        <f t="shared" si="63"/>
        <v>0</v>
      </c>
      <c r="P71" s="147">
        <f t="shared" si="63"/>
        <v>0</v>
      </c>
      <c r="Q71" s="148">
        <f t="shared" si="65"/>
        <v>0</v>
      </c>
      <c r="R71" s="149">
        <f t="shared" si="66"/>
        <v>0</v>
      </c>
      <c r="S71" s="147">
        <f t="shared" si="67"/>
        <v>0</v>
      </c>
      <c r="T71" s="147">
        <f t="shared" si="68"/>
        <v>0</v>
      </c>
      <c r="U71" s="147">
        <f t="shared" si="69"/>
        <v>0</v>
      </c>
      <c r="V71" s="148">
        <f t="shared" si="70"/>
        <v>0</v>
      </c>
      <c r="W71" s="150">
        <f t="shared" si="71"/>
        <v>0</v>
      </c>
      <c r="X71" s="151">
        <f t="shared" si="71"/>
        <v>0</v>
      </c>
      <c r="Z71" s="160">
        <f t="shared" si="72"/>
        <v>0</v>
      </c>
    </row>
    <row r="72" spans="1:26" ht="18.75" customHeight="1" thickBot="1" x14ac:dyDescent="0.3">
      <c r="A72" s="168"/>
      <c r="B72" s="169"/>
      <c r="C72" s="170"/>
      <c r="D72" s="171"/>
      <c r="E72" s="153">
        <f t="shared" si="64"/>
        <v>0</v>
      </c>
      <c r="F72" s="154">
        <f t="shared" si="63"/>
        <v>0</v>
      </c>
      <c r="G72" s="154">
        <f t="shared" si="63"/>
        <v>0</v>
      </c>
      <c r="H72" s="154">
        <f t="shared" si="63"/>
        <v>0</v>
      </c>
      <c r="I72" s="154">
        <f t="shared" si="63"/>
        <v>0</v>
      </c>
      <c r="J72" s="154">
        <f t="shared" si="63"/>
        <v>0</v>
      </c>
      <c r="K72" s="154">
        <f t="shared" si="63"/>
        <v>0</v>
      </c>
      <c r="L72" s="154">
        <f t="shared" si="63"/>
        <v>0</v>
      </c>
      <c r="M72" s="154">
        <f t="shared" si="63"/>
        <v>0</v>
      </c>
      <c r="N72" s="154">
        <f t="shared" si="63"/>
        <v>0</v>
      </c>
      <c r="O72" s="154">
        <f t="shared" si="63"/>
        <v>0</v>
      </c>
      <c r="P72" s="154">
        <f t="shared" si="63"/>
        <v>0</v>
      </c>
      <c r="Q72" s="155">
        <f t="shared" si="65"/>
        <v>0</v>
      </c>
      <c r="R72" s="156">
        <f t="shared" si="66"/>
        <v>0</v>
      </c>
      <c r="S72" s="154">
        <f t="shared" si="67"/>
        <v>0</v>
      </c>
      <c r="T72" s="154">
        <f t="shared" si="68"/>
        <v>0</v>
      </c>
      <c r="U72" s="154">
        <f t="shared" si="69"/>
        <v>0</v>
      </c>
      <c r="V72" s="155">
        <f t="shared" si="70"/>
        <v>0</v>
      </c>
      <c r="W72" s="157">
        <f t="shared" si="71"/>
        <v>0</v>
      </c>
      <c r="X72" s="158">
        <f t="shared" si="71"/>
        <v>0</v>
      </c>
      <c r="Z72" s="161">
        <f t="shared" si="72"/>
        <v>0</v>
      </c>
    </row>
    <row r="73" spans="1:26" ht="7.5" customHeight="1" thickTop="1" thickBot="1" x14ac:dyDescent="0.3">
      <c r="A73" s="172"/>
      <c r="B73" s="173"/>
      <c r="C73" s="174"/>
      <c r="D73" s="175"/>
      <c r="E73" s="132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4"/>
      <c r="R73" s="135"/>
      <c r="S73" s="133"/>
      <c r="T73" s="133"/>
      <c r="U73" s="133"/>
      <c r="V73" s="134"/>
      <c r="W73" s="136"/>
      <c r="X73" s="137"/>
      <c r="Z73" s="162"/>
    </row>
    <row r="74" spans="1:26" ht="18.75" customHeight="1" thickBot="1" x14ac:dyDescent="0.3">
      <c r="A74" s="180" t="s">
        <v>52</v>
      </c>
      <c r="B74" s="179">
        <f>Z74</f>
        <v>166.66666666666666</v>
      </c>
      <c r="D74" s="186"/>
      <c r="E74" s="176">
        <f>SUM(E69:E72)</f>
        <v>0</v>
      </c>
      <c r="F74" s="177">
        <f t="shared" ref="F74:X74" si="73">SUM(F69:F72)</f>
        <v>0</v>
      </c>
      <c r="G74" s="177">
        <f t="shared" si="73"/>
        <v>0</v>
      </c>
      <c r="H74" s="177">
        <f t="shared" si="73"/>
        <v>0</v>
      </c>
      <c r="I74" s="177">
        <f t="shared" si="73"/>
        <v>0</v>
      </c>
      <c r="J74" s="177">
        <f t="shared" si="73"/>
        <v>0</v>
      </c>
      <c r="K74" s="177">
        <f t="shared" si="73"/>
        <v>0</v>
      </c>
      <c r="L74" s="177">
        <f t="shared" si="73"/>
        <v>0</v>
      </c>
      <c r="M74" s="177">
        <f t="shared" si="73"/>
        <v>0</v>
      </c>
      <c r="N74" s="177">
        <f t="shared" si="73"/>
        <v>0</v>
      </c>
      <c r="O74" s="177">
        <f t="shared" si="73"/>
        <v>0</v>
      </c>
      <c r="P74" s="177">
        <f t="shared" si="73"/>
        <v>2000</v>
      </c>
      <c r="Q74" s="181">
        <f t="shared" si="73"/>
        <v>2000</v>
      </c>
      <c r="R74" s="178">
        <f t="shared" si="73"/>
        <v>0</v>
      </c>
      <c r="S74" s="177">
        <f t="shared" si="73"/>
        <v>0</v>
      </c>
      <c r="T74" s="177">
        <f t="shared" si="73"/>
        <v>0</v>
      </c>
      <c r="U74" s="177">
        <f t="shared" si="73"/>
        <v>2000</v>
      </c>
      <c r="V74" s="181">
        <f t="shared" si="73"/>
        <v>2000</v>
      </c>
      <c r="W74" s="182">
        <f t="shared" si="73"/>
        <v>2000</v>
      </c>
      <c r="X74" s="183">
        <f t="shared" si="73"/>
        <v>2000</v>
      </c>
      <c r="Z74" s="184">
        <f>SUM(Z69:Z72)</f>
        <v>166.66666666666666</v>
      </c>
    </row>
    <row r="75" spans="1:26" ht="15.75" thickBot="1" x14ac:dyDescent="0.3"/>
    <row r="76" spans="1:26" ht="15" customHeight="1" x14ac:dyDescent="0.25">
      <c r="A76" s="450" t="s">
        <v>73</v>
      </c>
      <c r="B76" s="452" t="s">
        <v>74</v>
      </c>
      <c r="C76" s="452" t="s">
        <v>45</v>
      </c>
      <c r="D76" s="454" t="s">
        <v>46</v>
      </c>
      <c r="E76" s="431" t="s">
        <v>20</v>
      </c>
      <c r="F76" s="429"/>
      <c r="G76" s="429"/>
      <c r="H76" s="429"/>
      <c r="I76" s="429"/>
      <c r="J76" s="429"/>
      <c r="K76" s="429"/>
      <c r="L76" s="429"/>
      <c r="M76" s="429"/>
      <c r="N76" s="429"/>
      <c r="O76" s="429"/>
      <c r="P76" s="430"/>
      <c r="Q76" s="424" t="s">
        <v>20</v>
      </c>
      <c r="R76" s="428" t="s">
        <v>25</v>
      </c>
      <c r="S76" s="429"/>
      <c r="T76" s="429"/>
      <c r="U76" s="430"/>
      <c r="V76" s="426" t="s">
        <v>25</v>
      </c>
      <c r="W76" s="438" t="s">
        <v>26</v>
      </c>
      <c r="X76" s="440" t="s">
        <v>27</v>
      </c>
      <c r="Z76" s="448" t="s">
        <v>51</v>
      </c>
    </row>
    <row r="77" spans="1:26" ht="15.75" thickBot="1" x14ac:dyDescent="0.3">
      <c r="A77" s="451"/>
      <c r="B77" s="453"/>
      <c r="C77" s="453"/>
      <c r="D77" s="455"/>
      <c r="E77" s="14">
        <v>1</v>
      </c>
      <c r="F77" s="15">
        <v>2</v>
      </c>
      <c r="G77" s="15">
        <v>3</v>
      </c>
      <c r="H77" s="15">
        <v>4</v>
      </c>
      <c r="I77" s="15">
        <v>5</v>
      </c>
      <c r="J77" s="15">
        <v>6</v>
      </c>
      <c r="K77" s="15">
        <v>7</v>
      </c>
      <c r="L77" s="15">
        <v>8</v>
      </c>
      <c r="M77" s="15">
        <v>9</v>
      </c>
      <c r="N77" s="15">
        <v>10</v>
      </c>
      <c r="O77" s="15">
        <v>11</v>
      </c>
      <c r="P77" s="16">
        <v>12</v>
      </c>
      <c r="Q77" s="425"/>
      <c r="R77" s="17" t="s">
        <v>21</v>
      </c>
      <c r="S77" s="15" t="s">
        <v>22</v>
      </c>
      <c r="T77" s="15" t="s">
        <v>23</v>
      </c>
      <c r="U77" s="15" t="s">
        <v>24</v>
      </c>
      <c r="V77" s="427"/>
      <c r="W77" s="439"/>
      <c r="X77" s="441"/>
      <c r="Z77" s="449"/>
    </row>
    <row r="78" spans="1:26" ht="18.75" customHeight="1" thickTop="1" x14ac:dyDescent="0.25">
      <c r="A78" s="163" t="s">
        <v>121</v>
      </c>
      <c r="B78" s="31">
        <v>1500</v>
      </c>
      <c r="C78" s="32" t="s">
        <v>49</v>
      </c>
      <c r="D78" s="33">
        <v>1</v>
      </c>
      <c r="E78" s="139">
        <f>IF(AND($C78="j",$D78=E$41),$B78,IF($C78="h",$B78*IF($D78=IF(MOD(E$41,6)=0,6,MOD(E$41,6)),1,0),IF($C78="q",$B78*IF($D78=IF(MOD(E$41,3)=0,3,MOD(E$41,3)),1,0),IF($C78="z",$B78*IF($D78=IF(MOD(E$41,2)=0,2,MOD(E$41,2)),1,0),IF($C78="m",$B78,0)))))</f>
        <v>1500</v>
      </c>
      <c r="F78" s="140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140">
        <f t="shared" si="74"/>
        <v>0</v>
      </c>
      <c r="H78" s="140">
        <f t="shared" si="74"/>
        <v>0</v>
      </c>
      <c r="I78" s="140">
        <f t="shared" si="74"/>
        <v>0</v>
      </c>
      <c r="J78" s="140">
        <f t="shared" si="74"/>
        <v>0</v>
      </c>
      <c r="K78" s="140">
        <f t="shared" si="74"/>
        <v>0</v>
      </c>
      <c r="L78" s="140">
        <f t="shared" si="74"/>
        <v>0</v>
      </c>
      <c r="M78" s="140">
        <f t="shared" si="74"/>
        <v>0</v>
      </c>
      <c r="N78" s="140">
        <f t="shared" si="74"/>
        <v>0</v>
      </c>
      <c r="O78" s="140">
        <f t="shared" si="74"/>
        <v>0</v>
      </c>
      <c r="P78" s="140">
        <f t="shared" si="74"/>
        <v>0</v>
      </c>
      <c r="Q78" s="141">
        <f>SUM(E78:P78)</f>
        <v>1500</v>
      </c>
      <c r="R78" s="142">
        <f>IF(AND($C78="j",$D78&gt;=1,$D78&lt;=3),$B78,IF(AND($C78="h",$D78&gt;=1,$D78&lt;=3),$B78,IF(AND($C78="q",$D78&gt;=1,$D78&lt;=3),$B78,IF($C78="z",IF($D78=1,2*$B78,$B78),IF($C78="m",3*$B78,0)))))</f>
        <v>1500</v>
      </c>
      <c r="S78" s="140">
        <f>IF(AND($C78="j",$D78&gt;=4,$D78&lt;=6),$B78,IF(AND($C78="h",$D78&gt;=4,$D78&lt;=6),$B78,IF(AND($C78="q",$D78&gt;=1,$D78&lt;=3),$B78,IF($C78="z",IF($D78=2,2*$B78,$B78),IF($C78="m",3*$B78,0)))))</f>
        <v>0</v>
      </c>
      <c r="T78" s="140">
        <f>IF(AND($C78="j",$D78&gt;=7,$D78&lt;=9),$B78,IF(AND($C78="h",$D78&gt;=1,$D78&lt;=3),$B78,IF(AND($C78="q",$D78&gt;=1,$D78&lt;=3),$B78,IF($C78="z",IF($D78=1,2*$B78,$B78),IF($C78="m",3*$B78,0)))))</f>
        <v>0</v>
      </c>
      <c r="U78" s="140">
        <f>IF(AND($C78="j",$D78&gt;=10,$D78&lt;=12),$B78,IF(AND($C78="h",$D78&gt;=4,$D78&lt;=6),$B78,IF(AND($C78="q",$D78&gt;=1,$D78&lt;=3),$B78,IF($C78="z",IF($D78=2,2*$B78,$B78),IF($C78="m",3*$B78,0)))))</f>
        <v>0</v>
      </c>
      <c r="V78" s="141">
        <f>SUM(R78:U78)</f>
        <v>1500</v>
      </c>
      <c r="W78" s="143">
        <f>IF($C78="j",$B78,IF($C78="h",2*$B78,IF($C78="q",4*$B78,IF($C78="z",6*$B78,12*$B78))))</f>
        <v>1500</v>
      </c>
      <c r="X78" s="144">
        <f>IF($C78="j",$B78,IF($C78="h",2*$B78,IF($C78="q",4*$B78,IF($C78="z",6*$B78,12*$B78))))</f>
        <v>1500</v>
      </c>
      <c r="Z78" s="159">
        <f>Q78/12</f>
        <v>125</v>
      </c>
    </row>
    <row r="79" spans="1:26" ht="18.75" customHeight="1" x14ac:dyDescent="0.25">
      <c r="A79" s="164" t="s">
        <v>82</v>
      </c>
      <c r="B79" s="165">
        <v>500</v>
      </c>
      <c r="C79" s="166" t="s">
        <v>47</v>
      </c>
      <c r="D79" s="167" t="s">
        <v>50</v>
      </c>
      <c r="E79" s="146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500</v>
      </c>
      <c r="F79" s="147">
        <f t="shared" si="74"/>
        <v>500</v>
      </c>
      <c r="G79" s="147">
        <f t="shared" si="74"/>
        <v>500</v>
      </c>
      <c r="H79" s="147">
        <f t="shared" si="74"/>
        <v>500</v>
      </c>
      <c r="I79" s="147">
        <f t="shared" si="74"/>
        <v>500</v>
      </c>
      <c r="J79" s="147">
        <f t="shared" si="74"/>
        <v>500</v>
      </c>
      <c r="K79" s="147">
        <f t="shared" si="74"/>
        <v>500</v>
      </c>
      <c r="L79" s="147">
        <f t="shared" si="74"/>
        <v>500</v>
      </c>
      <c r="M79" s="147">
        <f t="shared" si="74"/>
        <v>500</v>
      </c>
      <c r="N79" s="147">
        <f t="shared" si="74"/>
        <v>500</v>
      </c>
      <c r="O79" s="147">
        <f t="shared" si="74"/>
        <v>500</v>
      </c>
      <c r="P79" s="147">
        <f t="shared" si="74"/>
        <v>500</v>
      </c>
      <c r="Q79" s="148">
        <f t="shared" ref="Q79:Q81" si="76">SUM(E79:P79)</f>
        <v>6000</v>
      </c>
      <c r="R79" s="149">
        <f t="shared" ref="R79:R81" si="77">IF(AND($C79="j",$D79&gt;=1,$D79&lt;=3),$B79,IF(AND($C79="h",$D79&gt;=1,$D79&lt;=3),$B79,IF(AND($C79="q",$D79&gt;=1,$D79&lt;=3),$B79,IF($C79="z",IF($D79=1,2*$B79,$B79),IF($C79="m",3*$B79,0)))))</f>
        <v>1500</v>
      </c>
      <c r="S79" s="147">
        <f t="shared" ref="S79:S81" si="78">IF(AND($C79="j",$D79&gt;=4,$D79&lt;=6),$B79,IF(AND($C79="h",$D79&gt;=4,$D79&lt;=6),$B79,IF(AND($C79="q",$D79&gt;=1,$D79&lt;=3),$B79,IF($C79="z",IF($D79=2,2*$B79,$B79),IF($C79="m",3*$B79,0)))))</f>
        <v>1500</v>
      </c>
      <c r="T79" s="147">
        <f t="shared" ref="T79:T81" si="79">IF(AND($C79="j",$D79&gt;=7,$D79&lt;=9),$B79,IF(AND($C79="h",$D79&gt;=1,$D79&lt;=3),$B79,IF(AND($C79="q",$D79&gt;=1,$D79&lt;=3),$B79,IF($C79="z",IF($D79=1,2*$B79,$B79),IF($C79="m",3*$B79,0)))))</f>
        <v>1500</v>
      </c>
      <c r="U79" s="147">
        <f t="shared" ref="U79:U81" si="80">IF(AND($C79="j",$D79&gt;=10,$D79&lt;=12),$B79,IF(AND($C79="h",$D79&gt;=4,$D79&lt;=6),$B79,IF(AND($C79="q",$D79&gt;=1,$D79&lt;=3),$B79,IF($C79="z",IF($D79=2,2*$B79,$B79),IF($C79="m",3*$B79,0)))))</f>
        <v>1500</v>
      </c>
      <c r="V79" s="148">
        <f t="shared" ref="V79:V81" si="81">SUM(R79:U79)</f>
        <v>6000</v>
      </c>
      <c r="W79" s="150">
        <f t="shared" ref="W79:X81" si="82">IF($C79="j",$B79,IF($C79="h",2*$B79,IF($C79="q",4*$B79,IF($C79="z",6*$B79,12*$B79))))</f>
        <v>6000</v>
      </c>
      <c r="X79" s="151">
        <f t="shared" si="82"/>
        <v>6000</v>
      </c>
      <c r="Z79" s="160">
        <f t="shared" ref="Z79:Z81" si="83">Q79/12</f>
        <v>500</v>
      </c>
    </row>
    <row r="80" spans="1:26" ht="18.75" customHeight="1" x14ac:dyDescent="0.25">
      <c r="A80" s="164"/>
      <c r="B80" s="165"/>
      <c r="C80" s="166"/>
      <c r="D80" s="167"/>
      <c r="E80" s="146">
        <f t="shared" si="75"/>
        <v>0</v>
      </c>
      <c r="F80" s="147">
        <f t="shared" si="74"/>
        <v>0</v>
      </c>
      <c r="G80" s="147">
        <f t="shared" si="74"/>
        <v>0</v>
      </c>
      <c r="H80" s="147">
        <f t="shared" si="74"/>
        <v>0</v>
      </c>
      <c r="I80" s="147">
        <f t="shared" si="74"/>
        <v>0</v>
      </c>
      <c r="J80" s="147">
        <f t="shared" si="74"/>
        <v>0</v>
      </c>
      <c r="K80" s="147">
        <f t="shared" si="74"/>
        <v>0</v>
      </c>
      <c r="L80" s="147">
        <f t="shared" si="74"/>
        <v>0</v>
      </c>
      <c r="M80" s="147">
        <f t="shared" si="74"/>
        <v>0</v>
      </c>
      <c r="N80" s="147">
        <f t="shared" si="74"/>
        <v>0</v>
      </c>
      <c r="O80" s="147">
        <f t="shared" si="74"/>
        <v>0</v>
      </c>
      <c r="P80" s="147">
        <f t="shared" si="74"/>
        <v>0</v>
      </c>
      <c r="Q80" s="148">
        <f t="shared" si="76"/>
        <v>0</v>
      </c>
      <c r="R80" s="149">
        <f t="shared" si="77"/>
        <v>0</v>
      </c>
      <c r="S80" s="147">
        <f t="shared" si="78"/>
        <v>0</v>
      </c>
      <c r="T80" s="147">
        <f t="shared" si="79"/>
        <v>0</v>
      </c>
      <c r="U80" s="147">
        <f t="shared" si="80"/>
        <v>0</v>
      </c>
      <c r="V80" s="148">
        <f t="shared" si="81"/>
        <v>0</v>
      </c>
      <c r="W80" s="150">
        <f t="shared" si="82"/>
        <v>0</v>
      </c>
      <c r="X80" s="151">
        <f t="shared" si="82"/>
        <v>0</v>
      </c>
      <c r="Z80" s="160">
        <f t="shared" si="83"/>
        <v>0</v>
      </c>
    </row>
    <row r="81" spans="1:26" ht="18.75" customHeight="1" thickBot="1" x14ac:dyDescent="0.3">
      <c r="A81" s="168"/>
      <c r="B81" s="169"/>
      <c r="C81" s="170"/>
      <c r="D81" s="171"/>
      <c r="E81" s="153">
        <f t="shared" si="75"/>
        <v>0</v>
      </c>
      <c r="F81" s="154">
        <f t="shared" si="74"/>
        <v>0</v>
      </c>
      <c r="G81" s="154">
        <f t="shared" si="74"/>
        <v>0</v>
      </c>
      <c r="H81" s="154">
        <f t="shared" si="74"/>
        <v>0</v>
      </c>
      <c r="I81" s="154">
        <f t="shared" si="74"/>
        <v>0</v>
      </c>
      <c r="J81" s="154">
        <f t="shared" si="74"/>
        <v>0</v>
      </c>
      <c r="K81" s="154">
        <f t="shared" si="74"/>
        <v>0</v>
      </c>
      <c r="L81" s="154">
        <f t="shared" si="74"/>
        <v>0</v>
      </c>
      <c r="M81" s="154">
        <f t="shared" si="74"/>
        <v>0</v>
      </c>
      <c r="N81" s="154">
        <f t="shared" si="74"/>
        <v>0</v>
      </c>
      <c r="O81" s="154">
        <f t="shared" si="74"/>
        <v>0</v>
      </c>
      <c r="P81" s="154">
        <f t="shared" si="74"/>
        <v>0</v>
      </c>
      <c r="Q81" s="155">
        <f t="shared" si="76"/>
        <v>0</v>
      </c>
      <c r="R81" s="156">
        <f t="shared" si="77"/>
        <v>0</v>
      </c>
      <c r="S81" s="154">
        <f t="shared" si="78"/>
        <v>0</v>
      </c>
      <c r="T81" s="154">
        <f t="shared" si="79"/>
        <v>0</v>
      </c>
      <c r="U81" s="154">
        <f t="shared" si="80"/>
        <v>0</v>
      </c>
      <c r="V81" s="155">
        <f t="shared" si="81"/>
        <v>0</v>
      </c>
      <c r="W81" s="157">
        <f t="shared" si="82"/>
        <v>0</v>
      </c>
      <c r="X81" s="158">
        <f t="shared" si="82"/>
        <v>0</v>
      </c>
      <c r="Z81" s="161">
        <f t="shared" si="83"/>
        <v>0</v>
      </c>
    </row>
    <row r="82" spans="1:26" ht="7.5" customHeight="1" thickTop="1" thickBot="1" x14ac:dyDescent="0.3">
      <c r="A82" s="172"/>
      <c r="B82" s="173"/>
      <c r="C82" s="174"/>
      <c r="D82" s="175"/>
      <c r="E82" s="132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4"/>
      <c r="R82" s="135"/>
      <c r="S82" s="133"/>
      <c r="T82" s="133"/>
      <c r="U82" s="133"/>
      <c r="V82" s="134"/>
      <c r="W82" s="136"/>
      <c r="X82" s="137"/>
      <c r="Z82" s="162"/>
    </row>
    <row r="83" spans="1:26" ht="18.75" customHeight="1" thickBot="1" x14ac:dyDescent="0.3">
      <c r="A83" s="180" t="s">
        <v>52</v>
      </c>
      <c r="B83" s="179">
        <f>Z83</f>
        <v>625</v>
      </c>
      <c r="D83" s="186"/>
      <c r="E83" s="176">
        <f>SUM(E78:E81)</f>
        <v>2000</v>
      </c>
      <c r="F83" s="177">
        <f t="shared" ref="F83:X83" si="84">SUM(F78:F81)</f>
        <v>500</v>
      </c>
      <c r="G83" s="177">
        <f t="shared" si="84"/>
        <v>500</v>
      </c>
      <c r="H83" s="177">
        <f t="shared" si="84"/>
        <v>500</v>
      </c>
      <c r="I83" s="177">
        <f t="shared" si="84"/>
        <v>500</v>
      </c>
      <c r="J83" s="177">
        <f t="shared" si="84"/>
        <v>500</v>
      </c>
      <c r="K83" s="177">
        <f t="shared" si="84"/>
        <v>500</v>
      </c>
      <c r="L83" s="177">
        <f t="shared" si="84"/>
        <v>500</v>
      </c>
      <c r="M83" s="177">
        <f t="shared" si="84"/>
        <v>500</v>
      </c>
      <c r="N83" s="177">
        <f t="shared" si="84"/>
        <v>500</v>
      </c>
      <c r="O83" s="177">
        <f t="shared" si="84"/>
        <v>500</v>
      </c>
      <c r="P83" s="177">
        <f t="shared" si="84"/>
        <v>500</v>
      </c>
      <c r="Q83" s="181">
        <f t="shared" si="84"/>
        <v>7500</v>
      </c>
      <c r="R83" s="178">
        <f t="shared" si="84"/>
        <v>3000</v>
      </c>
      <c r="S83" s="177">
        <f t="shared" si="84"/>
        <v>1500</v>
      </c>
      <c r="T83" s="177">
        <f t="shared" si="84"/>
        <v>1500</v>
      </c>
      <c r="U83" s="177">
        <f t="shared" si="84"/>
        <v>1500</v>
      </c>
      <c r="V83" s="181">
        <f t="shared" si="84"/>
        <v>7500</v>
      </c>
      <c r="W83" s="182">
        <f t="shared" si="84"/>
        <v>7500</v>
      </c>
      <c r="X83" s="183">
        <f t="shared" si="84"/>
        <v>7500</v>
      </c>
      <c r="Z83" s="184">
        <f>SUM(Z78:Z81)</f>
        <v>625</v>
      </c>
    </row>
    <row r="84" spans="1:26" ht="15.75" thickBot="1" x14ac:dyDescent="0.3"/>
    <row r="85" spans="1:26" ht="15" customHeight="1" x14ac:dyDescent="0.25">
      <c r="A85" s="450" t="s">
        <v>75</v>
      </c>
      <c r="B85" s="452" t="s">
        <v>19</v>
      </c>
      <c r="C85" s="452" t="s">
        <v>45</v>
      </c>
      <c r="D85" s="454" t="s">
        <v>46</v>
      </c>
      <c r="E85" s="431" t="s">
        <v>20</v>
      </c>
      <c r="F85" s="429"/>
      <c r="G85" s="429"/>
      <c r="H85" s="429"/>
      <c r="I85" s="429"/>
      <c r="J85" s="429"/>
      <c r="K85" s="429"/>
      <c r="L85" s="429"/>
      <c r="M85" s="429"/>
      <c r="N85" s="429"/>
      <c r="O85" s="429"/>
      <c r="P85" s="430"/>
      <c r="Q85" s="424" t="s">
        <v>20</v>
      </c>
      <c r="R85" s="428" t="s">
        <v>25</v>
      </c>
      <c r="S85" s="429"/>
      <c r="T85" s="429"/>
      <c r="U85" s="430"/>
      <c r="V85" s="426" t="s">
        <v>25</v>
      </c>
      <c r="W85" s="438" t="s">
        <v>26</v>
      </c>
      <c r="X85" s="440" t="s">
        <v>27</v>
      </c>
      <c r="Z85" s="448" t="s">
        <v>51</v>
      </c>
    </row>
    <row r="86" spans="1:26" ht="15.75" thickBot="1" x14ac:dyDescent="0.3">
      <c r="A86" s="451"/>
      <c r="B86" s="453"/>
      <c r="C86" s="453"/>
      <c r="D86" s="455"/>
      <c r="E86" s="14">
        <v>1</v>
      </c>
      <c r="F86" s="15">
        <v>2</v>
      </c>
      <c r="G86" s="15">
        <v>3</v>
      </c>
      <c r="H86" s="15">
        <v>4</v>
      </c>
      <c r="I86" s="15">
        <v>5</v>
      </c>
      <c r="J86" s="15">
        <v>6</v>
      </c>
      <c r="K86" s="15">
        <v>7</v>
      </c>
      <c r="L86" s="15">
        <v>8</v>
      </c>
      <c r="M86" s="15">
        <v>9</v>
      </c>
      <c r="N86" s="15">
        <v>10</v>
      </c>
      <c r="O86" s="15">
        <v>11</v>
      </c>
      <c r="P86" s="16">
        <v>12</v>
      </c>
      <c r="Q86" s="425"/>
      <c r="R86" s="17" t="s">
        <v>21</v>
      </c>
      <c r="S86" s="15" t="s">
        <v>22</v>
      </c>
      <c r="T86" s="15" t="s">
        <v>23</v>
      </c>
      <c r="U86" s="15" t="s">
        <v>24</v>
      </c>
      <c r="V86" s="427"/>
      <c r="W86" s="439"/>
      <c r="X86" s="441"/>
      <c r="Z86" s="449"/>
    </row>
    <row r="87" spans="1:26" ht="18.75" customHeight="1" thickTop="1" x14ac:dyDescent="0.25">
      <c r="A87" s="163" t="s">
        <v>144</v>
      </c>
      <c r="B87" s="31">
        <v>2000</v>
      </c>
      <c r="C87" s="32" t="s">
        <v>47</v>
      </c>
      <c r="D87" s="33" t="s">
        <v>50</v>
      </c>
      <c r="E87" s="139">
        <f>IF(AND($C87="j",$D87=E$41),$B87,IF($C87="h",$B87*IF($D87=IF(MOD(E$41,6)=0,6,MOD(E$41,6)),1,0),IF($C87="q",$B87*IF($D87=IF(MOD(E$41,3)=0,3,MOD(E$41,3)),1,0),IF($C87="z",$B87*IF($D87=IF(MOD(E$41,2)=0,2,MOD(E$41,2)),1,0),IF($C87="m",$B87,0)))))</f>
        <v>2000</v>
      </c>
      <c r="F87" s="140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2000</v>
      </c>
      <c r="G87" s="140">
        <f t="shared" si="85"/>
        <v>2000</v>
      </c>
      <c r="H87" s="140">
        <f t="shared" si="85"/>
        <v>2000</v>
      </c>
      <c r="I87" s="140">
        <f t="shared" si="85"/>
        <v>2000</v>
      </c>
      <c r="J87" s="140">
        <f t="shared" si="85"/>
        <v>2000</v>
      </c>
      <c r="K87" s="140">
        <f t="shared" si="85"/>
        <v>2000</v>
      </c>
      <c r="L87" s="140">
        <f t="shared" si="85"/>
        <v>2000</v>
      </c>
      <c r="M87" s="140">
        <f t="shared" si="85"/>
        <v>2000</v>
      </c>
      <c r="N87" s="140">
        <f t="shared" si="85"/>
        <v>2000</v>
      </c>
      <c r="O87" s="140">
        <f t="shared" si="85"/>
        <v>2000</v>
      </c>
      <c r="P87" s="140">
        <f t="shared" si="85"/>
        <v>2000</v>
      </c>
      <c r="Q87" s="141">
        <f>SUM(E87:P87)</f>
        <v>24000</v>
      </c>
      <c r="R87" s="142">
        <f>IF(AND($C87="j",$D87&gt;=1,$D87&lt;=3),$B87,IF(AND($C87="h",$D87&gt;=1,$D87&lt;=3),$B87,IF(AND($C87="q",$D87&gt;=1,$D87&lt;=3),$B87,IF($C87="z",IF($D87=1,2*$B87,$B87),IF($C87="m",3*$B87,0)))))</f>
        <v>6000</v>
      </c>
      <c r="S87" s="140">
        <f>IF(AND($C87="j",$D87&gt;=4,$D87&lt;=6),$B87,IF(AND($C87="h",$D87&gt;=4,$D87&lt;=6),$B87,IF(AND($C87="q",$D87&gt;=1,$D87&lt;=3),$B87,IF($C87="z",IF($D87=2,2*$B87,$B87),IF($C87="m",3*$B87,0)))))</f>
        <v>6000</v>
      </c>
      <c r="T87" s="140">
        <f>IF(AND($C87="j",$D87&gt;=7,$D87&lt;=9),$B87,IF(AND($C87="h",$D87&gt;=1,$D87&lt;=3),$B87,IF(AND($C87="q",$D87&gt;=1,$D87&lt;=3),$B87,IF($C87="z",IF($D87=1,2*$B87,$B87),IF($C87="m",3*$B87,0)))))</f>
        <v>6000</v>
      </c>
      <c r="U87" s="140">
        <f>IF(AND($C87="j",$D87&gt;=10,$D87&lt;=12),$B87,IF(AND($C87="h",$D87&gt;=4,$D87&lt;=6),$B87,IF(AND($C87="q",$D87&gt;=1,$D87&lt;=3),$B87,IF($C87="z",IF($D87=2,2*$B87,$B87),IF($C87="m",3*$B87,0)))))</f>
        <v>6000</v>
      </c>
      <c r="V87" s="141">
        <f>SUM(R87:U87)</f>
        <v>24000</v>
      </c>
      <c r="W87" s="143">
        <f>IF($C87="j",$B87,IF($C87="h",2*$B87,IF($C87="q",4*$B87,IF($C87="z",6*$B87,12*$B87))))</f>
        <v>24000</v>
      </c>
      <c r="X87" s="144">
        <f>IF($C87="j",$B87,IF($C87="h",2*$B87,IF($C87="q",4*$B87,IF($C87="z",6*$B87,12*$B87))))</f>
        <v>24000</v>
      </c>
      <c r="Z87" s="159">
        <f>Q87/12</f>
        <v>2000</v>
      </c>
    </row>
    <row r="88" spans="1:26" ht="18.75" customHeight="1" x14ac:dyDescent="0.25">
      <c r="A88" s="164" t="s">
        <v>124</v>
      </c>
      <c r="B88" s="165">
        <v>200</v>
      </c>
      <c r="C88" s="166" t="s">
        <v>47</v>
      </c>
      <c r="D88" s="167" t="s">
        <v>50</v>
      </c>
      <c r="E88" s="146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200</v>
      </c>
      <c r="F88" s="147">
        <f t="shared" si="85"/>
        <v>200</v>
      </c>
      <c r="G88" s="147">
        <f t="shared" si="85"/>
        <v>200</v>
      </c>
      <c r="H88" s="147">
        <f t="shared" si="85"/>
        <v>200</v>
      </c>
      <c r="I88" s="147">
        <f t="shared" si="85"/>
        <v>200</v>
      </c>
      <c r="J88" s="147">
        <f t="shared" si="85"/>
        <v>200</v>
      </c>
      <c r="K88" s="147">
        <f t="shared" si="85"/>
        <v>200</v>
      </c>
      <c r="L88" s="147">
        <f t="shared" si="85"/>
        <v>200</v>
      </c>
      <c r="M88" s="147">
        <f t="shared" si="85"/>
        <v>200</v>
      </c>
      <c r="N88" s="147">
        <f t="shared" si="85"/>
        <v>200</v>
      </c>
      <c r="O88" s="147">
        <f t="shared" si="85"/>
        <v>200</v>
      </c>
      <c r="P88" s="147">
        <f t="shared" si="85"/>
        <v>200</v>
      </c>
      <c r="Q88" s="148">
        <f t="shared" ref="Q88:Q90" si="87">SUM(E88:P88)</f>
        <v>2400</v>
      </c>
      <c r="R88" s="149">
        <f t="shared" ref="R88:R90" si="88">IF(AND($C88="j",$D88&gt;=1,$D88&lt;=3),$B88,IF(AND($C88="h",$D88&gt;=1,$D88&lt;=3),$B88,IF(AND($C88="q",$D88&gt;=1,$D88&lt;=3),$B88,IF($C88="z",IF($D88=1,2*$B88,$B88),IF($C88="m",3*$B88,0)))))</f>
        <v>600</v>
      </c>
      <c r="S88" s="147">
        <f t="shared" ref="S88:S90" si="89">IF(AND($C88="j",$D88&gt;=4,$D88&lt;=6),$B88,IF(AND($C88="h",$D88&gt;=4,$D88&lt;=6),$B88,IF(AND($C88="q",$D88&gt;=1,$D88&lt;=3),$B88,IF($C88="z",IF($D88=2,2*$B88,$B88),IF($C88="m",3*$B88,0)))))</f>
        <v>600</v>
      </c>
      <c r="T88" s="147">
        <f t="shared" ref="T88:T90" si="90">IF(AND($C88="j",$D88&gt;=7,$D88&lt;=9),$B88,IF(AND($C88="h",$D88&gt;=1,$D88&lt;=3),$B88,IF(AND($C88="q",$D88&gt;=1,$D88&lt;=3),$B88,IF($C88="z",IF($D88=1,2*$B88,$B88),IF($C88="m",3*$B88,0)))))</f>
        <v>600</v>
      </c>
      <c r="U88" s="147">
        <f t="shared" ref="U88:U90" si="91">IF(AND($C88="j",$D88&gt;=10,$D88&lt;=12),$B88,IF(AND($C88="h",$D88&gt;=4,$D88&lt;=6),$B88,IF(AND($C88="q",$D88&gt;=1,$D88&lt;=3),$B88,IF($C88="z",IF($D88=2,2*$B88,$B88),IF($C88="m",3*$B88,0)))))</f>
        <v>600</v>
      </c>
      <c r="V88" s="148">
        <f t="shared" ref="V88:V90" si="92">SUM(R88:U88)</f>
        <v>2400</v>
      </c>
      <c r="W88" s="150">
        <f t="shared" ref="W88:X90" si="93">IF($C88="j",$B88,IF($C88="h",2*$B88,IF($C88="q",4*$B88,IF($C88="z",6*$B88,12*$B88))))</f>
        <v>2400</v>
      </c>
      <c r="X88" s="151">
        <f t="shared" si="93"/>
        <v>2400</v>
      </c>
      <c r="Z88" s="160">
        <f t="shared" ref="Z88:Z90" si="94">Q88/12</f>
        <v>200</v>
      </c>
    </row>
    <row r="89" spans="1:26" ht="18.75" customHeight="1" x14ac:dyDescent="0.25">
      <c r="A89" s="164"/>
      <c r="B89" s="165"/>
      <c r="C89" s="166"/>
      <c r="D89" s="167"/>
      <c r="E89" s="146">
        <f t="shared" si="86"/>
        <v>0</v>
      </c>
      <c r="F89" s="147">
        <f t="shared" si="85"/>
        <v>0</v>
      </c>
      <c r="G89" s="147">
        <f t="shared" si="85"/>
        <v>0</v>
      </c>
      <c r="H89" s="147">
        <f t="shared" si="85"/>
        <v>0</v>
      </c>
      <c r="I89" s="147">
        <f t="shared" si="85"/>
        <v>0</v>
      </c>
      <c r="J89" s="147">
        <f t="shared" si="85"/>
        <v>0</v>
      </c>
      <c r="K89" s="147">
        <f t="shared" si="85"/>
        <v>0</v>
      </c>
      <c r="L89" s="147">
        <f t="shared" si="85"/>
        <v>0</v>
      </c>
      <c r="M89" s="147">
        <f t="shared" si="85"/>
        <v>0</v>
      </c>
      <c r="N89" s="147">
        <f t="shared" si="85"/>
        <v>0</v>
      </c>
      <c r="O89" s="147">
        <f t="shared" si="85"/>
        <v>0</v>
      </c>
      <c r="P89" s="147">
        <f t="shared" si="85"/>
        <v>0</v>
      </c>
      <c r="Q89" s="148">
        <f t="shared" si="87"/>
        <v>0</v>
      </c>
      <c r="R89" s="149">
        <f t="shared" si="88"/>
        <v>0</v>
      </c>
      <c r="S89" s="147">
        <f t="shared" si="89"/>
        <v>0</v>
      </c>
      <c r="T89" s="147">
        <f t="shared" si="90"/>
        <v>0</v>
      </c>
      <c r="U89" s="147">
        <f t="shared" si="91"/>
        <v>0</v>
      </c>
      <c r="V89" s="148">
        <f t="shared" si="92"/>
        <v>0</v>
      </c>
      <c r="W89" s="150">
        <f t="shared" si="93"/>
        <v>0</v>
      </c>
      <c r="X89" s="151">
        <f t="shared" si="93"/>
        <v>0</v>
      </c>
      <c r="Z89" s="160">
        <f t="shared" si="94"/>
        <v>0</v>
      </c>
    </row>
    <row r="90" spans="1:26" ht="18.75" customHeight="1" thickBot="1" x14ac:dyDescent="0.3">
      <c r="A90" s="168"/>
      <c r="B90" s="169"/>
      <c r="C90" s="170"/>
      <c r="D90" s="171"/>
      <c r="E90" s="153">
        <f t="shared" si="86"/>
        <v>0</v>
      </c>
      <c r="F90" s="154">
        <f t="shared" si="85"/>
        <v>0</v>
      </c>
      <c r="G90" s="154">
        <f t="shared" si="85"/>
        <v>0</v>
      </c>
      <c r="H90" s="154">
        <f t="shared" si="85"/>
        <v>0</v>
      </c>
      <c r="I90" s="154">
        <f t="shared" si="85"/>
        <v>0</v>
      </c>
      <c r="J90" s="154">
        <f t="shared" si="85"/>
        <v>0</v>
      </c>
      <c r="K90" s="154">
        <f t="shared" si="85"/>
        <v>0</v>
      </c>
      <c r="L90" s="154">
        <f t="shared" si="85"/>
        <v>0</v>
      </c>
      <c r="M90" s="154">
        <f t="shared" si="85"/>
        <v>0</v>
      </c>
      <c r="N90" s="154">
        <f t="shared" si="85"/>
        <v>0</v>
      </c>
      <c r="O90" s="154">
        <f t="shared" si="85"/>
        <v>0</v>
      </c>
      <c r="P90" s="154">
        <f t="shared" si="85"/>
        <v>0</v>
      </c>
      <c r="Q90" s="155">
        <f t="shared" si="87"/>
        <v>0</v>
      </c>
      <c r="R90" s="156">
        <f t="shared" si="88"/>
        <v>0</v>
      </c>
      <c r="S90" s="154">
        <f t="shared" si="89"/>
        <v>0</v>
      </c>
      <c r="T90" s="154">
        <f t="shared" si="90"/>
        <v>0</v>
      </c>
      <c r="U90" s="154">
        <f t="shared" si="91"/>
        <v>0</v>
      </c>
      <c r="V90" s="155">
        <f t="shared" si="92"/>
        <v>0</v>
      </c>
      <c r="W90" s="157">
        <f t="shared" si="93"/>
        <v>0</v>
      </c>
      <c r="X90" s="158">
        <f t="shared" si="93"/>
        <v>0</v>
      </c>
      <c r="Z90" s="161">
        <f t="shared" si="94"/>
        <v>0</v>
      </c>
    </row>
    <row r="91" spans="1:26" ht="7.5" customHeight="1" thickTop="1" thickBot="1" x14ac:dyDescent="0.3">
      <c r="A91" s="172"/>
      <c r="B91" s="173"/>
      <c r="C91" s="174"/>
      <c r="D91" s="175"/>
      <c r="E91" s="132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4"/>
      <c r="R91" s="135"/>
      <c r="S91" s="133"/>
      <c r="T91" s="133"/>
      <c r="U91" s="133"/>
      <c r="V91" s="134"/>
      <c r="W91" s="136"/>
      <c r="X91" s="137"/>
      <c r="Z91" s="162"/>
    </row>
    <row r="92" spans="1:26" ht="18.75" customHeight="1" thickBot="1" x14ac:dyDescent="0.3">
      <c r="A92" s="180" t="s">
        <v>52</v>
      </c>
      <c r="B92" s="179">
        <f>Z92</f>
        <v>2200</v>
      </c>
      <c r="D92" s="186"/>
      <c r="E92" s="176">
        <f>SUM(E87:E90)</f>
        <v>2200</v>
      </c>
      <c r="F92" s="177">
        <f t="shared" ref="F92:X92" si="95">SUM(F87:F90)</f>
        <v>2200</v>
      </c>
      <c r="G92" s="177">
        <f t="shared" si="95"/>
        <v>2200</v>
      </c>
      <c r="H92" s="177">
        <f t="shared" si="95"/>
        <v>2200</v>
      </c>
      <c r="I92" s="177">
        <f t="shared" si="95"/>
        <v>2200</v>
      </c>
      <c r="J92" s="177">
        <f t="shared" si="95"/>
        <v>2200</v>
      </c>
      <c r="K92" s="177">
        <f t="shared" si="95"/>
        <v>2200</v>
      </c>
      <c r="L92" s="177">
        <f t="shared" si="95"/>
        <v>2200</v>
      </c>
      <c r="M92" s="177">
        <f t="shared" si="95"/>
        <v>2200</v>
      </c>
      <c r="N92" s="177">
        <f t="shared" si="95"/>
        <v>2200</v>
      </c>
      <c r="O92" s="177">
        <f t="shared" si="95"/>
        <v>2200</v>
      </c>
      <c r="P92" s="177">
        <f t="shared" si="95"/>
        <v>2200</v>
      </c>
      <c r="Q92" s="181">
        <f t="shared" si="95"/>
        <v>26400</v>
      </c>
      <c r="R92" s="178">
        <f t="shared" si="95"/>
        <v>6600</v>
      </c>
      <c r="S92" s="177">
        <f t="shared" si="95"/>
        <v>6600</v>
      </c>
      <c r="T92" s="177">
        <f t="shared" si="95"/>
        <v>6600</v>
      </c>
      <c r="U92" s="177">
        <f t="shared" si="95"/>
        <v>6600</v>
      </c>
      <c r="V92" s="181">
        <f t="shared" si="95"/>
        <v>26400</v>
      </c>
      <c r="W92" s="182">
        <f t="shared" si="95"/>
        <v>26400</v>
      </c>
      <c r="X92" s="183">
        <f t="shared" si="95"/>
        <v>26400</v>
      </c>
      <c r="Z92" s="184">
        <f>SUM(Z87:Z90)</f>
        <v>2200</v>
      </c>
    </row>
    <row r="93" spans="1:26" ht="15.75" thickBot="1" x14ac:dyDescent="0.3"/>
    <row r="94" spans="1:26" ht="15" customHeight="1" x14ac:dyDescent="0.25">
      <c r="A94" s="450" t="s">
        <v>78</v>
      </c>
      <c r="B94" s="452" t="s">
        <v>19</v>
      </c>
      <c r="C94" s="452" t="s">
        <v>45</v>
      </c>
      <c r="D94" s="454" t="s">
        <v>46</v>
      </c>
      <c r="E94" s="431" t="s">
        <v>20</v>
      </c>
      <c r="F94" s="429"/>
      <c r="G94" s="429"/>
      <c r="H94" s="429"/>
      <c r="I94" s="429"/>
      <c r="J94" s="429"/>
      <c r="K94" s="429"/>
      <c r="L94" s="429"/>
      <c r="M94" s="429"/>
      <c r="N94" s="429"/>
      <c r="O94" s="429"/>
      <c r="P94" s="430"/>
      <c r="Q94" s="424" t="s">
        <v>20</v>
      </c>
      <c r="R94" s="428" t="s">
        <v>25</v>
      </c>
      <c r="S94" s="429"/>
      <c r="T94" s="429"/>
      <c r="U94" s="430"/>
      <c r="V94" s="426" t="s">
        <v>25</v>
      </c>
      <c r="W94" s="438" t="s">
        <v>26</v>
      </c>
      <c r="X94" s="440" t="s">
        <v>27</v>
      </c>
      <c r="Z94" s="448" t="s">
        <v>51</v>
      </c>
    </row>
    <row r="95" spans="1:26" ht="15.75" thickBot="1" x14ac:dyDescent="0.3">
      <c r="A95" s="451"/>
      <c r="B95" s="453"/>
      <c r="C95" s="453"/>
      <c r="D95" s="455"/>
      <c r="E95" s="14">
        <v>1</v>
      </c>
      <c r="F95" s="15">
        <v>2</v>
      </c>
      <c r="G95" s="15">
        <v>3</v>
      </c>
      <c r="H95" s="15">
        <v>4</v>
      </c>
      <c r="I95" s="15">
        <v>5</v>
      </c>
      <c r="J95" s="15">
        <v>6</v>
      </c>
      <c r="K95" s="15">
        <v>7</v>
      </c>
      <c r="L95" s="15">
        <v>8</v>
      </c>
      <c r="M95" s="15">
        <v>9</v>
      </c>
      <c r="N95" s="15">
        <v>10</v>
      </c>
      <c r="O95" s="15">
        <v>11</v>
      </c>
      <c r="P95" s="16">
        <v>12</v>
      </c>
      <c r="Q95" s="425"/>
      <c r="R95" s="17" t="s">
        <v>21</v>
      </c>
      <c r="S95" s="15" t="s">
        <v>22</v>
      </c>
      <c r="T95" s="15" t="s">
        <v>23</v>
      </c>
      <c r="U95" s="15" t="s">
        <v>24</v>
      </c>
      <c r="V95" s="427"/>
      <c r="W95" s="439"/>
      <c r="X95" s="441"/>
      <c r="Z95" s="449"/>
    </row>
    <row r="96" spans="1:26" ht="18.75" customHeight="1" thickTop="1" x14ac:dyDescent="0.25">
      <c r="A96" s="163" t="s">
        <v>79</v>
      </c>
      <c r="B96" s="31">
        <v>88</v>
      </c>
      <c r="C96" s="32" t="s">
        <v>47</v>
      </c>
      <c r="D96" s="33" t="s">
        <v>50</v>
      </c>
      <c r="E96" s="139">
        <f>IF(AND($C96="j",$D96=E$41),$B96,IF($C96="h",$B96*IF($D96=IF(MOD(E$41,6)=0,6,MOD(E$41,6)),1,0),IF($C96="q",$B96*IF($D96=IF(MOD(E$41,3)=0,3,MOD(E$41,3)),1,0),IF($C96="z",$B96*IF($D96=IF(MOD(E$41,2)=0,2,MOD(E$41,2)),1,0),IF($C96="m",$B96,0)))))</f>
        <v>88</v>
      </c>
      <c r="F96" s="140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88</v>
      </c>
      <c r="G96" s="140">
        <f t="shared" si="96"/>
        <v>88</v>
      </c>
      <c r="H96" s="140">
        <f t="shared" si="96"/>
        <v>88</v>
      </c>
      <c r="I96" s="140">
        <f t="shared" si="96"/>
        <v>88</v>
      </c>
      <c r="J96" s="140">
        <f t="shared" si="96"/>
        <v>88</v>
      </c>
      <c r="K96" s="140">
        <f t="shared" si="96"/>
        <v>88</v>
      </c>
      <c r="L96" s="140">
        <f t="shared" si="96"/>
        <v>88</v>
      </c>
      <c r="M96" s="140">
        <f t="shared" si="96"/>
        <v>88</v>
      </c>
      <c r="N96" s="140">
        <f t="shared" si="96"/>
        <v>88</v>
      </c>
      <c r="O96" s="140">
        <f t="shared" si="96"/>
        <v>88</v>
      </c>
      <c r="P96" s="140">
        <f t="shared" si="96"/>
        <v>88</v>
      </c>
      <c r="Q96" s="141">
        <f>SUM(E96:P96)</f>
        <v>1056</v>
      </c>
      <c r="R96" s="142">
        <f>IF(AND($C96="j",$D96&gt;=1,$D96&lt;=3),$B96,IF(AND($C96="h",$D96&gt;=1,$D96&lt;=3),$B96,IF(AND($C96="q",$D96&gt;=1,$D96&lt;=3),$B96,IF($C96="z",IF($D96=1,2*$B96,$B96),IF($C96="m",3*$B96,0)))))</f>
        <v>264</v>
      </c>
      <c r="S96" s="140">
        <f>IF(AND($C96="j",$D96&gt;=4,$D96&lt;=6),$B96,IF(AND($C96="h",$D96&gt;=4,$D96&lt;=6),$B96,IF(AND($C96="q",$D96&gt;=1,$D96&lt;=3),$B96,IF($C96="z",IF($D96=2,2*$B96,$B96),IF($C96="m",3*$B96,0)))))</f>
        <v>264</v>
      </c>
      <c r="T96" s="140">
        <f>IF(AND($C96="j",$D96&gt;=7,$D96&lt;=9),$B96,IF(AND($C96="h",$D96&gt;=1,$D96&lt;=3),$B96,IF(AND($C96="q",$D96&gt;=1,$D96&lt;=3),$B96,IF($C96="z",IF($D96=1,2*$B96,$B96),IF($C96="m",3*$B96,0)))))</f>
        <v>264</v>
      </c>
      <c r="U96" s="140">
        <f>IF(AND($C96="j",$D96&gt;=10,$D96&lt;=12),$B96,IF(AND($C96="h",$D96&gt;=4,$D96&lt;=6),$B96,IF(AND($C96="q",$D96&gt;=1,$D96&lt;=3),$B96,IF($C96="z",IF($D96=2,2*$B96,$B96),IF($C96="m",3*$B96,0)))))</f>
        <v>264</v>
      </c>
      <c r="V96" s="141">
        <f>SUM(R96:U96)</f>
        <v>1056</v>
      </c>
      <c r="W96" s="143">
        <f>IF($C96="j",$B96,IF($C96="h",2*$B96,IF($C96="q",4*$B96,IF($C96="z",6*$B96,12*$B96))))</f>
        <v>1056</v>
      </c>
      <c r="X96" s="144">
        <f>IF($C96="j",$B96,IF($C96="h",2*$B96,IF($C96="q",4*$B96,IF($C96="z",6*$B96,12*$B96))))</f>
        <v>1056</v>
      </c>
      <c r="Z96" s="159">
        <f>Q96/12</f>
        <v>88</v>
      </c>
    </row>
    <row r="97" spans="1:26" ht="18.75" customHeight="1" x14ac:dyDescent="0.25">
      <c r="A97" s="164" t="s">
        <v>80</v>
      </c>
      <c r="B97" s="165">
        <v>300</v>
      </c>
      <c r="C97" s="166" t="s">
        <v>47</v>
      </c>
      <c r="D97" s="167" t="s">
        <v>50</v>
      </c>
      <c r="E97" s="146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300</v>
      </c>
      <c r="F97" s="147">
        <f t="shared" si="96"/>
        <v>300</v>
      </c>
      <c r="G97" s="147">
        <f t="shared" si="96"/>
        <v>300</v>
      </c>
      <c r="H97" s="147">
        <f t="shared" si="96"/>
        <v>300</v>
      </c>
      <c r="I97" s="147">
        <f t="shared" si="96"/>
        <v>300</v>
      </c>
      <c r="J97" s="147">
        <f t="shared" si="96"/>
        <v>300</v>
      </c>
      <c r="K97" s="147">
        <f t="shared" si="96"/>
        <v>300</v>
      </c>
      <c r="L97" s="147">
        <f t="shared" si="96"/>
        <v>300</v>
      </c>
      <c r="M97" s="147">
        <f t="shared" si="96"/>
        <v>300</v>
      </c>
      <c r="N97" s="147">
        <f t="shared" si="96"/>
        <v>300</v>
      </c>
      <c r="O97" s="147">
        <f t="shared" si="96"/>
        <v>300</v>
      </c>
      <c r="P97" s="147">
        <f t="shared" si="96"/>
        <v>300</v>
      </c>
      <c r="Q97" s="148">
        <f t="shared" ref="Q97:Q99" si="98">SUM(E97:P97)</f>
        <v>3600</v>
      </c>
      <c r="R97" s="149">
        <f t="shared" ref="R97:R99" si="99">IF(AND($C97="j",$D97&gt;=1,$D97&lt;=3),$B97,IF(AND($C97="h",$D97&gt;=1,$D97&lt;=3),$B97,IF(AND($C97="q",$D97&gt;=1,$D97&lt;=3),$B97,IF($C97="z",IF($D97=1,2*$B97,$B97),IF($C97="m",3*$B97,0)))))</f>
        <v>900</v>
      </c>
      <c r="S97" s="147">
        <f t="shared" ref="S97:S99" si="100">IF(AND($C97="j",$D97&gt;=4,$D97&lt;=6),$B97,IF(AND($C97="h",$D97&gt;=4,$D97&lt;=6),$B97,IF(AND($C97="q",$D97&gt;=1,$D97&lt;=3),$B97,IF($C97="z",IF($D97=2,2*$B97,$B97),IF($C97="m",3*$B97,0)))))</f>
        <v>900</v>
      </c>
      <c r="T97" s="147">
        <f t="shared" ref="T97:T99" si="101">IF(AND($C97="j",$D97&gt;=7,$D97&lt;=9),$B97,IF(AND($C97="h",$D97&gt;=1,$D97&lt;=3),$B97,IF(AND($C97="q",$D97&gt;=1,$D97&lt;=3),$B97,IF($C97="z",IF($D97=1,2*$B97,$B97),IF($C97="m",3*$B97,0)))))</f>
        <v>900</v>
      </c>
      <c r="U97" s="147">
        <f t="shared" ref="U97:U99" si="102">IF(AND($C97="j",$D97&gt;=10,$D97&lt;=12),$B97,IF(AND($C97="h",$D97&gt;=4,$D97&lt;=6),$B97,IF(AND($C97="q",$D97&gt;=1,$D97&lt;=3),$B97,IF($C97="z",IF($D97=2,2*$B97,$B97),IF($C97="m",3*$B97,0)))))</f>
        <v>900</v>
      </c>
      <c r="V97" s="148">
        <f t="shared" ref="V97:V99" si="103">SUM(R97:U97)</f>
        <v>3600</v>
      </c>
      <c r="W97" s="150">
        <f t="shared" ref="W97:X99" si="104">IF($C97="j",$B97,IF($C97="h",2*$B97,IF($C97="q",4*$B97,IF($C97="z",6*$B97,12*$B97))))</f>
        <v>3600</v>
      </c>
      <c r="X97" s="151">
        <f t="shared" si="104"/>
        <v>3600</v>
      </c>
      <c r="Z97" s="160">
        <f t="shared" ref="Z97:Z99" si="105">Q97/12</f>
        <v>300</v>
      </c>
    </row>
    <row r="98" spans="1:26" ht="18.75" customHeight="1" x14ac:dyDescent="0.25">
      <c r="A98" s="164"/>
      <c r="B98" s="165"/>
      <c r="C98" s="166"/>
      <c r="D98" s="167"/>
      <c r="E98" s="146">
        <f t="shared" si="97"/>
        <v>0</v>
      </c>
      <c r="F98" s="147">
        <f t="shared" si="96"/>
        <v>0</v>
      </c>
      <c r="G98" s="147">
        <f t="shared" si="96"/>
        <v>0</v>
      </c>
      <c r="H98" s="147">
        <f t="shared" si="96"/>
        <v>0</v>
      </c>
      <c r="I98" s="147">
        <f t="shared" si="96"/>
        <v>0</v>
      </c>
      <c r="J98" s="147">
        <f t="shared" si="96"/>
        <v>0</v>
      </c>
      <c r="K98" s="147">
        <f t="shared" si="96"/>
        <v>0</v>
      </c>
      <c r="L98" s="147">
        <f t="shared" si="96"/>
        <v>0</v>
      </c>
      <c r="M98" s="147">
        <f t="shared" si="96"/>
        <v>0</v>
      </c>
      <c r="N98" s="147">
        <f t="shared" si="96"/>
        <v>0</v>
      </c>
      <c r="O98" s="147">
        <f t="shared" si="96"/>
        <v>0</v>
      </c>
      <c r="P98" s="147">
        <f t="shared" si="96"/>
        <v>0</v>
      </c>
      <c r="Q98" s="148">
        <f t="shared" si="98"/>
        <v>0</v>
      </c>
      <c r="R98" s="149">
        <f t="shared" si="99"/>
        <v>0</v>
      </c>
      <c r="S98" s="147">
        <f t="shared" si="100"/>
        <v>0</v>
      </c>
      <c r="T98" s="147">
        <f t="shared" si="101"/>
        <v>0</v>
      </c>
      <c r="U98" s="147">
        <f t="shared" si="102"/>
        <v>0</v>
      </c>
      <c r="V98" s="148">
        <f t="shared" si="103"/>
        <v>0</v>
      </c>
      <c r="W98" s="150">
        <f t="shared" si="104"/>
        <v>0</v>
      </c>
      <c r="X98" s="151">
        <f t="shared" si="104"/>
        <v>0</v>
      </c>
      <c r="Z98" s="160">
        <f t="shared" si="105"/>
        <v>0</v>
      </c>
    </row>
    <row r="99" spans="1:26" ht="18.75" customHeight="1" thickBot="1" x14ac:dyDescent="0.3">
      <c r="A99" s="168"/>
      <c r="B99" s="169"/>
      <c r="C99" s="170"/>
      <c r="D99" s="171"/>
      <c r="E99" s="153">
        <f t="shared" si="97"/>
        <v>0</v>
      </c>
      <c r="F99" s="154">
        <f t="shared" si="96"/>
        <v>0</v>
      </c>
      <c r="G99" s="154">
        <f t="shared" si="96"/>
        <v>0</v>
      </c>
      <c r="H99" s="154">
        <f t="shared" si="96"/>
        <v>0</v>
      </c>
      <c r="I99" s="154">
        <f t="shared" si="96"/>
        <v>0</v>
      </c>
      <c r="J99" s="154">
        <f t="shared" si="96"/>
        <v>0</v>
      </c>
      <c r="K99" s="154">
        <f t="shared" si="96"/>
        <v>0</v>
      </c>
      <c r="L99" s="154">
        <f t="shared" si="96"/>
        <v>0</v>
      </c>
      <c r="M99" s="154">
        <f t="shared" si="96"/>
        <v>0</v>
      </c>
      <c r="N99" s="154">
        <f t="shared" si="96"/>
        <v>0</v>
      </c>
      <c r="O99" s="154">
        <f t="shared" si="96"/>
        <v>0</v>
      </c>
      <c r="P99" s="154">
        <f t="shared" si="96"/>
        <v>0</v>
      </c>
      <c r="Q99" s="155">
        <f t="shared" si="98"/>
        <v>0</v>
      </c>
      <c r="R99" s="156">
        <f t="shared" si="99"/>
        <v>0</v>
      </c>
      <c r="S99" s="154">
        <f t="shared" si="100"/>
        <v>0</v>
      </c>
      <c r="T99" s="154">
        <f t="shared" si="101"/>
        <v>0</v>
      </c>
      <c r="U99" s="154">
        <f t="shared" si="102"/>
        <v>0</v>
      </c>
      <c r="V99" s="155">
        <f t="shared" si="103"/>
        <v>0</v>
      </c>
      <c r="W99" s="157">
        <f t="shared" si="104"/>
        <v>0</v>
      </c>
      <c r="X99" s="158">
        <f t="shared" si="104"/>
        <v>0</v>
      </c>
      <c r="Z99" s="161">
        <f t="shared" si="105"/>
        <v>0</v>
      </c>
    </row>
    <row r="100" spans="1:26" ht="7.5" customHeight="1" thickTop="1" thickBot="1" x14ac:dyDescent="0.3">
      <c r="A100" s="172"/>
      <c r="B100" s="173"/>
      <c r="C100" s="174"/>
      <c r="D100" s="175"/>
      <c r="E100" s="132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4"/>
      <c r="R100" s="135"/>
      <c r="S100" s="133"/>
      <c r="T100" s="133"/>
      <c r="U100" s="133"/>
      <c r="V100" s="134"/>
      <c r="W100" s="136"/>
      <c r="X100" s="137"/>
      <c r="Z100" s="162"/>
    </row>
    <row r="101" spans="1:26" ht="18.75" customHeight="1" thickBot="1" x14ac:dyDescent="0.3">
      <c r="A101" s="180" t="s">
        <v>52</v>
      </c>
      <c r="B101" s="179">
        <f>Z101</f>
        <v>388</v>
      </c>
      <c r="D101" s="186"/>
      <c r="E101" s="176">
        <f>SUM(E96:E99)</f>
        <v>388</v>
      </c>
      <c r="F101" s="177">
        <f t="shared" ref="F101:X101" si="106">SUM(F96:F99)</f>
        <v>388</v>
      </c>
      <c r="G101" s="177">
        <f t="shared" si="106"/>
        <v>388</v>
      </c>
      <c r="H101" s="177">
        <f t="shared" si="106"/>
        <v>388</v>
      </c>
      <c r="I101" s="177">
        <f t="shared" si="106"/>
        <v>388</v>
      </c>
      <c r="J101" s="177">
        <f t="shared" si="106"/>
        <v>388</v>
      </c>
      <c r="K101" s="177">
        <f t="shared" si="106"/>
        <v>388</v>
      </c>
      <c r="L101" s="177">
        <f t="shared" si="106"/>
        <v>388</v>
      </c>
      <c r="M101" s="177">
        <f t="shared" si="106"/>
        <v>388</v>
      </c>
      <c r="N101" s="177">
        <f t="shared" si="106"/>
        <v>388</v>
      </c>
      <c r="O101" s="177">
        <f t="shared" si="106"/>
        <v>388</v>
      </c>
      <c r="P101" s="177">
        <f t="shared" si="106"/>
        <v>388</v>
      </c>
      <c r="Q101" s="181">
        <f t="shared" si="106"/>
        <v>4656</v>
      </c>
      <c r="R101" s="178">
        <f t="shared" si="106"/>
        <v>1164</v>
      </c>
      <c r="S101" s="177">
        <f t="shared" si="106"/>
        <v>1164</v>
      </c>
      <c r="T101" s="177">
        <f t="shared" si="106"/>
        <v>1164</v>
      </c>
      <c r="U101" s="177">
        <f t="shared" si="106"/>
        <v>1164</v>
      </c>
      <c r="V101" s="181">
        <f t="shared" si="106"/>
        <v>4656</v>
      </c>
      <c r="W101" s="182">
        <f t="shared" si="106"/>
        <v>4656</v>
      </c>
      <c r="X101" s="183">
        <f t="shared" si="106"/>
        <v>4656</v>
      </c>
      <c r="Z101" s="184">
        <f>SUM(Z96:Z99)</f>
        <v>388</v>
      </c>
    </row>
    <row r="102" spans="1:26" ht="15.75" thickBot="1" x14ac:dyDescent="0.3"/>
    <row r="103" spans="1:26" ht="15" customHeight="1" x14ac:dyDescent="0.25">
      <c r="A103" s="450" t="s">
        <v>81</v>
      </c>
      <c r="B103" s="452" t="s">
        <v>19</v>
      </c>
      <c r="C103" s="452" t="s">
        <v>45</v>
      </c>
      <c r="D103" s="454" t="s">
        <v>46</v>
      </c>
      <c r="E103" s="431" t="s">
        <v>20</v>
      </c>
      <c r="F103" s="429"/>
      <c r="G103" s="429"/>
      <c r="H103" s="429"/>
      <c r="I103" s="429"/>
      <c r="J103" s="429"/>
      <c r="K103" s="429"/>
      <c r="L103" s="429"/>
      <c r="M103" s="429"/>
      <c r="N103" s="429"/>
      <c r="O103" s="429"/>
      <c r="P103" s="430"/>
      <c r="Q103" s="424" t="s">
        <v>20</v>
      </c>
      <c r="R103" s="428" t="s">
        <v>25</v>
      </c>
      <c r="S103" s="429"/>
      <c r="T103" s="429"/>
      <c r="U103" s="430"/>
      <c r="V103" s="426" t="s">
        <v>25</v>
      </c>
      <c r="W103" s="438" t="s">
        <v>26</v>
      </c>
      <c r="X103" s="440" t="s">
        <v>27</v>
      </c>
      <c r="Z103" s="448" t="s">
        <v>51</v>
      </c>
    </row>
    <row r="104" spans="1:26" ht="15.75" thickBot="1" x14ac:dyDescent="0.3">
      <c r="A104" s="451"/>
      <c r="B104" s="453"/>
      <c r="C104" s="453"/>
      <c r="D104" s="455"/>
      <c r="E104" s="14">
        <v>1</v>
      </c>
      <c r="F104" s="15">
        <v>2</v>
      </c>
      <c r="G104" s="15">
        <v>3</v>
      </c>
      <c r="H104" s="15">
        <v>4</v>
      </c>
      <c r="I104" s="15">
        <v>5</v>
      </c>
      <c r="J104" s="15">
        <v>6</v>
      </c>
      <c r="K104" s="15">
        <v>7</v>
      </c>
      <c r="L104" s="15">
        <v>8</v>
      </c>
      <c r="M104" s="15">
        <v>9</v>
      </c>
      <c r="N104" s="15">
        <v>10</v>
      </c>
      <c r="O104" s="15">
        <v>11</v>
      </c>
      <c r="P104" s="16">
        <v>12</v>
      </c>
      <c r="Q104" s="425"/>
      <c r="R104" s="17" t="s">
        <v>21</v>
      </c>
      <c r="S104" s="15" t="s">
        <v>22</v>
      </c>
      <c r="T104" s="15" t="s">
        <v>23</v>
      </c>
      <c r="U104" s="15" t="s">
        <v>24</v>
      </c>
      <c r="V104" s="427"/>
      <c r="W104" s="439"/>
      <c r="X104" s="441"/>
      <c r="Z104" s="449"/>
    </row>
    <row r="105" spans="1:26" ht="18.75" customHeight="1" thickTop="1" x14ac:dyDescent="0.25">
      <c r="A105" s="163" t="s">
        <v>89</v>
      </c>
      <c r="B105" s="31">
        <v>2000</v>
      </c>
      <c r="C105" s="32" t="s">
        <v>49</v>
      </c>
      <c r="D105" s="33">
        <v>3</v>
      </c>
      <c r="E105" s="139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140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140">
        <f t="shared" si="107"/>
        <v>2000</v>
      </c>
      <c r="H105" s="140">
        <f t="shared" si="107"/>
        <v>0</v>
      </c>
      <c r="I105" s="140">
        <f t="shared" si="107"/>
        <v>0</v>
      </c>
      <c r="J105" s="140">
        <f t="shared" si="107"/>
        <v>0</v>
      </c>
      <c r="K105" s="140">
        <f t="shared" si="107"/>
        <v>0</v>
      </c>
      <c r="L105" s="140">
        <f t="shared" si="107"/>
        <v>0</v>
      </c>
      <c r="M105" s="140">
        <f t="shared" si="107"/>
        <v>0</v>
      </c>
      <c r="N105" s="140">
        <f t="shared" si="107"/>
        <v>0</v>
      </c>
      <c r="O105" s="140">
        <f t="shared" si="107"/>
        <v>0</v>
      </c>
      <c r="P105" s="140">
        <f t="shared" si="107"/>
        <v>0</v>
      </c>
      <c r="Q105" s="141">
        <f>SUM(E105:P105)</f>
        <v>2000</v>
      </c>
      <c r="R105" s="142">
        <f>IF(AND($C105="j",$D105&gt;=1,$D105&lt;=3),$B105,IF(AND($C105="h",$D105&gt;=1,$D105&lt;=3),$B105,IF(AND($C105="q",$D105&gt;=1,$D105&lt;=3),$B105,IF($C105="z",IF($D105=1,2*$B105,$B105),IF($C105="m",3*$B105,0)))))</f>
        <v>2000</v>
      </c>
      <c r="S105" s="140">
        <f>IF(AND($C105="j",$D105&gt;=4,$D105&lt;=6),$B105,IF(AND($C105="h",$D105&gt;=4,$D105&lt;=6),$B105,IF(AND($C105="q",$D105&gt;=1,$D105&lt;=3),$B105,IF($C105="z",IF($D105=2,2*$B105,$B105),IF($C105="m",3*$B105,0)))))</f>
        <v>0</v>
      </c>
      <c r="T105" s="140">
        <f>IF(AND($C105="j",$D105&gt;=7,$D105&lt;=9),$B105,IF(AND($C105="h",$D105&gt;=1,$D105&lt;=3),$B105,IF(AND($C105="q",$D105&gt;=1,$D105&lt;=3),$B105,IF($C105="z",IF($D105=1,2*$B105,$B105),IF($C105="m",3*$B105,0)))))</f>
        <v>0</v>
      </c>
      <c r="U105" s="140">
        <f>IF(AND($C105="j",$D105&gt;=10,$D105&lt;=12),$B105,IF(AND($C105="h",$D105&gt;=4,$D105&lt;=6),$B105,IF(AND($C105="q",$D105&gt;=1,$D105&lt;=3),$B105,IF($C105="z",IF($D105=2,2*$B105,$B105),IF($C105="m",3*$B105,0)))))</f>
        <v>0</v>
      </c>
      <c r="V105" s="141">
        <f>SUM(R105:U105)</f>
        <v>2000</v>
      </c>
      <c r="W105" s="143">
        <f>IF($C105="j",$B105,IF($C105="h",2*$B105,IF($C105="q",4*$B105,IF($C105="z",6*$B105,12*$B105))))</f>
        <v>2000</v>
      </c>
      <c r="X105" s="144">
        <f>IF($C105="j",$B105,IF($C105="h",2*$B105,IF($C105="q",4*$B105,IF($C105="z",6*$B105,12*$B105))))</f>
        <v>2000</v>
      </c>
      <c r="Z105" s="159">
        <f>Q105/12</f>
        <v>166.66666666666666</v>
      </c>
    </row>
    <row r="106" spans="1:26" ht="18.75" customHeight="1" x14ac:dyDescent="0.25">
      <c r="A106" s="164" t="s">
        <v>90</v>
      </c>
      <c r="B106" s="165">
        <v>3000</v>
      </c>
      <c r="C106" s="166" t="s">
        <v>49</v>
      </c>
      <c r="D106" s="167">
        <v>10</v>
      </c>
      <c r="E106" s="146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47">
        <f t="shared" si="107"/>
        <v>0</v>
      </c>
      <c r="G106" s="147">
        <f t="shared" si="107"/>
        <v>0</v>
      </c>
      <c r="H106" s="147">
        <f t="shared" si="107"/>
        <v>0</v>
      </c>
      <c r="I106" s="147">
        <f t="shared" si="107"/>
        <v>0</v>
      </c>
      <c r="J106" s="147">
        <f t="shared" si="107"/>
        <v>0</v>
      </c>
      <c r="K106" s="147">
        <f t="shared" si="107"/>
        <v>0</v>
      </c>
      <c r="L106" s="147">
        <f t="shared" si="107"/>
        <v>0</v>
      </c>
      <c r="M106" s="147">
        <f t="shared" si="107"/>
        <v>0</v>
      </c>
      <c r="N106" s="147">
        <f t="shared" si="107"/>
        <v>3000</v>
      </c>
      <c r="O106" s="147">
        <f t="shared" si="107"/>
        <v>0</v>
      </c>
      <c r="P106" s="147">
        <f t="shared" si="107"/>
        <v>0</v>
      </c>
      <c r="Q106" s="148">
        <f t="shared" ref="Q106:Q108" si="109">SUM(E106:P106)</f>
        <v>3000</v>
      </c>
      <c r="R106" s="149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47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47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47">
        <f t="shared" ref="U106:U108" si="113">IF(AND($C106="j",$D106&gt;=10,$D106&lt;=12),$B106,IF(AND($C106="h",$D106&gt;=4,$D106&lt;=6),$B106,IF(AND($C106="q",$D106&gt;=1,$D106&lt;=3),$B106,IF($C106="z",IF($D106=2,2*$B106,$B106),IF($C106="m",3*$B106,0)))))</f>
        <v>3000</v>
      </c>
      <c r="V106" s="148">
        <f t="shared" ref="V106:V108" si="114">SUM(R106:U106)</f>
        <v>3000</v>
      </c>
      <c r="W106" s="150">
        <f t="shared" ref="W106:X108" si="115">IF($C106="j",$B106,IF($C106="h",2*$B106,IF($C106="q",4*$B106,IF($C106="z",6*$B106,12*$B106))))</f>
        <v>3000</v>
      </c>
      <c r="X106" s="151">
        <f t="shared" si="115"/>
        <v>3000</v>
      </c>
      <c r="Z106" s="160">
        <f t="shared" ref="Z106:Z108" si="116">Q106/12</f>
        <v>250</v>
      </c>
    </row>
    <row r="107" spans="1:26" ht="18.75" customHeight="1" x14ac:dyDescent="0.25">
      <c r="A107" s="168" t="s">
        <v>100</v>
      </c>
      <c r="B107" s="169">
        <v>300</v>
      </c>
      <c r="C107" s="170" t="s">
        <v>47</v>
      </c>
      <c r="D107" s="171" t="s">
        <v>50</v>
      </c>
      <c r="E107" s="146">
        <f t="shared" si="108"/>
        <v>300</v>
      </c>
      <c r="F107" s="154">
        <f t="shared" si="108"/>
        <v>300</v>
      </c>
      <c r="G107" s="154">
        <f t="shared" si="108"/>
        <v>300</v>
      </c>
      <c r="H107" s="154">
        <f t="shared" si="108"/>
        <v>300</v>
      </c>
      <c r="I107" s="154">
        <f t="shared" si="108"/>
        <v>300</v>
      </c>
      <c r="J107" s="154">
        <f t="shared" si="108"/>
        <v>300</v>
      </c>
      <c r="K107" s="154">
        <f t="shared" si="108"/>
        <v>300</v>
      </c>
      <c r="L107" s="154">
        <f t="shared" si="108"/>
        <v>300</v>
      </c>
      <c r="M107" s="154">
        <f t="shared" si="108"/>
        <v>300</v>
      </c>
      <c r="N107" s="154">
        <f t="shared" si="108"/>
        <v>300</v>
      </c>
      <c r="O107" s="154">
        <f t="shared" si="108"/>
        <v>300</v>
      </c>
      <c r="P107" s="154">
        <f t="shared" si="108"/>
        <v>300</v>
      </c>
      <c r="Q107" s="148">
        <f t="shared" ref="Q107" si="117">SUM(E107:P107)</f>
        <v>3600</v>
      </c>
      <c r="R107" s="149">
        <f t="shared" si="110"/>
        <v>900</v>
      </c>
      <c r="S107" s="147">
        <f t="shared" si="111"/>
        <v>900</v>
      </c>
      <c r="T107" s="147">
        <f t="shared" si="112"/>
        <v>900</v>
      </c>
      <c r="U107" s="147">
        <f t="shared" si="113"/>
        <v>900</v>
      </c>
      <c r="V107" s="148">
        <f t="shared" ref="V107" si="118">SUM(R107:U107)</f>
        <v>3600</v>
      </c>
      <c r="W107" s="150">
        <f t="shared" si="115"/>
        <v>3600</v>
      </c>
      <c r="X107" s="151">
        <f t="shared" si="115"/>
        <v>3600</v>
      </c>
      <c r="Z107" s="160">
        <f t="shared" si="116"/>
        <v>300</v>
      </c>
    </row>
    <row r="108" spans="1:26" ht="18.75" customHeight="1" thickBot="1" x14ac:dyDescent="0.3">
      <c r="A108" s="168"/>
      <c r="B108" s="169"/>
      <c r="C108" s="170"/>
      <c r="D108" s="171"/>
      <c r="E108" s="153">
        <f t="shared" si="108"/>
        <v>0</v>
      </c>
      <c r="F108" s="154">
        <f t="shared" si="107"/>
        <v>0</v>
      </c>
      <c r="G108" s="154">
        <f t="shared" si="107"/>
        <v>0</v>
      </c>
      <c r="H108" s="154">
        <f t="shared" si="107"/>
        <v>0</v>
      </c>
      <c r="I108" s="154">
        <f t="shared" si="107"/>
        <v>0</v>
      </c>
      <c r="J108" s="154">
        <f t="shared" si="107"/>
        <v>0</v>
      </c>
      <c r="K108" s="154">
        <f t="shared" si="107"/>
        <v>0</v>
      </c>
      <c r="L108" s="154">
        <f t="shared" si="107"/>
        <v>0</v>
      </c>
      <c r="M108" s="154">
        <f t="shared" si="107"/>
        <v>0</v>
      </c>
      <c r="N108" s="154">
        <f t="shared" si="107"/>
        <v>0</v>
      </c>
      <c r="O108" s="154">
        <f t="shared" si="107"/>
        <v>0</v>
      </c>
      <c r="P108" s="154">
        <f t="shared" si="107"/>
        <v>0</v>
      </c>
      <c r="Q108" s="155">
        <f t="shared" si="109"/>
        <v>0</v>
      </c>
      <c r="R108" s="156">
        <f t="shared" si="110"/>
        <v>0</v>
      </c>
      <c r="S108" s="154">
        <f t="shared" si="111"/>
        <v>0</v>
      </c>
      <c r="T108" s="154">
        <f t="shared" si="112"/>
        <v>0</v>
      </c>
      <c r="U108" s="154">
        <f t="shared" si="113"/>
        <v>0</v>
      </c>
      <c r="V108" s="155">
        <f t="shared" si="114"/>
        <v>0</v>
      </c>
      <c r="W108" s="157">
        <f t="shared" si="115"/>
        <v>0</v>
      </c>
      <c r="X108" s="158">
        <f t="shared" si="115"/>
        <v>0</v>
      </c>
      <c r="Z108" s="161">
        <f t="shared" si="116"/>
        <v>0</v>
      </c>
    </row>
    <row r="109" spans="1:26" ht="7.5" customHeight="1" thickTop="1" thickBot="1" x14ac:dyDescent="0.3">
      <c r="A109" s="172"/>
      <c r="B109" s="173"/>
      <c r="C109" s="174"/>
      <c r="D109" s="175"/>
      <c r="E109" s="132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4"/>
      <c r="R109" s="135"/>
      <c r="S109" s="133"/>
      <c r="T109" s="133"/>
      <c r="U109" s="133"/>
      <c r="V109" s="134"/>
      <c r="W109" s="136"/>
      <c r="X109" s="137"/>
      <c r="Z109" s="162"/>
    </row>
    <row r="110" spans="1:26" ht="18.75" customHeight="1" thickBot="1" x14ac:dyDescent="0.3">
      <c r="A110" s="180" t="s">
        <v>52</v>
      </c>
      <c r="B110" s="179">
        <f>Z110</f>
        <v>716.66666666666663</v>
      </c>
      <c r="D110" s="186"/>
      <c r="E110" s="176">
        <f t="shared" ref="E110:X110" si="119">SUM(E105:E108)</f>
        <v>300</v>
      </c>
      <c r="F110" s="177">
        <f t="shared" si="119"/>
        <v>300</v>
      </c>
      <c r="G110" s="177">
        <f t="shared" si="119"/>
        <v>2300</v>
      </c>
      <c r="H110" s="177">
        <f t="shared" si="119"/>
        <v>300</v>
      </c>
      <c r="I110" s="177">
        <f t="shared" si="119"/>
        <v>300</v>
      </c>
      <c r="J110" s="177">
        <f t="shared" si="119"/>
        <v>300</v>
      </c>
      <c r="K110" s="177">
        <f t="shared" si="119"/>
        <v>300</v>
      </c>
      <c r="L110" s="177">
        <f t="shared" si="119"/>
        <v>300</v>
      </c>
      <c r="M110" s="177">
        <f t="shared" si="119"/>
        <v>300</v>
      </c>
      <c r="N110" s="177">
        <f t="shared" si="119"/>
        <v>3300</v>
      </c>
      <c r="O110" s="177">
        <f t="shared" si="119"/>
        <v>300</v>
      </c>
      <c r="P110" s="177">
        <f t="shared" si="119"/>
        <v>300</v>
      </c>
      <c r="Q110" s="181">
        <f t="shared" si="119"/>
        <v>8600</v>
      </c>
      <c r="R110" s="178">
        <f t="shared" si="119"/>
        <v>2900</v>
      </c>
      <c r="S110" s="177">
        <f t="shared" si="119"/>
        <v>900</v>
      </c>
      <c r="T110" s="177">
        <f t="shared" si="119"/>
        <v>900</v>
      </c>
      <c r="U110" s="177">
        <f t="shared" si="119"/>
        <v>3900</v>
      </c>
      <c r="V110" s="181">
        <f t="shared" si="119"/>
        <v>8600</v>
      </c>
      <c r="W110" s="182">
        <f t="shared" si="119"/>
        <v>8600</v>
      </c>
      <c r="X110" s="183">
        <f t="shared" si="119"/>
        <v>8600</v>
      </c>
      <c r="Z110" s="184">
        <f>SUM(Z105:Z108)</f>
        <v>716.66666666666663</v>
      </c>
    </row>
    <row r="111" spans="1:26" ht="15.75" thickBot="1" x14ac:dyDescent="0.3"/>
    <row r="112" spans="1:26" ht="15" customHeight="1" x14ac:dyDescent="0.25">
      <c r="A112" s="450" t="s">
        <v>83</v>
      </c>
      <c r="B112" s="452" t="s">
        <v>19</v>
      </c>
      <c r="C112" s="452" t="s">
        <v>45</v>
      </c>
      <c r="D112" s="454" t="s">
        <v>46</v>
      </c>
      <c r="E112" s="431" t="s">
        <v>20</v>
      </c>
      <c r="F112" s="429"/>
      <c r="G112" s="429"/>
      <c r="H112" s="429"/>
      <c r="I112" s="429"/>
      <c r="J112" s="429"/>
      <c r="K112" s="429"/>
      <c r="L112" s="429"/>
      <c r="M112" s="429"/>
      <c r="N112" s="429"/>
      <c r="O112" s="429"/>
      <c r="P112" s="430"/>
      <c r="Q112" s="424" t="s">
        <v>20</v>
      </c>
      <c r="R112" s="428" t="s">
        <v>25</v>
      </c>
      <c r="S112" s="429"/>
      <c r="T112" s="429"/>
      <c r="U112" s="430"/>
      <c r="V112" s="426" t="s">
        <v>25</v>
      </c>
      <c r="W112" s="438" t="s">
        <v>26</v>
      </c>
      <c r="X112" s="440" t="s">
        <v>27</v>
      </c>
      <c r="Z112" s="448" t="s">
        <v>51</v>
      </c>
    </row>
    <row r="113" spans="1:26" ht="15.75" thickBot="1" x14ac:dyDescent="0.3">
      <c r="A113" s="451"/>
      <c r="B113" s="453"/>
      <c r="C113" s="453"/>
      <c r="D113" s="455"/>
      <c r="E113" s="14">
        <v>1</v>
      </c>
      <c r="F113" s="15">
        <v>2</v>
      </c>
      <c r="G113" s="15">
        <v>3</v>
      </c>
      <c r="H113" s="15">
        <v>4</v>
      </c>
      <c r="I113" s="15">
        <v>5</v>
      </c>
      <c r="J113" s="15">
        <v>6</v>
      </c>
      <c r="K113" s="15">
        <v>7</v>
      </c>
      <c r="L113" s="15">
        <v>8</v>
      </c>
      <c r="M113" s="15">
        <v>9</v>
      </c>
      <c r="N113" s="15">
        <v>10</v>
      </c>
      <c r="O113" s="15">
        <v>11</v>
      </c>
      <c r="P113" s="16">
        <v>12</v>
      </c>
      <c r="Q113" s="425"/>
      <c r="R113" s="17" t="s">
        <v>21</v>
      </c>
      <c r="S113" s="15" t="s">
        <v>22</v>
      </c>
      <c r="T113" s="15" t="s">
        <v>23</v>
      </c>
      <c r="U113" s="15" t="s">
        <v>24</v>
      </c>
      <c r="V113" s="427"/>
      <c r="W113" s="439"/>
      <c r="X113" s="441"/>
      <c r="Z113" s="449"/>
    </row>
    <row r="114" spans="1:26" ht="18.75" customHeight="1" thickTop="1" x14ac:dyDescent="0.25">
      <c r="A114" s="163"/>
      <c r="B114" s="31"/>
      <c r="C114" s="32"/>
      <c r="D114" s="33"/>
      <c r="E114" s="139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140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140">
        <f t="shared" si="120"/>
        <v>0</v>
      </c>
      <c r="H114" s="140">
        <f t="shared" si="120"/>
        <v>0</v>
      </c>
      <c r="I114" s="140">
        <f t="shared" si="120"/>
        <v>0</v>
      </c>
      <c r="J114" s="140">
        <f t="shared" si="120"/>
        <v>0</v>
      </c>
      <c r="K114" s="140">
        <f t="shared" si="120"/>
        <v>0</v>
      </c>
      <c r="L114" s="140">
        <f t="shared" si="120"/>
        <v>0</v>
      </c>
      <c r="M114" s="140">
        <f t="shared" si="120"/>
        <v>0</v>
      </c>
      <c r="N114" s="140">
        <f t="shared" si="120"/>
        <v>0</v>
      </c>
      <c r="O114" s="140">
        <f t="shared" si="120"/>
        <v>0</v>
      </c>
      <c r="P114" s="140">
        <f t="shared" si="120"/>
        <v>0</v>
      </c>
      <c r="Q114" s="141">
        <f>SUM(E114:P114)</f>
        <v>0</v>
      </c>
      <c r="R114" s="142">
        <f>IF(AND($C114="j",$D114&gt;=1,$D114&lt;=3),$B114,IF(AND($C114="h",$D114&gt;=1,$D114&lt;=3),$B114,IF(AND($C114="q",$D114&gt;=1,$D114&lt;=3),$B114,IF($C114="z",IF($D114=1,2*$B114,$B114),IF($C114="m",3*$B114,0)))))</f>
        <v>0</v>
      </c>
      <c r="S114" s="140">
        <f>IF(AND($C114="j",$D114&gt;=4,$D114&lt;=6),$B114,IF(AND($C114="h",$D114&gt;=4,$D114&lt;=6),$B114,IF(AND($C114="q",$D114&gt;=1,$D114&lt;=3),$B114,IF($C114="z",IF($D114=2,2*$B114,$B114),IF($C114="m",3*$B114,0)))))</f>
        <v>0</v>
      </c>
      <c r="T114" s="140">
        <f>IF(AND($C114="j",$D114&gt;=7,$D114&lt;=9),$B114,IF(AND($C114="h",$D114&gt;=1,$D114&lt;=3),$B114,IF(AND($C114="q",$D114&gt;=1,$D114&lt;=3),$B114,IF($C114="z",IF($D114=1,2*$B114,$B114),IF($C114="m",3*$B114,0)))))</f>
        <v>0</v>
      </c>
      <c r="U114" s="14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141">
        <f>SUM(R114:U114)</f>
        <v>0</v>
      </c>
      <c r="W114" s="143">
        <f>IF($C114="j",$B114,IF($C114="h",2*$B114,IF($C114="q",4*$B114,IF($C114="z",6*$B114,12*$B114))))</f>
        <v>0</v>
      </c>
      <c r="X114" s="144">
        <f>IF($C114="j",$B114,IF($C114="h",2*$B114,IF($C114="q",4*$B114,IF($C114="z",6*$B114,12*$B114))))</f>
        <v>0</v>
      </c>
      <c r="Z114" s="159">
        <f>Q114/12</f>
        <v>0</v>
      </c>
    </row>
    <row r="115" spans="1:26" ht="18.75" customHeight="1" x14ac:dyDescent="0.25">
      <c r="A115" s="164"/>
      <c r="B115" s="165"/>
      <c r="C115" s="166"/>
      <c r="D115" s="167"/>
      <c r="E115" s="146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47">
        <f t="shared" si="120"/>
        <v>0</v>
      </c>
      <c r="G115" s="147">
        <f t="shared" si="120"/>
        <v>0</v>
      </c>
      <c r="H115" s="147">
        <f t="shared" si="120"/>
        <v>0</v>
      </c>
      <c r="I115" s="147">
        <f t="shared" si="120"/>
        <v>0</v>
      </c>
      <c r="J115" s="147">
        <f t="shared" si="120"/>
        <v>0</v>
      </c>
      <c r="K115" s="147">
        <f t="shared" si="120"/>
        <v>0</v>
      </c>
      <c r="L115" s="147">
        <f t="shared" si="120"/>
        <v>0</v>
      </c>
      <c r="M115" s="147">
        <f t="shared" si="120"/>
        <v>0</v>
      </c>
      <c r="N115" s="147">
        <f t="shared" si="120"/>
        <v>0</v>
      </c>
      <c r="O115" s="147">
        <f t="shared" si="120"/>
        <v>0</v>
      </c>
      <c r="P115" s="147">
        <f t="shared" si="120"/>
        <v>0</v>
      </c>
      <c r="Q115" s="148">
        <f t="shared" ref="Q115:Q117" si="122">SUM(E115:P115)</f>
        <v>0</v>
      </c>
      <c r="R115" s="149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47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47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47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148">
        <f t="shared" ref="V115:V117" si="127">SUM(R115:U115)</f>
        <v>0</v>
      </c>
      <c r="W115" s="150">
        <f t="shared" ref="W115:X117" si="128">IF($C115="j",$B115,IF($C115="h",2*$B115,IF($C115="q",4*$B115,IF($C115="z",6*$B115,12*$B115))))</f>
        <v>0</v>
      </c>
      <c r="X115" s="151">
        <f t="shared" si="128"/>
        <v>0</v>
      </c>
      <c r="Z115" s="160">
        <f t="shared" ref="Z115:Z117" si="129">Q115/12</f>
        <v>0</v>
      </c>
    </row>
    <row r="116" spans="1:26" ht="18.75" customHeight="1" x14ac:dyDescent="0.25">
      <c r="A116" s="164"/>
      <c r="B116" s="165"/>
      <c r="C116" s="166"/>
      <c r="D116" s="167"/>
      <c r="E116" s="146">
        <f t="shared" si="121"/>
        <v>0</v>
      </c>
      <c r="F116" s="147">
        <f t="shared" si="120"/>
        <v>0</v>
      </c>
      <c r="G116" s="147">
        <f t="shared" si="120"/>
        <v>0</v>
      </c>
      <c r="H116" s="147">
        <f t="shared" si="120"/>
        <v>0</v>
      </c>
      <c r="I116" s="147">
        <f t="shared" si="120"/>
        <v>0</v>
      </c>
      <c r="J116" s="147">
        <f t="shared" si="120"/>
        <v>0</v>
      </c>
      <c r="K116" s="147">
        <f t="shared" si="120"/>
        <v>0</v>
      </c>
      <c r="L116" s="147">
        <f t="shared" si="120"/>
        <v>0</v>
      </c>
      <c r="M116" s="147">
        <f t="shared" si="120"/>
        <v>0</v>
      </c>
      <c r="N116" s="147">
        <f t="shared" si="120"/>
        <v>0</v>
      </c>
      <c r="O116" s="147">
        <f t="shared" si="120"/>
        <v>0</v>
      </c>
      <c r="P116" s="147">
        <f t="shared" si="120"/>
        <v>0</v>
      </c>
      <c r="Q116" s="148">
        <f t="shared" si="122"/>
        <v>0</v>
      </c>
      <c r="R116" s="149">
        <f t="shared" si="123"/>
        <v>0</v>
      </c>
      <c r="S116" s="147">
        <f t="shared" si="124"/>
        <v>0</v>
      </c>
      <c r="T116" s="147">
        <f t="shared" si="125"/>
        <v>0</v>
      </c>
      <c r="U116" s="147">
        <f t="shared" si="126"/>
        <v>0</v>
      </c>
      <c r="V116" s="148">
        <f t="shared" si="127"/>
        <v>0</v>
      </c>
      <c r="W116" s="150">
        <f t="shared" si="128"/>
        <v>0</v>
      </c>
      <c r="X116" s="151">
        <f t="shared" si="128"/>
        <v>0</v>
      </c>
      <c r="Z116" s="160">
        <f t="shared" si="129"/>
        <v>0</v>
      </c>
    </row>
    <row r="117" spans="1:26" ht="18.75" customHeight="1" thickBot="1" x14ac:dyDescent="0.3">
      <c r="A117" s="168"/>
      <c r="B117" s="169"/>
      <c r="C117" s="170"/>
      <c r="D117" s="171"/>
      <c r="E117" s="153">
        <f t="shared" si="121"/>
        <v>0</v>
      </c>
      <c r="F117" s="154">
        <f t="shared" si="120"/>
        <v>0</v>
      </c>
      <c r="G117" s="154">
        <f t="shared" si="120"/>
        <v>0</v>
      </c>
      <c r="H117" s="154">
        <f t="shared" si="120"/>
        <v>0</v>
      </c>
      <c r="I117" s="154">
        <f t="shared" si="120"/>
        <v>0</v>
      </c>
      <c r="J117" s="154">
        <f t="shared" si="120"/>
        <v>0</v>
      </c>
      <c r="K117" s="154">
        <f t="shared" si="120"/>
        <v>0</v>
      </c>
      <c r="L117" s="154">
        <f t="shared" si="120"/>
        <v>0</v>
      </c>
      <c r="M117" s="154">
        <f t="shared" si="120"/>
        <v>0</v>
      </c>
      <c r="N117" s="154">
        <f t="shared" si="120"/>
        <v>0</v>
      </c>
      <c r="O117" s="154">
        <f t="shared" si="120"/>
        <v>0</v>
      </c>
      <c r="P117" s="154">
        <f t="shared" si="120"/>
        <v>0</v>
      </c>
      <c r="Q117" s="155">
        <f t="shared" si="122"/>
        <v>0</v>
      </c>
      <c r="R117" s="156">
        <f t="shared" si="123"/>
        <v>0</v>
      </c>
      <c r="S117" s="154">
        <f t="shared" si="124"/>
        <v>0</v>
      </c>
      <c r="T117" s="154">
        <f t="shared" si="125"/>
        <v>0</v>
      </c>
      <c r="U117" s="154">
        <f t="shared" si="126"/>
        <v>0</v>
      </c>
      <c r="V117" s="155">
        <f t="shared" si="127"/>
        <v>0</v>
      </c>
      <c r="W117" s="157">
        <f t="shared" si="128"/>
        <v>0</v>
      </c>
      <c r="X117" s="158">
        <f t="shared" si="128"/>
        <v>0</v>
      </c>
      <c r="Z117" s="161">
        <f t="shared" si="129"/>
        <v>0</v>
      </c>
    </row>
    <row r="118" spans="1:26" ht="7.5" customHeight="1" thickTop="1" thickBot="1" x14ac:dyDescent="0.3">
      <c r="A118" s="172"/>
      <c r="B118" s="173"/>
      <c r="C118" s="174"/>
      <c r="D118" s="175"/>
      <c r="E118" s="132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4"/>
      <c r="R118" s="135"/>
      <c r="S118" s="133"/>
      <c r="T118" s="133"/>
      <c r="U118" s="133"/>
      <c r="V118" s="134"/>
      <c r="W118" s="136"/>
      <c r="X118" s="137"/>
      <c r="Z118" s="162"/>
    </row>
    <row r="119" spans="1:26" ht="18.75" customHeight="1" thickBot="1" x14ac:dyDescent="0.3">
      <c r="A119" s="180" t="s">
        <v>52</v>
      </c>
      <c r="B119" s="179">
        <f>Z119</f>
        <v>0</v>
      </c>
      <c r="D119" s="186"/>
      <c r="E119" s="176">
        <f>SUM(E114:E117)</f>
        <v>0</v>
      </c>
      <c r="F119" s="177">
        <f t="shared" ref="F119:X119" si="130">SUM(F114:F117)</f>
        <v>0</v>
      </c>
      <c r="G119" s="177">
        <f t="shared" si="130"/>
        <v>0</v>
      </c>
      <c r="H119" s="177">
        <f t="shared" si="130"/>
        <v>0</v>
      </c>
      <c r="I119" s="177">
        <f t="shared" si="130"/>
        <v>0</v>
      </c>
      <c r="J119" s="177">
        <f t="shared" si="130"/>
        <v>0</v>
      </c>
      <c r="K119" s="177">
        <f t="shared" si="130"/>
        <v>0</v>
      </c>
      <c r="L119" s="177">
        <f t="shared" si="130"/>
        <v>0</v>
      </c>
      <c r="M119" s="177">
        <f t="shared" si="130"/>
        <v>0</v>
      </c>
      <c r="N119" s="177">
        <f t="shared" si="130"/>
        <v>0</v>
      </c>
      <c r="O119" s="177">
        <f t="shared" si="130"/>
        <v>0</v>
      </c>
      <c r="P119" s="177">
        <f t="shared" si="130"/>
        <v>0</v>
      </c>
      <c r="Q119" s="181">
        <f t="shared" si="130"/>
        <v>0</v>
      </c>
      <c r="R119" s="178">
        <f t="shared" si="130"/>
        <v>0</v>
      </c>
      <c r="S119" s="177">
        <f t="shared" si="130"/>
        <v>0</v>
      </c>
      <c r="T119" s="177">
        <f t="shared" si="130"/>
        <v>0</v>
      </c>
      <c r="U119" s="177">
        <f t="shared" si="130"/>
        <v>0</v>
      </c>
      <c r="V119" s="181">
        <f t="shared" si="130"/>
        <v>0</v>
      </c>
      <c r="W119" s="182">
        <f t="shared" si="130"/>
        <v>0</v>
      </c>
      <c r="X119" s="183">
        <f t="shared" si="130"/>
        <v>0</v>
      </c>
      <c r="Z119" s="184">
        <f>SUM(Z114:Z117)</f>
        <v>0</v>
      </c>
    </row>
    <row r="120" spans="1:26" ht="15.75" thickBot="1" x14ac:dyDescent="0.3"/>
    <row r="121" spans="1:26" ht="15" customHeight="1" x14ac:dyDescent="0.25">
      <c r="A121" s="450" t="s">
        <v>84</v>
      </c>
      <c r="B121" s="452" t="s">
        <v>19</v>
      </c>
      <c r="C121" s="452" t="s">
        <v>45</v>
      </c>
      <c r="D121" s="454" t="s">
        <v>46</v>
      </c>
      <c r="E121" s="431" t="s">
        <v>20</v>
      </c>
      <c r="F121" s="429"/>
      <c r="G121" s="429"/>
      <c r="H121" s="429"/>
      <c r="I121" s="429"/>
      <c r="J121" s="429"/>
      <c r="K121" s="429"/>
      <c r="L121" s="429"/>
      <c r="M121" s="429"/>
      <c r="N121" s="429"/>
      <c r="O121" s="429"/>
      <c r="P121" s="430"/>
      <c r="Q121" s="424" t="s">
        <v>20</v>
      </c>
      <c r="R121" s="428" t="s">
        <v>25</v>
      </c>
      <c r="S121" s="429"/>
      <c r="T121" s="429"/>
      <c r="U121" s="430"/>
      <c r="V121" s="426" t="s">
        <v>25</v>
      </c>
      <c r="W121" s="438" t="s">
        <v>26</v>
      </c>
      <c r="X121" s="440" t="s">
        <v>27</v>
      </c>
      <c r="Z121" s="448" t="s">
        <v>51</v>
      </c>
    </row>
    <row r="122" spans="1:26" ht="15.75" thickBot="1" x14ac:dyDescent="0.3">
      <c r="A122" s="451"/>
      <c r="B122" s="453"/>
      <c r="C122" s="453"/>
      <c r="D122" s="455"/>
      <c r="E122" s="14">
        <v>1</v>
      </c>
      <c r="F122" s="15">
        <v>2</v>
      </c>
      <c r="G122" s="15">
        <v>3</v>
      </c>
      <c r="H122" s="15">
        <v>4</v>
      </c>
      <c r="I122" s="15">
        <v>5</v>
      </c>
      <c r="J122" s="15">
        <v>6</v>
      </c>
      <c r="K122" s="15">
        <v>7</v>
      </c>
      <c r="L122" s="15">
        <v>8</v>
      </c>
      <c r="M122" s="15">
        <v>9</v>
      </c>
      <c r="N122" s="15">
        <v>10</v>
      </c>
      <c r="O122" s="15">
        <v>11</v>
      </c>
      <c r="P122" s="16">
        <v>12</v>
      </c>
      <c r="Q122" s="425"/>
      <c r="R122" s="17" t="s">
        <v>21</v>
      </c>
      <c r="S122" s="15" t="s">
        <v>22</v>
      </c>
      <c r="T122" s="15" t="s">
        <v>23</v>
      </c>
      <c r="U122" s="15" t="s">
        <v>24</v>
      </c>
      <c r="V122" s="427"/>
      <c r="W122" s="439"/>
      <c r="X122" s="441"/>
      <c r="Z122" s="449"/>
    </row>
    <row r="123" spans="1:26" ht="18.75" customHeight="1" thickTop="1" x14ac:dyDescent="0.25">
      <c r="A123" s="163" t="s">
        <v>128</v>
      </c>
      <c r="B123" s="31">
        <v>200</v>
      </c>
      <c r="C123" s="32" t="s">
        <v>131</v>
      </c>
      <c r="D123" s="33">
        <v>2</v>
      </c>
      <c r="E123" s="139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140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200</v>
      </c>
      <c r="G123" s="140">
        <f t="shared" si="131"/>
        <v>0</v>
      </c>
      <c r="H123" s="140">
        <f t="shared" si="131"/>
        <v>0</v>
      </c>
      <c r="I123" s="140">
        <f t="shared" si="131"/>
        <v>200</v>
      </c>
      <c r="J123" s="140">
        <f t="shared" si="131"/>
        <v>0</v>
      </c>
      <c r="K123" s="140">
        <f t="shared" si="131"/>
        <v>0</v>
      </c>
      <c r="L123" s="140">
        <f t="shared" si="131"/>
        <v>200</v>
      </c>
      <c r="M123" s="140">
        <f t="shared" si="131"/>
        <v>0</v>
      </c>
      <c r="N123" s="140">
        <f t="shared" si="131"/>
        <v>0</v>
      </c>
      <c r="O123" s="140">
        <f t="shared" si="131"/>
        <v>200</v>
      </c>
      <c r="P123" s="140">
        <f t="shared" si="131"/>
        <v>0</v>
      </c>
      <c r="Q123" s="141">
        <f>SUM(E123:P123)</f>
        <v>800</v>
      </c>
      <c r="R123" s="142">
        <f>IF(AND($C123="j",$D123&gt;=1,$D123&lt;=3),$B123,IF(AND($C123="h",$D123&gt;=1,$D123&lt;=3),$B123,IF(AND($C123="q",$D123&gt;=1,$D123&lt;=3),$B123,IF($C123="z",IF($D123=1,2*$B123,$B123),IF($C123="m",3*$B123,0)))))</f>
        <v>200</v>
      </c>
      <c r="S123" s="140">
        <f>IF(AND($C123="j",$D123&gt;=4,$D123&lt;=6),$B123,IF(AND($C123="h",$D123&gt;=4,$D123&lt;=6),$B123,IF(AND($C123="q",$D123&gt;=1,$D123&lt;=3),$B123,IF($C123="z",IF($D123=2,2*$B123,$B123),IF($C123="m",3*$B123,0)))))</f>
        <v>200</v>
      </c>
      <c r="T123" s="140">
        <f>IF(AND($C123="j",$D123&gt;=7,$D123&lt;=9),$B123,IF(AND($C123="h",$D123&gt;=1,$D123&lt;=3),$B123,IF(AND($C123="q",$D123&gt;=1,$D123&lt;=3),$B123,IF($C123="z",IF($D123=1,2*$B123,$B123),IF($C123="m",3*$B123,0)))))</f>
        <v>200</v>
      </c>
      <c r="U123" s="140">
        <f>IF(AND($C123="j",$D123&gt;=10,$D123&lt;=12),$B123,IF(AND($C123="h",$D123&gt;=4,$D123&lt;=6),$B123,IF(AND($C123="q",$D123&gt;=1,$D123&lt;=3),$B123,IF($C123="z",IF($D123=2,2*$B123,$B123),IF($C123="m",3*$B123,0)))))</f>
        <v>200</v>
      </c>
      <c r="V123" s="141">
        <f>SUM(R123:U123)</f>
        <v>800</v>
      </c>
      <c r="W123" s="143">
        <f>IF($C123="j",$B123,IF($C123="h",2*$B123,IF($C123="q",4*$B123,IF($C123="z",6*$B123,12*$B123))))</f>
        <v>800</v>
      </c>
      <c r="X123" s="144">
        <f>IF($C123="j",$B123,IF($C123="h",2*$B123,IF($C123="q",4*$B123,IF($C123="z",6*$B123,12*$B123))))</f>
        <v>800</v>
      </c>
      <c r="Z123" s="159">
        <f>Q123/12</f>
        <v>66.666666666666671</v>
      </c>
    </row>
    <row r="124" spans="1:26" ht="18.75" customHeight="1" x14ac:dyDescent="0.25">
      <c r="A124" s="164" t="s">
        <v>129</v>
      </c>
      <c r="B124" s="165">
        <f>B34*0.36%</f>
        <v>150.553055175</v>
      </c>
      <c r="C124" s="166" t="s">
        <v>47</v>
      </c>
      <c r="D124" s="167" t="s">
        <v>50</v>
      </c>
      <c r="E124" s="146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150.553055175</v>
      </c>
      <c r="F124" s="147">
        <f t="shared" si="131"/>
        <v>150.553055175</v>
      </c>
      <c r="G124" s="147">
        <f t="shared" si="131"/>
        <v>150.553055175</v>
      </c>
      <c r="H124" s="147">
        <f t="shared" si="131"/>
        <v>150.553055175</v>
      </c>
      <c r="I124" s="147">
        <f t="shared" si="131"/>
        <v>150.553055175</v>
      </c>
      <c r="J124" s="147">
        <f t="shared" si="131"/>
        <v>150.553055175</v>
      </c>
      <c r="K124" s="147">
        <f t="shared" si="131"/>
        <v>150.553055175</v>
      </c>
      <c r="L124" s="147">
        <f t="shared" si="131"/>
        <v>150.553055175</v>
      </c>
      <c r="M124" s="147">
        <f t="shared" si="131"/>
        <v>150.553055175</v>
      </c>
      <c r="N124" s="147">
        <f t="shared" si="131"/>
        <v>150.553055175</v>
      </c>
      <c r="O124" s="147">
        <f t="shared" si="131"/>
        <v>150.553055175</v>
      </c>
      <c r="P124" s="147">
        <f t="shared" si="131"/>
        <v>150.553055175</v>
      </c>
      <c r="Q124" s="148">
        <f t="shared" ref="Q124:Q126" si="133">SUM(E124:P124)</f>
        <v>1806.6366621000004</v>
      </c>
      <c r="R124" s="149">
        <f t="shared" ref="R124:R126" si="134">IF(AND($C124="j",$D124&gt;=1,$D124&lt;=3),$B124,IF(AND($C124="h",$D124&gt;=1,$D124&lt;=3),$B124,IF(AND($C124="q",$D124&gt;=1,$D124&lt;=3),$B124,IF($C124="z",IF($D124=1,2*$B124,$B124),IF($C124="m",3*$B124,0)))))</f>
        <v>451.65916552499999</v>
      </c>
      <c r="S124" s="147">
        <f t="shared" ref="S124:S126" si="135">IF(AND($C124="j",$D124&gt;=4,$D124&lt;=6),$B124,IF(AND($C124="h",$D124&gt;=4,$D124&lt;=6),$B124,IF(AND($C124="q",$D124&gt;=1,$D124&lt;=3),$B124,IF($C124="z",IF($D124=2,2*$B124,$B124),IF($C124="m",3*$B124,0)))))</f>
        <v>451.65916552499999</v>
      </c>
      <c r="T124" s="147">
        <f t="shared" ref="T124:T126" si="136">IF(AND($C124="j",$D124&gt;=7,$D124&lt;=9),$B124,IF(AND($C124="h",$D124&gt;=1,$D124&lt;=3),$B124,IF(AND($C124="q",$D124&gt;=1,$D124&lt;=3),$B124,IF($C124="z",IF($D124=1,2*$B124,$B124),IF($C124="m",3*$B124,0)))))</f>
        <v>451.65916552499999</v>
      </c>
      <c r="U124" s="147">
        <f t="shared" ref="U124:U126" si="137">IF(AND($C124="j",$D124&gt;=10,$D124&lt;=12),$B124,IF(AND($C124="h",$D124&gt;=4,$D124&lt;=6),$B124,IF(AND($C124="q",$D124&gt;=1,$D124&lt;=3),$B124,IF($C124="z",IF($D124=2,2*$B124,$B124),IF($C124="m",3*$B124,0)))))</f>
        <v>451.65916552499999</v>
      </c>
      <c r="V124" s="148">
        <f t="shared" ref="V124:V126" si="138">SUM(R124:U124)</f>
        <v>1806.6366621</v>
      </c>
      <c r="W124" s="150">
        <f t="shared" ref="W124:X126" si="139">IF($C124="j",$B124,IF($C124="h",2*$B124,IF($C124="q",4*$B124,IF($C124="z",6*$B124,12*$B124))))</f>
        <v>1806.6366621</v>
      </c>
      <c r="X124" s="151">
        <f t="shared" si="139"/>
        <v>1806.6366621</v>
      </c>
      <c r="Z124" s="160">
        <f t="shared" ref="Z124:Z126" si="140">Q124/12</f>
        <v>150.55305517500003</v>
      </c>
    </row>
    <row r="125" spans="1:26" ht="18.75" customHeight="1" x14ac:dyDescent="0.25">
      <c r="A125" s="164" t="s">
        <v>130</v>
      </c>
      <c r="B125" s="165">
        <f>B34*0.043%</f>
        <v>17.982726034791668</v>
      </c>
      <c r="C125" s="166" t="s">
        <v>47</v>
      </c>
      <c r="D125" s="167" t="s">
        <v>50</v>
      </c>
      <c r="E125" s="146">
        <f t="shared" si="132"/>
        <v>17.982726034791668</v>
      </c>
      <c r="F125" s="147">
        <f t="shared" si="131"/>
        <v>17.982726034791668</v>
      </c>
      <c r="G125" s="147">
        <f t="shared" si="131"/>
        <v>17.982726034791668</v>
      </c>
      <c r="H125" s="147">
        <f t="shared" si="131"/>
        <v>17.982726034791668</v>
      </c>
      <c r="I125" s="147">
        <f t="shared" si="131"/>
        <v>17.982726034791668</v>
      </c>
      <c r="J125" s="147">
        <f t="shared" si="131"/>
        <v>17.982726034791668</v>
      </c>
      <c r="K125" s="147">
        <f t="shared" si="131"/>
        <v>17.982726034791668</v>
      </c>
      <c r="L125" s="147">
        <f t="shared" si="131"/>
        <v>17.982726034791668</v>
      </c>
      <c r="M125" s="147">
        <f t="shared" si="131"/>
        <v>17.982726034791668</v>
      </c>
      <c r="N125" s="147">
        <f t="shared" si="131"/>
        <v>17.982726034791668</v>
      </c>
      <c r="O125" s="147">
        <f t="shared" si="131"/>
        <v>17.982726034791668</v>
      </c>
      <c r="P125" s="147">
        <f t="shared" si="131"/>
        <v>17.982726034791668</v>
      </c>
      <c r="Q125" s="148">
        <f t="shared" si="133"/>
        <v>215.79271241749996</v>
      </c>
      <c r="R125" s="149">
        <f t="shared" si="134"/>
        <v>53.948178104375003</v>
      </c>
      <c r="S125" s="147">
        <f t="shared" si="135"/>
        <v>53.948178104375003</v>
      </c>
      <c r="T125" s="147">
        <f t="shared" si="136"/>
        <v>53.948178104375003</v>
      </c>
      <c r="U125" s="147">
        <f t="shared" si="137"/>
        <v>53.948178104375003</v>
      </c>
      <c r="V125" s="148">
        <f t="shared" si="138"/>
        <v>215.79271241750001</v>
      </c>
      <c r="W125" s="150">
        <f t="shared" si="139"/>
        <v>215.79271241750001</v>
      </c>
      <c r="X125" s="151">
        <f t="shared" si="139"/>
        <v>215.79271241750001</v>
      </c>
      <c r="Z125" s="160">
        <f t="shared" si="140"/>
        <v>17.982726034791664</v>
      </c>
    </row>
    <row r="126" spans="1:26" ht="18.75" customHeight="1" thickBot="1" x14ac:dyDescent="0.3">
      <c r="A126" s="168"/>
      <c r="B126" s="169"/>
      <c r="C126" s="170"/>
      <c r="D126" s="171"/>
      <c r="E126" s="153">
        <f t="shared" si="132"/>
        <v>0</v>
      </c>
      <c r="F126" s="154">
        <f t="shared" si="131"/>
        <v>0</v>
      </c>
      <c r="G126" s="154">
        <f t="shared" si="131"/>
        <v>0</v>
      </c>
      <c r="H126" s="154">
        <f t="shared" si="131"/>
        <v>0</v>
      </c>
      <c r="I126" s="154">
        <f t="shared" si="131"/>
        <v>0</v>
      </c>
      <c r="J126" s="154">
        <f t="shared" si="131"/>
        <v>0</v>
      </c>
      <c r="K126" s="154">
        <f t="shared" si="131"/>
        <v>0</v>
      </c>
      <c r="L126" s="154">
        <f t="shared" si="131"/>
        <v>0</v>
      </c>
      <c r="M126" s="154">
        <f t="shared" si="131"/>
        <v>0</v>
      </c>
      <c r="N126" s="154">
        <f t="shared" si="131"/>
        <v>0</v>
      </c>
      <c r="O126" s="154">
        <f t="shared" si="131"/>
        <v>0</v>
      </c>
      <c r="P126" s="154">
        <f t="shared" si="131"/>
        <v>0</v>
      </c>
      <c r="Q126" s="155">
        <f t="shared" si="133"/>
        <v>0</v>
      </c>
      <c r="R126" s="156">
        <f t="shared" si="134"/>
        <v>0</v>
      </c>
      <c r="S126" s="154">
        <f t="shared" si="135"/>
        <v>0</v>
      </c>
      <c r="T126" s="154">
        <f t="shared" si="136"/>
        <v>0</v>
      </c>
      <c r="U126" s="154">
        <f t="shared" si="137"/>
        <v>0</v>
      </c>
      <c r="V126" s="155">
        <f t="shared" si="138"/>
        <v>0</v>
      </c>
      <c r="W126" s="157">
        <f t="shared" si="139"/>
        <v>0</v>
      </c>
      <c r="X126" s="158">
        <f t="shared" si="139"/>
        <v>0</v>
      </c>
      <c r="Z126" s="161">
        <f t="shared" si="140"/>
        <v>0</v>
      </c>
    </row>
    <row r="127" spans="1:26" ht="7.5" customHeight="1" thickTop="1" thickBot="1" x14ac:dyDescent="0.3">
      <c r="A127" s="172"/>
      <c r="B127" s="173"/>
      <c r="C127" s="174"/>
      <c r="D127" s="175"/>
      <c r="E127" s="132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4"/>
      <c r="R127" s="135"/>
      <c r="S127" s="133"/>
      <c r="T127" s="133"/>
      <c r="U127" s="133"/>
      <c r="V127" s="134"/>
      <c r="W127" s="136"/>
      <c r="X127" s="137"/>
      <c r="Z127" s="162"/>
    </row>
    <row r="128" spans="1:26" ht="18.75" customHeight="1" thickBot="1" x14ac:dyDescent="0.3">
      <c r="A128" s="180" t="s">
        <v>52</v>
      </c>
      <c r="B128" s="179">
        <f>Z128</f>
        <v>235.20244787645834</v>
      </c>
      <c r="D128" s="186"/>
      <c r="E128" s="176">
        <f>SUM(E123:E126)</f>
        <v>168.53578120979165</v>
      </c>
      <c r="F128" s="177">
        <f t="shared" ref="F128:X128" si="141">SUM(F123:F126)</f>
        <v>368.53578120979165</v>
      </c>
      <c r="G128" s="177">
        <f t="shared" si="141"/>
        <v>168.53578120979165</v>
      </c>
      <c r="H128" s="177">
        <f t="shared" si="141"/>
        <v>168.53578120979165</v>
      </c>
      <c r="I128" s="177">
        <f t="shared" si="141"/>
        <v>368.53578120979165</v>
      </c>
      <c r="J128" s="177">
        <f t="shared" si="141"/>
        <v>168.53578120979165</v>
      </c>
      <c r="K128" s="177">
        <f t="shared" si="141"/>
        <v>168.53578120979165</v>
      </c>
      <c r="L128" s="177">
        <f t="shared" si="141"/>
        <v>368.53578120979165</v>
      </c>
      <c r="M128" s="177">
        <f t="shared" si="141"/>
        <v>168.53578120979165</v>
      </c>
      <c r="N128" s="177">
        <f t="shared" si="141"/>
        <v>168.53578120979165</v>
      </c>
      <c r="O128" s="177">
        <f t="shared" si="141"/>
        <v>368.53578120979165</v>
      </c>
      <c r="P128" s="177">
        <f t="shared" si="141"/>
        <v>168.53578120979165</v>
      </c>
      <c r="Q128" s="181">
        <f t="shared" si="141"/>
        <v>2822.4293745175005</v>
      </c>
      <c r="R128" s="178">
        <f t="shared" si="141"/>
        <v>705.6073436293749</v>
      </c>
      <c r="S128" s="177">
        <f t="shared" si="141"/>
        <v>705.6073436293749</v>
      </c>
      <c r="T128" s="177">
        <f t="shared" si="141"/>
        <v>705.6073436293749</v>
      </c>
      <c r="U128" s="177">
        <f t="shared" si="141"/>
        <v>705.6073436293749</v>
      </c>
      <c r="V128" s="181">
        <f t="shared" si="141"/>
        <v>2822.4293745174996</v>
      </c>
      <c r="W128" s="182">
        <f t="shared" si="141"/>
        <v>2822.4293745174996</v>
      </c>
      <c r="X128" s="183">
        <f t="shared" si="141"/>
        <v>2822.4293745174996</v>
      </c>
      <c r="Z128" s="184">
        <f>SUM(Z123:Z126)</f>
        <v>235.20244787645834</v>
      </c>
    </row>
    <row r="129" spans="1:26" ht="15.75" thickBot="1" x14ac:dyDescent="0.3"/>
    <row r="130" spans="1:26" ht="15" customHeight="1" x14ac:dyDescent="0.25">
      <c r="A130" s="450" t="s">
        <v>85</v>
      </c>
      <c r="B130" s="452" t="s">
        <v>19</v>
      </c>
      <c r="C130" s="452" t="s">
        <v>45</v>
      </c>
      <c r="D130" s="454" t="s">
        <v>46</v>
      </c>
      <c r="E130" s="431" t="s">
        <v>20</v>
      </c>
      <c r="F130" s="429"/>
      <c r="G130" s="429"/>
      <c r="H130" s="429"/>
      <c r="I130" s="429"/>
      <c r="J130" s="429"/>
      <c r="K130" s="429"/>
      <c r="L130" s="429"/>
      <c r="M130" s="429"/>
      <c r="N130" s="429"/>
      <c r="O130" s="429"/>
      <c r="P130" s="430"/>
      <c r="Q130" s="424" t="s">
        <v>20</v>
      </c>
      <c r="R130" s="428" t="s">
        <v>25</v>
      </c>
      <c r="S130" s="429"/>
      <c r="T130" s="429"/>
      <c r="U130" s="430"/>
      <c r="V130" s="426" t="s">
        <v>25</v>
      </c>
      <c r="W130" s="438" t="s">
        <v>26</v>
      </c>
      <c r="X130" s="440" t="s">
        <v>27</v>
      </c>
      <c r="Z130" s="448" t="s">
        <v>51</v>
      </c>
    </row>
    <row r="131" spans="1:26" ht="15.75" thickBot="1" x14ac:dyDescent="0.3">
      <c r="A131" s="451"/>
      <c r="B131" s="453"/>
      <c r="C131" s="453"/>
      <c r="D131" s="455"/>
      <c r="E131" s="14">
        <v>1</v>
      </c>
      <c r="F131" s="15">
        <v>2</v>
      </c>
      <c r="G131" s="15">
        <v>3</v>
      </c>
      <c r="H131" s="15">
        <v>4</v>
      </c>
      <c r="I131" s="15">
        <v>5</v>
      </c>
      <c r="J131" s="15">
        <v>6</v>
      </c>
      <c r="K131" s="15">
        <v>7</v>
      </c>
      <c r="L131" s="15">
        <v>8</v>
      </c>
      <c r="M131" s="15">
        <v>9</v>
      </c>
      <c r="N131" s="15">
        <v>10</v>
      </c>
      <c r="O131" s="15">
        <v>11</v>
      </c>
      <c r="P131" s="16">
        <v>12</v>
      </c>
      <c r="Q131" s="425"/>
      <c r="R131" s="17" t="s">
        <v>21</v>
      </c>
      <c r="S131" s="15" t="s">
        <v>22</v>
      </c>
      <c r="T131" s="15" t="s">
        <v>23</v>
      </c>
      <c r="U131" s="15" t="s">
        <v>24</v>
      </c>
      <c r="V131" s="427"/>
      <c r="W131" s="439"/>
      <c r="X131" s="441"/>
      <c r="Z131" s="449"/>
    </row>
    <row r="132" spans="1:26" ht="18.75" customHeight="1" thickTop="1" x14ac:dyDescent="0.25">
      <c r="A132" s="163"/>
      <c r="B132" s="31"/>
      <c r="C132" s="32"/>
      <c r="D132" s="33"/>
      <c r="E132" s="139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140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140">
        <f t="shared" si="142"/>
        <v>0</v>
      </c>
      <c r="H132" s="140">
        <f t="shared" si="142"/>
        <v>0</v>
      </c>
      <c r="I132" s="140">
        <f t="shared" si="142"/>
        <v>0</v>
      </c>
      <c r="J132" s="140">
        <f t="shared" si="142"/>
        <v>0</v>
      </c>
      <c r="K132" s="140">
        <f t="shared" si="142"/>
        <v>0</v>
      </c>
      <c r="L132" s="140">
        <f t="shared" si="142"/>
        <v>0</v>
      </c>
      <c r="M132" s="140">
        <f t="shared" si="142"/>
        <v>0</v>
      </c>
      <c r="N132" s="140">
        <f t="shared" si="142"/>
        <v>0</v>
      </c>
      <c r="O132" s="140">
        <f t="shared" si="142"/>
        <v>0</v>
      </c>
      <c r="P132" s="140">
        <f t="shared" si="142"/>
        <v>0</v>
      </c>
      <c r="Q132" s="141">
        <f>SUM(E132:P132)</f>
        <v>0</v>
      </c>
      <c r="R132" s="142">
        <f>IF(AND($C132="j",$D132&gt;=1,$D132&lt;=3),$B132,IF(AND($C132="h",$D132&gt;=1,$D132&lt;=3),$B132,IF(AND($C132="q",$D132&gt;=1,$D132&lt;=3),$B132,IF($C132="z",IF($D132=1,2*$B132,$B132),IF($C132="m",3*$B132,0)))))</f>
        <v>0</v>
      </c>
      <c r="S132" s="140">
        <f>IF(AND($C132="j",$D132&gt;=4,$D132&lt;=6),$B132,IF(AND($C132="h",$D132&gt;=4,$D132&lt;=6),$B132,IF(AND($C132="q",$D132&gt;=1,$D132&lt;=3),$B132,IF($C132="z",IF($D132=2,2*$B132,$B132),IF($C132="m",3*$B132,0)))))</f>
        <v>0</v>
      </c>
      <c r="T132" s="140">
        <f>IF(AND($C132="j",$D132&gt;=7,$D132&lt;=9),$B132,IF(AND($C132="h",$D132&gt;=1,$D132&lt;=3),$B132,IF(AND($C132="q",$D132&gt;=1,$D132&lt;=3),$B132,IF($C132="z",IF($D132=1,2*$B132,$B132),IF($C132="m",3*$B132,0)))))</f>
        <v>0</v>
      </c>
      <c r="U132" s="140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141">
        <f>SUM(R132:U132)</f>
        <v>0</v>
      </c>
      <c r="W132" s="143">
        <f>IF($C132="j",$B132,IF($C132="h",2*$B132,IF($C132="q",4*$B132,IF($C132="z",6*$B132,12*$B132))))</f>
        <v>0</v>
      </c>
      <c r="X132" s="144">
        <f>IF($C132="j",$B132,IF($C132="h",2*$B132,IF($C132="q",4*$B132,IF($C132="z",6*$B132,12*$B132))))</f>
        <v>0</v>
      </c>
      <c r="Z132" s="159">
        <f>Q132/12</f>
        <v>0</v>
      </c>
    </row>
    <row r="133" spans="1:26" ht="18.75" customHeight="1" x14ac:dyDescent="0.25">
      <c r="A133" s="164"/>
      <c r="B133" s="165"/>
      <c r="C133" s="166"/>
      <c r="D133" s="167"/>
      <c r="E133" s="146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47">
        <f t="shared" si="142"/>
        <v>0</v>
      </c>
      <c r="G133" s="147">
        <f t="shared" si="142"/>
        <v>0</v>
      </c>
      <c r="H133" s="147">
        <f t="shared" si="142"/>
        <v>0</v>
      </c>
      <c r="I133" s="147">
        <f t="shared" si="142"/>
        <v>0</v>
      </c>
      <c r="J133" s="147">
        <f t="shared" si="142"/>
        <v>0</v>
      </c>
      <c r="K133" s="147">
        <f t="shared" si="142"/>
        <v>0</v>
      </c>
      <c r="L133" s="147">
        <f t="shared" si="142"/>
        <v>0</v>
      </c>
      <c r="M133" s="147">
        <f t="shared" si="142"/>
        <v>0</v>
      </c>
      <c r="N133" s="147">
        <f t="shared" si="142"/>
        <v>0</v>
      </c>
      <c r="O133" s="147">
        <f t="shared" si="142"/>
        <v>0</v>
      </c>
      <c r="P133" s="147">
        <f t="shared" si="142"/>
        <v>0</v>
      </c>
      <c r="Q133" s="148">
        <f t="shared" ref="Q133:Q135" si="144">SUM(E133:P133)</f>
        <v>0</v>
      </c>
      <c r="R133" s="149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47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47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47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148">
        <f t="shared" ref="V133:V135" si="149">SUM(R133:U133)</f>
        <v>0</v>
      </c>
      <c r="W133" s="150">
        <f t="shared" ref="W133:X135" si="150">IF($C133="j",$B133,IF($C133="h",2*$B133,IF($C133="q",4*$B133,IF($C133="z",6*$B133,12*$B133))))</f>
        <v>0</v>
      </c>
      <c r="X133" s="151">
        <f t="shared" si="150"/>
        <v>0</v>
      </c>
      <c r="Z133" s="160">
        <f t="shared" ref="Z133:Z135" si="151">Q133/12</f>
        <v>0</v>
      </c>
    </row>
    <row r="134" spans="1:26" ht="18.75" customHeight="1" x14ac:dyDescent="0.25">
      <c r="A134" s="164"/>
      <c r="B134" s="165"/>
      <c r="C134" s="166"/>
      <c r="D134" s="167"/>
      <c r="E134" s="146">
        <f t="shared" si="143"/>
        <v>0</v>
      </c>
      <c r="F134" s="147">
        <f t="shared" si="142"/>
        <v>0</v>
      </c>
      <c r="G134" s="147">
        <f t="shared" si="142"/>
        <v>0</v>
      </c>
      <c r="H134" s="147">
        <f t="shared" si="142"/>
        <v>0</v>
      </c>
      <c r="I134" s="147">
        <f t="shared" si="142"/>
        <v>0</v>
      </c>
      <c r="J134" s="147">
        <f t="shared" si="142"/>
        <v>0</v>
      </c>
      <c r="K134" s="147">
        <f t="shared" si="142"/>
        <v>0</v>
      </c>
      <c r="L134" s="147">
        <f t="shared" si="142"/>
        <v>0</v>
      </c>
      <c r="M134" s="147">
        <f t="shared" si="142"/>
        <v>0</v>
      </c>
      <c r="N134" s="147">
        <f t="shared" si="142"/>
        <v>0</v>
      </c>
      <c r="O134" s="147">
        <f t="shared" si="142"/>
        <v>0</v>
      </c>
      <c r="P134" s="147">
        <f t="shared" si="142"/>
        <v>0</v>
      </c>
      <c r="Q134" s="148">
        <f t="shared" si="144"/>
        <v>0</v>
      </c>
      <c r="R134" s="149">
        <f t="shared" si="145"/>
        <v>0</v>
      </c>
      <c r="S134" s="147">
        <f t="shared" si="146"/>
        <v>0</v>
      </c>
      <c r="T134" s="147">
        <f t="shared" si="147"/>
        <v>0</v>
      </c>
      <c r="U134" s="147">
        <f t="shared" si="148"/>
        <v>0</v>
      </c>
      <c r="V134" s="148">
        <f t="shared" si="149"/>
        <v>0</v>
      </c>
      <c r="W134" s="150">
        <f t="shared" si="150"/>
        <v>0</v>
      </c>
      <c r="X134" s="151">
        <f t="shared" si="150"/>
        <v>0</v>
      </c>
      <c r="Z134" s="160">
        <f t="shared" si="151"/>
        <v>0</v>
      </c>
    </row>
    <row r="135" spans="1:26" ht="18.75" customHeight="1" thickBot="1" x14ac:dyDescent="0.3">
      <c r="A135" s="168"/>
      <c r="B135" s="169"/>
      <c r="C135" s="170"/>
      <c r="D135" s="171"/>
      <c r="E135" s="153">
        <f t="shared" si="143"/>
        <v>0</v>
      </c>
      <c r="F135" s="154">
        <f t="shared" si="142"/>
        <v>0</v>
      </c>
      <c r="G135" s="154">
        <f t="shared" si="142"/>
        <v>0</v>
      </c>
      <c r="H135" s="154">
        <f t="shared" si="142"/>
        <v>0</v>
      </c>
      <c r="I135" s="154">
        <f t="shared" si="142"/>
        <v>0</v>
      </c>
      <c r="J135" s="154">
        <f t="shared" si="142"/>
        <v>0</v>
      </c>
      <c r="K135" s="154">
        <f t="shared" si="142"/>
        <v>0</v>
      </c>
      <c r="L135" s="154">
        <f t="shared" si="142"/>
        <v>0</v>
      </c>
      <c r="M135" s="154">
        <f t="shared" si="142"/>
        <v>0</v>
      </c>
      <c r="N135" s="154">
        <f t="shared" si="142"/>
        <v>0</v>
      </c>
      <c r="O135" s="154">
        <f t="shared" si="142"/>
        <v>0</v>
      </c>
      <c r="P135" s="154">
        <f t="shared" si="142"/>
        <v>0</v>
      </c>
      <c r="Q135" s="155">
        <f t="shared" si="144"/>
        <v>0</v>
      </c>
      <c r="R135" s="156">
        <f t="shared" si="145"/>
        <v>0</v>
      </c>
      <c r="S135" s="154">
        <f t="shared" si="146"/>
        <v>0</v>
      </c>
      <c r="T135" s="154">
        <f t="shared" si="147"/>
        <v>0</v>
      </c>
      <c r="U135" s="154">
        <f t="shared" si="148"/>
        <v>0</v>
      </c>
      <c r="V135" s="155">
        <f t="shared" si="149"/>
        <v>0</v>
      </c>
      <c r="W135" s="157">
        <f t="shared" si="150"/>
        <v>0</v>
      </c>
      <c r="X135" s="158">
        <f t="shared" si="150"/>
        <v>0</v>
      </c>
      <c r="Z135" s="161">
        <f t="shared" si="151"/>
        <v>0</v>
      </c>
    </row>
    <row r="136" spans="1:26" ht="7.5" customHeight="1" thickTop="1" thickBot="1" x14ac:dyDescent="0.3">
      <c r="A136" s="172"/>
      <c r="B136" s="173"/>
      <c r="C136" s="174"/>
      <c r="D136" s="175"/>
      <c r="E136" s="132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4"/>
      <c r="R136" s="135"/>
      <c r="S136" s="133"/>
      <c r="T136" s="133"/>
      <c r="U136" s="133"/>
      <c r="V136" s="134"/>
      <c r="W136" s="136"/>
      <c r="X136" s="137"/>
      <c r="Z136" s="162"/>
    </row>
    <row r="137" spans="1:26" ht="18.75" customHeight="1" thickBot="1" x14ac:dyDescent="0.3">
      <c r="A137" s="180" t="s">
        <v>52</v>
      </c>
      <c r="B137" s="179">
        <f>Z137</f>
        <v>0</v>
      </c>
      <c r="D137" s="186"/>
      <c r="E137" s="176">
        <f>SUM(E132:E135)</f>
        <v>0</v>
      </c>
      <c r="F137" s="177">
        <f t="shared" ref="F137:X137" si="152">SUM(F132:F135)</f>
        <v>0</v>
      </c>
      <c r="G137" s="177">
        <f t="shared" si="152"/>
        <v>0</v>
      </c>
      <c r="H137" s="177">
        <f t="shared" si="152"/>
        <v>0</v>
      </c>
      <c r="I137" s="177">
        <f t="shared" si="152"/>
        <v>0</v>
      </c>
      <c r="J137" s="177">
        <f t="shared" si="152"/>
        <v>0</v>
      </c>
      <c r="K137" s="177">
        <f t="shared" si="152"/>
        <v>0</v>
      </c>
      <c r="L137" s="177">
        <f t="shared" si="152"/>
        <v>0</v>
      </c>
      <c r="M137" s="177">
        <f t="shared" si="152"/>
        <v>0</v>
      </c>
      <c r="N137" s="177">
        <f t="shared" si="152"/>
        <v>0</v>
      </c>
      <c r="O137" s="177">
        <f t="shared" si="152"/>
        <v>0</v>
      </c>
      <c r="P137" s="177">
        <f t="shared" si="152"/>
        <v>0</v>
      </c>
      <c r="Q137" s="181">
        <f t="shared" si="152"/>
        <v>0</v>
      </c>
      <c r="R137" s="178">
        <f t="shared" si="152"/>
        <v>0</v>
      </c>
      <c r="S137" s="177">
        <f t="shared" si="152"/>
        <v>0</v>
      </c>
      <c r="T137" s="177">
        <f t="shared" si="152"/>
        <v>0</v>
      </c>
      <c r="U137" s="177">
        <f t="shared" si="152"/>
        <v>0</v>
      </c>
      <c r="V137" s="181">
        <f t="shared" si="152"/>
        <v>0</v>
      </c>
      <c r="W137" s="182">
        <f t="shared" si="152"/>
        <v>0</v>
      </c>
      <c r="X137" s="183">
        <f t="shared" si="152"/>
        <v>0</v>
      </c>
      <c r="Z137" s="184">
        <f>SUM(Z132:Z135)</f>
        <v>0</v>
      </c>
    </row>
    <row r="138" spans="1:26" ht="15.75" thickBot="1" x14ac:dyDescent="0.3"/>
    <row r="139" spans="1:26" ht="15" customHeight="1" x14ac:dyDescent="0.25">
      <c r="A139" s="450" t="s">
        <v>86</v>
      </c>
      <c r="B139" s="452" t="s">
        <v>19</v>
      </c>
      <c r="C139" s="452" t="s">
        <v>45</v>
      </c>
      <c r="D139" s="454" t="s">
        <v>46</v>
      </c>
      <c r="E139" s="431" t="s">
        <v>20</v>
      </c>
      <c r="F139" s="429"/>
      <c r="G139" s="429"/>
      <c r="H139" s="429"/>
      <c r="I139" s="429"/>
      <c r="J139" s="429"/>
      <c r="K139" s="429"/>
      <c r="L139" s="429"/>
      <c r="M139" s="429"/>
      <c r="N139" s="429"/>
      <c r="O139" s="429"/>
      <c r="P139" s="430"/>
      <c r="Q139" s="424" t="s">
        <v>20</v>
      </c>
      <c r="R139" s="428" t="s">
        <v>25</v>
      </c>
      <c r="S139" s="429"/>
      <c r="T139" s="429"/>
      <c r="U139" s="430"/>
      <c r="V139" s="426" t="s">
        <v>25</v>
      </c>
      <c r="W139" s="438" t="s">
        <v>26</v>
      </c>
      <c r="X139" s="440" t="s">
        <v>27</v>
      </c>
      <c r="Z139" s="448" t="s">
        <v>51</v>
      </c>
    </row>
    <row r="140" spans="1:26" ht="15.75" thickBot="1" x14ac:dyDescent="0.3">
      <c r="A140" s="451"/>
      <c r="B140" s="453"/>
      <c r="C140" s="453"/>
      <c r="D140" s="455"/>
      <c r="E140" s="14">
        <v>1</v>
      </c>
      <c r="F140" s="15">
        <v>2</v>
      </c>
      <c r="G140" s="15">
        <v>3</v>
      </c>
      <c r="H140" s="15">
        <v>4</v>
      </c>
      <c r="I140" s="15">
        <v>5</v>
      </c>
      <c r="J140" s="15">
        <v>6</v>
      </c>
      <c r="K140" s="15">
        <v>7</v>
      </c>
      <c r="L140" s="15">
        <v>8</v>
      </c>
      <c r="M140" s="15">
        <v>9</v>
      </c>
      <c r="N140" s="15">
        <v>10</v>
      </c>
      <c r="O140" s="15">
        <v>11</v>
      </c>
      <c r="P140" s="16">
        <v>12</v>
      </c>
      <c r="Q140" s="425"/>
      <c r="R140" s="17" t="s">
        <v>21</v>
      </c>
      <c r="S140" s="15" t="s">
        <v>22</v>
      </c>
      <c r="T140" s="15" t="s">
        <v>23</v>
      </c>
      <c r="U140" s="15" t="s">
        <v>24</v>
      </c>
      <c r="V140" s="427"/>
      <c r="W140" s="439"/>
      <c r="X140" s="441"/>
      <c r="Z140" s="449"/>
    </row>
    <row r="141" spans="1:26" ht="18.75" customHeight="1" thickTop="1" x14ac:dyDescent="0.25">
      <c r="A141" s="163" t="s">
        <v>145</v>
      </c>
      <c r="B141" s="31">
        <v>1500</v>
      </c>
      <c r="C141" s="32" t="s">
        <v>47</v>
      </c>
      <c r="D141" s="33" t="s">
        <v>50</v>
      </c>
      <c r="E141" s="139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1500</v>
      </c>
      <c r="F141" s="140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1500</v>
      </c>
      <c r="G141" s="140">
        <f t="shared" si="153"/>
        <v>1500</v>
      </c>
      <c r="H141" s="140">
        <f t="shared" si="153"/>
        <v>1500</v>
      </c>
      <c r="I141" s="140">
        <f t="shared" si="153"/>
        <v>1500</v>
      </c>
      <c r="J141" s="140">
        <f t="shared" si="153"/>
        <v>1500</v>
      </c>
      <c r="K141" s="140">
        <f t="shared" si="153"/>
        <v>1500</v>
      </c>
      <c r="L141" s="140">
        <f t="shared" si="153"/>
        <v>1500</v>
      </c>
      <c r="M141" s="140">
        <f t="shared" si="153"/>
        <v>1500</v>
      </c>
      <c r="N141" s="140">
        <f t="shared" si="153"/>
        <v>1500</v>
      </c>
      <c r="O141" s="140">
        <f t="shared" si="153"/>
        <v>1500</v>
      </c>
      <c r="P141" s="140">
        <f t="shared" si="153"/>
        <v>1500</v>
      </c>
      <c r="Q141" s="141">
        <f>SUM(E141:P141)</f>
        <v>18000</v>
      </c>
      <c r="R141" s="142">
        <f>IF(AND($C141="j",$D141&gt;=1,$D141&lt;=3),$B141,IF(AND($C141="h",$D141&gt;=1,$D141&lt;=3),$B141,IF(AND($C141="q",$D141&gt;=1,$D141&lt;=3),$B141,IF($C141="z",IF($D141=1,2*$B141,$B141),IF($C141="m",3*$B141,0)))))</f>
        <v>4500</v>
      </c>
      <c r="S141" s="140">
        <f>IF(AND($C141="j",$D141&gt;=4,$D141&lt;=6),$B141,IF(AND($C141="h",$D141&gt;=4,$D141&lt;=6),$B141,IF(AND($C141="q",$D141&gt;=1,$D141&lt;=3),$B141,IF($C141="z",IF($D141=2,2*$B141,$B141),IF($C141="m",3*$B141,0)))))</f>
        <v>4500</v>
      </c>
      <c r="T141" s="140">
        <f>IF(AND($C141="j",$D141&gt;=7,$D141&lt;=9),$B141,IF(AND($C141="h",$D141&gt;=1,$D141&lt;=3),$B141,IF(AND($C141="q",$D141&gt;=1,$D141&lt;=3),$B141,IF($C141="z",IF($D141=1,2*$B141,$B141),IF($C141="m",3*$B141,0)))))</f>
        <v>4500</v>
      </c>
      <c r="U141" s="140">
        <f>IF(AND($C141="j",$D141&gt;=10,$D141&lt;=12),$B141,IF(AND($C141="h",$D141&gt;=4,$D141&lt;=6),$B141,IF(AND($C141="q",$D141&gt;=1,$D141&lt;=3),$B141,IF($C141="z",IF($D141=2,2*$B141,$B141),IF($C141="m",3*$B141,0)))))</f>
        <v>4500</v>
      </c>
      <c r="V141" s="141">
        <f>SUM(R141:U141)</f>
        <v>18000</v>
      </c>
      <c r="W141" s="143">
        <f>IF($C141="j",$B141,IF($C141="h",2*$B141,IF($C141="q",4*$B141,IF($C141="z",6*$B141,12*$B141))))</f>
        <v>18000</v>
      </c>
      <c r="X141" s="144">
        <f>IF($C141="j",$B141,IF($C141="h",2*$B141,IF($C141="q",4*$B141,IF($C141="z",6*$B141,12*$B141))))</f>
        <v>18000</v>
      </c>
      <c r="Z141" s="159">
        <f>Q141/12</f>
        <v>1500</v>
      </c>
    </row>
    <row r="142" spans="1:26" ht="18.75" customHeight="1" x14ac:dyDescent="0.25">
      <c r="A142" s="164"/>
      <c r="B142" s="165"/>
      <c r="C142" s="166"/>
      <c r="D142" s="167"/>
      <c r="E142" s="146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47">
        <f t="shared" si="153"/>
        <v>0</v>
      </c>
      <c r="G142" s="147">
        <f t="shared" si="153"/>
        <v>0</v>
      </c>
      <c r="H142" s="147">
        <f t="shared" si="153"/>
        <v>0</v>
      </c>
      <c r="I142" s="147">
        <f t="shared" si="153"/>
        <v>0</v>
      </c>
      <c r="J142" s="147">
        <f t="shared" si="153"/>
        <v>0</v>
      </c>
      <c r="K142" s="147">
        <f t="shared" si="153"/>
        <v>0</v>
      </c>
      <c r="L142" s="147">
        <f t="shared" si="153"/>
        <v>0</v>
      </c>
      <c r="M142" s="147">
        <f t="shared" si="153"/>
        <v>0</v>
      </c>
      <c r="N142" s="147">
        <f t="shared" si="153"/>
        <v>0</v>
      </c>
      <c r="O142" s="147">
        <f t="shared" si="153"/>
        <v>0</v>
      </c>
      <c r="P142" s="147">
        <f t="shared" si="153"/>
        <v>0</v>
      </c>
      <c r="Q142" s="148">
        <f t="shared" ref="Q142:Q144" si="155">SUM(E142:P142)</f>
        <v>0</v>
      </c>
      <c r="R142" s="149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47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47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47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148">
        <f t="shared" ref="V142:V144" si="160">SUM(R142:U142)</f>
        <v>0</v>
      </c>
      <c r="W142" s="150">
        <f t="shared" ref="W142:X144" si="161">IF($C142="j",$B142,IF($C142="h",2*$B142,IF($C142="q",4*$B142,IF($C142="z",6*$B142,12*$B142))))</f>
        <v>0</v>
      </c>
      <c r="X142" s="151">
        <f t="shared" si="161"/>
        <v>0</v>
      </c>
      <c r="Z142" s="160">
        <f t="shared" ref="Z142:Z144" si="162">Q142/12</f>
        <v>0</v>
      </c>
    </row>
    <row r="143" spans="1:26" ht="18.75" customHeight="1" x14ac:dyDescent="0.25">
      <c r="A143" s="164"/>
      <c r="B143" s="165"/>
      <c r="C143" s="166"/>
      <c r="D143" s="167"/>
      <c r="E143" s="146">
        <f t="shared" si="154"/>
        <v>0</v>
      </c>
      <c r="F143" s="147">
        <f t="shared" si="153"/>
        <v>0</v>
      </c>
      <c r="G143" s="147">
        <f t="shared" si="153"/>
        <v>0</v>
      </c>
      <c r="H143" s="147">
        <f t="shared" si="153"/>
        <v>0</v>
      </c>
      <c r="I143" s="147">
        <f t="shared" si="153"/>
        <v>0</v>
      </c>
      <c r="J143" s="147">
        <f t="shared" si="153"/>
        <v>0</v>
      </c>
      <c r="K143" s="147">
        <f t="shared" si="153"/>
        <v>0</v>
      </c>
      <c r="L143" s="147">
        <f t="shared" si="153"/>
        <v>0</v>
      </c>
      <c r="M143" s="147">
        <f t="shared" si="153"/>
        <v>0</v>
      </c>
      <c r="N143" s="147">
        <f t="shared" si="153"/>
        <v>0</v>
      </c>
      <c r="O143" s="147">
        <f t="shared" si="153"/>
        <v>0</v>
      </c>
      <c r="P143" s="147">
        <f t="shared" si="153"/>
        <v>0</v>
      </c>
      <c r="Q143" s="148">
        <f t="shared" si="155"/>
        <v>0</v>
      </c>
      <c r="R143" s="149">
        <f t="shared" si="156"/>
        <v>0</v>
      </c>
      <c r="S143" s="147">
        <f t="shared" si="157"/>
        <v>0</v>
      </c>
      <c r="T143" s="147">
        <f t="shared" si="158"/>
        <v>0</v>
      </c>
      <c r="U143" s="147">
        <f t="shared" si="159"/>
        <v>0</v>
      </c>
      <c r="V143" s="148">
        <f t="shared" si="160"/>
        <v>0</v>
      </c>
      <c r="W143" s="150">
        <f t="shared" si="161"/>
        <v>0</v>
      </c>
      <c r="X143" s="151">
        <f t="shared" si="161"/>
        <v>0</v>
      </c>
      <c r="Z143" s="160">
        <f t="shared" si="162"/>
        <v>0</v>
      </c>
    </row>
    <row r="144" spans="1:26" ht="18.75" customHeight="1" thickBot="1" x14ac:dyDescent="0.3">
      <c r="A144" s="168"/>
      <c r="B144" s="169"/>
      <c r="C144" s="170"/>
      <c r="D144" s="171"/>
      <c r="E144" s="153">
        <f t="shared" si="154"/>
        <v>0</v>
      </c>
      <c r="F144" s="154">
        <f t="shared" si="153"/>
        <v>0</v>
      </c>
      <c r="G144" s="154">
        <f t="shared" si="153"/>
        <v>0</v>
      </c>
      <c r="H144" s="154">
        <f t="shared" si="153"/>
        <v>0</v>
      </c>
      <c r="I144" s="154">
        <f t="shared" si="153"/>
        <v>0</v>
      </c>
      <c r="J144" s="154">
        <f t="shared" si="153"/>
        <v>0</v>
      </c>
      <c r="K144" s="154">
        <f t="shared" si="153"/>
        <v>0</v>
      </c>
      <c r="L144" s="154">
        <f t="shared" si="153"/>
        <v>0</v>
      </c>
      <c r="M144" s="154">
        <f t="shared" si="153"/>
        <v>0</v>
      </c>
      <c r="N144" s="154">
        <f t="shared" si="153"/>
        <v>0</v>
      </c>
      <c r="O144" s="154">
        <f t="shared" si="153"/>
        <v>0</v>
      </c>
      <c r="P144" s="154">
        <f t="shared" si="153"/>
        <v>0</v>
      </c>
      <c r="Q144" s="155">
        <f t="shared" si="155"/>
        <v>0</v>
      </c>
      <c r="R144" s="156">
        <f t="shared" si="156"/>
        <v>0</v>
      </c>
      <c r="S144" s="154">
        <f t="shared" si="157"/>
        <v>0</v>
      </c>
      <c r="T144" s="154">
        <f t="shared" si="158"/>
        <v>0</v>
      </c>
      <c r="U144" s="154">
        <f t="shared" si="159"/>
        <v>0</v>
      </c>
      <c r="V144" s="155">
        <f t="shared" si="160"/>
        <v>0</v>
      </c>
      <c r="W144" s="157">
        <f t="shared" si="161"/>
        <v>0</v>
      </c>
      <c r="X144" s="158">
        <f t="shared" si="161"/>
        <v>0</v>
      </c>
      <c r="Z144" s="161">
        <f t="shared" si="162"/>
        <v>0</v>
      </c>
    </row>
    <row r="145" spans="1:26" ht="7.5" customHeight="1" thickTop="1" thickBot="1" x14ac:dyDescent="0.3">
      <c r="A145" s="172"/>
      <c r="B145" s="173"/>
      <c r="C145" s="174"/>
      <c r="D145" s="175"/>
      <c r="E145" s="132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4"/>
      <c r="R145" s="135"/>
      <c r="S145" s="133"/>
      <c r="T145" s="133"/>
      <c r="U145" s="133"/>
      <c r="V145" s="134"/>
      <c r="W145" s="136"/>
      <c r="X145" s="137"/>
      <c r="Z145" s="162"/>
    </row>
    <row r="146" spans="1:26" ht="18.75" customHeight="1" thickBot="1" x14ac:dyDescent="0.3">
      <c r="A146" s="180" t="s">
        <v>52</v>
      </c>
      <c r="B146" s="179">
        <f>Z146</f>
        <v>1500</v>
      </c>
      <c r="D146" s="186"/>
      <c r="E146" s="176">
        <f>SUM(E141:E144)</f>
        <v>1500</v>
      </c>
      <c r="F146" s="177">
        <f t="shared" ref="F146:X146" si="163">SUM(F141:F144)</f>
        <v>1500</v>
      </c>
      <c r="G146" s="177">
        <f t="shared" si="163"/>
        <v>1500</v>
      </c>
      <c r="H146" s="177">
        <f t="shared" si="163"/>
        <v>1500</v>
      </c>
      <c r="I146" s="177">
        <f t="shared" si="163"/>
        <v>1500</v>
      </c>
      <c r="J146" s="177">
        <f t="shared" si="163"/>
        <v>1500</v>
      </c>
      <c r="K146" s="177">
        <f t="shared" si="163"/>
        <v>1500</v>
      </c>
      <c r="L146" s="177">
        <f t="shared" si="163"/>
        <v>1500</v>
      </c>
      <c r="M146" s="177">
        <f t="shared" si="163"/>
        <v>1500</v>
      </c>
      <c r="N146" s="177">
        <f t="shared" si="163"/>
        <v>1500</v>
      </c>
      <c r="O146" s="177">
        <f t="shared" si="163"/>
        <v>1500</v>
      </c>
      <c r="P146" s="177">
        <f t="shared" si="163"/>
        <v>1500</v>
      </c>
      <c r="Q146" s="181">
        <f t="shared" si="163"/>
        <v>18000</v>
      </c>
      <c r="R146" s="178">
        <f t="shared" si="163"/>
        <v>4500</v>
      </c>
      <c r="S146" s="177">
        <f t="shared" si="163"/>
        <v>4500</v>
      </c>
      <c r="T146" s="177">
        <f t="shared" si="163"/>
        <v>4500</v>
      </c>
      <c r="U146" s="177">
        <f t="shared" si="163"/>
        <v>4500</v>
      </c>
      <c r="V146" s="181">
        <f t="shared" si="163"/>
        <v>18000</v>
      </c>
      <c r="W146" s="182">
        <f t="shared" si="163"/>
        <v>18000</v>
      </c>
      <c r="X146" s="183">
        <f t="shared" si="163"/>
        <v>18000</v>
      </c>
      <c r="Z146" s="184">
        <f>SUM(Z141:Z144)</f>
        <v>1500</v>
      </c>
    </row>
    <row r="147" spans="1:26" ht="15.75" thickBot="1" x14ac:dyDescent="0.3"/>
    <row r="148" spans="1:26" ht="15" customHeight="1" x14ac:dyDescent="0.25">
      <c r="A148" s="450" t="s">
        <v>87</v>
      </c>
      <c r="B148" s="452" t="s">
        <v>19</v>
      </c>
      <c r="C148" s="452" t="s">
        <v>45</v>
      </c>
      <c r="D148" s="454" t="s">
        <v>46</v>
      </c>
      <c r="E148" s="431" t="s">
        <v>20</v>
      </c>
      <c r="F148" s="429"/>
      <c r="G148" s="429"/>
      <c r="H148" s="429"/>
      <c r="I148" s="429"/>
      <c r="J148" s="429"/>
      <c r="K148" s="429"/>
      <c r="L148" s="429"/>
      <c r="M148" s="429"/>
      <c r="N148" s="429"/>
      <c r="O148" s="429"/>
      <c r="P148" s="430"/>
      <c r="Q148" s="424" t="s">
        <v>20</v>
      </c>
      <c r="R148" s="428" t="s">
        <v>25</v>
      </c>
      <c r="S148" s="429"/>
      <c r="T148" s="429"/>
      <c r="U148" s="430"/>
      <c r="V148" s="426" t="s">
        <v>25</v>
      </c>
      <c r="W148" s="438" t="s">
        <v>26</v>
      </c>
      <c r="X148" s="440" t="s">
        <v>27</v>
      </c>
      <c r="Z148" s="448" t="s">
        <v>51</v>
      </c>
    </row>
    <row r="149" spans="1:26" ht="15.75" thickBot="1" x14ac:dyDescent="0.3">
      <c r="A149" s="451"/>
      <c r="B149" s="453"/>
      <c r="C149" s="453"/>
      <c r="D149" s="455"/>
      <c r="E149" s="14">
        <v>1</v>
      </c>
      <c r="F149" s="15">
        <v>2</v>
      </c>
      <c r="G149" s="15">
        <v>3</v>
      </c>
      <c r="H149" s="15">
        <v>4</v>
      </c>
      <c r="I149" s="15">
        <v>5</v>
      </c>
      <c r="J149" s="15">
        <v>6</v>
      </c>
      <c r="K149" s="15">
        <v>7</v>
      </c>
      <c r="L149" s="15">
        <v>8</v>
      </c>
      <c r="M149" s="15">
        <v>9</v>
      </c>
      <c r="N149" s="15">
        <v>10</v>
      </c>
      <c r="O149" s="15">
        <v>11</v>
      </c>
      <c r="P149" s="16">
        <v>12</v>
      </c>
      <c r="Q149" s="425"/>
      <c r="R149" s="17" t="s">
        <v>21</v>
      </c>
      <c r="S149" s="15" t="s">
        <v>22</v>
      </c>
      <c r="T149" s="15" t="s">
        <v>23</v>
      </c>
      <c r="U149" s="15" t="s">
        <v>24</v>
      </c>
      <c r="V149" s="427"/>
      <c r="W149" s="439"/>
      <c r="X149" s="441"/>
      <c r="Z149" s="449"/>
    </row>
    <row r="150" spans="1:26" ht="18.75" customHeight="1" thickTop="1" x14ac:dyDescent="0.25">
      <c r="A150" s="163"/>
      <c r="B150" s="31"/>
      <c r="C150" s="32"/>
      <c r="D150" s="33"/>
      <c r="E150" s="139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0</v>
      </c>
      <c r="F150" s="140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140">
        <f t="shared" si="164"/>
        <v>0</v>
      </c>
      <c r="H150" s="140">
        <f t="shared" si="164"/>
        <v>0</v>
      </c>
      <c r="I150" s="140">
        <f t="shared" si="164"/>
        <v>0</v>
      </c>
      <c r="J150" s="140">
        <f t="shared" si="164"/>
        <v>0</v>
      </c>
      <c r="K150" s="140">
        <f t="shared" si="164"/>
        <v>0</v>
      </c>
      <c r="L150" s="140">
        <f t="shared" si="164"/>
        <v>0</v>
      </c>
      <c r="M150" s="140">
        <f t="shared" si="164"/>
        <v>0</v>
      </c>
      <c r="N150" s="140">
        <f t="shared" si="164"/>
        <v>0</v>
      </c>
      <c r="O150" s="140">
        <f t="shared" si="164"/>
        <v>0</v>
      </c>
      <c r="P150" s="140">
        <f t="shared" si="164"/>
        <v>0</v>
      </c>
      <c r="Q150" s="141">
        <f>SUM(E150:P150)</f>
        <v>0</v>
      </c>
      <c r="R150" s="142">
        <f>IF(AND($C150="j",$D150&gt;=1,$D150&lt;=3),$B150,IF(AND($C150="h",$D150&gt;=1,$D150&lt;=3),$B150,IF(AND($C150="q",$D150&gt;=1,$D150&lt;=3),$B150,IF($C150="z",IF($D150=1,2*$B150,$B150),IF($C150="m",3*$B150,0)))))</f>
        <v>0</v>
      </c>
      <c r="S150" s="140">
        <f>IF(AND($C150="j",$D150&gt;=4,$D150&lt;=6),$B150,IF(AND($C150="h",$D150&gt;=4,$D150&lt;=6),$B150,IF(AND($C150="q",$D150&gt;=1,$D150&lt;=3),$B150,IF($C150="z",IF($D150=2,2*$B150,$B150),IF($C150="m",3*$B150,0)))))</f>
        <v>0</v>
      </c>
      <c r="T150" s="140">
        <f>IF(AND($C150="j",$D150&gt;=7,$D150&lt;=9),$B150,IF(AND($C150="h",$D150&gt;=1,$D150&lt;=3),$B150,IF(AND($C150="q",$D150&gt;=1,$D150&lt;=3),$B150,IF($C150="z",IF($D150=1,2*$B150,$B150),IF($C150="m",3*$B150,0)))))</f>
        <v>0</v>
      </c>
      <c r="U150" s="140">
        <f>IF(AND($C150="j",$D150&gt;=10,$D150&lt;=12),$B150,IF(AND($C150="h",$D150&gt;=4,$D150&lt;=6),$B150,IF(AND($C150="q",$D150&gt;=1,$D150&lt;=3),$B150,IF($C150="z",IF($D150=2,2*$B150,$B150),IF($C150="m",3*$B150,0)))))</f>
        <v>0</v>
      </c>
      <c r="V150" s="141">
        <f>SUM(R150:U150)</f>
        <v>0</v>
      </c>
      <c r="W150" s="143">
        <f>IF($C150="j",$B150,IF($C150="h",2*$B150,IF($C150="q",4*$B150,IF($C150="z",6*$B150,12*$B150))))</f>
        <v>0</v>
      </c>
      <c r="X150" s="144">
        <f>IF($C150="j",$B150,IF($C150="h",2*$B150,IF($C150="q",4*$B150,IF($C150="z",6*$B150,12*$B150))))</f>
        <v>0</v>
      </c>
      <c r="Z150" s="159">
        <f>Q150/12</f>
        <v>0</v>
      </c>
    </row>
    <row r="151" spans="1:26" ht="18.75" customHeight="1" x14ac:dyDescent="0.25">
      <c r="A151" s="164"/>
      <c r="B151" s="165"/>
      <c r="C151" s="166"/>
      <c r="D151" s="167"/>
      <c r="E151" s="146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47">
        <f t="shared" si="164"/>
        <v>0</v>
      </c>
      <c r="G151" s="147">
        <f t="shared" si="164"/>
        <v>0</v>
      </c>
      <c r="H151" s="147">
        <f t="shared" si="164"/>
        <v>0</v>
      </c>
      <c r="I151" s="147">
        <f t="shared" si="164"/>
        <v>0</v>
      </c>
      <c r="J151" s="147">
        <f t="shared" si="164"/>
        <v>0</v>
      </c>
      <c r="K151" s="147">
        <f t="shared" si="164"/>
        <v>0</v>
      </c>
      <c r="L151" s="147">
        <f t="shared" si="164"/>
        <v>0</v>
      </c>
      <c r="M151" s="147">
        <f t="shared" si="164"/>
        <v>0</v>
      </c>
      <c r="N151" s="147">
        <f t="shared" si="164"/>
        <v>0</v>
      </c>
      <c r="O151" s="147">
        <f t="shared" si="164"/>
        <v>0</v>
      </c>
      <c r="P151" s="147">
        <f t="shared" si="164"/>
        <v>0</v>
      </c>
      <c r="Q151" s="148">
        <f t="shared" ref="Q151:Q153" si="166">SUM(E151:P151)</f>
        <v>0</v>
      </c>
      <c r="R151" s="149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47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47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47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148">
        <f t="shared" ref="V151:V153" si="171">SUM(R151:U151)</f>
        <v>0</v>
      </c>
      <c r="W151" s="150">
        <f t="shared" ref="W151:X153" si="172">IF($C151="j",$B151,IF($C151="h",2*$B151,IF($C151="q",4*$B151,IF($C151="z",6*$B151,12*$B151))))</f>
        <v>0</v>
      </c>
      <c r="X151" s="151">
        <f t="shared" si="172"/>
        <v>0</v>
      </c>
      <c r="Z151" s="160">
        <f t="shared" ref="Z151:Z153" si="173">Q151/12</f>
        <v>0</v>
      </c>
    </row>
    <row r="152" spans="1:26" ht="18.75" customHeight="1" x14ac:dyDescent="0.25">
      <c r="A152" s="164"/>
      <c r="B152" s="165"/>
      <c r="C152" s="166"/>
      <c r="D152" s="167"/>
      <c r="E152" s="146">
        <f t="shared" si="165"/>
        <v>0</v>
      </c>
      <c r="F152" s="147">
        <f t="shared" si="164"/>
        <v>0</v>
      </c>
      <c r="G152" s="147">
        <f t="shared" si="164"/>
        <v>0</v>
      </c>
      <c r="H152" s="147">
        <f t="shared" si="164"/>
        <v>0</v>
      </c>
      <c r="I152" s="147">
        <f t="shared" si="164"/>
        <v>0</v>
      </c>
      <c r="J152" s="147">
        <f t="shared" si="164"/>
        <v>0</v>
      </c>
      <c r="K152" s="147">
        <f t="shared" si="164"/>
        <v>0</v>
      </c>
      <c r="L152" s="147">
        <f t="shared" si="164"/>
        <v>0</v>
      </c>
      <c r="M152" s="147">
        <f t="shared" si="164"/>
        <v>0</v>
      </c>
      <c r="N152" s="147">
        <f t="shared" si="164"/>
        <v>0</v>
      </c>
      <c r="O152" s="147">
        <f t="shared" si="164"/>
        <v>0</v>
      </c>
      <c r="P152" s="147">
        <f t="shared" si="164"/>
        <v>0</v>
      </c>
      <c r="Q152" s="148">
        <f t="shared" si="166"/>
        <v>0</v>
      </c>
      <c r="R152" s="149">
        <f t="shared" si="167"/>
        <v>0</v>
      </c>
      <c r="S152" s="147">
        <f t="shared" si="168"/>
        <v>0</v>
      </c>
      <c r="T152" s="147">
        <f t="shared" si="169"/>
        <v>0</v>
      </c>
      <c r="U152" s="147">
        <f t="shared" si="170"/>
        <v>0</v>
      </c>
      <c r="V152" s="148">
        <f t="shared" si="171"/>
        <v>0</v>
      </c>
      <c r="W152" s="150">
        <f t="shared" si="172"/>
        <v>0</v>
      </c>
      <c r="X152" s="151">
        <f t="shared" si="172"/>
        <v>0</v>
      </c>
      <c r="Z152" s="160">
        <f t="shared" si="173"/>
        <v>0</v>
      </c>
    </row>
    <row r="153" spans="1:26" ht="18.75" customHeight="1" thickBot="1" x14ac:dyDescent="0.3">
      <c r="A153" s="168"/>
      <c r="B153" s="169"/>
      <c r="C153" s="170"/>
      <c r="D153" s="171"/>
      <c r="E153" s="153">
        <f t="shared" si="165"/>
        <v>0</v>
      </c>
      <c r="F153" s="154">
        <f t="shared" si="164"/>
        <v>0</v>
      </c>
      <c r="G153" s="154">
        <f t="shared" si="164"/>
        <v>0</v>
      </c>
      <c r="H153" s="154">
        <f t="shared" si="164"/>
        <v>0</v>
      </c>
      <c r="I153" s="154">
        <f t="shared" si="164"/>
        <v>0</v>
      </c>
      <c r="J153" s="154">
        <f t="shared" si="164"/>
        <v>0</v>
      </c>
      <c r="K153" s="154">
        <f t="shared" si="164"/>
        <v>0</v>
      </c>
      <c r="L153" s="154">
        <f t="shared" si="164"/>
        <v>0</v>
      </c>
      <c r="M153" s="154">
        <f t="shared" si="164"/>
        <v>0</v>
      </c>
      <c r="N153" s="154">
        <f t="shared" si="164"/>
        <v>0</v>
      </c>
      <c r="O153" s="154">
        <f t="shared" si="164"/>
        <v>0</v>
      </c>
      <c r="P153" s="154">
        <f t="shared" si="164"/>
        <v>0</v>
      </c>
      <c r="Q153" s="155">
        <f t="shared" si="166"/>
        <v>0</v>
      </c>
      <c r="R153" s="156">
        <f t="shared" si="167"/>
        <v>0</v>
      </c>
      <c r="S153" s="154">
        <f t="shared" si="168"/>
        <v>0</v>
      </c>
      <c r="T153" s="154">
        <f t="shared" si="169"/>
        <v>0</v>
      </c>
      <c r="U153" s="154">
        <f t="shared" si="170"/>
        <v>0</v>
      </c>
      <c r="V153" s="155">
        <f t="shared" si="171"/>
        <v>0</v>
      </c>
      <c r="W153" s="157">
        <f t="shared" si="172"/>
        <v>0</v>
      </c>
      <c r="X153" s="158">
        <f t="shared" si="172"/>
        <v>0</v>
      </c>
      <c r="Z153" s="161">
        <f t="shared" si="173"/>
        <v>0</v>
      </c>
    </row>
    <row r="154" spans="1:26" ht="7.5" customHeight="1" thickTop="1" thickBot="1" x14ac:dyDescent="0.3">
      <c r="A154" s="172"/>
      <c r="B154" s="173"/>
      <c r="C154" s="174"/>
      <c r="D154" s="175"/>
      <c r="E154" s="132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4"/>
      <c r="R154" s="135"/>
      <c r="S154" s="133"/>
      <c r="T154" s="133"/>
      <c r="U154" s="133"/>
      <c r="V154" s="134"/>
      <c r="W154" s="136"/>
      <c r="X154" s="137"/>
      <c r="Z154" s="162"/>
    </row>
    <row r="155" spans="1:26" ht="18.75" customHeight="1" thickBot="1" x14ac:dyDescent="0.3">
      <c r="A155" s="180" t="s">
        <v>52</v>
      </c>
      <c r="B155" s="179">
        <f>Z155</f>
        <v>0</v>
      </c>
      <c r="D155" s="186"/>
      <c r="E155" s="176">
        <f>SUM(E150:E153)</f>
        <v>0</v>
      </c>
      <c r="F155" s="177">
        <f t="shared" ref="F155:X155" si="174">SUM(F150:F153)</f>
        <v>0</v>
      </c>
      <c r="G155" s="177">
        <f t="shared" si="174"/>
        <v>0</v>
      </c>
      <c r="H155" s="177">
        <f t="shared" si="174"/>
        <v>0</v>
      </c>
      <c r="I155" s="177">
        <f t="shared" si="174"/>
        <v>0</v>
      </c>
      <c r="J155" s="177">
        <f t="shared" si="174"/>
        <v>0</v>
      </c>
      <c r="K155" s="177">
        <f t="shared" si="174"/>
        <v>0</v>
      </c>
      <c r="L155" s="177">
        <f t="shared" si="174"/>
        <v>0</v>
      </c>
      <c r="M155" s="177">
        <f t="shared" si="174"/>
        <v>0</v>
      </c>
      <c r="N155" s="177">
        <f t="shared" si="174"/>
        <v>0</v>
      </c>
      <c r="O155" s="177">
        <f t="shared" si="174"/>
        <v>0</v>
      </c>
      <c r="P155" s="177">
        <f t="shared" si="174"/>
        <v>0</v>
      </c>
      <c r="Q155" s="181">
        <f t="shared" si="174"/>
        <v>0</v>
      </c>
      <c r="R155" s="178">
        <f t="shared" si="174"/>
        <v>0</v>
      </c>
      <c r="S155" s="177">
        <f t="shared" si="174"/>
        <v>0</v>
      </c>
      <c r="T155" s="177">
        <f t="shared" si="174"/>
        <v>0</v>
      </c>
      <c r="U155" s="177">
        <f t="shared" si="174"/>
        <v>0</v>
      </c>
      <c r="V155" s="181">
        <f t="shared" si="174"/>
        <v>0</v>
      </c>
      <c r="W155" s="182">
        <f t="shared" si="174"/>
        <v>0</v>
      </c>
      <c r="X155" s="183">
        <f t="shared" si="174"/>
        <v>0</v>
      </c>
      <c r="Z155" s="184">
        <f>SUM(Z150:Z153)</f>
        <v>0</v>
      </c>
    </row>
    <row r="156" spans="1:26" ht="15.75" thickBot="1" x14ac:dyDescent="0.3"/>
    <row r="157" spans="1:26" ht="15" customHeight="1" x14ac:dyDescent="0.25">
      <c r="A157" s="450" t="s">
        <v>88</v>
      </c>
      <c r="B157" s="452" t="s">
        <v>19</v>
      </c>
      <c r="C157" s="452" t="s">
        <v>45</v>
      </c>
      <c r="D157" s="454" t="s">
        <v>46</v>
      </c>
      <c r="E157" s="431" t="s">
        <v>20</v>
      </c>
      <c r="F157" s="429"/>
      <c r="G157" s="429"/>
      <c r="H157" s="429"/>
      <c r="I157" s="429"/>
      <c r="J157" s="429"/>
      <c r="K157" s="429"/>
      <c r="L157" s="429"/>
      <c r="M157" s="429"/>
      <c r="N157" s="429"/>
      <c r="O157" s="429"/>
      <c r="P157" s="430"/>
      <c r="Q157" s="424" t="s">
        <v>20</v>
      </c>
      <c r="R157" s="428" t="s">
        <v>25</v>
      </c>
      <c r="S157" s="429"/>
      <c r="T157" s="429"/>
      <c r="U157" s="430"/>
      <c r="V157" s="426" t="s">
        <v>25</v>
      </c>
      <c r="W157" s="438" t="s">
        <v>26</v>
      </c>
      <c r="X157" s="440" t="s">
        <v>27</v>
      </c>
      <c r="Z157" s="448" t="s">
        <v>51</v>
      </c>
    </row>
    <row r="158" spans="1:26" ht="15.75" thickBot="1" x14ac:dyDescent="0.3">
      <c r="A158" s="451"/>
      <c r="B158" s="453"/>
      <c r="C158" s="453"/>
      <c r="D158" s="455"/>
      <c r="E158" s="14">
        <v>1</v>
      </c>
      <c r="F158" s="15">
        <v>2</v>
      </c>
      <c r="G158" s="15">
        <v>3</v>
      </c>
      <c r="H158" s="15">
        <v>4</v>
      </c>
      <c r="I158" s="15">
        <v>5</v>
      </c>
      <c r="J158" s="15">
        <v>6</v>
      </c>
      <c r="K158" s="15">
        <v>7</v>
      </c>
      <c r="L158" s="15">
        <v>8</v>
      </c>
      <c r="M158" s="15">
        <v>9</v>
      </c>
      <c r="N158" s="15">
        <v>10</v>
      </c>
      <c r="O158" s="15">
        <v>11</v>
      </c>
      <c r="P158" s="16">
        <v>12</v>
      </c>
      <c r="Q158" s="425"/>
      <c r="R158" s="17" t="s">
        <v>21</v>
      </c>
      <c r="S158" s="15" t="s">
        <v>22</v>
      </c>
      <c r="T158" s="15" t="s">
        <v>23</v>
      </c>
      <c r="U158" s="15" t="s">
        <v>24</v>
      </c>
      <c r="V158" s="427"/>
      <c r="W158" s="439"/>
      <c r="X158" s="441"/>
      <c r="Z158" s="449"/>
    </row>
    <row r="159" spans="1:26" ht="18.75" customHeight="1" thickTop="1" x14ac:dyDescent="0.25">
      <c r="A159" s="163"/>
      <c r="B159" s="31"/>
      <c r="C159" s="32"/>
      <c r="D159" s="33"/>
      <c r="E159" s="139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140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140">
        <f t="shared" si="175"/>
        <v>0</v>
      </c>
      <c r="H159" s="140">
        <f t="shared" si="175"/>
        <v>0</v>
      </c>
      <c r="I159" s="140">
        <f t="shared" si="175"/>
        <v>0</v>
      </c>
      <c r="J159" s="140">
        <f t="shared" si="175"/>
        <v>0</v>
      </c>
      <c r="K159" s="140">
        <f t="shared" si="175"/>
        <v>0</v>
      </c>
      <c r="L159" s="140">
        <f t="shared" si="175"/>
        <v>0</v>
      </c>
      <c r="M159" s="140">
        <f t="shared" si="175"/>
        <v>0</v>
      </c>
      <c r="N159" s="140">
        <f t="shared" si="175"/>
        <v>0</v>
      </c>
      <c r="O159" s="140">
        <f t="shared" si="175"/>
        <v>0</v>
      </c>
      <c r="P159" s="140">
        <f t="shared" si="175"/>
        <v>0</v>
      </c>
      <c r="Q159" s="141">
        <f>SUM(E159:P159)</f>
        <v>0</v>
      </c>
      <c r="R159" s="142">
        <f>IF(AND($C159="j",$D159&gt;=1,$D159&lt;=3),$B159,IF(AND($C159="h",$D159&gt;=1,$D159&lt;=3),$B159,IF(AND($C159="q",$D159&gt;=1,$D159&lt;=3),$B159,IF($C159="z",IF($D159=1,2*$B159,$B159),IF($C159="m",3*$B159,0)))))</f>
        <v>0</v>
      </c>
      <c r="S159" s="140">
        <f>IF(AND($C159="j",$D159&gt;=4,$D159&lt;=6),$B159,IF(AND($C159="h",$D159&gt;=4,$D159&lt;=6),$B159,IF(AND($C159="q",$D159&gt;=1,$D159&lt;=3),$B159,IF($C159="z",IF($D159=2,2*$B159,$B159),IF($C159="m",3*$B159,0)))))</f>
        <v>0</v>
      </c>
      <c r="T159" s="140">
        <f>IF(AND($C159="j",$D159&gt;=7,$D159&lt;=9),$B159,IF(AND($C159="h",$D159&gt;=1,$D159&lt;=3),$B159,IF(AND($C159="q",$D159&gt;=1,$D159&lt;=3),$B159,IF($C159="z",IF($D159=1,2*$B159,$B159),IF($C159="m",3*$B159,0)))))</f>
        <v>0</v>
      </c>
      <c r="U159" s="140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141">
        <f>SUM(R159:U159)</f>
        <v>0</v>
      </c>
      <c r="W159" s="143">
        <f>IF($C159="j",$B159,IF($C159="h",2*$B159,IF($C159="q",4*$B159,IF($C159="z",6*$B159,12*$B159))))</f>
        <v>0</v>
      </c>
      <c r="X159" s="144">
        <f>IF($C159="j",$B159,IF($C159="h",2*$B159,IF($C159="q",4*$B159,IF($C159="z",6*$B159,12*$B159))))</f>
        <v>0</v>
      </c>
      <c r="Z159" s="159">
        <f>Q159/12</f>
        <v>0</v>
      </c>
    </row>
    <row r="160" spans="1:26" ht="18.75" customHeight="1" x14ac:dyDescent="0.25">
      <c r="A160" s="164"/>
      <c r="B160" s="165"/>
      <c r="C160" s="166"/>
      <c r="D160" s="167"/>
      <c r="E160" s="146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47">
        <f t="shared" si="175"/>
        <v>0</v>
      </c>
      <c r="G160" s="147">
        <f t="shared" si="175"/>
        <v>0</v>
      </c>
      <c r="H160" s="147">
        <f t="shared" si="175"/>
        <v>0</v>
      </c>
      <c r="I160" s="147">
        <f t="shared" si="175"/>
        <v>0</v>
      </c>
      <c r="J160" s="147">
        <f t="shared" si="175"/>
        <v>0</v>
      </c>
      <c r="K160" s="147">
        <f t="shared" si="175"/>
        <v>0</v>
      </c>
      <c r="L160" s="147">
        <f t="shared" si="175"/>
        <v>0</v>
      </c>
      <c r="M160" s="147">
        <f t="shared" si="175"/>
        <v>0</v>
      </c>
      <c r="N160" s="147">
        <f t="shared" si="175"/>
        <v>0</v>
      </c>
      <c r="O160" s="147">
        <f t="shared" si="175"/>
        <v>0</v>
      </c>
      <c r="P160" s="147">
        <f t="shared" si="175"/>
        <v>0</v>
      </c>
      <c r="Q160" s="148">
        <f t="shared" ref="Q160:Q162" si="177">SUM(E160:P160)</f>
        <v>0</v>
      </c>
      <c r="R160" s="149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47">
        <f t="shared" ref="S160:S162" si="179">IF(AND($C160="j",$D160&gt;=4,$D160&lt;=6),$B160,IF(AND($C160="h",$D160&gt;=4,$D160&lt;=6),$B160,IF(AND($C160="q",$D160&gt;=1,$D160&lt;=3),$B160,IF($C160="z",IF($D160=2,2*$B160,$B160),IF($C160="m",3*$B160,0)))))</f>
        <v>0</v>
      </c>
      <c r="T160" s="147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47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148">
        <f t="shared" ref="V160:V162" si="182">SUM(R160:U160)</f>
        <v>0</v>
      </c>
      <c r="W160" s="150">
        <f t="shared" ref="W160:X162" si="183">IF($C160="j",$B160,IF($C160="h",2*$B160,IF($C160="q",4*$B160,IF($C160="z",6*$B160,12*$B160))))</f>
        <v>0</v>
      </c>
      <c r="X160" s="151">
        <f t="shared" si="183"/>
        <v>0</v>
      </c>
      <c r="Z160" s="160">
        <f t="shared" ref="Z160:Z162" si="184">Q160/12</f>
        <v>0</v>
      </c>
    </row>
    <row r="161" spans="1:26" ht="18.75" customHeight="1" x14ac:dyDescent="0.25">
      <c r="A161" s="164"/>
      <c r="B161" s="165"/>
      <c r="C161" s="166"/>
      <c r="D161" s="167"/>
      <c r="E161" s="146">
        <f t="shared" si="176"/>
        <v>0</v>
      </c>
      <c r="F161" s="147">
        <f t="shared" si="175"/>
        <v>0</v>
      </c>
      <c r="G161" s="147">
        <f t="shared" si="175"/>
        <v>0</v>
      </c>
      <c r="H161" s="147">
        <f t="shared" si="175"/>
        <v>0</v>
      </c>
      <c r="I161" s="147">
        <f t="shared" si="175"/>
        <v>0</v>
      </c>
      <c r="J161" s="147">
        <f t="shared" si="175"/>
        <v>0</v>
      </c>
      <c r="K161" s="147">
        <f t="shared" si="175"/>
        <v>0</v>
      </c>
      <c r="L161" s="147">
        <f t="shared" si="175"/>
        <v>0</v>
      </c>
      <c r="M161" s="147">
        <f t="shared" si="175"/>
        <v>0</v>
      </c>
      <c r="N161" s="147">
        <f t="shared" si="175"/>
        <v>0</v>
      </c>
      <c r="O161" s="147">
        <f t="shared" si="175"/>
        <v>0</v>
      </c>
      <c r="P161" s="147">
        <f t="shared" si="175"/>
        <v>0</v>
      </c>
      <c r="Q161" s="148">
        <f t="shared" si="177"/>
        <v>0</v>
      </c>
      <c r="R161" s="149">
        <f t="shared" si="178"/>
        <v>0</v>
      </c>
      <c r="S161" s="147">
        <f t="shared" si="179"/>
        <v>0</v>
      </c>
      <c r="T161" s="147">
        <f t="shared" si="180"/>
        <v>0</v>
      </c>
      <c r="U161" s="147">
        <f t="shared" si="181"/>
        <v>0</v>
      </c>
      <c r="V161" s="148">
        <f t="shared" si="182"/>
        <v>0</v>
      </c>
      <c r="W161" s="150">
        <f t="shared" si="183"/>
        <v>0</v>
      </c>
      <c r="X161" s="151">
        <f t="shared" si="183"/>
        <v>0</v>
      </c>
      <c r="Z161" s="160">
        <f t="shared" si="184"/>
        <v>0</v>
      </c>
    </row>
    <row r="162" spans="1:26" ht="18.75" customHeight="1" thickBot="1" x14ac:dyDescent="0.3">
      <c r="A162" s="168"/>
      <c r="B162" s="169"/>
      <c r="C162" s="170"/>
      <c r="D162" s="171"/>
      <c r="E162" s="153">
        <f t="shared" si="176"/>
        <v>0</v>
      </c>
      <c r="F162" s="154">
        <f t="shared" si="175"/>
        <v>0</v>
      </c>
      <c r="G162" s="154">
        <f t="shared" si="175"/>
        <v>0</v>
      </c>
      <c r="H162" s="154">
        <f t="shared" si="175"/>
        <v>0</v>
      </c>
      <c r="I162" s="154">
        <f t="shared" si="175"/>
        <v>0</v>
      </c>
      <c r="J162" s="154">
        <f t="shared" si="175"/>
        <v>0</v>
      </c>
      <c r="K162" s="154">
        <f t="shared" si="175"/>
        <v>0</v>
      </c>
      <c r="L162" s="154">
        <f t="shared" si="175"/>
        <v>0</v>
      </c>
      <c r="M162" s="154">
        <f t="shared" si="175"/>
        <v>0</v>
      </c>
      <c r="N162" s="154">
        <f t="shared" si="175"/>
        <v>0</v>
      </c>
      <c r="O162" s="154">
        <f t="shared" si="175"/>
        <v>0</v>
      </c>
      <c r="P162" s="154">
        <f t="shared" si="175"/>
        <v>0</v>
      </c>
      <c r="Q162" s="155">
        <f t="shared" si="177"/>
        <v>0</v>
      </c>
      <c r="R162" s="156">
        <f t="shared" si="178"/>
        <v>0</v>
      </c>
      <c r="S162" s="154">
        <f t="shared" si="179"/>
        <v>0</v>
      </c>
      <c r="T162" s="154">
        <f t="shared" si="180"/>
        <v>0</v>
      </c>
      <c r="U162" s="154">
        <f t="shared" si="181"/>
        <v>0</v>
      </c>
      <c r="V162" s="155">
        <f t="shared" si="182"/>
        <v>0</v>
      </c>
      <c r="W162" s="157">
        <f t="shared" si="183"/>
        <v>0</v>
      </c>
      <c r="X162" s="158">
        <f t="shared" si="183"/>
        <v>0</v>
      </c>
      <c r="Z162" s="161">
        <f t="shared" si="184"/>
        <v>0</v>
      </c>
    </row>
    <row r="163" spans="1:26" ht="7.5" customHeight="1" thickTop="1" thickBot="1" x14ac:dyDescent="0.3">
      <c r="A163" s="172"/>
      <c r="B163" s="173"/>
      <c r="C163" s="174"/>
      <c r="D163" s="175"/>
      <c r="E163" s="132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4"/>
      <c r="R163" s="135"/>
      <c r="S163" s="133"/>
      <c r="T163" s="133"/>
      <c r="U163" s="133"/>
      <c r="V163" s="134"/>
      <c r="W163" s="136"/>
      <c r="X163" s="137"/>
      <c r="Z163" s="162"/>
    </row>
    <row r="164" spans="1:26" ht="18.75" customHeight="1" thickBot="1" x14ac:dyDescent="0.3">
      <c r="A164" s="180" t="s">
        <v>52</v>
      </c>
      <c r="B164" s="179">
        <f>Z164</f>
        <v>0</v>
      </c>
      <c r="D164" s="186"/>
      <c r="E164" s="176">
        <f>SUM(E159:E162)</f>
        <v>0</v>
      </c>
      <c r="F164" s="177">
        <f t="shared" ref="F164:X164" si="185">SUM(F159:F162)</f>
        <v>0</v>
      </c>
      <c r="G164" s="177">
        <f t="shared" si="185"/>
        <v>0</v>
      </c>
      <c r="H164" s="177">
        <f t="shared" si="185"/>
        <v>0</v>
      </c>
      <c r="I164" s="177">
        <f t="shared" si="185"/>
        <v>0</v>
      </c>
      <c r="J164" s="177">
        <f t="shared" si="185"/>
        <v>0</v>
      </c>
      <c r="K164" s="177">
        <f t="shared" si="185"/>
        <v>0</v>
      </c>
      <c r="L164" s="177">
        <f t="shared" si="185"/>
        <v>0</v>
      </c>
      <c r="M164" s="177">
        <f t="shared" si="185"/>
        <v>0</v>
      </c>
      <c r="N164" s="177">
        <f t="shared" si="185"/>
        <v>0</v>
      </c>
      <c r="O164" s="177">
        <f t="shared" si="185"/>
        <v>0</v>
      </c>
      <c r="P164" s="177">
        <f t="shared" si="185"/>
        <v>0</v>
      </c>
      <c r="Q164" s="181">
        <f t="shared" si="185"/>
        <v>0</v>
      </c>
      <c r="R164" s="178">
        <f t="shared" si="185"/>
        <v>0</v>
      </c>
      <c r="S164" s="177">
        <f t="shared" si="185"/>
        <v>0</v>
      </c>
      <c r="T164" s="177">
        <f t="shared" si="185"/>
        <v>0</v>
      </c>
      <c r="U164" s="177">
        <f t="shared" si="185"/>
        <v>0</v>
      </c>
      <c r="V164" s="181">
        <f t="shared" si="185"/>
        <v>0</v>
      </c>
      <c r="W164" s="182">
        <f t="shared" si="185"/>
        <v>0</v>
      </c>
      <c r="X164" s="183">
        <f t="shared" si="185"/>
        <v>0</v>
      </c>
      <c r="Z164" s="184">
        <f>SUM(Z159:Z162)</f>
        <v>0</v>
      </c>
    </row>
  </sheetData>
  <sheetProtection algorithmName="SHA-512" hashValue="QxiTZT8w9JC2HYPduSjsYwL2K2uaG13DdWYjFYh+gm9vebj6wwLj1hf2FkkjFAsZV9mQ3jCf4I5oLGsvWLavjA==" saltValue="aAwRMmytFfZSYTEh8Id2EA==" spinCount="100000" sheet="1" objects="1" scenarios="1"/>
  <mergeCells count="196"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</mergeCells>
  <dataValidations count="3">
    <dataValidation type="list" allowBlank="1" showInputMessage="1" showErrorMessage="1" sqref="C42:C45 C34:C36 C51:C54 C60:C63 C69:C72 C78:C81 C87:C90 C96:C99 C114:C117 C123:C126 C132:C135 C141:C144 C150:C153 C159:C162 C105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5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1"/>
  <sheetViews>
    <sheetView showGridLines="0" tabSelected="1" zoomScaleNormal="100" workbookViewId="0">
      <pane xSplit="4" ySplit="8" topLeftCell="P33" activePane="bottomRight" state="frozen"/>
      <selection pane="topRight" activeCell="D1" sqref="D1"/>
      <selection pane="bottomLeft" activeCell="A9" sqref="A9"/>
      <selection pane="bottomRight" activeCell="X37" sqref="X37"/>
    </sheetView>
  </sheetViews>
  <sheetFormatPr baseColWidth="10" defaultRowHeight="15" outlineLevelRow="1" outlineLevelCol="1" x14ac:dyDescent="0.25"/>
  <cols>
    <col min="1" max="2" width="3.5703125" style="56" customWidth="1"/>
    <col min="3" max="3" width="28.5703125" style="56" customWidth="1"/>
    <col min="4" max="4" width="10" style="56" customWidth="1"/>
    <col min="5" max="10" width="12.5703125" style="56" customWidth="1" outlineLevel="1"/>
    <col min="11" max="11" width="11.85546875" style="56" customWidth="1" outlineLevel="1"/>
    <col min="12" max="12" width="12.5703125" style="56" customWidth="1" outlineLevel="1"/>
    <col min="13" max="13" width="11.85546875" style="56" customWidth="1" outlineLevel="1"/>
    <col min="14" max="16" width="12.5703125" style="56" customWidth="1" outlineLevel="1"/>
    <col min="17" max="17" width="13.7109375" style="56" bestFit="1" customWidth="1"/>
    <col min="18" max="18" width="12.42578125" style="56" customWidth="1" outlineLevel="1"/>
    <col min="19" max="19" width="13.28515625" style="56" customWidth="1" outlineLevel="1"/>
    <col min="20" max="20" width="12.42578125" style="56" customWidth="1" outlineLevel="1"/>
    <col min="21" max="21" width="12.5703125" style="56" customWidth="1" outlineLevel="1"/>
    <col min="22" max="22" width="12.42578125" style="56" bestFit="1" customWidth="1"/>
    <col min="23" max="24" width="13.28515625" style="56" bestFit="1" customWidth="1"/>
    <col min="25" max="16384" width="11.42578125" style="56"/>
  </cols>
  <sheetData>
    <row r="1" spans="1:24" ht="27" thickBot="1" x14ac:dyDescent="0.3">
      <c r="A1" s="421" t="s">
        <v>104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</row>
    <row r="2" spans="1:24" ht="15.75" thickBot="1" x14ac:dyDescent="0.3"/>
    <row r="3" spans="1:24" x14ac:dyDescent="0.25">
      <c r="A3" s="478" t="s">
        <v>114</v>
      </c>
      <c r="B3" s="479"/>
      <c r="C3" s="480"/>
      <c r="D3" s="291">
        <v>0</v>
      </c>
      <c r="E3" s="298"/>
    </row>
    <row r="4" spans="1:24" x14ac:dyDescent="0.25">
      <c r="A4" s="481" t="s">
        <v>115</v>
      </c>
      <c r="B4" s="482"/>
      <c r="C4" s="483"/>
      <c r="D4" s="292">
        <v>0.03</v>
      </c>
      <c r="E4" s="298"/>
    </row>
    <row r="5" spans="1:24" x14ac:dyDescent="0.25">
      <c r="A5" s="481" t="s">
        <v>141</v>
      </c>
      <c r="B5" s="482"/>
      <c r="C5" s="482"/>
      <c r="D5" s="294">
        <v>0.25</v>
      </c>
      <c r="E5" s="298"/>
    </row>
    <row r="6" spans="1:24" ht="15.75" thickBot="1" x14ac:dyDescent="0.3">
      <c r="A6" s="484" t="s">
        <v>111</v>
      </c>
      <c r="B6" s="485"/>
      <c r="C6" s="486"/>
      <c r="D6" s="293">
        <v>0.2</v>
      </c>
      <c r="E6" s="299"/>
    </row>
    <row r="7" spans="1:24" ht="18.75" customHeight="1" x14ac:dyDescent="0.25">
      <c r="A7" s="505" t="s">
        <v>105</v>
      </c>
      <c r="B7" s="506"/>
      <c r="C7" s="506"/>
      <c r="D7" s="507"/>
      <c r="E7" s="429" t="s">
        <v>20</v>
      </c>
      <c r="F7" s="429"/>
      <c r="G7" s="429"/>
      <c r="H7" s="429"/>
      <c r="I7" s="429"/>
      <c r="J7" s="429"/>
      <c r="K7" s="429"/>
      <c r="L7" s="429"/>
      <c r="M7" s="429"/>
      <c r="N7" s="429"/>
      <c r="O7" s="429"/>
      <c r="P7" s="429"/>
      <c r="Q7" s="438" t="s">
        <v>20</v>
      </c>
      <c r="R7" s="428" t="s">
        <v>25</v>
      </c>
      <c r="S7" s="429"/>
      <c r="T7" s="429"/>
      <c r="U7" s="429"/>
      <c r="V7" s="438" t="s">
        <v>25</v>
      </c>
      <c r="W7" s="438" t="s">
        <v>26</v>
      </c>
      <c r="X7" s="440" t="s">
        <v>27</v>
      </c>
    </row>
    <row r="8" spans="1:24" ht="18.75" customHeight="1" thickBot="1" x14ac:dyDescent="0.3">
      <c r="A8" s="508"/>
      <c r="B8" s="509"/>
      <c r="C8" s="509"/>
      <c r="D8" s="510"/>
      <c r="E8" s="206">
        <v>1</v>
      </c>
      <c r="F8" s="15">
        <v>2</v>
      </c>
      <c r="G8" s="15">
        <v>3</v>
      </c>
      <c r="H8" s="15">
        <v>4</v>
      </c>
      <c r="I8" s="15">
        <v>5</v>
      </c>
      <c r="J8" s="15">
        <v>6</v>
      </c>
      <c r="K8" s="15">
        <v>7</v>
      </c>
      <c r="L8" s="15">
        <v>8</v>
      </c>
      <c r="M8" s="15">
        <v>9</v>
      </c>
      <c r="N8" s="15">
        <v>10</v>
      </c>
      <c r="O8" s="15">
        <v>11</v>
      </c>
      <c r="P8" s="16">
        <v>12</v>
      </c>
      <c r="Q8" s="439"/>
      <c r="R8" s="17" t="s">
        <v>21</v>
      </c>
      <c r="S8" s="15" t="s">
        <v>22</v>
      </c>
      <c r="T8" s="15" t="s">
        <v>23</v>
      </c>
      <c r="U8" s="16" t="s">
        <v>24</v>
      </c>
      <c r="V8" s="439"/>
      <c r="W8" s="439"/>
      <c r="X8" s="441"/>
    </row>
    <row r="9" spans="1:24" ht="18.75" customHeight="1" thickTop="1" x14ac:dyDescent="0.25">
      <c r="A9" s="300" t="s">
        <v>119</v>
      </c>
      <c r="B9" s="494" t="s">
        <v>106</v>
      </c>
      <c r="C9" s="494"/>
      <c r="D9" s="495"/>
      <c r="E9" s="290">
        <v>0</v>
      </c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>
        <v>100000</v>
      </c>
      <c r="L9" s="31">
        <v>0</v>
      </c>
      <c r="M9" s="31">
        <v>100000</v>
      </c>
      <c r="N9" s="31">
        <v>10000</v>
      </c>
      <c r="O9" s="31">
        <v>10000</v>
      </c>
      <c r="P9" s="295">
        <v>10000</v>
      </c>
      <c r="Q9" s="21">
        <f>SUM(E9:P9)</f>
        <v>230000</v>
      </c>
      <c r="R9" s="289">
        <v>200000</v>
      </c>
      <c r="S9" s="31">
        <v>200000</v>
      </c>
      <c r="T9" s="31">
        <v>200000</v>
      </c>
      <c r="U9" s="295">
        <v>200000</v>
      </c>
      <c r="V9" s="21">
        <f>SUM(R9:U9)</f>
        <v>800000</v>
      </c>
      <c r="W9" s="287">
        <v>1000000</v>
      </c>
      <c r="X9" s="288">
        <v>2000000</v>
      </c>
    </row>
    <row r="10" spans="1:24" ht="18.75" customHeight="1" thickBot="1" x14ac:dyDescent="0.3">
      <c r="A10" s="301" t="s">
        <v>118</v>
      </c>
      <c r="B10" s="496" t="s">
        <v>107</v>
      </c>
      <c r="C10" s="496"/>
      <c r="D10" s="497"/>
      <c r="E10" s="271">
        <f>-(E9*$D$6)</f>
        <v>0</v>
      </c>
      <c r="F10" s="272">
        <f t="shared" ref="F10:P10" si="0">-(F9*$D$6)</f>
        <v>0</v>
      </c>
      <c r="G10" s="272">
        <f t="shared" si="0"/>
        <v>0</v>
      </c>
      <c r="H10" s="272">
        <f t="shared" si="0"/>
        <v>0</v>
      </c>
      <c r="I10" s="272">
        <f t="shared" si="0"/>
        <v>0</v>
      </c>
      <c r="J10" s="272">
        <f t="shared" si="0"/>
        <v>0</v>
      </c>
      <c r="K10" s="272">
        <f t="shared" si="0"/>
        <v>-20000</v>
      </c>
      <c r="L10" s="272">
        <f t="shared" si="0"/>
        <v>0</v>
      </c>
      <c r="M10" s="272">
        <f t="shared" si="0"/>
        <v>-20000</v>
      </c>
      <c r="N10" s="272">
        <f t="shared" si="0"/>
        <v>-2000</v>
      </c>
      <c r="O10" s="272">
        <f t="shared" si="0"/>
        <v>-2000</v>
      </c>
      <c r="P10" s="302">
        <f t="shared" si="0"/>
        <v>-2000</v>
      </c>
      <c r="Q10" s="277">
        <f t="shared" ref="Q10:Q40" si="1">SUM(E10:P10)</f>
        <v>-46000</v>
      </c>
      <c r="R10" s="303">
        <f>-(R9*$D$6)</f>
        <v>-40000</v>
      </c>
      <c r="S10" s="272">
        <f t="shared" ref="S10:U10" si="2">-(S9*$D$6)</f>
        <v>-40000</v>
      </c>
      <c r="T10" s="272">
        <f t="shared" si="2"/>
        <v>-40000</v>
      </c>
      <c r="U10" s="302">
        <f t="shared" si="2"/>
        <v>-40000</v>
      </c>
      <c r="V10" s="277">
        <f t="shared" ref="V10:V40" si="3">SUM(R10:U10)</f>
        <v>-160000</v>
      </c>
      <c r="W10" s="277">
        <f>-(W9*$D$6)</f>
        <v>-200000</v>
      </c>
      <c r="X10" s="278">
        <f>-(X9*$D$6)</f>
        <v>-400000</v>
      </c>
    </row>
    <row r="11" spans="1:24" s="314" customFormat="1" ht="7.5" customHeight="1" thickTop="1" x14ac:dyDescent="0.25">
      <c r="A11" s="304"/>
      <c r="B11" s="305"/>
      <c r="C11" s="305"/>
      <c r="D11" s="306"/>
      <c r="E11" s="307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/>
      <c r="Q11" s="310"/>
      <c r="R11" s="311"/>
      <c r="S11" s="308"/>
      <c r="T11" s="308"/>
      <c r="U11" s="309"/>
      <c r="V11" s="310"/>
      <c r="W11" s="312"/>
      <c r="X11" s="313"/>
    </row>
    <row r="12" spans="1:24" ht="18.75" customHeight="1" thickBot="1" x14ac:dyDescent="0.3">
      <c r="A12" s="489" t="s">
        <v>108</v>
      </c>
      <c r="B12" s="490"/>
      <c r="C12" s="490"/>
      <c r="D12" s="491"/>
      <c r="E12" s="315">
        <f t="shared" ref="E12:P12" si="4">E9+E10</f>
        <v>0</v>
      </c>
      <c r="F12" s="316">
        <f t="shared" si="4"/>
        <v>0</v>
      </c>
      <c r="G12" s="316">
        <f t="shared" si="4"/>
        <v>0</v>
      </c>
      <c r="H12" s="316">
        <f t="shared" si="4"/>
        <v>0</v>
      </c>
      <c r="I12" s="316">
        <f t="shared" si="4"/>
        <v>0</v>
      </c>
      <c r="J12" s="316">
        <f t="shared" si="4"/>
        <v>0</v>
      </c>
      <c r="K12" s="316">
        <f t="shared" si="4"/>
        <v>80000</v>
      </c>
      <c r="L12" s="316">
        <f t="shared" si="4"/>
        <v>0</v>
      </c>
      <c r="M12" s="316">
        <f t="shared" si="4"/>
        <v>80000</v>
      </c>
      <c r="N12" s="316">
        <f t="shared" si="4"/>
        <v>8000</v>
      </c>
      <c r="O12" s="316">
        <f t="shared" si="4"/>
        <v>8000</v>
      </c>
      <c r="P12" s="317">
        <f t="shared" si="4"/>
        <v>8000</v>
      </c>
      <c r="Q12" s="318">
        <f t="shared" si="1"/>
        <v>184000</v>
      </c>
      <c r="R12" s="319">
        <f t="shared" ref="R12:X12" si="5">R9+R10</f>
        <v>160000</v>
      </c>
      <c r="S12" s="316">
        <f t="shared" si="5"/>
        <v>160000</v>
      </c>
      <c r="T12" s="316">
        <f t="shared" si="5"/>
        <v>160000</v>
      </c>
      <c r="U12" s="317">
        <f t="shared" si="5"/>
        <v>160000</v>
      </c>
      <c r="V12" s="318">
        <f t="shared" si="5"/>
        <v>640000</v>
      </c>
      <c r="W12" s="320">
        <f t="shared" si="5"/>
        <v>800000</v>
      </c>
      <c r="X12" s="321">
        <f t="shared" si="5"/>
        <v>1600000</v>
      </c>
    </row>
    <row r="13" spans="1:24" ht="18.75" customHeight="1" outlineLevel="1" thickTop="1" x14ac:dyDescent="0.25">
      <c r="A13" s="300" t="s">
        <v>118</v>
      </c>
      <c r="B13" s="494" t="s">
        <v>109</v>
      </c>
      <c r="C13" s="494"/>
      <c r="D13" s="495"/>
      <c r="E13" s="322">
        <f>-(E12*$D$3)</f>
        <v>0</v>
      </c>
      <c r="F13" s="20">
        <f t="shared" ref="F13:P13" si="6">-(F12*$D$3)</f>
        <v>0</v>
      </c>
      <c r="G13" s="20">
        <f t="shared" si="6"/>
        <v>0</v>
      </c>
      <c r="H13" s="20">
        <f t="shared" si="6"/>
        <v>0</v>
      </c>
      <c r="I13" s="20">
        <f t="shared" si="6"/>
        <v>0</v>
      </c>
      <c r="J13" s="20">
        <f t="shared" si="6"/>
        <v>0</v>
      </c>
      <c r="K13" s="20">
        <f t="shared" si="6"/>
        <v>0</v>
      </c>
      <c r="L13" s="20">
        <f t="shared" si="6"/>
        <v>0</v>
      </c>
      <c r="M13" s="20">
        <f t="shared" si="6"/>
        <v>0</v>
      </c>
      <c r="N13" s="20">
        <f t="shared" si="6"/>
        <v>0</v>
      </c>
      <c r="O13" s="20">
        <f t="shared" si="6"/>
        <v>0</v>
      </c>
      <c r="P13" s="323">
        <f t="shared" si="6"/>
        <v>0</v>
      </c>
      <c r="Q13" s="21">
        <f t="shared" si="1"/>
        <v>0</v>
      </c>
      <c r="R13" s="322">
        <f>-(R12*$D$3)</f>
        <v>0</v>
      </c>
      <c r="S13" s="20">
        <f t="shared" ref="S13:U13" si="7">-(S12*$D$3)</f>
        <v>0</v>
      </c>
      <c r="T13" s="20">
        <f t="shared" si="7"/>
        <v>0</v>
      </c>
      <c r="U13" s="323">
        <f t="shared" si="7"/>
        <v>0</v>
      </c>
      <c r="V13" s="21">
        <f t="shared" si="3"/>
        <v>0</v>
      </c>
      <c r="W13" s="324">
        <f>-(W12*$D$3)</f>
        <v>0</v>
      </c>
      <c r="X13" s="325">
        <f>-(X12*$D$3)</f>
        <v>0</v>
      </c>
    </row>
    <row r="14" spans="1:24" ht="18.75" customHeight="1" outlineLevel="1" x14ac:dyDescent="0.25">
      <c r="A14" s="326" t="s">
        <v>118</v>
      </c>
      <c r="B14" s="492" t="s">
        <v>110</v>
      </c>
      <c r="C14" s="492"/>
      <c r="D14" s="493"/>
      <c r="E14" s="327">
        <f>-(E12*$D$4)</f>
        <v>0</v>
      </c>
      <c r="F14" s="24">
        <f t="shared" ref="F14:P14" si="8">-(F12*$D$4)</f>
        <v>0</v>
      </c>
      <c r="G14" s="24">
        <f t="shared" si="8"/>
        <v>0</v>
      </c>
      <c r="H14" s="24">
        <f t="shared" si="8"/>
        <v>0</v>
      </c>
      <c r="I14" s="24">
        <f t="shared" si="8"/>
        <v>0</v>
      </c>
      <c r="J14" s="24">
        <f t="shared" si="8"/>
        <v>0</v>
      </c>
      <c r="K14" s="24">
        <f t="shared" si="8"/>
        <v>-2400</v>
      </c>
      <c r="L14" s="24">
        <f t="shared" si="8"/>
        <v>0</v>
      </c>
      <c r="M14" s="24">
        <f t="shared" si="8"/>
        <v>-2400</v>
      </c>
      <c r="N14" s="24">
        <f t="shared" si="8"/>
        <v>-240</v>
      </c>
      <c r="O14" s="24">
        <f t="shared" si="8"/>
        <v>-240</v>
      </c>
      <c r="P14" s="328">
        <f t="shared" si="8"/>
        <v>-240</v>
      </c>
      <c r="Q14" s="25">
        <f t="shared" si="1"/>
        <v>-5520</v>
      </c>
      <c r="R14" s="327">
        <f>-(R12*$D$4)</f>
        <v>-4800</v>
      </c>
      <c r="S14" s="24">
        <f t="shared" ref="S14:U14" si="9">-(S12*$D$4)</f>
        <v>-4800</v>
      </c>
      <c r="T14" s="24">
        <f t="shared" si="9"/>
        <v>-4800</v>
      </c>
      <c r="U14" s="328">
        <f t="shared" si="9"/>
        <v>-4800</v>
      </c>
      <c r="V14" s="25">
        <f t="shared" si="3"/>
        <v>-19200</v>
      </c>
      <c r="W14" s="329">
        <f>-(W12*$D$4)</f>
        <v>-24000</v>
      </c>
      <c r="X14" s="330">
        <f>-(X12*$D$4)</f>
        <v>-48000</v>
      </c>
    </row>
    <row r="15" spans="1:24" ht="18.75" customHeight="1" outlineLevel="1" x14ac:dyDescent="0.25">
      <c r="A15" s="326" t="s">
        <v>119</v>
      </c>
      <c r="B15" s="492" t="s">
        <v>112</v>
      </c>
      <c r="C15" s="492"/>
      <c r="D15" s="493"/>
      <c r="E15" s="280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296"/>
      <c r="Q15" s="25">
        <f t="shared" si="1"/>
        <v>0</v>
      </c>
      <c r="R15" s="280"/>
      <c r="S15" s="165"/>
      <c r="T15" s="165"/>
      <c r="U15" s="296"/>
      <c r="V15" s="25">
        <f t="shared" si="3"/>
        <v>0</v>
      </c>
      <c r="W15" s="283"/>
      <c r="X15" s="284"/>
    </row>
    <row r="16" spans="1:24" ht="18.75" customHeight="1" outlineLevel="1" thickBot="1" x14ac:dyDescent="0.3">
      <c r="A16" s="301" t="s">
        <v>119</v>
      </c>
      <c r="B16" s="496" t="s">
        <v>113</v>
      </c>
      <c r="C16" s="496"/>
      <c r="D16" s="497"/>
      <c r="E16" s="281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97"/>
      <c r="Q16" s="277">
        <f t="shared" si="1"/>
        <v>0</v>
      </c>
      <c r="R16" s="281"/>
      <c r="S16" s="282"/>
      <c r="T16" s="282"/>
      <c r="U16" s="297"/>
      <c r="V16" s="277">
        <f t="shared" si="3"/>
        <v>0</v>
      </c>
      <c r="W16" s="285"/>
      <c r="X16" s="286"/>
    </row>
    <row r="17" spans="1:24" s="337" customFormat="1" ht="7.5" customHeight="1" outlineLevel="1" thickTop="1" x14ac:dyDescent="0.25">
      <c r="A17" s="304"/>
      <c r="B17" s="305"/>
      <c r="C17" s="305"/>
      <c r="D17" s="306"/>
      <c r="E17" s="331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3"/>
      <c r="Q17" s="334"/>
      <c r="R17" s="331"/>
      <c r="S17" s="332"/>
      <c r="T17" s="332"/>
      <c r="U17" s="333"/>
      <c r="V17" s="334"/>
      <c r="W17" s="335"/>
      <c r="X17" s="336"/>
    </row>
    <row r="18" spans="1:24" ht="18.75" customHeight="1" thickBot="1" x14ac:dyDescent="0.3">
      <c r="A18" s="489" t="s">
        <v>116</v>
      </c>
      <c r="B18" s="490"/>
      <c r="C18" s="490"/>
      <c r="D18" s="491"/>
      <c r="E18" s="319">
        <f>SUM(E12:E16)</f>
        <v>0</v>
      </c>
      <c r="F18" s="316">
        <f t="shared" ref="F18:R18" si="10">SUM(F12:F16)</f>
        <v>0</v>
      </c>
      <c r="G18" s="316">
        <f t="shared" si="10"/>
        <v>0</v>
      </c>
      <c r="H18" s="316">
        <f t="shared" si="10"/>
        <v>0</v>
      </c>
      <c r="I18" s="316">
        <f t="shared" si="10"/>
        <v>0</v>
      </c>
      <c r="J18" s="316">
        <f t="shared" si="10"/>
        <v>0</v>
      </c>
      <c r="K18" s="316">
        <f t="shared" si="10"/>
        <v>77600</v>
      </c>
      <c r="L18" s="316">
        <f t="shared" si="10"/>
        <v>0</v>
      </c>
      <c r="M18" s="316">
        <f t="shared" si="10"/>
        <v>77600</v>
      </c>
      <c r="N18" s="316">
        <f t="shared" si="10"/>
        <v>7760</v>
      </c>
      <c r="O18" s="316">
        <f t="shared" si="10"/>
        <v>7760</v>
      </c>
      <c r="P18" s="317">
        <f t="shared" si="10"/>
        <v>7760</v>
      </c>
      <c r="Q18" s="318">
        <f t="shared" si="1"/>
        <v>178480</v>
      </c>
      <c r="R18" s="319">
        <f t="shared" si="10"/>
        <v>155200</v>
      </c>
      <c r="S18" s="316">
        <f t="shared" ref="S18" si="11">SUM(S12:S16)</f>
        <v>155200</v>
      </c>
      <c r="T18" s="316">
        <f t="shared" ref="T18" si="12">SUM(T12:T16)</f>
        <v>155200</v>
      </c>
      <c r="U18" s="317">
        <f t="shared" ref="U18:X18" si="13">SUM(U12:U16)</f>
        <v>155200</v>
      </c>
      <c r="V18" s="318">
        <f t="shared" si="13"/>
        <v>620800</v>
      </c>
      <c r="W18" s="320">
        <f t="shared" si="13"/>
        <v>776000</v>
      </c>
      <c r="X18" s="338">
        <f t="shared" si="13"/>
        <v>1552000</v>
      </c>
    </row>
    <row r="19" spans="1:24" ht="18.75" customHeight="1" outlineLevel="1" thickTop="1" x14ac:dyDescent="0.25">
      <c r="A19" s="300" t="s">
        <v>118</v>
      </c>
      <c r="B19" s="494" t="str">
        <f>Plankosten!A40</f>
        <v>Materialeinsatz</v>
      </c>
      <c r="C19" s="494"/>
      <c r="D19" s="495"/>
      <c r="E19" s="322">
        <f>-Plankosten!E47</f>
        <v>0</v>
      </c>
      <c r="F19" s="20">
        <f>-Plankosten!F47</f>
        <v>0</v>
      </c>
      <c r="G19" s="20">
        <f>-Plankosten!G47</f>
        <v>0</v>
      </c>
      <c r="H19" s="20">
        <f>-Plankosten!H47</f>
        <v>0</v>
      </c>
      <c r="I19" s="20">
        <f>-Plankosten!I47</f>
        <v>0</v>
      </c>
      <c r="J19" s="20">
        <f>-Plankosten!J47</f>
        <v>0</v>
      </c>
      <c r="K19" s="20">
        <f>-Plankosten!K47</f>
        <v>0</v>
      </c>
      <c r="L19" s="20">
        <f>-Plankosten!L47</f>
        <v>0</v>
      </c>
      <c r="M19" s="20">
        <f>-Plankosten!M47</f>
        <v>0</v>
      </c>
      <c r="N19" s="20">
        <f>-Plankosten!N47</f>
        <v>0</v>
      </c>
      <c r="O19" s="20">
        <f>-Plankosten!O47</f>
        <v>0</v>
      </c>
      <c r="P19" s="323">
        <f>-Plankosten!P47</f>
        <v>0</v>
      </c>
      <c r="Q19" s="21">
        <f t="shared" si="1"/>
        <v>0</v>
      </c>
      <c r="R19" s="322">
        <f>-Plankosten!R47</f>
        <v>0</v>
      </c>
      <c r="S19" s="20">
        <f>-Plankosten!S47</f>
        <v>0</v>
      </c>
      <c r="T19" s="20">
        <f>-Plankosten!T47</f>
        <v>0</v>
      </c>
      <c r="U19" s="323">
        <f>-Plankosten!U47</f>
        <v>0</v>
      </c>
      <c r="V19" s="21">
        <f t="shared" si="3"/>
        <v>0</v>
      </c>
      <c r="W19" s="324">
        <f>-Plankosten!W47</f>
        <v>0</v>
      </c>
      <c r="X19" s="325">
        <f>-Plankosten!X47</f>
        <v>0</v>
      </c>
    </row>
    <row r="20" spans="1:24" ht="18.75" customHeight="1" outlineLevel="1" thickBot="1" x14ac:dyDescent="0.3">
      <c r="A20" s="301" t="s">
        <v>118</v>
      </c>
      <c r="B20" s="496" t="str">
        <f>Plankosten!A49</f>
        <v>Roh-, Betriebs- uns Hilfsstoffe</v>
      </c>
      <c r="C20" s="496"/>
      <c r="D20" s="497"/>
      <c r="E20" s="339">
        <f>-Plankosten!E56</f>
        <v>0</v>
      </c>
      <c r="F20" s="272">
        <f>-Plankosten!F56</f>
        <v>0</v>
      </c>
      <c r="G20" s="272">
        <f>-Plankosten!G56</f>
        <v>0</v>
      </c>
      <c r="H20" s="272">
        <f>-Plankosten!H56</f>
        <v>0</v>
      </c>
      <c r="I20" s="272">
        <f>-Plankosten!I56</f>
        <v>0</v>
      </c>
      <c r="J20" s="272">
        <f>-Plankosten!J56</f>
        <v>0</v>
      </c>
      <c r="K20" s="272">
        <f>-Plankosten!K56</f>
        <v>0</v>
      </c>
      <c r="L20" s="272">
        <f>-Plankosten!L56</f>
        <v>0</v>
      </c>
      <c r="M20" s="272">
        <f>-Plankosten!M56</f>
        <v>0</v>
      </c>
      <c r="N20" s="272">
        <f>-Plankosten!N56</f>
        <v>0</v>
      </c>
      <c r="O20" s="272">
        <f>-Plankosten!O56</f>
        <v>0</v>
      </c>
      <c r="P20" s="302">
        <f>-Plankosten!P56</f>
        <v>0</v>
      </c>
      <c r="Q20" s="277">
        <f t="shared" si="1"/>
        <v>0</v>
      </c>
      <c r="R20" s="339">
        <f>-Plankosten!R56</f>
        <v>0</v>
      </c>
      <c r="S20" s="272">
        <f>-Plankosten!S56</f>
        <v>0</v>
      </c>
      <c r="T20" s="272">
        <f>-Plankosten!T56</f>
        <v>0</v>
      </c>
      <c r="U20" s="302">
        <f>-Plankosten!U56</f>
        <v>0</v>
      </c>
      <c r="V20" s="277">
        <f t="shared" si="3"/>
        <v>0</v>
      </c>
      <c r="W20" s="340">
        <f>-Plankosten!W56</f>
        <v>0</v>
      </c>
      <c r="X20" s="341">
        <f>-Plankosten!X56</f>
        <v>0</v>
      </c>
    </row>
    <row r="21" spans="1:24" s="337" customFormat="1" ht="7.5" customHeight="1" outlineLevel="1" thickTop="1" x14ac:dyDescent="0.25">
      <c r="A21" s="304"/>
      <c r="B21" s="305"/>
      <c r="C21" s="305"/>
      <c r="D21" s="306"/>
      <c r="E21" s="331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3"/>
      <c r="Q21" s="334"/>
      <c r="R21" s="331"/>
      <c r="S21" s="332"/>
      <c r="T21" s="332"/>
      <c r="U21" s="333"/>
      <c r="V21" s="334"/>
      <c r="W21" s="335"/>
      <c r="X21" s="336"/>
    </row>
    <row r="22" spans="1:24" ht="18.75" customHeight="1" thickBot="1" x14ac:dyDescent="0.3">
      <c r="A22" s="489" t="s">
        <v>117</v>
      </c>
      <c r="B22" s="490"/>
      <c r="C22" s="490"/>
      <c r="D22" s="491"/>
      <c r="E22" s="319">
        <f>SUM(E18:E20)</f>
        <v>0</v>
      </c>
      <c r="F22" s="316">
        <f t="shared" ref="F22:X22" si="14">SUM(F18:F20)</f>
        <v>0</v>
      </c>
      <c r="G22" s="316">
        <f t="shared" si="14"/>
        <v>0</v>
      </c>
      <c r="H22" s="316">
        <f t="shared" si="14"/>
        <v>0</v>
      </c>
      <c r="I22" s="316">
        <f t="shared" si="14"/>
        <v>0</v>
      </c>
      <c r="J22" s="316">
        <f t="shared" si="14"/>
        <v>0</v>
      </c>
      <c r="K22" s="316">
        <f t="shared" si="14"/>
        <v>77600</v>
      </c>
      <c r="L22" s="316">
        <f t="shared" si="14"/>
        <v>0</v>
      </c>
      <c r="M22" s="316">
        <f t="shared" si="14"/>
        <v>77600</v>
      </c>
      <c r="N22" s="316">
        <f t="shared" si="14"/>
        <v>7760</v>
      </c>
      <c r="O22" s="316">
        <f t="shared" si="14"/>
        <v>7760</v>
      </c>
      <c r="P22" s="317">
        <f t="shared" si="14"/>
        <v>7760</v>
      </c>
      <c r="Q22" s="318">
        <f t="shared" si="1"/>
        <v>178480</v>
      </c>
      <c r="R22" s="319">
        <f t="shared" si="14"/>
        <v>155200</v>
      </c>
      <c r="S22" s="316">
        <f t="shared" si="14"/>
        <v>155200</v>
      </c>
      <c r="T22" s="316">
        <f t="shared" si="14"/>
        <v>155200</v>
      </c>
      <c r="U22" s="317">
        <f t="shared" si="14"/>
        <v>155200</v>
      </c>
      <c r="V22" s="318">
        <f t="shared" si="14"/>
        <v>620800</v>
      </c>
      <c r="W22" s="320">
        <f t="shared" si="14"/>
        <v>776000</v>
      </c>
      <c r="X22" s="338">
        <f t="shared" si="14"/>
        <v>1552000</v>
      </c>
    </row>
    <row r="23" spans="1:24" ht="18.75" customHeight="1" outlineLevel="1" thickTop="1" x14ac:dyDescent="0.25">
      <c r="A23" s="300" t="s">
        <v>118</v>
      </c>
      <c r="B23" s="494" t="str">
        <f>Plankosten!A32</f>
        <v>Personalkosten</v>
      </c>
      <c r="C23" s="494"/>
      <c r="D23" s="495"/>
      <c r="E23" s="322">
        <f>-Plankosten!E38</f>
        <v>-16200.000000000002</v>
      </c>
      <c r="F23" s="20">
        <f>-Plankosten!F38</f>
        <v>-18508</v>
      </c>
      <c r="G23" s="20">
        <f>-Plankosten!G38</f>
        <v>-18508</v>
      </c>
      <c r="H23" s="20">
        <f>-Plankosten!H38</f>
        <v>-25804</v>
      </c>
      <c r="I23" s="20">
        <f>-Plankosten!I38</f>
        <v>-49399.166666666672</v>
      </c>
      <c r="J23" s="20">
        <f>-Plankosten!J38</f>
        <v>-25804</v>
      </c>
      <c r="K23" s="20">
        <f>-Plankosten!K38</f>
        <v>-25804</v>
      </c>
      <c r="L23" s="20">
        <f>-Plankosten!L38</f>
        <v>-25804</v>
      </c>
      <c r="M23" s="20">
        <f>-Plankosten!M38</f>
        <v>-25804</v>
      </c>
      <c r="N23" s="20">
        <f>-Plankosten!N38</f>
        <v>-25804</v>
      </c>
      <c r="O23" s="20">
        <f>-Plankosten!O38</f>
        <v>-49399.166666666672</v>
      </c>
      <c r="P23" s="323">
        <f>-Plankosten!P38</f>
        <v>-25804</v>
      </c>
      <c r="Q23" s="21">
        <f t="shared" si="1"/>
        <v>-332642.33333333337</v>
      </c>
      <c r="R23" s="322">
        <f>-Plankosten!R38</f>
        <v>-114867</v>
      </c>
      <c r="S23" s="20">
        <f>-Plankosten!S38</f>
        <v>-152856</v>
      </c>
      <c r="T23" s="20">
        <f>-Plankosten!T38</f>
        <v>-114867</v>
      </c>
      <c r="U23" s="323">
        <f>-Plankosten!U38</f>
        <v>-152856</v>
      </c>
      <c r="V23" s="21">
        <f t="shared" si="3"/>
        <v>-535446</v>
      </c>
      <c r="W23" s="324">
        <f>-Plankosten!W38</f>
        <v>-726513.21000000008</v>
      </c>
      <c r="X23" s="325">
        <f>-Plankosten!X38</f>
        <v>-762604.87049999996</v>
      </c>
    </row>
    <row r="24" spans="1:24" ht="30" customHeight="1" outlineLevel="1" x14ac:dyDescent="0.25">
      <c r="A24" s="326" t="s">
        <v>118</v>
      </c>
      <c r="B24" s="503" t="str">
        <f>Plankosten!A58</f>
        <v>Sonstige betriebliche Aufwendungen
(Miete, Pacht, Betriebskosten)</v>
      </c>
      <c r="C24" s="503"/>
      <c r="D24" s="504"/>
      <c r="E24" s="327">
        <f>-Plankosten!E65</f>
        <v>-1271</v>
      </c>
      <c r="F24" s="24">
        <f>-Plankosten!F65</f>
        <v>-1271</v>
      </c>
      <c r="G24" s="24">
        <f>-Plankosten!G65</f>
        <v>-1271</v>
      </c>
      <c r="H24" s="24">
        <f>-Plankosten!H65</f>
        <v>-1271</v>
      </c>
      <c r="I24" s="24">
        <f>-Plankosten!I65</f>
        <v>-1271</v>
      </c>
      <c r="J24" s="24">
        <f>-Plankosten!J65</f>
        <v>-1271</v>
      </c>
      <c r="K24" s="24">
        <f>-Plankosten!K65</f>
        <v>-1271</v>
      </c>
      <c r="L24" s="24">
        <f>-Plankosten!L65</f>
        <v>-1271</v>
      </c>
      <c r="M24" s="24">
        <f>-Plankosten!M65</f>
        <v>-1271</v>
      </c>
      <c r="N24" s="24">
        <f>-Plankosten!N65</f>
        <v>-1271</v>
      </c>
      <c r="O24" s="24">
        <f>-Plankosten!O65</f>
        <v>-1271</v>
      </c>
      <c r="P24" s="328">
        <f>-Plankosten!P65</f>
        <v>-1271</v>
      </c>
      <c r="Q24" s="25">
        <f t="shared" si="1"/>
        <v>-15252</v>
      </c>
      <c r="R24" s="327">
        <f>-Plankosten!R65</f>
        <v>-3813</v>
      </c>
      <c r="S24" s="24">
        <f>-Plankosten!S65</f>
        <v>-3813</v>
      </c>
      <c r="T24" s="24">
        <f>-Plankosten!T65</f>
        <v>-3813</v>
      </c>
      <c r="U24" s="328">
        <f>-Plankosten!U65</f>
        <v>-3813</v>
      </c>
      <c r="V24" s="25">
        <f t="shared" si="3"/>
        <v>-15252</v>
      </c>
      <c r="W24" s="329">
        <f>-Plankosten!W65</f>
        <v>-15252</v>
      </c>
      <c r="X24" s="330">
        <f>-Plankosten!X65</f>
        <v>-15252</v>
      </c>
    </row>
    <row r="25" spans="1:24" ht="18.75" customHeight="1" outlineLevel="1" x14ac:dyDescent="0.25">
      <c r="A25" s="326" t="s">
        <v>118</v>
      </c>
      <c r="B25" s="492" t="str">
        <f>Plankosten!A67</f>
        <v>Instandhaltung</v>
      </c>
      <c r="C25" s="492"/>
      <c r="D25" s="493"/>
      <c r="E25" s="327">
        <f>-Plankosten!E74</f>
        <v>0</v>
      </c>
      <c r="F25" s="24">
        <f>-Plankosten!F74</f>
        <v>0</v>
      </c>
      <c r="G25" s="24">
        <f>-Plankosten!G74</f>
        <v>0</v>
      </c>
      <c r="H25" s="24">
        <f>-Plankosten!H74</f>
        <v>0</v>
      </c>
      <c r="I25" s="24">
        <f>-Plankosten!I74</f>
        <v>0</v>
      </c>
      <c r="J25" s="24">
        <f>-Plankosten!J74</f>
        <v>0</v>
      </c>
      <c r="K25" s="24">
        <f>-Plankosten!K74</f>
        <v>0</v>
      </c>
      <c r="L25" s="24">
        <f>-Plankosten!L74</f>
        <v>0</v>
      </c>
      <c r="M25" s="24">
        <f>-Plankosten!M74</f>
        <v>0</v>
      </c>
      <c r="N25" s="24">
        <f>-Plankosten!N74</f>
        <v>0</v>
      </c>
      <c r="O25" s="24">
        <f>-Plankosten!O74</f>
        <v>0</v>
      </c>
      <c r="P25" s="328">
        <f>-Plankosten!P74</f>
        <v>-2000</v>
      </c>
      <c r="Q25" s="25">
        <f t="shared" si="1"/>
        <v>-2000</v>
      </c>
      <c r="R25" s="327">
        <f>-Plankosten!R74</f>
        <v>0</v>
      </c>
      <c r="S25" s="24">
        <f>-Plankosten!S74</f>
        <v>0</v>
      </c>
      <c r="T25" s="24">
        <f>-Plankosten!T74</f>
        <v>0</v>
      </c>
      <c r="U25" s="328">
        <f>-Plankosten!U74</f>
        <v>-2000</v>
      </c>
      <c r="V25" s="25">
        <f t="shared" si="3"/>
        <v>-2000</v>
      </c>
      <c r="W25" s="329">
        <f>-Plankosten!W74</f>
        <v>-2000</v>
      </c>
      <c r="X25" s="330">
        <f>-Plankosten!X74</f>
        <v>-2000</v>
      </c>
    </row>
    <row r="26" spans="1:24" ht="18.75" customHeight="1" outlineLevel="1" x14ac:dyDescent="0.25">
      <c r="A26" s="326" t="s">
        <v>118</v>
      </c>
      <c r="B26" s="492" t="str">
        <f>Plankosten!A76</f>
        <v>Kfz-Kosten und Reisekosten</v>
      </c>
      <c r="C26" s="492"/>
      <c r="D26" s="493"/>
      <c r="E26" s="327">
        <f>-Plankosten!E83</f>
        <v>-2000</v>
      </c>
      <c r="F26" s="24">
        <f>-Plankosten!F83</f>
        <v>-500</v>
      </c>
      <c r="G26" s="24">
        <f>-Plankosten!G83</f>
        <v>-500</v>
      </c>
      <c r="H26" s="24">
        <f>-Plankosten!H83</f>
        <v>-500</v>
      </c>
      <c r="I26" s="24">
        <f>-Plankosten!I83</f>
        <v>-500</v>
      </c>
      <c r="J26" s="24">
        <f>-Plankosten!J83</f>
        <v>-500</v>
      </c>
      <c r="K26" s="24">
        <f>-Plankosten!K83</f>
        <v>-500</v>
      </c>
      <c r="L26" s="24">
        <f>-Plankosten!L83</f>
        <v>-500</v>
      </c>
      <c r="M26" s="24">
        <f>-Plankosten!M83</f>
        <v>-500</v>
      </c>
      <c r="N26" s="24">
        <f>-Plankosten!N83</f>
        <v>-500</v>
      </c>
      <c r="O26" s="24">
        <f>-Plankosten!O83</f>
        <v>-500</v>
      </c>
      <c r="P26" s="328">
        <f>-Plankosten!P83</f>
        <v>-500</v>
      </c>
      <c r="Q26" s="25">
        <f t="shared" si="1"/>
        <v>-7500</v>
      </c>
      <c r="R26" s="327">
        <f>-Plankosten!R83</f>
        <v>-3000</v>
      </c>
      <c r="S26" s="24">
        <f>-Plankosten!S83</f>
        <v>-1500</v>
      </c>
      <c r="T26" s="24">
        <f>-Plankosten!T83</f>
        <v>-1500</v>
      </c>
      <c r="U26" s="328">
        <f>-Plankosten!U83</f>
        <v>-1500</v>
      </c>
      <c r="V26" s="25">
        <f t="shared" si="3"/>
        <v>-7500</v>
      </c>
      <c r="W26" s="329">
        <f>-Plankosten!W83</f>
        <v>-7500</v>
      </c>
      <c r="X26" s="330">
        <f>-Plankosten!X83</f>
        <v>-7500</v>
      </c>
    </row>
    <row r="27" spans="1:24" ht="18.75" customHeight="1" outlineLevel="1" x14ac:dyDescent="0.25">
      <c r="A27" s="326" t="s">
        <v>118</v>
      </c>
      <c r="B27" s="492" t="str">
        <f>Plankosten!A85</f>
        <v>Büromaterial</v>
      </c>
      <c r="C27" s="492"/>
      <c r="D27" s="493"/>
      <c r="E27" s="327">
        <f>-Plankosten!E92</f>
        <v>-2200</v>
      </c>
      <c r="F27" s="24">
        <f>-Plankosten!F92</f>
        <v>-2200</v>
      </c>
      <c r="G27" s="24">
        <f>-Plankosten!G92</f>
        <v>-2200</v>
      </c>
      <c r="H27" s="24">
        <f>-Plankosten!H92</f>
        <v>-2200</v>
      </c>
      <c r="I27" s="24">
        <f>-Plankosten!I92</f>
        <v>-2200</v>
      </c>
      <c r="J27" s="24">
        <f>-Plankosten!J92</f>
        <v>-2200</v>
      </c>
      <c r="K27" s="24">
        <f>-Plankosten!K92</f>
        <v>-2200</v>
      </c>
      <c r="L27" s="24">
        <f>-Plankosten!L92</f>
        <v>-2200</v>
      </c>
      <c r="M27" s="24">
        <f>-Plankosten!M92</f>
        <v>-2200</v>
      </c>
      <c r="N27" s="24">
        <f>-Plankosten!N92</f>
        <v>-2200</v>
      </c>
      <c r="O27" s="24">
        <f>-Plankosten!O92</f>
        <v>-2200</v>
      </c>
      <c r="P27" s="328">
        <f>-Plankosten!P92</f>
        <v>-2200</v>
      </c>
      <c r="Q27" s="25">
        <f t="shared" si="1"/>
        <v>-26400</v>
      </c>
      <c r="R27" s="327">
        <f>-Plankosten!R92</f>
        <v>-6600</v>
      </c>
      <c r="S27" s="24">
        <f>-Plankosten!S92</f>
        <v>-6600</v>
      </c>
      <c r="T27" s="24">
        <f>-Plankosten!T92</f>
        <v>-6600</v>
      </c>
      <c r="U27" s="328">
        <f>-Plankosten!U92</f>
        <v>-6600</v>
      </c>
      <c r="V27" s="25">
        <f t="shared" si="3"/>
        <v>-26400</v>
      </c>
      <c r="W27" s="329">
        <f>-Plankosten!W92</f>
        <v>-26400</v>
      </c>
      <c r="X27" s="330">
        <f>-Plankosten!X92</f>
        <v>-26400</v>
      </c>
    </row>
    <row r="28" spans="1:24" ht="18.75" customHeight="1" outlineLevel="1" x14ac:dyDescent="0.25">
      <c r="A28" s="326" t="s">
        <v>118</v>
      </c>
      <c r="B28" s="492" t="str">
        <f>Plankosten!A94</f>
        <v>Telefon / Fax / Internet</v>
      </c>
      <c r="C28" s="492"/>
      <c r="D28" s="493"/>
      <c r="E28" s="327">
        <f>-Plankosten!E101</f>
        <v>-388</v>
      </c>
      <c r="F28" s="24">
        <f>-Plankosten!F101</f>
        <v>-388</v>
      </c>
      <c r="G28" s="24">
        <f>-Plankosten!G101</f>
        <v>-388</v>
      </c>
      <c r="H28" s="24">
        <f>-Plankosten!H101</f>
        <v>-388</v>
      </c>
      <c r="I28" s="24">
        <f>-Plankosten!I101</f>
        <v>-388</v>
      </c>
      <c r="J28" s="24">
        <f>-Plankosten!J101</f>
        <v>-388</v>
      </c>
      <c r="K28" s="24">
        <f>-Plankosten!K101</f>
        <v>-388</v>
      </c>
      <c r="L28" s="24">
        <f>-Plankosten!L101</f>
        <v>-388</v>
      </c>
      <c r="M28" s="24">
        <f>-Plankosten!M101</f>
        <v>-388</v>
      </c>
      <c r="N28" s="24">
        <f>-Plankosten!N101</f>
        <v>-388</v>
      </c>
      <c r="O28" s="24">
        <f>-Plankosten!O101</f>
        <v>-388</v>
      </c>
      <c r="P28" s="328">
        <f>-Plankosten!P101</f>
        <v>-388</v>
      </c>
      <c r="Q28" s="25">
        <f t="shared" si="1"/>
        <v>-4656</v>
      </c>
      <c r="R28" s="327">
        <f>-Plankosten!R101</f>
        <v>-1164</v>
      </c>
      <c r="S28" s="24">
        <f>-Plankosten!S101</f>
        <v>-1164</v>
      </c>
      <c r="T28" s="24">
        <f>-Plankosten!T101</f>
        <v>-1164</v>
      </c>
      <c r="U28" s="328">
        <f>-Plankosten!U101</f>
        <v>-1164</v>
      </c>
      <c r="V28" s="25">
        <f t="shared" si="3"/>
        <v>-4656</v>
      </c>
      <c r="W28" s="329">
        <f>-Plankosten!W101</f>
        <v>-4656</v>
      </c>
      <c r="X28" s="330">
        <f>-Plankosten!X101</f>
        <v>-4656</v>
      </c>
    </row>
    <row r="29" spans="1:24" ht="18.75" customHeight="1" outlineLevel="1" x14ac:dyDescent="0.25">
      <c r="A29" s="326" t="s">
        <v>118</v>
      </c>
      <c r="B29" s="492" t="str">
        <f>Plankosten!A103</f>
        <v>Steuer- und Rechtsberatung</v>
      </c>
      <c r="C29" s="492"/>
      <c r="D29" s="493"/>
      <c r="E29" s="327">
        <f>-Plankosten!E110</f>
        <v>-300</v>
      </c>
      <c r="F29" s="24">
        <f>-Plankosten!F110</f>
        <v>-300</v>
      </c>
      <c r="G29" s="24">
        <f>-Plankosten!G110</f>
        <v>-2300</v>
      </c>
      <c r="H29" s="24">
        <f>-Plankosten!H110</f>
        <v>-300</v>
      </c>
      <c r="I29" s="24">
        <f>-Plankosten!I110</f>
        <v>-300</v>
      </c>
      <c r="J29" s="24">
        <f>-Plankosten!J110</f>
        <v>-300</v>
      </c>
      <c r="K29" s="24">
        <f>-Plankosten!K110</f>
        <v>-300</v>
      </c>
      <c r="L29" s="24">
        <f>-Plankosten!L110</f>
        <v>-300</v>
      </c>
      <c r="M29" s="24">
        <f>-Plankosten!M110</f>
        <v>-300</v>
      </c>
      <c r="N29" s="24">
        <f>-Plankosten!N110</f>
        <v>-3300</v>
      </c>
      <c r="O29" s="24">
        <f>-Plankosten!O110</f>
        <v>-300</v>
      </c>
      <c r="P29" s="328">
        <f>-Plankosten!P110</f>
        <v>-300</v>
      </c>
      <c r="Q29" s="25">
        <f t="shared" si="1"/>
        <v>-8600</v>
      </c>
      <c r="R29" s="327">
        <f>-Plankosten!R110</f>
        <v>-2900</v>
      </c>
      <c r="S29" s="24">
        <f>-Plankosten!S110</f>
        <v>-900</v>
      </c>
      <c r="T29" s="24">
        <f>-Plankosten!T110</f>
        <v>-900</v>
      </c>
      <c r="U29" s="328">
        <f>-Plankosten!U110</f>
        <v>-3900</v>
      </c>
      <c r="V29" s="25">
        <f t="shared" si="3"/>
        <v>-8600</v>
      </c>
      <c r="W29" s="329">
        <f>-Plankosten!W110</f>
        <v>-8600</v>
      </c>
      <c r="X29" s="330">
        <f>-Plankosten!X110</f>
        <v>-8600</v>
      </c>
    </row>
    <row r="30" spans="1:24" ht="18.75" customHeight="1" outlineLevel="1" x14ac:dyDescent="0.25">
      <c r="A30" s="326" t="s">
        <v>118</v>
      </c>
      <c r="B30" s="492" t="str">
        <f>Plankosten!A112</f>
        <v>Werbungskosten</v>
      </c>
      <c r="C30" s="492"/>
      <c r="D30" s="493"/>
      <c r="E30" s="327">
        <f>-Plankosten!E119</f>
        <v>0</v>
      </c>
      <c r="F30" s="24">
        <f>-Plankosten!F119</f>
        <v>0</v>
      </c>
      <c r="G30" s="24">
        <f>-Plankosten!G119</f>
        <v>0</v>
      </c>
      <c r="H30" s="24">
        <f>-Plankosten!H119</f>
        <v>0</v>
      </c>
      <c r="I30" s="24">
        <f>-Plankosten!I119</f>
        <v>0</v>
      </c>
      <c r="J30" s="24">
        <f>-Plankosten!J119</f>
        <v>0</v>
      </c>
      <c r="K30" s="24">
        <f>-Plankosten!K119</f>
        <v>0</v>
      </c>
      <c r="L30" s="24">
        <f>-Plankosten!L119</f>
        <v>0</v>
      </c>
      <c r="M30" s="24">
        <f>-Plankosten!M119</f>
        <v>0</v>
      </c>
      <c r="N30" s="24">
        <f>-Plankosten!N119</f>
        <v>0</v>
      </c>
      <c r="O30" s="24">
        <f>-Plankosten!O119</f>
        <v>0</v>
      </c>
      <c r="P30" s="328">
        <f>-Plankosten!P119</f>
        <v>0</v>
      </c>
      <c r="Q30" s="25">
        <f t="shared" si="1"/>
        <v>0</v>
      </c>
      <c r="R30" s="327">
        <f>-Plankosten!R119</f>
        <v>0</v>
      </c>
      <c r="S30" s="24">
        <f>-Plankosten!S119</f>
        <v>0</v>
      </c>
      <c r="T30" s="24">
        <f>-Plankosten!T119</f>
        <v>0</v>
      </c>
      <c r="U30" s="328">
        <f>-Plankosten!U119</f>
        <v>0</v>
      </c>
      <c r="V30" s="25">
        <f t="shared" si="3"/>
        <v>0</v>
      </c>
      <c r="W30" s="329">
        <f>-Plankosten!W119</f>
        <v>0</v>
      </c>
      <c r="X30" s="330">
        <f>-Plankosten!X119</f>
        <v>0</v>
      </c>
    </row>
    <row r="31" spans="1:24" ht="18.75" customHeight="1" outlineLevel="1" x14ac:dyDescent="0.25">
      <c r="A31" s="326" t="s">
        <v>118</v>
      </c>
      <c r="B31" s="492" t="str">
        <f>Plankosten!A121</f>
        <v>Gebühren, Kammerbeiträge</v>
      </c>
      <c r="C31" s="492"/>
      <c r="D31" s="493"/>
      <c r="E31" s="327">
        <f>-Plankosten!E128</f>
        <v>-168.53578120979165</v>
      </c>
      <c r="F31" s="24">
        <f>-Plankosten!F128</f>
        <v>-368.53578120979165</v>
      </c>
      <c r="G31" s="24">
        <f>-Plankosten!G128</f>
        <v>-168.53578120979165</v>
      </c>
      <c r="H31" s="24">
        <f>-Plankosten!H128</f>
        <v>-168.53578120979165</v>
      </c>
      <c r="I31" s="24">
        <f>-Plankosten!I128</f>
        <v>-368.53578120979165</v>
      </c>
      <c r="J31" s="24">
        <f>-Plankosten!J128</f>
        <v>-168.53578120979165</v>
      </c>
      <c r="K31" s="24">
        <f>-Plankosten!K128</f>
        <v>-168.53578120979165</v>
      </c>
      <c r="L31" s="24">
        <f>-Plankosten!L128</f>
        <v>-368.53578120979165</v>
      </c>
      <c r="M31" s="24">
        <f>-Plankosten!M128</f>
        <v>-168.53578120979165</v>
      </c>
      <c r="N31" s="24">
        <f>-Plankosten!N128</f>
        <v>-168.53578120979165</v>
      </c>
      <c r="O31" s="24">
        <f>-Plankosten!O128</f>
        <v>-368.53578120979165</v>
      </c>
      <c r="P31" s="328">
        <f>-Plankosten!P128</f>
        <v>-168.53578120979165</v>
      </c>
      <c r="Q31" s="25">
        <f t="shared" si="1"/>
        <v>-2822.4293745175</v>
      </c>
      <c r="R31" s="327">
        <f>-Plankosten!R128</f>
        <v>-705.6073436293749</v>
      </c>
      <c r="S31" s="24">
        <f>-Plankosten!S128</f>
        <v>-705.6073436293749</v>
      </c>
      <c r="T31" s="24">
        <f>-Plankosten!T128</f>
        <v>-705.6073436293749</v>
      </c>
      <c r="U31" s="328">
        <f>-Plankosten!U128</f>
        <v>-705.6073436293749</v>
      </c>
      <c r="V31" s="25">
        <f t="shared" si="3"/>
        <v>-2822.4293745174996</v>
      </c>
      <c r="W31" s="329">
        <f>-Plankosten!W128</f>
        <v>-2822.4293745174996</v>
      </c>
      <c r="X31" s="330">
        <f>-Plankosten!X128</f>
        <v>-2822.4293745174996</v>
      </c>
    </row>
    <row r="32" spans="1:24" ht="18.75" customHeight="1" outlineLevel="1" x14ac:dyDescent="0.25">
      <c r="A32" s="326" t="s">
        <v>118</v>
      </c>
      <c r="B32" s="492" t="str">
        <f>Plankosten!A130</f>
        <v>Betriebsversicherung</v>
      </c>
      <c r="C32" s="492"/>
      <c r="D32" s="493"/>
      <c r="E32" s="327">
        <f>-Plankosten!E137</f>
        <v>0</v>
      </c>
      <c r="F32" s="24">
        <f>-Plankosten!F137</f>
        <v>0</v>
      </c>
      <c r="G32" s="24">
        <f>-Plankosten!G137</f>
        <v>0</v>
      </c>
      <c r="H32" s="24">
        <f>-Plankosten!H137</f>
        <v>0</v>
      </c>
      <c r="I32" s="24">
        <f>-Plankosten!I137</f>
        <v>0</v>
      </c>
      <c r="J32" s="24">
        <f>-Plankosten!J137</f>
        <v>0</v>
      </c>
      <c r="K32" s="24">
        <f>-Plankosten!K137</f>
        <v>0</v>
      </c>
      <c r="L32" s="24">
        <f>-Plankosten!L137</f>
        <v>0</v>
      </c>
      <c r="M32" s="24">
        <f>-Plankosten!M137</f>
        <v>0</v>
      </c>
      <c r="N32" s="24">
        <f>-Plankosten!N137</f>
        <v>0</v>
      </c>
      <c r="O32" s="24">
        <f>-Plankosten!O137</f>
        <v>0</v>
      </c>
      <c r="P32" s="328">
        <f>-Plankosten!P137</f>
        <v>0</v>
      </c>
      <c r="Q32" s="25">
        <f t="shared" si="1"/>
        <v>0</v>
      </c>
      <c r="R32" s="327">
        <f>-Plankosten!R137</f>
        <v>0</v>
      </c>
      <c r="S32" s="24">
        <f>-Plankosten!S137</f>
        <v>0</v>
      </c>
      <c r="T32" s="24">
        <f>-Plankosten!T137</f>
        <v>0</v>
      </c>
      <c r="U32" s="328">
        <f>-Plankosten!U137</f>
        <v>0</v>
      </c>
      <c r="V32" s="25">
        <f t="shared" si="3"/>
        <v>0</v>
      </c>
      <c r="W32" s="329">
        <f>-Plankosten!W137</f>
        <v>0</v>
      </c>
      <c r="X32" s="330">
        <f>-Plankosten!X137</f>
        <v>0</v>
      </c>
    </row>
    <row r="33" spans="1:24" ht="18.75" customHeight="1" outlineLevel="1" x14ac:dyDescent="0.25">
      <c r="A33" s="326" t="s">
        <v>118</v>
      </c>
      <c r="B33" s="492" t="str">
        <f>Plankosten!A139</f>
        <v>Leasinggebühren</v>
      </c>
      <c r="C33" s="492"/>
      <c r="D33" s="493"/>
      <c r="E33" s="327">
        <f>-Plankosten!E146</f>
        <v>-1500</v>
      </c>
      <c r="F33" s="24">
        <f>-Plankosten!F146</f>
        <v>-1500</v>
      </c>
      <c r="G33" s="24">
        <f>-Plankosten!G146</f>
        <v>-1500</v>
      </c>
      <c r="H33" s="24">
        <f>-Plankosten!H146</f>
        <v>-1500</v>
      </c>
      <c r="I33" s="24">
        <f>-Plankosten!I146</f>
        <v>-1500</v>
      </c>
      <c r="J33" s="24">
        <f>-Plankosten!J146</f>
        <v>-1500</v>
      </c>
      <c r="K33" s="24">
        <f>-Plankosten!K146</f>
        <v>-1500</v>
      </c>
      <c r="L33" s="24">
        <f>-Plankosten!L146</f>
        <v>-1500</v>
      </c>
      <c r="M33" s="24">
        <f>-Plankosten!M146</f>
        <v>-1500</v>
      </c>
      <c r="N33" s="24">
        <f>-Plankosten!N146</f>
        <v>-1500</v>
      </c>
      <c r="O33" s="24">
        <f>-Plankosten!O146</f>
        <v>-1500</v>
      </c>
      <c r="P33" s="328">
        <f>-Plankosten!P146</f>
        <v>-1500</v>
      </c>
      <c r="Q33" s="25">
        <f t="shared" si="1"/>
        <v>-18000</v>
      </c>
      <c r="R33" s="327">
        <f>-Plankosten!R146</f>
        <v>-4500</v>
      </c>
      <c r="S33" s="24">
        <f>-Plankosten!S146</f>
        <v>-4500</v>
      </c>
      <c r="T33" s="24">
        <f>-Plankosten!T146</f>
        <v>-4500</v>
      </c>
      <c r="U33" s="328">
        <f>-Plankosten!U146</f>
        <v>-4500</v>
      </c>
      <c r="V33" s="25">
        <f t="shared" si="3"/>
        <v>-18000</v>
      </c>
      <c r="W33" s="329">
        <f>-Plankosten!W146</f>
        <v>-18000</v>
      </c>
      <c r="X33" s="330">
        <f>-Plankosten!X146</f>
        <v>-18000</v>
      </c>
    </row>
    <row r="34" spans="1:24" ht="18.75" customHeight="1" outlineLevel="1" x14ac:dyDescent="0.25">
      <c r="A34" s="326" t="s">
        <v>118</v>
      </c>
      <c r="B34" s="492" t="str">
        <f>Plankosten!A148</f>
        <v>Spesen-, Bank-, Kreditgebühren</v>
      </c>
      <c r="C34" s="492"/>
      <c r="D34" s="493"/>
      <c r="E34" s="327">
        <f>-Plankosten!E155</f>
        <v>0</v>
      </c>
      <c r="F34" s="24">
        <f>-Plankosten!F155</f>
        <v>0</v>
      </c>
      <c r="G34" s="24">
        <f>-Plankosten!G155</f>
        <v>0</v>
      </c>
      <c r="H34" s="24">
        <f>-Plankosten!H155</f>
        <v>0</v>
      </c>
      <c r="I34" s="24">
        <f>-Plankosten!I155</f>
        <v>0</v>
      </c>
      <c r="J34" s="24">
        <f>-Plankosten!J155</f>
        <v>0</v>
      </c>
      <c r="K34" s="24">
        <f>-Plankosten!K155</f>
        <v>0</v>
      </c>
      <c r="L34" s="24">
        <f>-Plankosten!L155</f>
        <v>0</v>
      </c>
      <c r="M34" s="24">
        <f>-Plankosten!M155</f>
        <v>0</v>
      </c>
      <c r="N34" s="24">
        <f>-Plankosten!N155</f>
        <v>0</v>
      </c>
      <c r="O34" s="24">
        <f>-Plankosten!O155</f>
        <v>0</v>
      </c>
      <c r="P34" s="328">
        <f>-Plankosten!P155</f>
        <v>0</v>
      </c>
      <c r="Q34" s="25">
        <f t="shared" si="1"/>
        <v>0</v>
      </c>
      <c r="R34" s="327">
        <f>-Plankosten!R155</f>
        <v>0</v>
      </c>
      <c r="S34" s="24">
        <f>-Plankosten!S155</f>
        <v>0</v>
      </c>
      <c r="T34" s="24">
        <f>-Plankosten!T155</f>
        <v>0</v>
      </c>
      <c r="U34" s="328">
        <f>-Plankosten!U155</f>
        <v>0</v>
      </c>
      <c r="V34" s="25">
        <f t="shared" si="3"/>
        <v>0</v>
      </c>
      <c r="W34" s="329">
        <f>-Plankosten!W155</f>
        <v>0</v>
      </c>
      <c r="X34" s="330">
        <f>-Plankosten!X155</f>
        <v>0</v>
      </c>
    </row>
    <row r="35" spans="1:24" ht="18.75" customHeight="1" outlineLevel="1" x14ac:dyDescent="0.25">
      <c r="A35" s="326" t="s">
        <v>118</v>
      </c>
      <c r="B35" s="492" t="str">
        <f>Plankosten!A157</f>
        <v>Sonstige Kosten</v>
      </c>
      <c r="C35" s="492"/>
      <c r="D35" s="493"/>
      <c r="E35" s="327">
        <f>-Plankosten!E164</f>
        <v>0</v>
      </c>
      <c r="F35" s="24">
        <f>-Plankosten!F164</f>
        <v>0</v>
      </c>
      <c r="G35" s="24">
        <f>-Plankosten!G164</f>
        <v>0</v>
      </c>
      <c r="H35" s="24">
        <f>-Plankosten!H164</f>
        <v>0</v>
      </c>
      <c r="I35" s="24">
        <f>-Plankosten!I164</f>
        <v>0</v>
      </c>
      <c r="J35" s="24">
        <f>-Plankosten!J164</f>
        <v>0</v>
      </c>
      <c r="K35" s="24">
        <f>-Plankosten!K164</f>
        <v>0</v>
      </c>
      <c r="L35" s="24">
        <f>-Plankosten!L164</f>
        <v>0</v>
      </c>
      <c r="M35" s="24">
        <f>-Plankosten!M164</f>
        <v>0</v>
      </c>
      <c r="N35" s="24">
        <f>-Plankosten!N164</f>
        <v>0</v>
      </c>
      <c r="O35" s="24">
        <f>-Plankosten!O164</f>
        <v>0</v>
      </c>
      <c r="P35" s="328">
        <f>-Plankosten!P164</f>
        <v>0</v>
      </c>
      <c r="Q35" s="25">
        <f t="shared" si="1"/>
        <v>0</v>
      </c>
      <c r="R35" s="327">
        <f>-Plankosten!R164</f>
        <v>0</v>
      </c>
      <c r="S35" s="24">
        <f>-Plankosten!S164</f>
        <v>0</v>
      </c>
      <c r="T35" s="24">
        <f>-Plankosten!T164</f>
        <v>0</v>
      </c>
      <c r="U35" s="328">
        <f>-Plankosten!U164</f>
        <v>0</v>
      </c>
      <c r="V35" s="25">
        <f t="shared" si="3"/>
        <v>0</v>
      </c>
      <c r="W35" s="329">
        <f>-Plankosten!W164</f>
        <v>0</v>
      </c>
      <c r="X35" s="330">
        <f>-Plankosten!X164</f>
        <v>0</v>
      </c>
    </row>
    <row r="36" spans="1:24" ht="18.75" customHeight="1" outlineLevel="1" thickBot="1" x14ac:dyDescent="0.3">
      <c r="A36" s="301" t="s">
        <v>118</v>
      </c>
      <c r="B36" s="496" t="s">
        <v>146</v>
      </c>
      <c r="C36" s="496"/>
      <c r="D36" s="497"/>
      <c r="E36" s="339">
        <f>-(Abschreibung!$F$19/12)</f>
        <v>-1258.3333333333333</v>
      </c>
      <c r="F36" s="272">
        <f>-(Abschreibung!$F$19/12)</f>
        <v>-1258.3333333333333</v>
      </c>
      <c r="G36" s="272">
        <f>-(Abschreibung!$F$19/12)</f>
        <v>-1258.3333333333333</v>
      </c>
      <c r="H36" s="272">
        <f>-(Abschreibung!$F$19/12)</f>
        <v>-1258.3333333333333</v>
      </c>
      <c r="I36" s="272">
        <f>-(Abschreibung!$F$19/12)</f>
        <v>-1258.3333333333333</v>
      </c>
      <c r="J36" s="272">
        <f>-(Abschreibung!$F$19/12)</f>
        <v>-1258.3333333333333</v>
      </c>
      <c r="K36" s="272">
        <f>-(Abschreibung!$F$19/12)</f>
        <v>-1258.3333333333333</v>
      </c>
      <c r="L36" s="272">
        <f>-(Abschreibung!$F$19/12)</f>
        <v>-1258.3333333333333</v>
      </c>
      <c r="M36" s="272">
        <f>-(Abschreibung!$F$19/12)</f>
        <v>-1258.3333333333333</v>
      </c>
      <c r="N36" s="272">
        <f>-(Abschreibung!$F$19/12)</f>
        <v>-1258.3333333333333</v>
      </c>
      <c r="O36" s="272">
        <f>-(Abschreibung!$F$19/12)</f>
        <v>-1258.3333333333333</v>
      </c>
      <c r="P36" s="302">
        <f>-(Abschreibung!$F$19/12)</f>
        <v>-1258.3333333333333</v>
      </c>
      <c r="Q36" s="277">
        <f t="shared" si="1"/>
        <v>-15100.000000000002</v>
      </c>
      <c r="R36" s="302">
        <f>-(Abschreibung!$H$19/4)</f>
        <v>-4712.5</v>
      </c>
      <c r="S36" s="272">
        <f>-(Abschreibung!$H$19/4)</f>
        <v>-4712.5</v>
      </c>
      <c r="T36" s="272">
        <f>-(Abschreibung!$H$19/4)</f>
        <v>-4712.5</v>
      </c>
      <c r="U36" s="302">
        <f>-(Abschreibung!$H$19/4)</f>
        <v>-4712.5</v>
      </c>
      <c r="V36" s="277">
        <f t="shared" si="3"/>
        <v>-18850</v>
      </c>
      <c r="W36" s="340">
        <f>-(Abschreibung!$I$19)</f>
        <v>-68050</v>
      </c>
      <c r="X36" s="341">
        <f>-(Abschreibung!$K$19)</f>
        <v>-48950</v>
      </c>
    </row>
    <row r="37" spans="1:24" s="337" customFormat="1" ht="7.5" customHeight="1" outlineLevel="1" thickTop="1" x14ac:dyDescent="0.25">
      <c r="A37" s="304"/>
      <c r="B37" s="305"/>
      <c r="C37" s="305"/>
      <c r="D37" s="306"/>
      <c r="E37" s="331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3"/>
      <c r="Q37" s="334"/>
      <c r="R37" s="331"/>
      <c r="S37" s="332"/>
      <c r="T37" s="332"/>
      <c r="U37" s="333"/>
      <c r="V37" s="334"/>
      <c r="W37" s="335"/>
      <c r="X37" s="336"/>
    </row>
    <row r="38" spans="1:24" ht="18.75" customHeight="1" thickBot="1" x14ac:dyDescent="0.3">
      <c r="A38" s="489" t="s">
        <v>125</v>
      </c>
      <c r="B38" s="490"/>
      <c r="C38" s="490"/>
      <c r="D38" s="491"/>
      <c r="E38" s="319">
        <f>SUM(E22:E36)</f>
        <v>-25285.869114543122</v>
      </c>
      <c r="F38" s="316">
        <f t="shared" ref="F38:P38" si="15">SUM(F22:F36)</f>
        <v>-26293.869114543122</v>
      </c>
      <c r="G38" s="316">
        <f t="shared" si="15"/>
        <v>-28093.869114543122</v>
      </c>
      <c r="H38" s="316">
        <f t="shared" si="15"/>
        <v>-33389.869114543122</v>
      </c>
      <c r="I38" s="316">
        <f t="shared" si="15"/>
        <v>-57185.035781209801</v>
      </c>
      <c r="J38" s="316">
        <f t="shared" si="15"/>
        <v>-33389.869114543122</v>
      </c>
      <c r="K38" s="316">
        <f t="shared" si="15"/>
        <v>44210.130885456871</v>
      </c>
      <c r="L38" s="316">
        <f t="shared" si="15"/>
        <v>-33589.869114543122</v>
      </c>
      <c r="M38" s="316">
        <f t="shared" si="15"/>
        <v>44210.130885456871</v>
      </c>
      <c r="N38" s="316">
        <f t="shared" si="15"/>
        <v>-28629.869114543122</v>
      </c>
      <c r="O38" s="316">
        <f t="shared" si="15"/>
        <v>-49425.035781209801</v>
      </c>
      <c r="P38" s="317">
        <f t="shared" si="15"/>
        <v>-27629.869114543122</v>
      </c>
      <c r="Q38" s="318">
        <f t="shared" ref="Q38" si="16">SUM(Q22:Q36)</f>
        <v>-254492.76270785087</v>
      </c>
      <c r="R38" s="319">
        <f t="shared" ref="R38" si="17">SUM(R22:R36)</f>
        <v>12937.892656370626</v>
      </c>
      <c r="S38" s="316">
        <f t="shared" ref="S38" si="18">SUM(S22:S36)</f>
        <v>-21551.107343629374</v>
      </c>
      <c r="T38" s="316">
        <f t="shared" ref="T38" si="19">SUM(T22:T36)</f>
        <v>16437.892656370626</v>
      </c>
      <c r="U38" s="317">
        <f t="shared" ref="U38" si="20">SUM(U22:U36)</f>
        <v>-26551.107343629374</v>
      </c>
      <c r="V38" s="318">
        <f t="shared" ref="V38" si="21">SUM(V22:V36)</f>
        <v>-18726.429374517498</v>
      </c>
      <c r="W38" s="320">
        <f t="shared" ref="W38" si="22">SUM(W22:W36)</f>
        <v>-103793.63937451757</v>
      </c>
      <c r="X38" s="338">
        <f t="shared" ref="X38" si="23">SUM(X22:X36)</f>
        <v>655214.70012548252</v>
      </c>
    </row>
    <row r="39" spans="1:24" ht="18.75" customHeight="1" outlineLevel="1" thickTop="1" x14ac:dyDescent="0.25">
      <c r="A39" s="300" t="s">
        <v>118</v>
      </c>
      <c r="B39" s="494" t="s">
        <v>126</v>
      </c>
      <c r="C39" s="494"/>
      <c r="D39" s="495"/>
      <c r="E39" s="322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323"/>
      <c r="Q39" s="21">
        <f t="shared" si="1"/>
        <v>0</v>
      </c>
      <c r="R39" s="322"/>
      <c r="S39" s="20"/>
      <c r="T39" s="20"/>
      <c r="U39" s="323"/>
      <c r="V39" s="21">
        <f t="shared" si="3"/>
        <v>0</v>
      </c>
      <c r="W39" s="324"/>
      <c r="X39" s="325"/>
    </row>
    <row r="40" spans="1:24" ht="18.75" customHeight="1" outlineLevel="1" thickBot="1" x14ac:dyDescent="0.3">
      <c r="A40" s="301" t="s">
        <v>119</v>
      </c>
      <c r="B40" s="496" t="s">
        <v>127</v>
      </c>
      <c r="C40" s="496"/>
      <c r="D40" s="497"/>
      <c r="E40" s="339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302"/>
      <c r="Q40" s="277">
        <f t="shared" si="1"/>
        <v>0</v>
      </c>
      <c r="R40" s="339"/>
      <c r="S40" s="272"/>
      <c r="T40" s="272"/>
      <c r="U40" s="302"/>
      <c r="V40" s="277">
        <f t="shared" si="3"/>
        <v>0</v>
      </c>
      <c r="W40" s="340"/>
      <c r="X40" s="341"/>
    </row>
    <row r="41" spans="1:24" s="337" customFormat="1" ht="7.5" customHeight="1" outlineLevel="1" thickTop="1" x14ac:dyDescent="0.25">
      <c r="A41" s="304"/>
      <c r="B41" s="305"/>
      <c r="C41" s="305"/>
      <c r="D41" s="306"/>
      <c r="E41" s="331"/>
      <c r="F41" s="332"/>
      <c r="G41" s="332"/>
      <c r="H41" s="332"/>
      <c r="I41" s="332"/>
      <c r="J41" s="332"/>
      <c r="K41" s="332"/>
      <c r="L41" s="332"/>
      <c r="M41" s="332"/>
      <c r="N41" s="332"/>
      <c r="O41" s="332"/>
      <c r="P41" s="333"/>
      <c r="Q41" s="334"/>
      <c r="R41" s="331"/>
      <c r="S41" s="332"/>
      <c r="T41" s="332"/>
      <c r="U41" s="333"/>
      <c r="V41" s="334"/>
      <c r="W41" s="335"/>
      <c r="X41" s="336"/>
    </row>
    <row r="42" spans="1:24" ht="18.75" customHeight="1" thickBot="1" x14ac:dyDescent="0.3">
      <c r="A42" s="489" t="s">
        <v>132</v>
      </c>
      <c r="B42" s="490"/>
      <c r="C42" s="490"/>
      <c r="D42" s="491"/>
      <c r="E42" s="319">
        <f>SUM(E39:E40)</f>
        <v>0</v>
      </c>
      <c r="F42" s="316">
        <f t="shared" ref="F42:X42" si="24">SUM(F39:F40)</f>
        <v>0</v>
      </c>
      <c r="G42" s="316">
        <f t="shared" si="24"/>
        <v>0</v>
      </c>
      <c r="H42" s="316">
        <f t="shared" si="24"/>
        <v>0</v>
      </c>
      <c r="I42" s="316">
        <f t="shared" si="24"/>
        <v>0</v>
      </c>
      <c r="J42" s="316">
        <f t="shared" si="24"/>
        <v>0</v>
      </c>
      <c r="K42" s="316">
        <f t="shared" si="24"/>
        <v>0</v>
      </c>
      <c r="L42" s="316">
        <f t="shared" si="24"/>
        <v>0</v>
      </c>
      <c r="M42" s="316">
        <f t="shared" si="24"/>
        <v>0</v>
      </c>
      <c r="N42" s="316">
        <f t="shared" si="24"/>
        <v>0</v>
      </c>
      <c r="O42" s="316">
        <f t="shared" si="24"/>
        <v>0</v>
      </c>
      <c r="P42" s="317">
        <f t="shared" si="24"/>
        <v>0</v>
      </c>
      <c r="Q42" s="318">
        <f t="shared" si="24"/>
        <v>0</v>
      </c>
      <c r="R42" s="319">
        <f t="shared" si="24"/>
        <v>0</v>
      </c>
      <c r="S42" s="316">
        <f t="shared" si="24"/>
        <v>0</v>
      </c>
      <c r="T42" s="316">
        <f t="shared" si="24"/>
        <v>0</v>
      </c>
      <c r="U42" s="317">
        <f t="shared" si="24"/>
        <v>0</v>
      </c>
      <c r="V42" s="318">
        <f t="shared" si="24"/>
        <v>0</v>
      </c>
      <c r="W42" s="320">
        <f t="shared" si="24"/>
        <v>0</v>
      </c>
      <c r="X42" s="338">
        <f t="shared" si="24"/>
        <v>0</v>
      </c>
    </row>
    <row r="43" spans="1:24" ht="7.5" customHeight="1" thickTop="1" x14ac:dyDescent="0.25">
      <c r="A43" s="342"/>
      <c r="B43" s="343"/>
      <c r="C43" s="343"/>
      <c r="D43" s="344"/>
      <c r="E43" s="345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346"/>
      <c r="Q43" s="347"/>
      <c r="R43" s="345"/>
      <c r="S43" s="202"/>
      <c r="T43" s="202"/>
      <c r="U43" s="346"/>
      <c r="V43" s="347"/>
      <c r="W43" s="348"/>
      <c r="X43" s="349"/>
    </row>
    <row r="44" spans="1:24" ht="18.75" customHeight="1" thickBot="1" x14ac:dyDescent="0.3">
      <c r="A44" s="489" t="s">
        <v>133</v>
      </c>
      <c r="B44" s="490"/>
      <c r="C44" s="490"/>
      <c r="D44" s="491"/>
      <c r="E44" s="319">
        <f>E42+E38</f>
        <v>-25285.869114543122</v>
      </c>
      <c r="F44" s="316">
        <f t="shared" ref="F44:X44" si="25">F42+F38</f>
        <v>-26293.869114543122</v>
      </c>
      <c r="G44" s="316">
        <f t="shared" si="25"/>
        <v>-28093.869114543122</v>
      </c>
      <c r="H44" s="316">
        <f t="shared" si="25"/>
        <v>-33389.869114543122</v>
      </c>
      <c r="I44" s="316">
        <f t="shared" si="25"/>
        <v>-57185.035781209801</v>
      </c>
      <c r="J44" s="316">
        <f t="shared" si="25"/>
        <v>-33389.869114543122</v>
      </c>
      <c r="K44" s="316">
        <f t="shared" si="25"/>
        <v>44210.130885456871</v>
      </c>
      <c r="L44" s="316">
        <f t="shared" si="25"/>
        <v>-33589.869114543122</v>
      </c>
      <c r="M44" s="316">
        <f t="shared" si="25"/>
        <v>44210.130885456871</v>
      </c>
      <c r="N44" s="316">
        <f t="shared" si="25"/>
        <v>-28629.869114543122</v>
      </c>
      <c r="O44" s="316">
        <f t="shared" si="25"/>
        <v>-49425.035781209801</v>
      </c>
      <c r="P44" s="317">
        <f t="shared" si="25"/>
        <v>-27629.869114543122</v>
      </c>
      <c r="Q44" s="318">
        <f t="shared" si="25"/>
        <v>-254492.76270785087</v>
      </c>
      <c r="R44" s="319">
        <f t="shared" si="25"/>
        <v>12937.892656370626</v>
      </c>
      <c r="S44" s="316">
        <f t="shared" si="25"/>
        <v>-21551.107343629374</v>
      </c>
      <c r="T44" s="316">
        <f t="shared" si="25"/>
        <v>16437.892656370626</v>
      </c>
      <c r="U44" s="317">
        <f t="shared" si="25"/>
        <v>-26551.107343629374</v>
      </c>
      <c r="V44" s="318">
        <f t="shared" si="25"/>
        <v>-18726.429374517498</v>
      </c>
      <c r="W44" s="320">
        <f t="shared" si="25"/>
        <v>-103793.63937451757</v>
      </c>
      <c r="X44" s="338">
        <f t="shared" si="25"/>
        <v>655214.70012548252</v>
      </c>
    </row>
    <row r="45" spans="1:24" ht="18.75" customHeight="1" thickTop="1" thickBot="1" x14ac:dyDescent="0.3">
      <c r="A45" s="350" t="s">
        <v>118</v>
      </c>
      <c r="B45" s="498" t="s">
        <v>134</v>
      </c>
      <c r="C45" s="498"/>
      <c r="D45" s="499"/>
      <c r="E45" s="351">
        <f>$Q$45/12</f>
        <v>0</v>
      </c>
      <c r="F45" s="351">
        <f t="shared" ref="F45:P45" si="26">$Q$45/12</f>
        <v>0</v>
      </c>
      <c r="G45" s="351">
        <f t="shared" si="26"/>
        <v>0</v>
      </c>
      <c r="H45" s="351">
        <f t="shared" si="26"/>
        <v>0</v>
      </c>
      <c r="I45" s="351">
        <f t="shared" si="26"/>
        <v>0</v>
      </c>
      <c r="J45" s="351">
        <f t="shared" si="26"/>
        <v>0</v>
      </c>
      <c r="K45" s="351">
        <f t="shared" si="26"/>
        <v>0</v>
      </c>
      <c r="L45" s="351">
        <f t="shared" si="26"/>
        <v>0</v>
      </c>
      <c r="M45" s="351">
        <f t="shared" si="26"/>
        <v>0</v>
      </c>
      <c r="N45" s="351">
        <f t="shared" si="26"/>
        <v>0</v>
      </c>
      <c r="O45" s="351">
        <f t="shared" si="26"/>
        <v>0</v>
      </c>
      <c r="P45" s="352">
        <f t="shared" si="26"/>
        <v>0</v>
      </c>
      <c r="Q45" s="353">
        <f>-Q56</f>
        <v>0</v>
      </c>
      <c r="R45" s="351">
        <f>$V$45/4</f>
        <v>0</v>
      </c>
      <c r="S45" s="351">
        <f t="shared" ref="S45:U45" si="27">$V$45/4</f>
        <v>0</v>
      </c>
      <c r="T45" s="351">
        <f t="shared" si="27"/>
        <v>0</v>
      </c>
      <c r="U45" s="352">
        <f t="shared" si="27"/>
        <v>0</v>
      </c>
      <c r="V45" s="353">
        <f>-V56</f>
        <v>0</v>
      </c>
      <c r="W45" s="354">
        <f>-W56</f>
        <v>0</v>
      </c>
      <c r="X45" s="355">
        <f>-X56</f>
        <v>-69550.467167149152</v>
      </c>
    </row>
    <row r="46" spans="1:24" s="314" customFormat="1" ht="7.5" customHeight="1" thickTop="1" thickBot="1" x14ac:dyDescent="0.3">
      <c r="A46" s="356"/>
      <c r="B46" s="357"/>
      <c r="C46" s="357"/>
      <c r="D46" s="358"/>
      <c r="E46" s="359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361"/>
      <c r="Q46" s="362"/>
      <c r="R46" s="363"/>
      <c r="S46" s="364"/>
      <c r="T46" s="364"/>
      <c r="U46" s="365"/>
      <c r="V46" s="366"/>
      <c r="W46" s="367"/>
      <c r="X46" s="368"/>
    </row>
    <row r="47" spans="1:24" ht="22.5" customHeight="1" thickBot="1" x14ac:dyDescent="0.3">
      <c r="A47" s="500" t="s">
        <v>135</v>
      </c>
      <c r="B47" s="501"/>
      <c r="C47" s="501"/>
      <c r="D47" s="502"/>
      <c r="E47" s="369">
        <f>E44+E45</f>
        <v>-25285.869114543122</v>
      </c>
      <c r="F47" s="370">
        <f t="shared" ref="F47:X47" si="28">F44+F45</f>
        <v>-26293.869114543122</v>
      </c>
      <c r="G47" s="370">
        <f t="shared" si="28"/>
        <v>-28093.869114543122</v>
      </c>
      <c r="H47" s="370">
        <f t="shared" si="28"/>
        <v>-33389.869114543122</v>
      </c>
      <c r="I47" s="370">
        <f t="shared" si="28"/>
        <v>-57185.035781209801</v>
      </c>
      <c r="J47" s="370">
        <f t="shared" si="28"/>
        <v>-33389.869114543122</v>
      </c>
      <c r="K47" s="370">
        <f t="shared" si="28"/>
        <v>44210.130885456871</v>
      </c>
      <c r="L47" s="370">
        <f t="shared" si="28"/>
        <v>-33589.869114543122</v>
      </c>
      <c r="M47" s="370">
        <f t="shared" si="28"/>
        <v>44210.130885456871</v>
      </c>
      <c r="N47" s="370">
        <f t="shared" si="28"/>
        <v>-28629.869114543122</v>
      </c>
      <c r="O47" s="370">
        <f t="shared" si="28"/>
        <v>-49425.035781209801</v>
      </c>
      <c r="P47" s="371">
        <f t="shared" si="28"/>
        <v>-27629.869114543122</v>
      </c>
      <c r="Q47" s="372">
        <f t="shared" si="28"/>
        <v>-254492.76270785087</v>
      </c>
      <c r="R47" s="369">
        <f t="shared" si="28"/>
        <v>12937.892656370626</v>
      </c>
      <c r="S47" s="370">
        <f t="shared" si="28"/>
        <v>-21551.107343629374</v>
      </c>
      <c r="T47" s="370">
        <f t="shared" si="28"/>
        <v>16437.892656370626</v>
      </c>
      <c r="U47" s="371">
        <f t="shared" si="28"/>
        <v>-26551.107343629374</v>
      </c>
      <c r="V47" s="372">
        <f t="shared" si="28"/>
        <v>-18726.429374517498</v>
      </c>
      <c r="W47" s="373">
        <f t="shared" si="28"/>
        <v>-103793.63937451757</v>
      </c>
      <c r="X47" s="374">
        <f t="shared" si="28"/>
        <v>585664.23295833333</v>
      </c>
    </row>
    <row r="48" spans="1:24" ht="18.75" customHeight="1" thickBot="1" x14ac:dyDescent="0.3"/>
    <row r="49" spans="1:24" ht="18.75" customHeight="1" x14ac:dyDescent="0.25">
      <c r="A49" s="487" t="s">
        <v>136</v>
      </c>
      <c r="B49" s="487"/>
      <c r="C49" s="487"/>
      <c r="D49" s="487"/>
      <c r="E49" s="487"/>
      <c r="F49" s="487"/>
      <c r="G49" s="487"/>
      <c r="H49" s="487"/>
      <c r="I49" s="487"/>
      <c r="J49" s="487"/>
      <c r="K49" s="487"/>
      <c r="L49" s="487"/>
      <c r="M49" s="487"/>
      <c r="N49" s="487"/>
      <c r="O49" s="487"/>
      <c r="P49" s="488"/>
      <c r="Q49" s="375">
        <f>Q44</f>
        <v>-254492.76270785087</v>
      </c>
      <c r="R49" s="376"/>
      <c r="S49" s="376"/>
      <c r="T49" s="376"/>
      <c r="U49" s="376"/>
      <c r="V49" s="377">
        <f>V44</f>
        <v>-18726.429374517498</v>
      </c>
      <c r="W49" s="377">
        <f>W44</f>
        <v>-103793.63937451757</v>
      </c>
      <c r="X49" s="378">
        <f>X44</f>
        <v>655214.70012548252</v>
      </c>
    </row>
    <row r="50" spans="1:24" ht="18.75" customHeight="1" x14ac:dyDescent="0.25">
      <c r="A50" s="487" t="s">
        <v>142</v>
      </c>
      <c r="B50" s="487"/>
      <c r="C50" s="487"/>
      <c r="D50" s="487"/>
      <c r="E50" s="487"/>
      <c r="F50" s="487"/>
      <c r="G50" s="487"/>
      <c r="H50" s="487"/>
      <c r="I50" s="487"/>
      <c r="J50" s="487"/>
      <c r="K50" s="487"/>
      <c r="L50" s="487"/>
      <c r="M50" s="487"/>
      <c r="N50" s="487"/>
      <c r="O50" s="487"/>
      <c r="P50" s="488"/>
      <c r="Q50" s="379">
        <f>IF(Q49&lt;0,0,Q49*$D$5)</f>
        <v>0</v>
      </c>
      <c r="R50" s="380"/>
      <c r="S50" s="380"/>
      <c r="T50" s="380"/>
      <c r="U50" s="380"/>
      <c r="V50" s="381">
        <f>IF(V49&lt;0,0,V49*$D$5)</f>
        <v>0</v>
      </c>
      <c r="W50" s="381">
        <f>IF(W49&lt;0,0,W49*$D$5)</f>
        <v>0</v>
      </c>
      <c r="X50" s="26">
        <f>IF(X49&lt;0,0,X49*$D$5)</f>
        <v>163803.67503137063</v>
      </c>
    </row>
    <row r="51" spans="1:24" ht="18.75" customHeight="1" x14ac:dyDescent="0.25">
      <c r="A51" s="487" t="s">
        <v>137</v>
      </c>
      <c r="B51" s="487"/>
      <c r="C51" s="487"/>
      <c r="D51" s="487"/>
      <c r="E51" s="487"/>
      <c r="F51" s="487"/>
      <c r="G51" s="487"/>
      <c r="H51" s="487"/>
      <c r="I51" s="487"/>
      <c r="J51" s="487"/>
      <c r="K51" s="487"/>
      <c r="L51" s="487"/>
      <c r="M51" s="487"/>
      <c r="N51" s="487"/>
      <c r="O51" s="487"/>
      <c r="P51" s="488"/>
      <c r="Q51" s="379">
        <v>0</v>
      </c>
      <c r="R51" s="380"/>
      <c r="S51" s="380"/>
      <c r="T51" s="380"/>
      <c r="U51" s="380"/>
      <c r="V51" s="381">
        <f>Q52</f>
        <v>-254492.76270785087</v>
      </c>
      <c r="W51" s="381">
        <f>V52</f>
        <v>-273219.19208236836</v>
      </c>
      <c r="X51" s="26">
        <f>W52</f>
        <v>-377012.83145688591</v>
      </c>
    </row>
    <row r="52" spans="1:24" ht="18.75" customHeight="1" x14ac:dyDescent="0.25">
      <c r="A52" s="487" t="s">
        <v>138</v>
      </c>
      <c r="B52" s="487"/>
      <c r="C52" s="487"/>
      <c r="D52" s="487"/>
      <c r="E52" s="487"/>
      <c r="F52" s="487"/>
      <c r="G52" s="487"/>
      <c r="H52" s="487"/>
      <c r="I52" s="487"/>
      <c r="J52" s="487"/>
      <c r="K52" s="487"/>
      <c r="L52" s="487"/>
      <c r="M52" s="487"/>
      <c r="N52" s="487"/>
      <c r="O52" s="487"/>
      <c r="P52" s="488"/>
      <c r="Q52" s="379">
        <f>IF(Q51+(Q49-Q50)&gt;0,0,Q51+(Q49-Q50))</f>
        <v>-254492.76270785087</v>
      </c>
      <c r="R52" s="380"/>
      <c r="S52" s="380"/>
      <c r="T52" s="380"/>
      <c r="U52" s="380"/>
      <c r="V52" s="381">
        <f>IF(V51+(V49-V50)&gt;0,0,V51+(V49-V50))</f>
        <v>-273219.19208236836</v>
      </c>
      <c r="W52" s="381">
        <f>IF(W51+(W49-W50)&gt;0,0,W51+(W49-W50))</f>
        <v>-377012.83145688591</v>
      </c>
      <c r="X52" s="26">
        <f>IF(X51+(X49-X50)&gt;0,0,X51+(X49-X50))</f>
        <v>0</v>
      </c>
    </row>
    <row r="53" spans="1:24" ht="7.5" customHeight="1" x14ac:dyDescent="0.25">
      <c r="A53" s="382"/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487"/>
      <c r="O53" s="487"/>
      <c r="P53" s="488"/>
      <c r="Q53" s="383"/>
      <c r="R53" s="384"/>
      <c r="S53" s="384"/>
      <c r="T53" s="384"/>
      <c r="U53" s="384"/>
      <c r="V53" s="385"/>
      <c r="W53" s="385"/>
      <c r="X53" s="30"/>
    </row>
    <row r="54" spans="1:24" ht="18.75" customHeight="1" x14ac:dyDescent="0.25">
      <c r="A54" s="487" t="s">
        <v>139</v>
      </c>
      <c r="B54" s="487"/>
      <c r="C54" s="487"/>
      <c r="D54" s="487"/>
      <c r="E54" s="487"/>
      <c r="F54" s="487"/>
      <c r="G54" s="487"/>
      <c r="H54" s="487"/>
      <c r="I54" s="487"/>
      <c r="J54" s="487"/>
      <c r="K54" s="487"/>
      <c r="L54" s="487"/>
      <c r="M54" s="487"/>
      <c r="N54" s="487"/>
      <c r="O54" s="487"/>
      <c r="P54" s="488"/>
      <c r="Q54" s="386">
        <f>IF(Q49*(1-$D$5)&gt;ABS(Q51),Q49*(1-$D$5)+Q51,0)</f>
        <v>0</v>
      </c>
      <c r="R54" s="387"/>
      <c r="S54" s="387"/>
      <c r="T54" s="387"/>
      <c r="U54" s="387"/>
      <c r="V54" s="388">
        <f>IF(V49*(1-$D$5)&gt;ABS(V51),V49*(1-$D$5)+V51,0)</f>
        <v>0</v>
      </c>
      <c r="W54" s="388">
        <f>IF(W49*(1-$D$5)&gt;ABS(W51),W49*(1-$D$5)+W51,0)</f>
        <v>0</v>
      </c>
      <c r="X54" s="389">
        <f>IF(X49*(1-$D$5)&gt;ABS(X51),X49*(1-$D$5)+X51,0)</f>
        <v>114398.19363722601</v>
      </c>
    </row>
    <row r="55" spans="1:24" ht="18.75" customHeight="1" thickBot="1" x14ac:dyDescent="0.3">
      <c r="A55" s="487" t="s">
        <v>140</v>
      </c>
      <c r="B55" s="487"/>
      <c r="C55" s="487"/>
      <c r="D55" s="487"/>
      <c r="E55" s="487"/>
      <c r="F55" s="487"/>
      <c r="G55" s="487"/>
      <c r="H55" s="487"/>
      <c r="I55" s="487"/>
      <c r="J55" s="487"/>
      <c r="K55" s="487"/>
      <c r="L55" s="487"/>
      <c r="M55" s="487"/>
      <c r="N55" s="487"/>
      <c r="O55" s="487"/>
      <c r="P55" s="488"/>
      <c r="Q55" s="383">
        <f>SUM(Q50,Q54)</f>
        <v>0</v>
      </c>
      <c r="R55" s="384"/>
      <c r="S55" s="384"/>
      <c r="T55" s="384"/>
      <c r="U55" s="384"/>
      <c r="V55" s="385">
        <f>SUM(V50,V54)</f>
        <v>0</v>
      </c>
      <c r="W55" s="385">
        <f>SUM(W50,W54)</f>
        <v>0</v>
      </c>
      <c r="X55" s="30">
        <f>SUM(X50,X54)</f>
        <v>278201.86866859661</v>
      </c>
    </row>
    <row r="56" spans="1:24" ht="18.75" customHeight="1" thickTop="1" thickBot="1" x14ac:dyDescent="0.3">
      <c r="A56" s="476" t="s">
        <v>143</v>
      </c>
      <c r="B56" s="476"/>
      <c r="C56" s="476"/>
      <c r="D56" s="476"/>
      <c r="E56" s="476"/>
      <c r="F56" s="476"/>
      <c r="G56" s="476"/>
      <c r="H56" s="476"/>
      <c r="I56" s="476"/>
      <c r="J56" s="476"/>
      <c r="K56" s="476"/>
      <c r="L56" s="476"/>
      <c r="M56" s="476"/>
      <c r="N56" s="476"/>
      <c r="O56" s="476"/>
      <c r="P56" s="477"/>
      <c r="Q56" s="390">
        <f>Q55*$D$5</f>
        <v>0</v>
      </c>
      <c r="R56" s="391"/>
      <c r="S56" s="391"/>
      <c r="T56" s="391"/>
      <c r="U56" s="391"/>
      <c r="V56" s="392">
        <f>V55*$D$5</f>
        <v>0</v>
      </c>
      <c r="W56" s="392">
        <f>W55*$D$5</f>
        <v>0</v>
      </c>
      <c r="X56" s="393">
        <f>X55*$D$5</f>
        <v>69550.467167149152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U39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F19" sqref="F19"/>
    </sheetView>
  </sheetViews>
  <sheetFormatPr baseColWidth="10" defaultRowHeight="15" x14ac:dyDescent="0.25"/>
  <cols>
    <col min="1" max="1" width="49.7109375" style="56" customWidth="1"/>
    <col min="2" max="2" width="13" style="56" customWidth="1"/>
    <col min="3" max="5" width="9.28515625" style="56" customWidth="1"/>
    <col min="6" max="13" width="12.85546875" style="56" customWidth="1"/>
    <col min="14" max="16384" width="11.42578125" style="56"/>
  </cols>
  <sheetData>
    <row r="1" spans="1:13" ht="27" thickBot="1" x14ac:dyDescent="0.3">
      <c r="A1" s="421" t="s">
        <v>18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3"/>
    </row>
    <row r="2" spans="1:13" ht="7.5" customHeight="1" thickBot="1" x14ac:dyDescent="0.3"/>
    <row r="3" spans="1:13" ht="15" customHeight="1" x14ac:dyDescent="0.25">
      <c r="A3" s="442" t="s">
        <v>30</v>
      </c>
      <c r="B3" s="446" t="s">
        <v>19</v>
      </c>
      <c r="C3" s="446" t="s">
        <v>32</v>
      </c>
      <c r="D3" s="446" t="s">
        <v>31</v>
      </c>
      <c r="E3" s="444" t="s">
        <v>147</v>
      </c>
      <c r="F3" s="533" t="s">
        <v>20</v>
      </c>
      <c r="G3" s="534"/>
      <c r="H3" s="428" t="s">
        <v>25</v>
      </c>
      <c r="I3" s="426"/>
      <c r="J3" s="428" t="s">
        <v>26</v>
      </c>
      <c r="K3" s="426"/>
      <c r="L3" s="428" t="s">
        <v>27</v>
      </c>
      <c r="M3" s="544"/>
    </row>
    <row r="4" spans="1:13" s="18" customFormat="1" ht="15" customHeight="1" thickBot="1" x14ac:dyDescent="0.3">
      <c r="A4" s="443"/>
      <c r="B4" s="447"/>
      <c r="C4" s="447"/>
      <c r="D4" s="447"/>
      <c r="E4" s="445"/>
      <c r="F4" s="535" t="s">
        <v>148</v>
      </c>
      <c r="G4" s="536" t="s">
        <v>149</v>
      </c>
      <c r="H4" s="537" t="s">
        <v>148</v>
      </c>
      <c r="I4" s="545" t="s">
        <v>149</v>
      </c>
      <c r="J4" s="537" t="s">
        <v>148</v>
      </c>
      <c r="K4" s="545" t="s">
        <v>149</v>
      </c>
      <c r="L4" s="537" t="s">
        <v>148</v>
      </c>
      <c r="M4" s="545" t="s">
        <v>149</v>
      </c>
    </row>
    <row r="5" spans="1:13" ht="18.75" customHeight="1" thickTop="1" x14ac:dyDescent="0.25">
      <c r="A5" s="521" t="str">
        <f t="array" ref="A5:D18">IF(Investitionsplan!A5:D18="","",Investitionsplan!A5:D18)</f>
        <v>Büroeinrichtung</v>
      </c>
      <c r="B5" s="522">
        <v>25000</v>
      </c>
      <c r="C5" s="247">
        <v>10</v>
      </c>
      <c r="D5" s="247">
        <v>1</v>
      </c>
      <c r="E5" s="248">
        <f>IF($D5="","",IF(OR($D5&lt;=6,AND($D5&gt;12,$D5&lt;=18),AND($D5&gt;24,$D5&lt;=30),AND($D5&gt;36,$D5&lt;=42)),1,2))</f>
        <v>1</v>
      </c>
      <c r="F5" s="19">
        <f>IF($D5&lt;=12,$B5/$C5/$E5,0)</f>
        <v>2500</v>
      </c>
      <c r="G5" s="101">
        <f>IF($D5&lt;=12,$B5-$F5,0)</f>
        <v>22500</v>
      </c>
      <c r="H5" s="102">
        <f>IF($D5&lt;=24,IF($D5&lt;=12,$B5/$C5,$B5/$C5/$E5),0)</f>
        <v>2500</v>
      </c>
      <c r="I5" s="104">
        <f>IF($D5&lt;=24,IF($D5&lt;=12,G5-H5,$B5-H5),0)</f>
        <v>20000</v>
      </c>
      <c r="J5" s="102">
        <f>IF($D5&lt;=36,IF($D5&lt;=24,$B5/$C5,$B5/$C5/$E5),0)</f>
        <v>2500</v>
      </c>
      <c r="K5" s="104">
        <f>IF($D5&lt;=36,IF($D5&lt;=24,I5-J5,$B5-J5),0)</f>
        <v>17500</v>
      </c>
      <c r="L5" s="102">
        <f t="shared" ref="L5:L6" si="0">IFERROR(IF($C5*12+$D5-1&lt;=36,0,IF(IF($D5&lt;=48,IF($D5&lt;=36,$B5/$C5,$B5/$C5/$E5),0)&gt;$K5,$K5,IF($D5&lt;=48,IF($D5&lt;=36,$B5/$C5,$B5/$C5/$E5),0))),0)</f>
        <v>2500</v>
      </c>
      <c r="M5" s="104">
        <f>IF($D5&lt;=48,IF($D5&lt;=36,K5-L5,$B5-L5),0)</f>
        <v>15000</v>
      </c>
    </row>
    <row r="6" spans="1:13" ht="18.75" customHeight="1" x14ac:dyDescent="0.25">
      <c r="A6" s="523" t="str">
        <v>Küchenausstattung</v>
      </c>
      <c r="B6" s="524">
        <v>3000</v>
      </c>
      <c r="C6" s="249">
        <v>5</v>
      </c>
      <c r="D6" s="249">
        <v>1</v>
      </c>
      <c r="E6" s="525">
        <f t="shared" ref="E6:E18" si="1">IF($D6="","",IF(OR($D6&lt;=6,AND($D6&gt;12,$D6&lt;=18),AND($D6&gt;24,$D6&lt;=30),AND($D6&gt;36,$D6&lt;=42)),1,2))</f>
        <v>1</v>
      </c>
      <c r="F6" s="23">
        <f t="shared" ref="F6:F17" si="2">IF($D6&lt;=12,$B6/$C6/$E6,0)</f>
        <v>600</v>
      </c>
      <c r="G6" s="105">
        <f t="shared" ref="G6:G17" si="3">IF($D6&lt;=12,$B6-$F6,0)</f>
        <v>2400</v>
      </c>
      <c r="H6" s="106">
        <f t="shared" ref="H6:H17" si="4">IF($D6&lt;=24,IF($D6&lt;=12,$B6/$C6,$B6/$C6/$E6),0)</f>
        <v>600</v>
      </c>
      <c r="I6" s="108">
        <f t="shared" ref="I6:I17" si="5">IF($D6&lt;=24,IF($D6&lt;=12,G6-H6,$B6-H6),0)</f>
        <v>1800</v>
      </c>
      <c r="J6" s="106">
        <f t="shared" ref="J6:J17" si="6">IF($D6&lt;=36,IF($D6&lt;=24,$B6/$C6,$B6/$C6/$E6),0)</f>
        <v>600</v>
      </c>
      <c r="K6" s="108">
        <f t="shared" ref="K6:K17" si="7">IF($D6&lt;=36,IF($D6&lt;=24,I6-J6,$B6-J6),0)</f>
        <v>1200</v>
      </c>
      <c r="L6" s="106">
        <f t="shared" si="0"/>
        <v>600</v>
      </c>
      <c r="M6" s="108">
        <f t="shared" ref="M6:M17" si="8">IF($D6&lt;=48,IF($D6&lt;=36,K6-L6,$B6-L6),0)</f>
        <v>600</v>
      </c>
    </row>
    <row r="7" spans="1:13" ht="18.75" customHeight="1" x14ac:dyDescent="0.25">
      <c r="A7" s="523" t="str">
        <v/>
      </c>
      <c r="B7" s="524" t="str">
        <v/>
      </c>
      <c r="C7" s="249" t="str">
        <v/>
      </c>
      <c r="D7" s="249" t="str">
        <v/>
      </c>
      <c r="E7" s="525" t="str">
        <f t="shared" si="1"/>
        <v/>
      </c>
      <c r="F7" s="23">
        <f t="shared" si="2"/>
        <v>0</v>
      </c>
      <c r="G7" s="105">
        <f t="shared" si="3"/>
        <v>0</v>
      </c>
      <c r="H7" s="106">
        <f t="shared" si="4"/>
        <v>0</v>
      </c>
      <c r="I7" s="108">
        <f t="shared" si="5"/>
        <v>0</v>
      </c>
      <c r="J7" s="106">
        <f t="shared" si="6"/>
        <v>0</v>
      </c>
      <c r="K7" s="108">
        <f t="shared" si="7"/>
        <v>0</v>
      </c>
      <c r="L7" s="106">
        <f>IFERROR(IF($C7*12+$D7-1&lt;=36,0,IF(IF($D7&lt;=48,IF($D7&lt;=36,$B7/$C7,$B7/$C7/$E7),0)&gt;$K7,$K7,IF($D7&lt;=48,IF($D7&lt;=36,$B7/$C7,$B7/$C7/$E7),0))),0)</f>
        <v>0</v>
      </c>
      <c r="M7" s="108">
        <f t="shared" si="8"/>
        <v>0</v>
      </c>
    </row>
    <row r="8" spans="1:13" ht="18.75" customHeight="1" x14ac:dyDescent="0.25">
      <c r="A8" s="523" t="str">
        <v>EDV - Ausstattung (allgemein)</v>
      </c>
      <c r="B8" s="524">
        <v>10000</v>
      </c>
      <c r="C8" s="249">
        <v>4</v>
      </c>
      <c r="D8" s="249">
        <v>1</v>
      </c>
      <c r="E8" s="525">
        <f t="shared" si="1"/>
        <v>1</v>
      </c>
      <c r="F8" s="23">
        <f t="shared" si="2"/>
        <v>2500</v>
      </c>
      <c r="G8" s="105">
        <f t="shared" si="3"/>
        <v>7500</v>
      </c>
      <c r="H8" s="106">
        <f t="shared" si="4"/>
        <v>2500</v>
      </c>
      <c r="I8" s="108">
        <f t="shared" si="5"/>
        <v>5000</v>
      </c>
      <c r="J8" s="106">
        <f t="shared" si="6"/>
        <v>2500</v>
      </c>
      <c r="K8" s="108">
        <f t="shared" si="7"/>
        <v>2500</v>
      </c>
      <c r="L8" s="106">
        <f t="shared" ref="L8:L17" si="9">IFERROR(IF($C8*12+$D8-1&lt;=36,0,IF(IF($D8&lt;=48,IF($D8&lt;=36,$B8/$C8,$B8/$C8/$E8),0)&gt;$K8,$K8,IF($D8&lt;=48,IF($D8&lt;=36,$B8/$C8,$B8/$C8/$E8),0))),0)</f>
        <v>2500</v>
      </c>
      <c r="M8" s="108">
        <f t="shared" si="8"/>
        <v>0</v>
      </c>
    </row>
    <row r="9" spans="1:13" ht="18.75" customHeight="1" x14ac:dyDescent="0.25">
      <c r="A9" s="523" t="str">
        <v>EDV - Ausstattung (Gründer)</v>
      </c>
      <c r="B9" s="524">
        <v>12000</v>
      </c>
      <c r="C9" s="249">
        <v>4</v>
      </c>
      <c r="D9" s="249">
        <v>1</v>
      </c>
      <c r="E9" s="525">
        <f t="shared" si="1"/>
        <v>1</v>
      </c>
      <c r="F9" s="23">
        <f t="shared" si="2"/>
        <v>3000</v>
      </c>
      <c r="G9" s="105">
        <f t="shared" si="3"/>
        <v>9000</v>
      </c>
      <c r="H9" s="106">
        <f t="shared" si="4"/>
        <v>3000</v>
      </c>
      <c r="I9" s="108">
        <f t="shared" si="5"/>
        <v>6000</v>
      </c>
      <c r="J9" s="106">
        <f t="shared" si="6"/>
        <v>3000</v>
      </c>
      <c r="K9" s="108">
        <f t="shared" si="7"/>
        <v>3000</v>
      </c>
      <c r="L9" s="106">
        <f t="shared" si="9"/>
        <v>3000</v>
      </c>
      <c r="M9" s="108">
        <f t="shared" si="8"/>
        <v>0</v>
      </c>
    </row>
    <row r="10" spans="1:13" ht="18.75" customHeight="1" x14ac:dyDescent="0.25">
      <c r="A10" s="523" t="str">
        <v>EDV - Ausstattung (Mitarbeiter)</v>
      </c>
      <c r="B10" s="524">
        <v>8000</v>
      </c>
      <c r="C10" s="249">
        <v>4</v>
      </c>
      <c r="D10" s="249">
        <v>1</v>
      </c>
      <c r="E10" s="525">
        <f t="shared" si="1"/>
        <v>1</v>
      </c>
      <c r="F10" s="23">
        <f t="shared" si="2"/>
        <v>2000</v>
      </c>
      <c r="G10" s="105">
        <f t="shared" si="3"/>
        <v>6000</v>
      </c>
      <c r="H10" s="106">
        <f t="shared" si="4"/>
        <v>2000</v>
      </c>
      <c r="I10" s="108">
        <f t="shared" si="5"/>
        <v>4000</v>
      </c>
      <c r="J10" s="106">
        <f t="shared" si="6"/>
        <v>2000</v>
      </c>
      <c r="K10" s="108">
        <f t="shared" si="7"/>
        <v>2000</v>
      </c>
      <c r="L10" s="106">
        <f t="shared" si="9"/>
        <v>2000</v>
      </c>
      <c r="M10" s="108">
        <f t="shared" si="8"/>
        <v>0</v>
      </c>
    </row>
    <row r="11" spans="1:13" ht="18.75" customHeight="1" x14ac:dyDescent="0.25">
      <c r="A11" s="523" t="str">
        <v>EDV - Ausstattung (Mitarbeiter)</v>
      </c>
      <c r="B11" s="524">
        <v>8000</v>
      </c>
      <c r="C11" s="249">
        <v>4</v>
      </c>
      <c r="D11" s="249">
        <v>13</v>
      </c>
      <c r="E11" s="525">
        <f t="shared" si="1"/>
        <v>1</v>
      </c>
      <c r="F11" s="23">
        <f t="shared" si="2"/>
        <v>0</v>
      </c>
      <c r="G11" s="105">
        <f t="shared" si="3"/>
        <v>0</v>
      </c>
      <c r="H11" s="106">
        <f t="shared" si="4"/>
        <v>2000</v>
      </c>
      <c r="I11" s="108">
        <f t="shared" si="5"/>
        <v>6000</v>
      </c>
      <c r="J11" s="106">
        <f t="shared" si="6"/>
        <v>2000</v>
      </c>
      <c r="K11" s="108">
        <f t="shared" si="7"/>
        <v>4000</v>
      </c>
      <c r="L11" s="106">
        <f t="shared" si="9"/>
        <v>2000</v>
      </c>
      <c r="M11" s="108">
        <f t="shared" si="8"/>
        <v>2000</v>
      </c>
    </row>
    <row r="12" spans="1:13" ht="18.75" customHeight="1" x14ac:dyDescent="0.25">
      <c r="A12" s="523" t="str">
        <v>EDV - Ausstattung (Mitarbeiter)</v>
      </c>
      <c r="B12" s="524">
        <v>6000</v>
      </c>
      <c r="C12" s="249">
        <v>4</v>
      </c>
      <c r="D12" s="249">
        <v>19</v>
      </c>
      <c r="E12" s="525">
        <f t="shared" si="1"/>
        <v>2</v>
      </c>
      <c r="F12" s="23">
        <f t="shared" si="2"/>
        <v>0</v>
      </c>
      <c r="G12" s="105">
        <f t="shared" si="3"/>
        <v>0</v>
      </c>
      <c r="H12" s="106">
        <f t="shared" si="4"/>
        <v>750</v>
      </c>
      <c r="I12" s="108">
        <f t="shared" si="5"/>
        <v>5250</v>
      </c>
      <c r="J12" s="106">
        <f t="shared" si="6"/>
        <v>1500</v>
      </c>
      <c r="K12" s="108">
        <f t="shared" si="7"/>
        <v>3750</v>
      </c>
      <c r="L12" s="106">
        <f t="shared" si="9"/>
        <v>1500</v>
      </c>
      <c r="M12" s="108">
        <f t="shared" si="8"/>
        <v>2250</v>
      </c>
    </row>
    <row r="13" spans="1:13" ht="18.75" customHeight="1" x14ac:dyDescent="0.25">
      <c r="A13" s="523" t="str">
        <v>EDV - Ausstattung (Mitarbeiter)</v>
      </c>
      <c r="B13" s="524">
        <v>2000</v>
      </c>
      <c r="C13" s="249">
        <v>4</v>
      </c>
      <c r="D13" s="249">
        <v>25</v>
      </c>
      <c r="E13" s="525">
        <f t="shared" si="1"/>
        <v>1</v>
      </c>
      <c r="F13" s="23">
        <f t="shared" si="2"/>
        <v>0</v>
      </c>
      <c r="G13" s="105">
        <f t="shared" si="3"/>
        <v>0</v>
      </c>
      <c r="H13" s="106">
        <f t="shared" si="4"/>
        <v>0</v>
      </c>
      <c r="I13" s="108">
        <f t="shared" si="5"/>
        <v>0</v>
      </c>
      <c r="J13" s="106">
        <f t="shared" si="6"/>
        <v>500</v>
      </c>
      <c r="K13" s="108">
        <f t="shared" si="7"/>
        <v>1500</v>
      </c>
      <c r="L13" s="106">
        <f t="shared" si="9"/>
        <v>500</v>
      </c>
      <c r="M13" s="108">
        <f t="shared" si="8"/>
        <v>1000</v>
      </c>
    </row>
    <row r="14" spans="1:13" ht="18.75" customHeight="1" x14ac:dyDescent="0.25">
      <c r="A14" s="523" t="str">
        <v>Server</v>
      </c>
      <c r="B14" s="524">
        <v>10000</v>
      </c>
      <c r="C14" s="249">
        <v>4</v>
      </c>
      <c r="D14" s="249">
        <v>2</v>
      </c>
      <c r="E14" s="525">
        <f t="shared" si="1"/>
        <v>1</v>
      </c>
      <c r="F14" s="23">
        <f t="shared" si="2"/>
        <v>2500</v>
      </c>
      <c r="G14" s="105">
        <f t="shared" si="3"/>
        <v>7500</v>
      </c>
      <c r="H14" s="106">
        <f t="shared" si="4"/>
        <v>2500</v>
      </c>
      <c r="I14" s="108">
        <f t="shared" si="5"/>
        <v>5000</v>
      </c>
      <c r="J14" s="106">
        <f t="shared" si="6"/>
        <v>2500</v>
      </c>
      <c r="K14" s="108">
        <f t="shared" si="7"/>
        <v>2500</v>
      </c>
      <c r="L14" s="106">
        <f t="shared" si="9"/>
        <v>2500</v>
      </c>
      <c r="M14" s="108">
        <f t="shared" si="8"/>
        <v>0</v>
      </c>
    </row>
    <row r="15" spans="1:13" ht="18.75" customHeight="1" x14ac:dyDescent="0.25">
      <c r="A15" s="526" t="str">
        <v>Messaufbau</v>
      </c>
      <c r="B15" s="527">
        <v>10000</v>
      </c>
      <c r="C15" s="528">
        <v>5</v>
      </c>
      <c r="D15" s="528">
        <v>5</v>
      </c>
      <c r="E15" s="529">
        <f t="shared" si="1"/>
        <v>1</v>
      </c>
      <c r="F15" s="27">
        <f t="shared" si="2"/>
        <v>2000</v>
      </c>
      <c r="G15" s="109">
        <f t="shared" si="3"/>
        <v>8000</v>
      </c>
      <c r="H15" s="110">
        <f t="shared" si="4"/>
        <v>2000</v>
      </c>
      <c r="I15" s="112">
        <f t="shared" si="5"/>
        <v>6000</v>
      </c>
      <c r="J15" s="110">
        <f t="shared" si="6"/>
        <v>2000</v>
      </c>
      <c r="K15" s="112">
        <f t="shared" si="7"/>
        <v>4000</v>
      </c>
      <c r="L15" s="106">
        <f t="shared" si="9"/>
        <v>2000</v>
      </c>
      <c r="M15" s="112">
        <f t="shared" si="8"/>
        <v>2000</v>
      </c>
    </row>
    <row r="16" spans="1:13" ht="18.75" customHeight="1" x14ac:dyDescent="0.25">
      <c r="A16" s="526" t="str">
        <v>Messaufbau</v>
      </c>
      <c r="B16" s="527">
        <v>10000</v>
      </c>
      <c r="C16" s="528">
        <v>5</v>
      </c>
      <c r="D16" s="528">
        <v>19</v>
      </c>
      <c r="E16" s="529">
        <f t="shared" si="1"/>
        <v>2</v>
      </c>
      <c r="F16" s="27">
        <f t="shared" si="2"/>
        <v>0</v>
      </c>
      <c r="G16" s="109">
        <f t="shared" si="3"/>
        <v>0</v>
      </c>
      <c r="H16" s="110">
        <f t="shared" si="4"/>
        <v>1000</v>
      </c>
      <c r="I16" s="112">
        <f t="shared" si="5"/>
        <v>9000</v>
      </c>
      <c r="J16" s="110">
        <f t="shared" si="6"/>
        <v>2000</v>
      </c>
      <c r="K16" s="112">
        <f t="shared" si="7"/>
        <v>7000</v>
      </c>
      <c r="L16" s="106">
        <f t="shared" si="9"/>
        <v>2000</v>
      </c>
      <c r="M16" s="112">
        <f t="shared" si="8"/>
        <v>5000</v>
      </c>
    </row>
    <row r="17" spans="1:13" ht="18.75" customHeight="1" thickBot="1" x14ac:dyDescent="0.3">
      <c r="A17" s="526" t="str">
        <v/>
      </c>
      <c r="B17" s="527" t="str">
        <v/>
      </c>
      <c r="C17" s="528" t="str">
        <v/>
      </c>
      <c r="D17" s="528" t="str">
        <v/>
      </c>
      <c r="E17" s="529" t="str">
        <f t="shared" si="1"/>
        <v/>
      </c>
      <c r="F17" s="27">
        <f t="shared" si="2"/>
        <v>0</v>
      </c>
      <c r="G17" s="109">
        <f t="shared" si="3"/>
        <v>0</v>
      </c>
      <c r="H17" s="110">
        <f t="shared" si="4"/>
        <v>0</v>
      </c>
      <c r="I17" s="112">
        <f t="shared" si="5"/>
        <v>0</v>
      </c>
      <c r="J17" s="110">
        <f t="shared" si="6"/>
        <v>0</v>
      </c>
      <c r="K17" s="112">
        <f t="shared" si="7"/>
        <v>0</v>
      </c>
      <c r="L17" s="110">
        <f t="shared" si="9"/>
        <v>0</v>
      </c>
      <c r="M17" s="112">
        <f t="shared" si="8"/>
        <v>0</v>
      </c>
    </row>
    <row r="18" spans="1:13" ht="7.5" customHeight="1" thickTop="1" thickBot="1" x14ac:dyDescent="0.3">
      <c r="A18" s="530" t="str">
        <v/>
      </c>
      <c r="B18" s="531" t="str">
        <v/>
      </c>
      <c r="C18" s="531" t="str">
        <v/>
      </c>
      <c r="D18" s="531" t="str">
        <v/>
      </c>
      <c r="E18" s="532" t="str">
        <f t="shared" si="1"/>
        <v/>
      </c>
      <c r="F18" s="42"/>
      <c r="G18" s="45"/>
      <c r="H18" s="46"/>
      <c r="I18" s="47"/>
      <c r="J18" s="46"/>
      <c r="K18" s="47"/>
      <c r="L18" s="46"/>
      <c r="M18" s="47"/>
    </row>
    <row r="19" spans="1:13" ht="18.75" customHeight="1" thickBot="1" x14ac:dyDescent="0.3">
      <c r="A19" s="50" t="s">
        <v>28</v>
      </c>
      <c r="B19" s="571">
        <f>SUM(B5:B18)</f>
        <v>104000</v>
      </c>
      <c r="C19" s="57"/>
      <c r="D19" s="58"/>
      <c r="E19" s="59"/>
      <c r="F19" s="60">
        <f t="shared" ref="F19:M19" si="10">SUM(F5:F18)</f>
        <v>15100</v>
      </c>
      <c r="G19" s="546">
        <f t="shared" si="10"/>
        <v>62900</v>
      </c>
      <c r="H19" s="62">
        <f t="shared" si="10"/>
        <v>18850</v>
      </c>
      <c r="I19" s="547">
        <f t="shared" si="10"/>
        <v>68050</v>
      </c>
      <c r="J19" s="62">
        <f t="shared" si="10"/>
        <v>21100</v>
      </c>
      <c r="K19" s="546">
        <f t="shared" si="10"/>
        <v>48950</v>
      </c>
      <c r="L19" s="62">
        <f t="shared" si="10"/>
        <v>21100</v>
      </c>
      <c r="M19" s="562">
        <f t="shared" si="10"/>
        <v>27850</v>
      </c>
    </row>
    <row r="20" spans="1:13" ht="7.5" customHeight="1" x14ac:dyDescent="0.25">
      <c r="A20" s="432"/>
      <c r="B20" s="433"/>
      <c r="C20" s="433"/>
      <c r="D20" s="433"/>
      <c r="E20" s="433"/>
      <c r="F20" s="433"/>
      <c r="G20" s="433"/>
      <c r="H20" s="433"/>
      <c r="I20" s="433"/>
      <c r="J20" s="433"/>
      <c r="K20" s="433"/>
      <c r="L20" s="433"/>
      <c r="M20" s="434"/>
    </row>
    <row r="21" spans="1:13" ht="18.75" customHeight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5"/>
    </row>
    <row r="22" spans="1:13" ht="18.75" customHeight="1" thickTop="1" x14ac:dyDescent="0.25">
      <c r="A22" s="511" t="str">
        <f t="array" ref="A22:D24">IF(Investitionsplan!A22:D24="","",Investitionsplan!A22:D24)</f>
        <v/>
      </c>
      <c r="B22" s="548" t="str">
        <v/>
      </c>
      <c r="C22" s="512" t="str">
        <v/>
      </c>
      <c r="D22" s="512" t="str">
        <v/>
      </c>
      <c r="E22" s="513"/>
      <c r="F22" s="572"/>
      <c r="G22" s="101" t="str">
        <f>$B22</f>
        <v/>
      </c>
      <c r="H22" s="575"/>
      <c r="I22" s="104" t="str">
        <f>$B22</f>
        <v/>
      </c>
      <c r="J22" s="575"/>
      <c r="K22" s="555" t="str">
        <f>$B22</f>
        <v/>
      </c>
      <c r="L22" s="575"/>
      <c r="M22" s="558" t="str">
        <f>$B22</f>
        <v/>
      </c>
    </row>
    <row r="23" spans="1:13" ht="18.75" customHeight="1" x14ac:dyDescent="0.25">
      <c r="A23" s="549" t="str">
        <v/>
      </c>
      <c r="B23" s="550" t="str">
        <v/>
      </c>
      <c r="C23" s="551" t="str">
        <v/>
      </c>
      <c r="D23" s="551" t="str">
        <v/>
      </c>
      <c r="E23" s="552"/>
      <c r="F23" s="573"/>
      <c r="G23" s="200" t="str">
        <f t="shared" ref="G23:M24" si="11">$B23</f>
        <v/>
      </c>
      <c r="H23" s="576"/>
      <c r="I23" s="203" t="str">
        <f t="shared" si="11"/>
        <v/>
      </c>
      <c r="J23" s="576"/>
      <c r="K23" s="556" t="str">
        <f t="shared" si="11"/>
        <v/>
      </c>
      <c r="L23" s="576"/>
      <c r="M23" s="559" t="str">
        <f t="shared" si="11"/>
        <v/>
      </c>
    </row>
    <row r="24" spans="1:13" ht="18.75" customHeight="1" thickBot="1" x14ac:dyDescent="0.3">
      <c r="A24" s="517" t="str">
        <v/>
      </c>
      <c r="B24" s="553" t="str">
        <v/>
      </c>
      <c r="C24" s="553" t="str">
        <v/>
      </c>
      <c r="D24" s="553" t="str">
        <v/>
      </c>
      <c r="E24" s="554"/>
      <c r="F24" s="574"/>
      <c r="G24" s="109" t="str">
        <f t="shared" si="11"/>
        <v/>
      </c>
      <c r="H24" s="577"/>
      <c r="I24" s="112" t="str">
        <f t="shared" si="11"/>
        <v/>
      </c>
      <c r="J24" s="577"/>
      <c r="K24" s="557" t="str">
        <f t="shared" si="11"/>
        <v/>
      </c>
      <c r="L24" s="577"/>
      <c r="M24" s="560" t="str">
        <f t="shared" si="11"/>
        <v/>
      </c>
    </row>
    <row r="25" spans="1:13" ht="7.5" customHeight="1" thickTop="1" thickBot="1" x14ac:dyDescent="0.3">
      <c r="A25" s="518"/>
      <c r="B25" s="519"/>
      <c r="C25" s="519"/>
      <c r="D25" s="519"/>
      <c r="E25" s="520"/>
      <c r="F25" s="42"/>
      <c r="G25" s="45"/>
      <c r="H25" s="46"/>
      <c r="I25" s="47"/>
      <c r="J25" s="46"/>
      <c r="K25" s="45"/>
      <c r="L25" s="46"/>
      <c r="M25" s="561"/>
    </row>
    <row r="26" spans="1:13" ht="18.75" customHeight="1" thickBot="1" x14ac:dyDescent="0.3">
      <c r="A26" s="50" t="s">
        <v>28</v>
      </c>
      <c r="B26" s="571">
        <f>SUM(B20:B25)</f>
        <v>0</v>
      </c>
      <c r="C26" s="57"/>
      <c r="D26" s="58"/>
      <c r="E26" s="59"/>
      <c r="F26" s="583"/>
      <c r="G26" s="546">
        <f t="shared" ref="G26:M26" si="12">SUM(G20:G25)</f>
        <v>0</v>
      </c>
      <c r="H26" s="580"/>
      <c r="I26" s="547">
        <f t="shared" si="12"/>
        <v>0</v>
      </c>
      <c r="J26" s="580"/>
      <c r="K26" s="546">
        <f t="shared" si="12"/>
        <v>0</v>
      </c>
      <c r="L26" s="580"/>
      <c r="M26" s="562">
        <f t="shared" si="12"/>
        <v>0</v>
      </c>
    </row>
    <row r="27" spans="1:13" ht="7.5" customHeight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5"/>
    </row>
    <row r="28" spans="1:13" s="67" customFormat="1" ht="18.75" customHeight="1" thickBot="1" x14ac:dyDescent="0.3">
      <c r="A28" s="68" t="s">
        <v>33</v>
      </c>
      <c r="B28" s="69">
        <f>B26+B19</f>
        <v>104000</v>
      </c>
      <c r="C28" s="70"/>
      <c r="D28" s="70"/>
      <c r="E28" s="267"/>
      <c r="F28" s="582"/>
      <c r="G28" s="73">
        <f t="shared" ref="G28:M28" si="13">G26+G19</f>
        <v>62900</v>
      </c>
      <c r="H28" s="581"/>
      <c r="I28" s="73">
        <f t="shared" si="13"/>
        <v>68050</v>
      </c>
      <c r="J28" s="584"/>
      <c r="K28" s="75">
        <f t="shared" si="13"/>
        <v>48950</v>
      </c>
      <c r="L28" s="585"/>
      <c r="M28" s="76">
        <f t="shared" si="13"/>
        <v>27850</v>
      </c>
    </row>
    <row r="29" spans="1:13" ht="7.5" customHeight="1" x14ac:dyDescent="0.25">
      <c r="A29" s="435"/>
      <c r="B29" s="436"/>
      <c r="C29" s="436"/>
      <c r="D29" s="436"/>
      <c r="E29" s="436"/>
      <c r="F29" s="436"/>
      <c r="G29" s="436"/>
      <c r="H29" s="436"/>
      <c r="I29" s="436"/>
      <c r="J29" s="436"/>
      <c r="K29" s="436"/>
      <c r="L29" s="436"/>
      <c r="M29" s="437"/>
    </row>
    <row r="30" spans="1:13" ht="30" customHeight="1" thickBot="1" x14ac:dyDescent="0.3">
      <c r="A30" s="86" t="s">
        <v>61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8"/>
    </row>
    <row r="31" spans="1:13" ht="18.75" customHeight="1" thickTop="1" x14ac:dyDescent="0.25">
      <c r="A31" s="511" t="str">
        <f t="array" ref="A31:D35">IF(Investitionsplan!A31:D35="","",Investitionsplan!A31:D35)</f>
        <v>Vertriebsauto</v>
      </c>
      <c r="B31" s="548">
        <v>35000</v>
      </c>
      <c r="C31" s="512">
        <v>4</v>
      </c>
      <c r="D31" s="512">
        <v>2</v>
      </c>
      <c r="E31" s="513">
        <f>IF($D31="","",IF(OR($D31&lt;=6,AND($D31&gt;12,$D31&lt;=18),AND($D31&gt;24,$D31&lt;=30),AND($D31&gt;36,$D31&lt;=42)),1,2))</f>
        <v>1</v>
      </c>
      <c r="F31" s="19">
        <f>IF($D31&lt;=12,$B31/$C31/$E31,0)</f>
        <v>8750</v>
      </c>
      <c r="G31" s="101">
        <f>IF($D31&lt;=12,$B31-$F31,0)</f>
        <v>26250</v>
      </c>
      <c r="H31" s="102">
        <f>IF($D31&lt;=24,IF($D31&lt;=12,$B31/$C31,$B31/$C31/$E31),0)</f>
        <v>8750</v>
      </c>
      <c r="I31" s="104">
        <f>IF($D31&lt;=24,IF($D31&lt;=12,G31-H31,$B31-H31),0)</f>
        <v>17500</v>
      </c>
      <c r="J31" s="104">
        <f>IF($D31&lt;=36,IF($D31&lt;=24,$B31/$C31,$B31/$C31/$E31),0)</f>
        <v>8750</v>
      </c>
      <c r="K31" s="21">
        <f>IF($D31&lt;=36,IF($D31&lt;=24,I31-J31,$B31-J31),0)</f>
        <v>8750</v>
      </c>
      <c r="L31" s="539">
        <f t="shared" ref="L31:L35" si="14">IFERROR(IF($C31*12+$D31-1&lt;=36,0,IF(IF($D31&lt;=48,IF($D31&lt;=36,$B31/$C31,$B31/$C31/$E31),0)&gt;$K31,$K31,IF($D31&lt;=48,IF($D31&lt;=36,$B31/$C31,$B31/$C31/$E31),0))),0)</f>
        <v>8750</v>
      </c>
      <c r="M31" s="22">
        <f>IF($D31&lt;=48,IF($D31&lt;=36,K31-L31,$B31-L31),0)</f>
        <v>0</v>
      </c>
    </row>
    <row r="32" spans="1:13" ht="18.75" customHeight="1" x14ac:dyDescent="0.25">
      <c r="A32" s="514" t="str">
        <v>Vertriebsauto</v>
      </c>
      <c r="B32" s="563">
        <v>35000</v>
      </c>
      <c r="C32" s="515">
        <v>4</v>
      </c>
      <c r="D32" s="515">
        <v>13</v>
      </c>
      <c r="E32" s="516">
        <f t="shared" ref="E32:E35" si="15">IF($D32="","",IF(OR($D32&lt;=6,AND($D32&gt;12,$D32&lt;=18),AND($D32&gt;24,$D32&lt;=30),AND($D32&gt;36,$D32&lt;=42)),1,2))</f>
        <v>1</v>
      </c>
      <c r="F32" s="23">
        <f t="shared" ref="F32:F35" si="16">IF($D32&lt;=12,$B32/$C32/$E32,0)</f>
        <v>0</v>
      </c>
      <c r="G32" s="105">
        <f t="shared" ref="G32:G35" si="17">IF($D32&lt;=12,$B32-$F32,0)</f>
        <v>0</v>
      </c>
      <c r="H32" s="106">
        <f t="shared" ref="H32:H35" si="18">IF($D32&lt;=24,IF($D32&lt;=12,$B32/$C32,$B32/$C32/$E32),0)</f>
        <v>8750</v>
      </c>
      <c r="I32" s="108">
        <f t="shared" ref="I32:I35" si="19">IF($D32&lt;=24,IF($D32&lt;=12,G32-H32,$B32-H32),0)</f>
        <v>26250</v>
      </c>
      <c r="J32" s="108">
        <f t="shared" ref="J32:J35" si="20">IF($D32&lt;=36,IF($D32&lt;=24,$B32/$C32,$B32/$C32/$E32),0)</f>
        <v>8750</v>
      </c>
      <c r="K32" s="25">
        <f t="shared" ref="K32:K35" si="21">IF($D32&lt;=36,IF($D32&lt;=24,I32-J32,$B32-J32),0)</f>
        <v>17500</v>
      </c>
      <c r="L32" s="381">
        <f t="shared" si="14"/>
        <v>8750</v>
      </c>
      <c r="M32" s="26">
        <f t="shared" ref="M32:M35" si="22">IF($D32&lt;=48,IF($D32&lt;=36,K32-L32,$B32-L32),0)</f>
        <v>8750</v>
      </c>
    </row>
    <row r="33" spans="1:13" ht="18.75" customHeight="1" x14ac:dyDescent="0.25">
      <c r="A33" s="514" t="str">
        <v>Kundendienstauto</v>
      </c>
      <c r="B33" s="563">
        <v>25000</v>
      </c>
      <c r="C33" s="515">
        <v>4</v>
      </c>
      <c r="D33" s="515">
        <v>13</v>
      </c>
      <c r="E33" s="516">
        <f t="shared" si="15"/>
        <v>1</v>
      </c>
      <c r="F33" s="23">
        <f t="shared" si="16"/>
        <v>0</v>
      </c>
      <c r="G33" s="105">
        <f t="shared" si="17"/>
        <v>0</v>
      </c>
      <c r="H33" s="106">
        <f t="shared" si="18"/>
        <v>6250</v>
      </c>
      <c r="I33" s="108">
        <f t="shared" si="19"/>
        <v>18750</v>
      </c>
      <c r="J33" s="108">
        <f t="shared" si="20"/>
        <v>6250</v>
      </c>
      <c r="K33" s="25">
        <f t="shared" si="21"/>
        <v>12500</v>
      </c>
      <c r="L33" s="381">
        <f t="shared" si="14"/>
        <v>6250</v>
      </c>
      <c r="M33" s="26">
        <f t="shared" si="22"/>
        <v>6250</v>
      </c>
    </row>
    <row r="34" spans="1:13" ht="18.75" customHeight="1" x14ac:dyDescent="0.25">
      <c r="A34" s="514" t="str">
        <v>Kundendienstauto</v>
      </c>
      <c r="B34" s="563">
        <v>25000</v>
      </c>
      <c r="C34" s="515">
        <v>4</v>
      </c>
      <c r="D34" s="515">
        <v>25</v>
      </c>
      <c r="E34" s="516">
        <f t="shared" si="15"/>
        <v>1</v>
      </c>
      <c r="F34" s="23">
        <f t="shared" si="16"/>
        <v>0</v>
      </c>
      <c r="G34" s="105">
        <f t="shared" si="17"/>
        <v>0</v>
      </c>
      <c r="H34" s="106">
        <f t="shared" si="18"/>
        <v>0</v>
      </c>
      <c r="I34" s="108">
        <f t="shared" si="19"/>
        <v>0</v>
      </c>
      <c r="J34" s="108">
        <f t="shared" si="20"/>
        <v>6250</v>
      </c>
      <c r="K34" s="25">
        <f t="shared" si="21"/>
        <v>18750</v>
      </c>
      <c r="L34" s="381">
        <f t="shared" si="14"/>
        <v>6250</v>
      </c>
      <c r="M34" s="26">
        <f t="shared" si="22"/>
        <v>12500</v>
      </c>
    </row>
    <row r="35" spans="1:13" ht="18.75" customHeight="1" thickBot="1" x14ac:dyDescent="0.3">
      <c r="A35" s="564" t="str">
        <v/>
      </c>
      <c r="B35" s="565" t="str">
        <v/>
      </c>
      <c r="C35" s="565" t="str">
        <v/>
      </c>
      <c r="D35" s="565" t="str">
        <v/>
      </c>
      <c r="E35" s="566" t="str">
        <f t="shared" si="15"/>
        <v/>
      </c>
      <c r="F35" s="271">
        <f t="shared" si="16"/>
        <v>0</v>
      </c>
      <c r="G35" s="273">
        <f t="shared" si="17"/>
        <v>0</v>
      </c>
      <c r="H35" s="274">
        <f t="shared" si="18"/>
        <v>0</v>
      </c>
      <c r="I35" s="276">
        <f t="shared" si="19"/>
        <v>0</v>
      </c>
      <c r="J35" s="276">
        <f t="shared" si="20"/>
        <v>0</v>
      </c>
      <c r="K35" s="277">
        <f t="shared" si="21"/>
        <v>0</v>
      </c>
      <c r="L35" s="541">
        <f t="shared" si="14"/>
        <v>0</v>
      </c>
      <c r="M35" s="278">
        <f t="shared" si="22"/>
        <v>0</v>
      </c>
    </row>
    <row r="36" spans="1:13" ht="7.5" customHeight="1" thickTop="1" thickBot="1" x14ac:dyDescent="0.3">
      <c r="A36" s="518"/>
      <c r="B36" s="519"/>
      <c r="C36" s="519"/>
      <c r="D36" s="519"/>
      <c r="E36" s="520"/>
      <c r="F36" s="42"/>
      <c r="G36" s="45"/>
      <c r="H36" s="46"/>
      <c r="I36" s="47"/>
      <c r="J36" s="47"/>
      <c r="K36" s="48"/>
      <c r="L36" s="540"/>
      <c r="M36" s="49"/>
    </row>
    <row r="37" spans="1:13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578">
        <f>SUM(F31:F36)</f>
        <v>8750</v>
      </c>
      <c r="G37" s="96">
        <f t="shared" ref="G37:M37" si="23">SUM(G31:G36)</f>
        <v>26250</v>
      </c>
      <c r="H37" s="579">
        <f t="shared" si="23"/>
        <v>23750</v>
      </c>
      <c r="I37" s="98">
        <f t="shared" si="23"/>
        <v>62500</v>
      </c>
      <c r="J37" s="98">
        <f t="shared" si="23"/>
        <v>30000</v>
      </c>
      <c r="K37" s="99">
        <f t="shared" si="23"/>
        <v>57500</v>
      </c>
      <c r="L37" s="542">
        <f t="shared" si="23"/>
        <v>30000</v>
      </c>
      <c r="M37" s="100">
        <f t="shared" si="23"/>
        <v>27500</v>
      </c>
    </row>
    <row r="38" spans="1:13" ht="7.5" customHeight="1" thickBot="1" x14ac:dyDescent="0.3">
      <c r="A38" s="432"/>
      <c r="B38" s="433"/>
      <c r="C38" s="433"/>
      <c r="D38" s="433"/>
      <c r="E38" s="433"/>
      <c r="F38" s="433"/>
      <c r="G38" s="433"/>
      <c r="H38" s="433"/>
      <c r="I38" s="433"/>
      <c r="J38" s="433"/>
      <c r="K38" s="433"/>
      <c r="L38" s="433"/>
      <c r="M38" s="434"/>
    </row>
    <row r="39" spans="1:13" ht="22.5" customHeight="1" thickBot="1" x14ac:dyDescent="0.3">
      <c r="A39" s="567"/>
      <c r="B39" s="568" t="s">
        <v>150</v>
      </c>
      <c r="C39" s="569"/>
      <c r="D39" s="569"/>
      <c r="E39" s="570"/>
      <c r="F39" s="78">
        <f>F37+F19</f>
        <v>23850</v>
      </c>
      <c r="G39" s="80">
        <f t="shared" ref="G39:M39" si="24">G37+G28</f>
        <v>89150</v>
      </c>
      <c r="H39" s="81">
        <f>H37+H19</f>
        <v>42600</v>
      </c>
      <c r="I39" s="80">
        <f t="shared" si="24"/>
        <v>130550</v>
      </c>
      <c r="J39" s="538">
        <f>J37+J19</f>
        <v>51100</v>
      </c>
      <c r="K39" s="82">
        <f t="shared" si="24"/>
        <v>106450</v>
      </c>
      <c r="L39" s="543">
        <f>L37+L19</f>
        <v>51100</v>
      </c>
      <c r="M39" s="83">
        <f>M37+M28</f>
        <v>55350</v>
      </c>
    </row>
  </sheetData>
  <sheetProtection selectLockedCells="1"/>
  <mergeCells count="14">
    <mergeCell ref="L3:M3"/>
    <mergeCell ref="B39:E39"/>
    <mergeCell ref="A20:M20"/>
    <mergeCell ref="A29:M29"/>
    <mergeCell ref="A38:M38"/>
    <mergeCell ref="F3:G3"/>
    <mergeCell ref="H3:I3"/>
    <mergeCell ref="J3:K3"/>
    <mergeCell ref="A1:M1"/>
    <mergeCell ref="A3:A4"/>
    <mergeCell ref="B3:B4"/>
    <mergeCell ref="C3:C4"/>
    <mergeCell ref="D3:D4"/>
    <mergeCell ref="E3:E4"/>
  </mergeCells>
  <dataValidations disablePrompts="1" count="1">
    <dataValidation type="whole" allowBlank="1" showInputMessage="1" showErrorMessage="1" sqref="D22:E25 D5:E18 D31:E36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50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BXH6y604XYfdstJCPBgibpdN3RdM4Pws3Ci+MLpoUAqPcGQGBjweaY7LD9SQ850PWQfITJ/Vqu8vWNe7jY9PxQ==" saltValue="lvoTCAxXKSy+mAJLkd2Lu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Stammdaten</vt:lpstr>
      <vt:lpstr>Investitionsplan</vt:lpstr>
      <vt:lpstr>Plankosten</vt:lpstr>
      <vt:lpstr>Plan G&amp;V</vt:lpstr>
      <vt:lpstr>Abschreibung</vt:lpstr>
      <vt:lpstr>Auswahltabellen</vt:lpstr>
      <vt:lpstr>Anually</vt:lpstr>
      <vt:lpstr>Bimonthly</vt:lpstr>
      <vt:lpstr>Abschreibung!Druckbereich</vt:lpstr>
      <vt:lpstr>Investitionsplan!Druckbereich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2017-12-12T20:49:10Z</cp:lastPrinted>
  <dcterms:created xsi:type="dcterms:W3CDTF">2017-11-17T17:38:13Z</dcterms:created>
  <dcterms:modified xsi:type="dcterms:W3CDTF">2017-12-30T09:38:48Z</dcterms:modified>
</cp:coreProperties>
</file>