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Dominik\GitHub\BWL-project\Finanzen\"/>
    </mc:Choice>
  </mc:AlternateContent>
  <bookViews>
    <workbookView xWindow="28830" yWindow="0" windowWidth="19560" windowHeight="8115" tabRatio="769" firstSheet="3" activeTab="10"/>
  </bookViews>
  <sheets>
    <sheet name="Stammdaten" sheetId="1" r:id="rId1"/>
    <sheet name="Investitionsplan" sheetId="2" r:id="rId2"/>
    <sheet name="Plankosten" sheetId="3" r:id="rId3"/>
    <sheet name="Abschreibung" sheetId="8" r:id="rId4"/>
    <sheet name="Plan G&amp;V" sheetId="6" r:id="rId5"/>
    <sheet name="Liquiditätsplan" sheetId="9" r:id="rId6"/>
    <sheet name="Planbilanz" sheetId="11" r:id="rId7"/>
    <sheet name="Cash Flow" sheetId="12" r:id="rId8"/>
    <sheet name="Kennzahlen" sheetId="13" r:id="rId9"/>
    <sheet name="Lizenzgebühr" sheetId="16" r:id="rId10"/>
    <sheet name="Break-Even-Point" sheetId="14" r:id="rId11"/>
    <sheet name="Aufteilung Aufwände" sheetId="15" r:id="rId12"/>
    <sheet name="Auswahltabellen" sheetId="4" state="hidden" r:id="rId13"/>
  </sheets>
  <definedNames>
    <definedName name="Anually">Auswahltabellen!$B$2:$B$13</definedName>
    <definedName name="Bimonthly">Auswahltabellen!$E$2:$E$3</definedName>
    <definedName name="_xlnm.Print_Area" localSheetId="3">Abschreibung!$A$1:$M$34</definedName>
    <definedName name="_xlnm.Print_Area" localSheetId="10">'Break-Even-Point'!$A$1:$F$26</definedName>
    <definedName name="_xlnm.Print_Area" localSheetId="7">'Cash Flow'!$A$1:$H$18</definedName>
    <definedName name="_xlnm.Print_Area" localSheetId="1">Investitionsplan!$A$1:$Y$32</definedName>
    <definedName name="_xlnm.Print_Area" localSheetId="8">Kennzahlen!$A$1:$H$12</definedName>
    <definedName name="_xlnm.Print_Area" localSheetId="5">Liquiditätsplan!$A$1:$X$86</definedName>
    <definedName name="_xlnm.Print_Area" localSheetId="9">Lizenzgebühr!$A$1:$Q$83</definedName>
    <definedName name="_xlnm.Print_Area" localSheetId="4">'Plan G&amp;V'!$A$1:$X$56</definedName>
    <definedName name="_xlnm.Print_Area" localSheetId="6">Planbilanz!$A$1:$L$40</definedName>
    <definedName name="_xlnm.Print_Area" localSheetId="2">Plankosten!$A$1:$X$137</definedName>
    <definedName name="_xlnm.Print_Area" localSheetId="0">Stammdaten!$A$1:$D$43</definedName>
    <definedName name="Monthly">Auswahltabellen!$F$2</definedName>
    <definedName name="Quaterly">Auswahltabellen!$D$2:$D$4</definedName>
    <definedName name="SemiAnually">Auswahltabellen!$C$2:$C$7</definedName>
    <definedName name="x">Lizenzgebühr!A$9</definedName>
    <definedName name="y">Lizenzgebühr!$B1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1" i="9" l="1"/>
  <c r="W21" i="9"/>
  <c r="R21" i="9"/>
  <c r="X22" i="9"/>
  <c r="W22" i="9"/>
  <c r="S22" i="9"/>
  <c r="T22" i="9"/>
  <c r="U22" i="9"/>
  <c r="R22" i="9"/>
  <c r="P22" i="9"/>
  <c r="C11" i="16"/>
  <c r="D11" i="16"/>
  <c r="E11" i="16"/>
  <c r="F11" i="16"/>
  <c r="G11" i="16"/>
  <c r="H11" i="16"/>
  <c r="I11" i="16"/>
  <c r="J11" i="16"/>
  <c r="K11" i="16"/>
  <c r="L11" i="16"/>
  <c r="M11" i="16"/>
  <c r="N11" i="16"/>
  <c r="O11" i="16"/>
  <c r="C12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C13" i="16"/>
  <c r="D13" i="16"/>
  <c r="E13" i="16"/>
  <c r="F13" i="16"/>
  <c r="G13" i="16"/>
  <c r="H13" i="16"/>
  <c r="I13" i="16"/>
  <c r="J13" i="16"/>
  <c r="K13" i="16"/>
  <c r="L13" i="16"/>
  <c r="M13" i="16"/>
  <c r="N13" i="16"/>
  <c r="O13" i="16"/>
  <c r="C14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C15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C16" i="16"/>
  <c r="D16" i="16"/>
  <c r="E16" i="16"/>
  <c r="F16" i="16"/>
  <c r="G16" i="16"/>
  <c r="H16" i="16"/>
  <c r="I16" i="16"/>
  <c r="J16" i="16"/>
  <c r="K16" i="16"/>
  <c r="L16" i="16"/>
  <c r="M16" i="16"/>
  <c r="N16" i="16"/>
  <c r="O16" i="16"/>
  <c r="C17" i="16"/>
  <c r="D17" i="16"/>
  <c r="E17" i="16"/>
  <c r="F17" i="16"/>
  <c r="G17" i="16"/>
  <c r="H17" i="16"/>
  <c r="I17" i="16"/>
  <c r="J17" i="16"/>
  <c r="K17" i="16"/>
  <c r="L17" i="16"/>
  <c r="M17" i="16"/>
  <c r="N17" i="16"/>
  <c r="O17" i="16"/>
  <c r="C18" i="16"/>
  <c r="D18" i="16"/>
  <c r="E18" i="16"/>
  <c r="F18" i="16"/>
  <c r="G18" i="16"/>
  <c r="H18" i="16"/>
  <c r="I18" i="16"/>
  <c r="J18" i="16"/>
  <c r="K18" i="16"/>
  <c r="L18" i="16"/>
  <c r="M18" i="16"/>
  <c r="N18" i="16"/>
  <c r="O18" i="16"/>
  <c r="C19" i="16"/>
  <c r="D19" i="16"/>
  <c r="E19" i="16"/>
  <c r="F19" i="16"/>
  <c r="G19" i="16"/>
  <c r="H19" i="16"/>
  <c r="I19" i="16"/>
  <c r="J19" i="16"/>
  <c r="K19" i="16"/>
  <c r="L19" i="16"/>
  <c r="M19" i="16"/>
  <c r="N19" i="16"/>
  <c r="O19" i="16"/>
  <c r="C20" i="16"/>
  <c r="D20" i="16"/>
  <c r="E20" i="16"/>
  <c r="F20" i="16"/>
  <c r="G20" i="16"/>
  <c r="H20" i="16"/>
  <c r="I20" i="16"/>
  <c r="J20" i="16"/>
  <c r="K20" i="16"/>
  <c r="L20" i="16"/>
  <c r="M20" i="16"/>
  <c r="N20" i="16"/>
  <c r="O20" i="16"/>
  <c r="C21" i="16"/>
  <c r="D21" i="16"/>
  <c r="E21" i="16"/>
  <c r="F21" i="16"/>
  <c r="G21" i="16"/>
  <c r="H21" i="16"/>
  <c r="I21" i="16"/>
  <c r="J21" i="16"/>
  <c r="K21" i="16"/>
  <c r="L21" i="16"/>
  <c r="M21" i="16"/>
  <c r="N21" i="16"/>
  <c r="O21" i="16"/>
  <c r="C22" i="16"/>
  <c r="D22" i="16"/>
  <c r="E22" i="16"/>
  <c r="F22" i="16"/>
  <c r="G22" i="16"/>
  <c r="H22" i="16"/>
  <c r="I22" i="16"/>
  <c r="J22" i="16"/>
  <c r="K22" i="16"/>
  <c r="L22" i="16"/>
  <c r="M22" i="16"/>
  <c r="N22" i="16"/>
  <c r="O22" i="16"/>
  <c r="C23" i="16"/>
  <c r="D23" i="16"/>
  <c r="E23" i="16"/>
  <c r="F23" i="16"/>
  <c r="G23" i="16"/>
  <c r="H23" i="16"/>
  <c r="I23" i="16"/>
  <c r="J23" i="16"/>
  <c r="K23" i="16"/>
  <c r="L23" i="16"/>
  <c r="M23" i="16"/>
  <c r="N23" i="16"/>
  <c r="O23" i="16"/>
  <c r="C24" i="16"/>
  <c r="D24" i="16"/>
  <c r="E24" i="16"/>
  <c r="F24" i="16"/>
  <c r="G24" i="16"/>
  <c r="H24" i="16"/>
  <c r="I24" i="16"/>
  <c r="J24" i="16"/>
  <c r="K24" i="16"/>
  <c r="L24" i="16"/>
  <c r="M24" i="16"/>
  <c r="N24" i="16"/>
  <c r="O24" i="16"/>
  <c r="C25" i="16"/>
  <c r="D25" i="16"/>
  <c r="E25" i="16"/>
  <c r="F25" i="16"/>
  <c r="G25" i="16"/>
  <c r="H25" i="16"/>
  <c r="I25" i="16"/>
  <c r="J25" i="16"/>
  <c r="K25" i="16"/>
  <c r="L25" i="16"/>
  <c r="M25" i="16"/>
  <c r="N25" i="16"/>
  <c r="O25" i="16"/>
  <c r="C26" i="16"/>
  <c r="D26" i="16"/>
  <c r="E26" i="16"/>
  <c r="F26" i="16"/>
  <c r="G26" i="16"/>
  <c r="H26" i="16"/>
  <c r="I26" i="16"/>
  <c r="J26" i="16"/>
  <c r="K26" i="16"/>
  <c r="L26" i="16"/>
  <c r="M26" i="16"/>
  <c r="N26" i="16"/>
  <c r="O26" i="16"/>
  <c r="C27" i="16"/>
  <c r="D27" i="16"/>
  <c r="E27" i="16"/>
  <c r="F27" i="16"/>
  <c r="G27" i="16"/>
  <c r="H27" i="16"/>
  <c r="I27" i="16"/>
  <c r="J27" i="16"/>
  <c r="K27" i="16"/>
  <c r="L27" i="16"/>
  <c r="M27" i="16"/>
  <c r="N27" i="16"/>
  <c r="O27" i="16"/>
  <c r="C28" i="16"/>
  <c r="D28" i="16"/>
  <c r="E28" i="16"/>
  <c r="F28" i="16"/>
  <c r="G28" i="16"/>
  <c r="H28" i="16"/>
  <c r="I28" i="16"/>
  <c r="J28" i="16"/>
  <c r="K28" i="16"/>
  <c r="L28" i="16"/>
  <c r="M28" i="16"/>
  <c r="N28" i="16"/>
  <c r="O28" i="16"/>
  <c r="C29" i="16"/>
  <c r="D29" i="16"/>
  <c r="E29" i="16"/>
  <c r="F29" i="16"/>
  <c r="G29" i="16"/>
  <c r="H29" i="16"/>
  <c r="I29" i="16"/>
  <c r="J29" i="16"/>
  <c r="K29" i="16"/>
  <c r="L29" i="16"/>
  <c r="M29" i="16"/>
  <c r="N29" i="16"/>
  <c r="O29" i="16"/>
  <c r="C30" i="16"/>
  <c r="D30" i="16"/>
  <c r="E30" i="16"/>
  <c r="F30" i="16"/>
  <c r="G30" i="16"/>
  <c r="H30" i="16"/>
  <c r="I30" i="16"/>
  <c r="J30" i="16"/>
  <c r="K30" i="16"/>
  <c r="L30" i="16"/>
  <c r="M30" i="16"/>
  <c r="N30" i="16"/>
  <c r="O30" i="16"/>
  <c r="C31" i="16"/>
  <c r="D31" i="16"/>
  <c r="E31" i="16"/>
  <c r="F31" i="16"/>
  <c r="G31" i="16"/>
  <c r="H31" i="16"/>
  <c r="I31" i="16"/>
  <c r="J31" i="16"/>
  <c r="K31" i="16"/>
  <c r="L31" i="16"/>
  <c r="M31" i="16"/>
  <c r="N31" i="16"/>
  <c r="O31" i="16"/>
  <c r="C32" i="16"/>
  <c r="D32" i="16"/>
  <c r="E32" i="16"/>
  <c r="F32" i="16"/>
  <c r="G32" i="16"/>
  <c r="H32" i="16"/>
  <c r="I32" i="16"/>
  <c r="J32" i="16"/>
  <c r="K32" i="16"/>
  <c r="L32" i="16"/>
  <c r="M32" i="16"/>
  <c r="N32" i="16"/>
  <c r="O32" i="16"/>
  <c r="C33" i="16"/>
  <c r="D33" i="16"/>
  <c r="E33" i="16"/>
  <c r="F33" i="16"/>
  <c r="G33" i="16"/>
  <c r="H33" i="16"/>
  <c r="I33" i="16"/>
  <c r="J33" i="16"/>
  <c r="K33" i="16"/>
  <c r="L33" i="16"/>
  <c r="M33" i="16"/>
  <c r="N33" i="16"/>
  <c r="O33" i="16"/>
  <c r="C34" i="16"/>
  <c r="D34" i="16"/>
  <c r="E34" i="16"/>
  <c r="F34" i="16"/>
  <c r="G34" i="16"/>
  <c r="H34" i="16"/>
  <c r="I34" i="16"/>
  <c r="J34" i="16"/>
  <c r="K34" i="16"/>
  <c r="L34" i="16"/>
  <c r="M34" i="16"/>
  <c r="N34" i="16"/>
  <c r="O34" i="16"/>
  <c r="C35" i="16"/>
  <c r="D35" i="16"/>
  <c r="E35" i="16"/>
  <c r="F35" i="16"/>
  <c r="G35" i="16"/>
  <c r="H35" i="16"/>
  <c r="I35" i="16"/>
  <c r="J35" i="16"/>
  <c r="K35" i="16"/>
  <c r="L35" i="16"/>
  <c r="M35" i="16"/>
  <c r="N35" i="16"/>
  <c r="O35" i="16"/>
  <c r="C36" i="16"/>
  <c r="D36" i="16"/>
  <c r="E36" i="16"/>
  <c r="F36" i="16"/>
  <c r="G36" i="16"/>
  <c r="H36" i="16"/>
  <c r="I36" i="16"/>
  <c r="J36" i="16"/>
  <c r="K36" i="16"/>
  <c r="L36" i="16"/>
  <c r="M36" i="16"/>
  <c r="N36" i="16"/>
  <c r="O36" i="16"/>
  <c r="C37" i="16"/>
  <c r="D37" i="16"/>
  <c r="E37" i="16"/>
  <c r="F37" i="16"/>
  <c r="G37" i="16"/>
  <c r="H37" i="16"/>
  <c r="I37" i="16"/>
  <c r="J37" i="16"/>
  <c r="K37" i="16"/>
  <c r="L37" i="16"/>
  <c r="M37" i="16"/>
  <c r="N37" i="16"/>
  <c r="O37" i="16"/>
  <c r="C38" i="16"/>
  <c r="D38" i="16"/>
  <c r="E38" i="16"/>
  <c r="F38" i="16"/>
  <c r="G38" i="16"/>
  <c r="H38" i="16"/>
  <c r="I38" i="16"/>
  <c r="J38" i="16"/>
  <c r="K38" i="16"/>
  <c r="L38" i="16"/>
  <c r="M38" i="16"/>
  <c r="N38" i="16"/>
  <c r="O38" i="16"/>
  <c r="C39" i="16"/>
  <c r="D39" i="16"/>
  <c r="E39" i="16"/>
  <c r="F39" i="16"/>
  <c r="G39" i="16"/>
  <c r="H39" i="16"/>
  <c r="I39" i="16"/>
  <c r="J39" i="16"/>
  <c r="K39" i="16"/>
  <c r="L39" i="16"/>
  <c r="M39" i="16"/>
  <c r="N39" i="16"/>
  <c r="O39" i="16"/>
  <c r="C40" i="16"/>
  <c r="D40" i="16"/>
  <c r="E40" i="16"/>
  <c r="F40" i="16"/>
  <c r="G40" i="16"/>
  <c r="H40" i="16"/>
  <c r="I40" i="16"/>
  <c r="J40" i="16"/>
  <c r="K40" i="16"/>
  <c r="L40" i="16"/>
  <c r="M40" i="16"/>
  <c r="N40" i="16"/>
  <c r="O40" i="16"/>
  <c r="C41" i="16"/>
  <c r="D41" i="16"/>
  <c r="E41" i="16"/>
  <c r="F41" i="16"/>
  <c r="G41" i="16"/>
  <c r="H41" i="16"/>
  <c r="I41" i="16"/>
  <c r="J41" i="16"/>
  <c r="K41" i="16"/>
  <c r="L41" i="16"/>
  <c r="M41" i="16"/>
  <c r="N41" i="16"/>
  <c r="O41" i="16"/>
  <c r="C42" i="16"/>
  <c r="D42" i="16"/>
  <c r="E42" i="16"/>
  <c r="F42" i="16"/>
  <c r="G42" i="16"/>
  <c r="H42" i="16"/>
  <c r="I42" i="16"/>
  <c r="J42" i="16"/>
  <c r="K42" i="16"/>
  <c r="L42" i="16"/>
  <c r="M42" i="16"/>
  <c r="N42" i="16"/>
  <c r="O42" i="16"/>
  <c r="C43" i="16"/>
  <c r="D43" i="16"/>
  <c r="E43" i="16"/>
  <c r="F43" i="16"/>
  <c r="G43" i="16"/>
  <c r="H43" i="16"/>
  <c r="I43" i="16"/>
  <c r="J43" i="16"/>
  <c r="K43" i="16"/>
  <c r="L43" i="16"/>
  <c r="M43" i="16"/>
  <c r="N43" i="16"/>
  <c r="O43" i="16"/>
  <c r="C44" i="16"/>
  <c r="D44" i="16"/>
  <c r="E44" i="16"/>
  <c r="F44" i="16"/>
  <c r="G44" i="16"/>
  <c r="H44" i="16"/>
  <c r="I44" i="16"/>
  <c r="J44" i="16"/>
  <c r="K44" i="16"/>
  <c r="L44" i="16"/>
  <c r="M44" i="16"/>
  <c r="N44" i="16"/>
  <c r="O44" i="16"/>
  <c r="C45" i="16"/>
  <c r="D45" i="16"/>
  <c r="E45" i="16"/>
  <c r="F45" i="16"/>
  <c r="G45" i="16"/>
  <c r="H45" i="16"/>
  <c r="I45" i="16"/>
  <c r="J45" i="16"/>
  <c r="K45" i="16"/>
  <c r="L45" i="16"/>
  <c r="M45" i="16"/>
  <c r="N45" i="16"/>
  <c r="O45" i="16"/>
  <c r="C46" i="16"/>
  <c r="D46" i="16"/>
  <c r="E46" i="16"/>
  <c r="F46" i="16"/>
  <c r="G46" i="16"/>
  <c r="H46" i="16"/>
  <c r="I46" i="16"/>
  <c r="J46" i="16"/>
  <c r="K46" i="16"/>
  <c r="L46" i="16"/>
  <c r="M46" i="16"/>
  <c r="N46" i="16"/>
  <c r="O46" i="16"/>
  <c r="C47" i="16"/>
  <c r="D47" i="16"/>
  <c r="E47" i="16"/>
  <c r="F47" i="16"/>
  <c r="G47" i="16"/>
  <c r="H47" i="16"/>
  <c r="I47" i="16"/>
  <c r="J47" i="16"/>
  <c r="K47" i="16"/>
  <c r="L47" i="16"/>
  <c r="M47" i="16"/>
  <c r="N47" i="16"/>
  <c r="O47" i="16"/>
  <c r="C48" i="16"/>
  <c r="D48" i="16"/>
  <c r="E48" i="16"/>
  <c r="F48" i="16"/>
  <c r="G48" i="16"/>
  <c r="H48" i="16"/>
  <c r="I48" i="16"/>
  <c r="J48" i="16"/>
  <c r="K48" i="16"/>
  <c r="L48" i="16"/>
  <c r="M48" i="16"/>
  <c r="N48" i="16"/>
  <c r="O48" i="16"/>
  <c r="C49" i="16"/>
  <c r="D49" i="16"/>
  <c r="E49" i="16"/>
  <c r="F49" i="16"/>
  <c r="G49" i="16"/>
  <c r="H49" i="16"/>
  <c r="I49" i="16"/>
  <c r="J49" i="16"/>
  <c r="K49" i="16"/>
  <c r="L49" i="16"/>
  <c r="M49" i="16"/>
  <c r="N49" i="16"/>
  <c r="O49" i="16"/>
  <c r="C50" i="16"/>
  <c r="D50" i="16"/>
  <c r="E50" i="16"/>
  <c r="F50" i="16"/>
  <c r="G50" i="16"/>
  <c r="H50" i="16"/>
  <c r="I50" i="16"/>
  <c r="J50" i="16"/>
  <c r="K50" i="16"/>
  <c r="L50" i="16"/>
  <c r="M50" i="16"/>
  <c r="N50" i="16"/>
  <c r="O50" i="16"/>
  <c r="C51" i="16"/>
  <c r="D51" i="16"/>
  <c r="E51" i="16"/>
  <c r="F51" i="16"/>
  <c r="G51" i="16"/>
  <c r="H51" i="16"/>
  <c r="I51" i="16"/>
  <c r="J51" i="16"/>
  <c r="K51" i="16"/>
  <c r="L51" i="16"/>
  <c r="M51" i="16"/>
  <c r="N51" i="16"/>
  <c r="O51" i="16"/>
  <c r="C52" i="16"/>
  <c r="D52" i="16"/>
  <c r="E52" i="16"/>
  <c r="F52" i="16"/>
  <c r="G52" i="16"/>
  <c r="H52" i="16"/>
  <c r="I52" i="16"/>
  <c r="J52" i="16"/>
  <c r="K52" i="16"/>
  <c r="L52" i="16"/>
  <c r="M52" i="16"/>
  <c r="N52" i="16"/>
  <c r="O52" i="16"/>
  <c r="C53" i="16"/>
  <c r="D53" i="16"/>
  <c r="E53" i="16"/>
  <c r="F53" i="16"/>
  <c r="G53" i="16"/>
  <c r="H53" i="16"/>
  <c r="I53" i="16"/>
  <c r="J53" i="16"/>
  <c r="K53" i="16"/>
  <c r="L53" i="16"/>
  <c r="M53" i="16"/>
  <c r="N53" i="16"/>
  <c r="O53" i="16"/>
  <c r="C54" i="16"/>
  <c r="D54" i="16"/>
  <c r="E54" i="16"/>
  <c r="F54" i="16"/>
  <c r="G54" i="16"/>
  <c r="H54" i="16"/>
  <c r="I54" i="16"/>
  <c r="J54" i="16"/>
  <c r="K54" i="16"/>
  <c r="L54" i="16"/>
  <c r="M54" i="16"/>
  <c r="N54" i="16"/>
  <c r="O54" i="16"/>
  <c r="C55" i="16"/>
  <c r="D55" i="16"/>
  <c r="E55" i="16"/>
  <c r="F55" i="16"/>
  <c r="G55" i="16"/>
  <c r="H55" i="16"/>
  <c r="I55" i="16"/>
  <c r="J55" i="16"/>
  <c r="K55" i="16"/>
  <c r="L55" i="16"/>
  <c r="M55" i="16"/>
  <c r="N55" i="16"/>
  <c r="O55" i="16"/>
  <c r="D10" i="16"/>
  <c r="E10" i="16"/>
  <c r="F10" i="16"/>
  <c r="G10" i="16"/>
  <c r="H10" i="16"/>
  <c r="I10" i="16"/>
  <c r="J10" i="16"/>
  <c r="K10" i="16"/>
  <c r="L10" i="16"/>
  <c r="M10" i="16"/>
  <c r="N10" i="16"/>
  <c r="O10" i="16"/>
  <c r="C10" i="16"/>
  <c r="C57" i="16"/>
  <c r="Q10" i="16"/>
  <c r="D57" i="16"/>
  <c r="E57" i="16"/>
  <c r="F57" i="16"/>
  <c r="G57" i="16"/>
  <c r="H57" i="16"/>
  <c r="I57" i="16"/>
  <c r="J57" i="16"/>
  <c r="K57" i="16"/>
  <c r="L57" i="16"/>
  <c r="M57" i="16"/>
  <c r="N57" i="16"/>
  <c r="O57" i="16"/>
  <c r="Q11" i="16"/>
  <c r="Q12" i="16"/>
  <c r="Q13" i="16"/>
  <c r="Q14" i="16"/>
  <c r="Q15" i="16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P56" i="16"/>
  <c r="R9" i="3"/>
  <c r="S9" i="3"/>
  <c r="T9" i="3"/>
  <c r="U9" i="3"/>
  <c r="R10" i="3"/>
  <c r="S10" i="3"/>
  <c r="T10" i="3"/>
  <c r="U10" i="3"/>
  <c r="R11" i="3"/>
  <c r="S11" i="3"/>
  <c r="T11" i="3"/>
  <c r="U11" i="3"/>
  <c r="U8" i="3"/>
  <c r="T8" i="3"/>
  <c r="S8" i="3"/>
  <c r="R8" i="3"/>
  <c r="R16" i="3"/>
  <c r="S16" i="3"/>
  <c r="T16" i="3"/>
  <c r="U16" i="3"/>
  <c r="R17" i="3"/>
  <c r="S17" i="3"/>
  <c r="T17" i="3"/>
  <c r="U17" i="3"/>
  <c r="R89" i="3"/>
  <c r="S89" i="3"/>
  <c r="T89" i="3"/>
  <c r="U89" i="3"/>
  <c r="V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W16" i="3"/>
  <c r="W17" i="3"/>
  <c r="W19" i="3"/>
  <c r="W11" i="3"/>
  <c r="W8" i="3"/>
  <c r="W9" i="3"/>
  <c r="W10" i="3"/>
  <c r="W13" i="3"/>
  <c r="W21" i="3"/>
  <c r="W25" i="3"/>
  <c r="W26" i="3"/>
  <c r="W27" i="3"/>
  <c r="W29" i="3"/>
  <c r="W40" i="9"/>
  <c r="D4" i="15"/>
  <c r="X16" i="3"/>
  <c r="X17" i="3"/>
  <c r="X19" i="3"/>
  <c r="X11" i="3"/>
  <c r="X8" i="3"/>
  <c r="X9" i="3"/>
  <c r="X10" i="3"/>
  <c r="X13" i="3"/>
  <c r="X21" i="3"/>
  <c r="X25" i="3"/>
  <c r="X26" i="3"/>
  <c r="X27" i="3"/>
  <c r="X29" i="3"/>
  <c r="X40" i="9"/>
  <c r="E4" i="15"/>
  <c r="W33" i="3"/>
  <c r="W34" i="3"/>
  <c r="W36" i="3"/>
  <c r="W41" i="9"/>
  <c r="D5" i="15"/>
  <c r="X33" i="3"/>
  <c r="X34" i="3"/>
  <c r="X36" i="3"/>
  <c r="X41" i="9"/>
  <c r="E5" i="15"/>
  <c r="W40" i="3"/>
  <c r="W41" i="3"/>
  <c r="W43" i="3"/>
  <c r="W42" i="9"/>
  <c r="D6" i="15"/>
  <c r="X40" i="3"/>
  <c r="X41" i="3"/>
  <c r="X43" i="3"/>
  <c r="X42" i="9"/>
  <c r="E6" i="15"/>
  <c r="W47" i="3"/>
  <c r="W48" i="3"/>
  <c r="W49" i="3"/>
  <c r="W50" i="3"/>
  <c r="W52" i="3"/>
  <c r="W43" i="9"/>
  <c r="D7" i="15"/>
  <c r="X47" i="3"/>
  <c r="X48" i="3"/>
  <c r="X49" i="3"/>
  <c r="X50" i="3"/>
  <c r="X52" i="3"/>
  <c r="X43" i="9"/>
  <c r="E7" i="15"/>
  <c r="W56" i="3"/>
  <c r="W57" i="3"/>
  <c r="W59" i="3"/>
  <c r="W44" i="9"/>
  <c r="D8" i="15"/>
  <c r="X56" i="3"/>
  <c r="X57" i="3"/>
  <c r="X59" i="3"/>
  <c r="X44" i="9"/>
  <c r="E8" i="15"/>
  <c r="W63" i="3"/>
  <c r="W64" i="3"/>
  <c r="W65" i="3"/>
  <c r="W67" i="3"/>
  <c r="W45" i="9"/>
  <c r="D9" i="15"/>
  <c r="X63" i="3"/>
  <c r="X64" i="3"/>
  <c r="X65" i="3"/>
  <c r="X67" i="3"/>
  <c r="X45" i="9"/>
  <c r="E9" i="15"/>
  <c r="W71" i="3"/>
  <c r="W72" i="3"/>
  <c r="W73" i="3"/>
  <c r="W75" i="3"/>
  <c r="W46" i="9"/>
  <c r="D10" i="15"/>
  <c r="X71" i="3"/>
  <c r="X72" i="3"/>
  <c r="X73" i="3"/>
  <c r="X75" i="3"/>
  <c r="X46" i="9"/>
  <c r="E10" i="15"/>
  <c r="W79" i="3"/>
  <c r="W80" i="3"/>
  <c r="W81" i="3"/>
  <c r="W83" i="3"/>
  <c r="W47" i="9"/>
  <c r="D11" i="15"/>
  <c r="X79" i="3"/>
  <c r="X80" i="3"/>
  <c r="X81" i="3"/>
  <c r="X83" i="3"/>
  <c r="X47" i="9"/>
  <c r="E11" i="15"/>
  <c r="W88" i="3"/>
  <c r="W89" i="3"/>
  <c r="W90" i="3"/>
  <c r="W92" i="3"/>
  <c r="W48" i="9"/>
  <c r="D12" i="15"/>
  <c r="X88" i="3"/>
  <c r="X89" i="3"/>
  <c r="X90" i="3"/>
  <c r="X92" i="3"/>
  <c r="X48" i="9"/>
  <c r="E12" i="15"/>
  <c r="W96" i="3"/>
  <c r="W97" i="3"/>
  <c r="W99" i="3"/>
  <c r="W49" i="9"/>
  <c r="D13" i="15"/>
  <c r="X96" i="3"/>
  <c r="X97" i="3"/>
  <c r="X99" i="3"/>
  <c r="X49" i="9"/>
  <c r="E13" i="15"/>
  <c r="E16" i="3"/>
  <c r="E17" i="3"/>
  <c r="E19" i="3"/>
  <c r="E11" i="3"/>
  <c r="E8" i="3"/>
  <c r="E9" i="3"/>
  <c r="E10" i="3"/>
  <c r="E13" i="3"/>
  <c r="E21" i="3"/>
  <c r="E25" i="3"/>
  <c r="F16" i="3"/>
  <c r="F17" i="3"/>
  <c r="F19" i="3"/>
  <c r="F11" i="3"/>
  <c r="F8" i="3"/>
  <c r="F9" i="3"/>
  <c r="F10" i="3"/>
  <c r="F13" i="3"/>
  <c r="F21" i="3"/>
  <c r="F25" i="3"/>
  <c r="G16" i="3"/>
  <c r="G17" i="3"/>
  <c r="G19" i="3"/>
  <c r="G11" i="3"/>
  <c r="G8" i="3"/>
  <c r="G9" i="3"/>
  <c r="G10" i="3"/>
  <c r="G13" i="3"/>
  <c r="G21" i="3"/>
  <c r="G25" i="3"/>
  <c r="H16" i="3"/>
  <c r="H17" i="3"/>
  <c r="H19" i="3"/>
  <c r="H11" i="3"/>
  <c r="H8" i="3"/>
  <c r="H9" i="3"/>
  <c r="H10" i="3"/>
  <c r="H13" i="3"/>
  <c r="H21" i="3"/>
  <c r="H25" i="3"/>
  <c r="I16" i="3"/>
  <c r="I17" i="3"/>
  <c r="I19" i="3"/>
  <c r="I11" i="3"/>
  <c r="I8" i="3"/>
  <c r="I9" i="3"/>
  <c r="I10" i="3"/>
  <c r="I13" i="3"/>
  <c r="I21" i="3"/>
  <c r="I25" i="3"/>
  <c r="J16" i="3"/>
  <c r="J17" i="3"/>
  <c r="J19" i="3"/>
  <c r="J11" i="3"/>
  <c r="J8" i="3"/>
  <c r="J9" i="3"/>
  <c r="J10" i="3"/>
  <c r="J13" i="3"/>
  <c r="J21" i="3"/>
  <c r="J25" i="3"/>
  <c r="K16" i="3"/>
  <c r="K17" i="3"/>
  <c r="K19" i="3"/>
  <c r="K11" i="3"/>
  <c r="K8" i="3"/>
  <c r="K9" i="3"/>
  <c r="K10" i="3"/>
  <c r="K13" i="3"/>
  <c r="K21" i="3"/>
  <c r="K25" i="3"/>
  <c r="L16" i="3"/>
  <c r="L17" i="3"/>
  <c r="L19" i="3"/>
  <c r="L11" i="3"/>
  <c r="L8" i="3"/>
  <c r="L9" i="3"/>
  <c r="L10" i="3"/>
  <c r="L13" i="3"/>
  <c r="L21" i="3"/>
  <c r="L25" i="3"/>
  <c r="M16" i="3"/>
  <c r="M17" i="3"/>
  <c r="M19" i="3"/>
  <c r="M11" i="3"/>
  <c r="M8" i="3"/>
  <c r="M9" i="3"/>
  <c r="M10" i="3"/>
  <c r="M13" i="3"/>
  <c r="M21" i="3"/>
  <c r="M25" i="3"/>
  <c r="N16" i="3"/>
  <c r="N17" i="3"/>
  <c r="N19" i="3"/>
  <c r="N11" i="3"/>
  <c r="N8" i="3"/>
  <c r="N9" i="3"/>
  <c r="N10" i="3"/>
  <c r="N13" i="3"/>
  <c r="N21" i="3"/>
  <c r="N25" i="3"/>
  <c r="O16" i="3"/>
  <c r="O17" i="3"/>
  <c r="O19" i="3"/>
  <c r="O11" i="3"/>
  <c r="O8" i="3"/>
  <c r="O9" i="3"/>
  <c r="O10" i="3"/>
  <c r="O13" i="3"/>
  <c r="O21" i="3"/>
  <c r="O25" i="3"/>
  <c r="P16" i="3"/>
  <c r="P17" i="3"/>
  <c r="P19" i="3"/>
  <c r="P11" i="3"/>
  <c r="P8" i="3"/>
  <c r="P9" i="3"/>
  <c r="P10" i="3"/>
  <c r="P13" i="3"/>
  <c r="P21" i="3"/>
  <c r="P25" i="3"/>
  <c r="Q25" i="3"/>
  <c r="R19" i="3"/>
  <c r="R13" i="3"/>
  <c r="R21" i="3"/>
  <c r="R25" i="3"/>
  <c r="S19" i="3"/>
  <c r="S13" i="3"/>
  <c r="S21" i="3"/>
  <c r="S25" i="3"/>
  <c r="T19" i="3"/>
  <c r="T13" i="3"/>
  <c r="T21" i="3"/>
  <c r="T25" i="3"/>
  <c r="U19" i="3"/>
  <c r="U13" i="3"/>
  <c r="U21" i="3"/>
  <c r="U25" i="3"/>
  <c r="V25" i="3"/>
  <c r="Z25" i="3"/>
  <c r="B25" i="3"/>
  <c r="B104" i="3"/>
  <c r="W104" i="3"/>
  <c r="B105" i="3"/>
  <c r="W105" i="3"/>
  <c r="W103" i="3"/>
  <c r="W106" i="3"/>
  <c r="W108" i="3"/>
  <c r="W50" i="9"/>
  <c r="D14" i="15"/>
  <c r="X104" i="3"/>
  <c r="X105" i="3"/>
  <c r="X103" i="3"/>
  <c r="X106" i="3"/>
  <c r="X108" i="3"/>
  <c r="X50" i="9"/>
  <c r="E14" i="15"/>
  <c r="W112" i="3"/>
  <c r="W113" i="3"/>
  <c r="W115" i="3"/>
  <c r="W51" i="9"/>
  <c r="D15" i="15"/>
  <c r="X112" i="3"/>
  <c r="X113" i="3"/>
  <c r="X115" i="3"/>
  <c r="X51" i="9"/>
  <c r="E15" i="15"/>
  <c r="W120" i="3"/>
  <c r="W122" i="3"/>
  <c r="W52" i="9"/>
  <c r="D16" i="15"/>
  <c r="X120" i="3"/>
  <c r="X122" i="3"/>
  <c r="X52" i="9"/>
  <c r="E16" i="15"/>
  <c r="W126" i="3"/>
  <c r="W127" i="3"/>
  <c r="W129" i="3"/>
  <c r="W53" i="9"/>
  <c r="D17" i="15"/>
  <c r="X126" i="3"/>
  <c r="X127" i="3"/>
  <c r="X129" i="3"/>
  <c r="X53" i="9"/>
  <c r="E17" i="15"/>
  <c r="W133" i="3"/>
  <c r="W134" i="3"/>
  <c r="W135" i="3"/>
  <c r="W137" i="3"/>
  <c r="W54" i="9"/>
  <c r="D18" i="15"/>
  <c r="X133" i="3"/>
  <c r="X134" i="3"/>
  <c r="X135" i="3"/>
  <c r="X137" i="3"/>
  <c r="X54" i="9"/>
  <c r="E18" i="15"/>
  <c r="X9" i="2"/>
  <c r="X5" i="2"/>
  <c r="X6" i="2"/>
  <c r="X7" i="2"/>
  <c r="X8" i="2"/>
  <c r="X10" i="2"/>
  <c r="X11" i="2"/>
  <c r="X12" i="2"/>
  <c r="X14" i="2"/>
  <c r="X17" i="2"/>
  <c r="X18" i="2"/>
  <c r="X20" i="2"/>
  <c r="X22" i="2"/>
  <c r="W59" i="9"/>
  <c r="D19" i="15"/>
  <c r="Y9" i="2"/>
  <c r="Y5" i="2"/>
  <c r="Y6" i="2"/>
  <c r="Y7" i="2"/>
  <c r="Y8" i="2"/>
  <c r="Y10" i="2"/>
  <c r="Y11" i="2"/>
  <c r="Y12" i="2"/>
  <c r="Y14" i="2"/>
  <c r="Y17" i="2"/>
  <c r="Y18" i="2"/>
  <c r="Y20" i="2"/>
  <c r="Y22" i="2"/>
  <c r="X59" i="9"/>
  <c r="E19" i="15"/>
  <c r="X26" i="2"/>
  <c r="X27" i="2"/>
  <c r="X28" i="2"/>
  <c r="X30" i="2"/>
  <c r="W60" i="9"/>
  <c r="D20" i="15"/>
  <c r="Y26" i="2"/>
  <c r="Y27" i="2"/>
  <c r="Y28" i="2"/>
  <c r="Y30" i="2"/>
  <c r="X60" i="9"/>
  <c r="E20" i="15"/>
  <c r="E26" i="3"/>
  <c r="E27" i="3"/>
  <c r="E29" i="3"/>
  <c r="E40" i="9"/>
  <c r="E104" i="3"/>
  <c r="E105" i="3"/>
  <c r="E103" i="3"/>
  <c r="E106" i="3"/>
  <c r="E108" i="3"/>
  <c r="E50" i="9"/>
  <c r="E33" i="3"/>
  <c r="E34" i="3"/>
  <c r="E36" i="3"/>
  <c r="E41" i="9"/>
  <c r="E40" i="3"/>
  <c r="E41" i="3"/>
  <c r="E43" i="3"/>
  <c r="E42" i="9"/>
  <c r="E47" i="3"/>
  <c r="E48" i="3"/>
  <c r="E49" i="3"/>
  <c r="E50" i="3"/>
  <c r="E52" i="3"/>
  <c r="E43" i="9"/>
  <c r="E56" i="3"/>
  <c r="E57" i="3"/>
  <c r="E59" i="3"/>
  <c r="E44" i="9"/>
  <c r="E63" i="3"/>
  <c r="E64" i="3"/>
  <c r="E65" i="3"/>
  <c r="E67" i="3"/>
  <c r="E45" i="9"/>
  <c r="E71" i="3"/>
  <c r="E72" i="3"/>
  <c r="E73" i="3"/>
  <c r="E75" i="3"/>
  <c r="E46" i="9"/>
  <c r="E79" i="3"/>
  <c r="E80" i="3"/>
  <c r="E81" i="3"/>
  <c r="E83" i="3"/>
  <c r="E47" i="9"/>
  <c r="E87" i="3"/>
  <c r="E88" i="3"/>
  <c r="E90" i="3"/>
  <c r="E92" i="3"/>
  <c r="E48" i="9"/>
  <c r="E96" i="3"/>
  <c r="E97" i="3"/>
  <c r="E99" i="3"/>
  <c r="E49" i="9"/>
  <c r="E112" i="3"/>
  <c r="E113" i="3"/>
  <c r="E115" i="3"/>
  <c r="E51" i="9"/>
  <c r="E119" i="3"/>
  <c r="E120" i="3"/>
  <c r="E122" i="3"/>
  <c r="E52" i="9"/>
  <c r="E126" i="3"/>
  <c r="E127" i="3"/>
  <c r="E129" i="3"/>
  <c r="E53" i="9"/>
  <c r="E133" i="3"/>
  <c r="E134" i="3"/>
  <c r="E135" i="3"/>
  <c r="E137" i="3"/>
  <c r="E54" i="9"/>
  <c r="E56" i="9"/>
  <c r="F9" i="2"/>
  <c r="F5" i="2"/>
  <c r="F6" i="2"/>
  <c r="F7" i="2"/>
  <c r="F8" i="2"/>
  <c r="F10" i="2"/>
  <c r="F11" i="2"/>
  <c r="F12" i="2"/>
  <c r="F14" i="2"/>
  <c r="F17" i="2"/>
  <c r="F18" i="2"/>
  <c r="F20" i="2"/>
  <c r="F22" i="2"/>
  <c r="E59" i="9"/>
  <c r="F26" i="2"/>
  <c r="F27" i="2"/>
  <c r="F28" i="2"/>
  <c r="F30" i="2"/>
  <c r="E60" i="9"/>
  <c r="E62" i="9"/>
  <c r="E74" i="9"/>
  <c r="E76" i="9"/>
  <c r="E78" i="9"/>
  <c r="F26" i="3"/>
  <c r="F27" i="3"/>
  <c r="F29" i="3"/>
  <c r="F40" i="9"/>
  <c r="F104" i="3"/>
  <c r="F105" i="3"/>
  <c r="F103" i="3"/>
  <c r="F106" i="3"/>
  <c r="F108" i="3"/>
  <c r="F50" i="9"/>
  <c r="F33" i="3"/>
  <c r="F34" i="3"/>
  <c r="F36" i="3"/>
  <c r="F41" i="9"/>
  <c r="F40" i="3"/>
  <c r="F41" i="3"/>
  <c r="F43" i="3"/>
  <c r="F42" i="9"/>
  <c r="F47" i="3"/>
  <c r="F48" i="3"/>
  <c r="F49" i="3"/>
  <c r="F50" i="3"/>
  <c r="F52" i="3"/>
  <c r="F43" i="9"/>
  <c r="F56" i="3"/>
  <c r="F57" i="3"/>
  <c r="F59" i="3"/>
  <c r="F44" i="9"/>
  <c r="F63" i="3"/>
  <c r="F64" i="3"/>
  <c r="F65" i="3"/>
  <c r="F67" i="3"/>
  <c r="F45" i="9"/>
  <c r="F71" i="3"/>
  <c r="F72" i="3"/>
  <c r="F73" i="3"/>
  <c r="F75" i="3"/>
  <c r="F46" i="9"/>
  <c r="F79" i="3"/>
  <c r="F80" i="3"/>
  <c r="F81" i="3"/>
  <c r="F83" i="3"/>
  <c r="F47" i="9"/>
  <c r="F87" i="3"/>
  <c r="F88" i="3"/>
  <c r="F90" i="3"/>
  <c r="F92" i="3"/>
  <c r="F48" i="9"/>
  <c r="F96" i="3"/>
  <c r="F97" i="3"/>
  <c r="F99" i="3"/>
  <c r="F49" i="9"/>
  <c r="F112" i="3"/>
  <c r="F113" i="3"/>
  <c r="F115" i="3"/>
  <c r="F51" i="9"/>
  <c r="F119" i="3"/>
  <c r="F120" i="3"/>
  <c r="F122" i="3"/>
  <c r="F52" i="9"/>
  <c r="F126" i="3"/>
  <c r="F127" i="3"/>
  <c r="F129" i="3"/>
  <c r="F53" i="9"/>
  <c r="F133" i="3"/>
  <c r="F134" i="3"/>
  <c r="F135" i="3"/>
  <c r="F137" i="3"/>
  <c r="F54" i="9"/>
  <c r="F56" i="9"/>
  <c r="G9" i="2"/>
  <c r="G5" i="2"/>
  <c r="G6" i="2"/>
  <c r="G7" i="2"/>
  <c r="G8" i="2"/>
  <c r="G10" i="2"/>
  <c r="G11" i="2"/>
  <c r="G12" i="2"/>
  <c r="G14" i="2"/>
  <c r="G17" i="2"/>
  <c r="G18" i="2"/>
  <c r="G20" i="2"/>
  <c r="G22" i="2"/>
  <c r="F59" i="9"/>
  <c r="G26" i="2"/>
  <c r="G27" i="2"/>
  <c r="G28" i="2"/>
  <c r="G30" i="2"/>
  <c r="F60" i="9"/>
  <c r="F62" i="9"/>
  <c r="F74" i="9"/>
  <c r="F76" i="9"/>
  <c r="F78" i="9"/>
  <c r="G26" i="3"/>
  <c r="G27" i="3"/>
  <c r="G29" i="3"/>
  <c r="G40" i="9"/>
  <c r="G104" i="3"/>
  <c r="G105" i="3"/>
  <c r="G103" i="3"/>
  <c r="G106" i="3"/>
  <c r="G108" i="3"/>
  <c r="G50" i="9"/>
  <c r="G33" i="3"/>
  <c r="G34" i="3"/>
  <c r="G36" i="3"/>
  <c r="G41" i="9"/>
  <c r="G40" i="3"/>
  <c r="G41" i="3"/>
  <c r="G43" i="3"/>
  <c r="G42" i="9"/>
  <c r="G47" i="3"/>
  <c r="G48" i="3"/>
  <c r="G49" i="3"/>
  <c r="G50" i="3"/>
  <c r="G52" i="3"/>
  <c r="G43" i="9"/>
  <c r="G56" i="3"/>
  <c r="G57" i="3"/>
  <c r="G59" i="3"/>
  <c r="G44" i="9"/>
  <c r="G63" i="3"/>
  <c r="G64" i="3"/>
  <c r="G65" i="3"/>
  <c r="G67" i="3"/>
  <c r="G45" i="9"/>
  <c r="G71" i="3"/>
  <c r="G72" i="3"/>
  <c r="G73" i="3"/>
  <c r="G75" i="3"/>
  <c r="G46" i="9"/>
  <c r="G79" i="3"/>
  <c r="G80" i="3"/>
  <c r="G81" i="3"/>
  <c r="G83" i="3"/>
  <c r="G47" i="9"/>
  <c r="G87" i="3"/>
  <c r="G88" i="3"/>
  <c r="G90" i="3"/>
  <c r="G92" i="3"/>
  <c r="G48" i="9"/>
  <c r="G96" i="3"/>
  <c r="G97" i="3"/>
  <c r="G99" i="3"/>
  <c r="G49" i="9"/>
  <c r="G112" i="3"/>
  <c r="G113" i="3"/>
  <c r="G115" i="3"/>
  <c r="G51" i="9"/>
  <c r="G119" i="3"/>
  <c r="G120" i="3"/>
  <c r="G122" i="3"/>
  <c r="G52" i="9"/>
  <c r="G126" i="3"/>
  <c r="G127" i="3"/>
  <c r="G129" i="3"/>
  <c r="G53" i="9"/>
  <c r="G133" i="3"/>
  <c r="G134" i="3"/>
  <c r="G135" i="3"/>
  <c r="G137" i="3"/>
  <c r="G54" i="9"/>
  <c r="G56" i="9"/>
  <c r="H9" i="2"/>
  <c r="H5" i="2"/>
  <c r="H6" i="2"/>
  <c r="H7" i="2"/>
  <c r="H8" i="2"/>
  <c r="H10" i="2"/>
  <c r="H11" i="2"/>
  <c r="H12" i="2"/>
  <c r="H14" i="2"/>
  <c r="H17" i="2"/>
  <c r="H18" i="2"/>
  <c r="H20" i="2"/>
  <c r="H22" i="2"/>
  <c r="G59" i="9"/>
  <c r="H26" i="2"/>
  <c r="H27" i="2"/>
  <c r="H28" i="2"/>
  <c r="H30" i="2"/>
  <c r="G60" i="9"/>
  <c r="G62" i="9"/>
  <c r="G74" i="9"/>
  <c r="G30" i="9"/>
  <c r="G34" i="9"/>
  <c r="G36" i="9"/>
  <c r="G76" i="9"/>
  <c r="G78" i="9"/>
  <c r="E85" i="9"/>
  <c r="H29" i="9"/>
  <c r="H30" i="9"/>
  <c r="H34" i="9"/>
  <c r="H36" i="9"/>
  <c r="H26" i="3"/>
  <c r="H27" i="3"/>
  <c r="H29" i="3"/>
  <c r="H40" i="9"/>
  <c r="H104" i="3"/>
  <c r="H105" i="3"/>
  <c r="H103" i="3"/>
  <c r="H106" i="3"/>
  <c r="H108" i="3"/>
  <c r="H50" i="9"/>
  <c r="H33" i="3"/>
  <c r="H34" i="3"/>
  <c r="H36" i="3"/>
  <c r="H41" i="9"/>
  <c r="H40" i="3"/>
  <c r="H41" i="3"/>
  <c r="H43" i="3"/>
  <c r="H42" i="9"/>
  <c r="H47" i="3"/>
  <c r="H48" i="3"/>
  <c r="H49" i="3"/>
  <c r="H50" i="3"/>
  <c r="H52" i="3"/>
  <c r="H43" i="9"/>
  <c r="H56" i="3"/>
  <c r="H57" i="3"/>
  <c r="H59" i="3"/>
  <c r="H44" i="9"/>
  <c r="H63" i="3"/>
  <c r="H64" i="3"/>
  <c r="H65" i="3"/>
  <c r="H67" i="3"/>
  <c r="H45" i="9"/>
  <c r="H71" i="3"/>
  <c r="H72" i="3"/>
  <c r="H73" i="3"/>
  <c r="H75" i="3"/>
  <c r="H46" i="9"/>
  <c r="H79" i="3"/>
  <c r="H80" i="3"/>
  <c r="H81" i="3"/>
  <c r="H83" i="3"/>
  <c r="H47" i="9"/>
  <c r="H87" i="3"/>
  <c r="H88" i="3"/>
  <c r="H90" i="3"/>
  <c r="H92" i="3"/>
  <c r="H48" i="9"/>
  <c r="H96" i="3"/>
  <c r="H97" i="3"/>
  <c r="H99" i="3"/>
  <c r="H49" i="9"/>
  <c r="H112" i="3"/>
  <c r="H113" i="3"/>
  <c r="H115" i="3"/>
  <c r="H51" i="9"/>
  <c r="H119" i="3"/>
  <c r="H120" i="3"/>
  <c r="H122" i="3"/>
  <c r="H52" i="9"/>
  <c r="H126" i="3"/>
  <c r="H127" i="3"/>
  <c r="H129" i="3"/>
  <c r="H53" i="9"/>
  <c r="H133" i="3"/>
  <c r="H134" i="3"/>
  <c r="H135" i="3"/>
  <c r="H137" i="3"/>
  <c r="H54" i="9"/>
  <c r="H56" i="9"/>
  <c r="E84" i="9"/>
  <c r="H65" i="9"/>
  <c r="H72" i="9"/>
  <c r="I9" i="2"/>
  <c r="I5" i="2"/>
  <c r="I6" i="2"/>
  <c r="I7" i="2"/>
  <c r="I8" i="2"/>
  <c r="I10" i="2"/>
  <c r="I11" i="2"/>
  <c r="I12" i="2"/>
  <c r="I14" i="2"/>
  <c r="I17" i="2"/>
  <c r="I18" i="2"/>
  <c r="I20" i="2"/>
  <c r="I22" i="2"/>
  <c r="H59" i="9"/>
  <c r="I26" i="2"/>
  <c r="I27" i="2"/>
  <c r="I28" i="2"/>
  <c r="I30" i="2"/>
  <c r="H60" i="9"/>
  <c r="H62" i="9"/>
  <c r="H74" i="9"/>
  <c r="H76" i="9"/>
  <c r="H78" i="9"/>
  <c r="I26" i="3"/>
  <c r="I27" i="3"/>
  <c r="I29" i="3"/>
  <c r="I40" i="9"/>
  <c r="I104" i="3"/>
  <c r="I105" i="3"/>
  <c r="I103" i="3"/>
  <c r="I106" i="3"/>
  <c r="I108" i="3"/>
  <c r="I50" i="9"/>
  <c r="I33" i="3"/>
  <c r="I34" i="3"/>
  <c r="I36" i="3"/>
  <c r="I41" i="9"/>
  <c r="I40" i="3"/>
  <c r="I41" i="3"/>
  <c r="I43" i="3"/>
  <c r="I42" i="9"/>
  <c r="I47" i="3"/>
  <c r="I48" i="3"/>
  <c r="I49" i="3"/>
  <c r="I50" i="3"/>
  <c r="I52" i="3"/>
  <c r="I43" i="9"/>
  <c r="I56" i="3"/>
  <c r="I57" i="3"/>
  <c r="I59" i="3"/>
  <c r="I44" i="9"/>
  <c r="I63" i="3"/>
  <c r="I64" i="3"/>
  <c r="I65" i="3"/>
  <c r="I67" i="3"/>
  <c r="I45" i="9"/>
  <c r="I71" i="3"/>
  <c r="I72" i="3"/>
  <c r="I73" i="3"/>
  <c r="I75" i="3"/>
  <c r="I46" i="9"/>
  <c r="I79" i="3"/>
  <c r="I80" i="3"/>
  <c r="I81" i="3"/>
  <c r="I83" i="3"/>
  <c r="I47" i="9"/>
  <c r="I87" i="3"/>
  <c r="I88" i="3"/>
  <c r="I90" i="3"/>
  <c r="I92" i="3"/>
  <c r="I48" i="9"/>
  <c r="I96" i="3"/>
  <c r="I97" i="3"/>
  <c r="I99" i="3"/>
  <c r="I49" i="9"/>
  <c r="I112" i="3"/>
  <c r="I113" i="3"/>
  <c r="I115" i="3"/>
  <c r="I51" i="9"/>
  <c r="I119" i="3"/>
  <c r="I120" i="3"/>
  <c r="I122" i="3"/>
  <c r="I52" i="9"/>
  <c r="I126" i="3"/>
  <c r="I127" i="3"/>
  <c r="I129" i="3"/>
  <c r="I53" i="9"/>
  <c r="I133" i="3"/>
  <c r="I134" i="3"/>
  <c r="I135" i="3"/>
  <c r="I137" i="3"/>
  <c r="I54" i="9"/>
  <c r="I56" i="9"/>
  <c r="J9" i="2"/>
  <c r="J5" i="2"/>
  <c r="J6" i="2"/>
  <c r="J7" i="2"/>
  <c r="J8" i="2"/>
  <c r="J10" i="2"/>
  <c r="J11" i="2"/>
  <c r="J12" i="2"/>
  <c r="J14" i="2"/>
  <c r="J17" i="2"/>
  <c r="J18" i="2"/>
  <c r="J20" i="2"/>
  <c r="J22" i="2"/>
  <c r="I59" i="9"/>
  <c r="J26" i="2"/>
  <c r="J27" i="2"/>
  <c r="J28" i="2"/>
  <c r="J30" i="2"/>
  <c r="I60" i="9"/>
  <c r="I62" i="9"/>
  <c r="I74" i="9"/>
  <c r="I30" i="9"/>
  <c r="I34" i="9"/>
  <c r="I36" i="9"/>
  <c r="I76" i="9"/>
  <c r="I78" i="9"/>
  <c r="J26" i="3"/>
  <c r="J27" i="3"/>
  <c r="J29" i="3"/>
  <c r="J40" i="9"/>
  <c r="J104" i="3"/>
  <c r="J105" i="3"/>
  <c r="J103" i="3"/>
  <c r="J106" i="3"/>
  <c r="J108" i="3"/>
  <c r="J50" i="9"/>
  <c r="J33" i="3"/>
  <c r="J34" i="3"/>
  <c r="J36" i="3"/>
  <c r="J41" i="9"/>
  <c r="J40" i="3"/>
  <c r="J41" i="3"/>
  <c r="J43" i="3"/>
  <c r="J42" i="9"/>
  <c r="J47" i="3"/>
  <c r="J48" i="3"/>
  <c r="J49" i="3"/>
  <c r="J50" i="3"/>
  <c r="J52" i="3"/>
  <c r="J43" i="9"/>
  <c r="J56" i="3"/>
  <c r="J57" i="3"/>
  <c r="J59" i="3"/>
  <c r="J44" i="9"/>
  <c r="J63" i="3"/>
  <c r="J64" i="3"/>
  <c r="J65" i="3"/>
  <c r="J67" i="3"/>
  <c r="J45" i="9"/>
  <c r="J71" i="3"/>
  <c r="J72" i="3"/>
  <c r="J73" i="3"/>
  <c r="J75" i="3"/>
  <c r="J46" i="9"/>
  <c r="J79" i="3"/>
  <c r="J80" i="3"/>
  <c r="J81" i="3"/>
  <c r="J83" i="3"/>
  <c r="J47" i="9"/>
  <c r="J87" i="3"/>
  <c r="J88" i="3"/>
  <c r="J90" i="3"/>
  <c r="J92" i="3"/>
  <c r="J48" i="9"/>
  <c r="J96" i="3"/>
  <c r="J97" i="3"/>
  <c r="J99" i="3"/>
  <c r="J49" i="9"/>
  <c r="J112" i="3"/>
  <c r="J113" i="3"/>
  <c r="J115" i="3"/>
  <c r="J51" i="9"/>
  <c r="J119" i="3"/>
  <c r="J120" i="3"/>
  <c r="J122" i="3"/>
  <c r="J52" i="9"/>
  <c r="J126" i="3"/>
  <c r="J127" i="3"/>
  <c r="J129" i="3"/>
  <c r="J53" i="9"/>
  <c r="J133" i="3"/>
  <c r="J134" i="3"/>
  <c r="J135" i="3"/>
  <c r="J137" i="3"/>
  <c r="J54" i="9"/>
  <c r="J56" i="9"/>
  <c r="K9" i="2"/>
  <c r="K5" i="2"/>
  <c r="K6" i="2"/>
  <c r="K7" i="2"/>
  <c r="K8" i="2"/>
  <c r="K10" i="2"/>
  <c r="K11" i="2"/>
  <c r="K12" i="2"/>
  <c r="K14" i="2"/>
  <c r="K17" i="2"/>
  <c r="K18" i="2"/>
  <c r="K20" i="2"/>
  <c r="K22" i="2"/>
  <c r="J59" i="9"/>
  <c r="K26" i="2"/>
  <c r="K27" i="2"/>
  <c r="K28" i="2"/>
  <c r="K30" i="2"/>
  <c r="J60" i="9"/>
  <c r="J62" i="9"/>
  <c r="J74" i="9"/>
  <c r="J30" i="9"/>
  <c r="J34" i="9"/>
  <c r="J36" i="9"/>
  <c r="J76" i="9"/>
  <c r="J78" i="9"/>
  <c r="H85" i="9"/>
  <c r="K29" i="9"/>
  <c r="K30" i="9"/>
  <c r="K34" i="9"/>
  <c r="K26" i="9"/>
  <c r="K36" i="9"/>
  <c r="K26" i="3"/>
  <c r="K27" i="3"/>
  <c r="K29" i="3"/>
  <c r="K40" i="9"/>
  <c r="K104" i="3"/>
  <c r="K105" i="3"/>
  <c r="K103" i="3"/>
  <c r="K106" i="3"/>
  <c r="K108" i="3"/>
  <c r="K50" i="9"/>
  <c r="K33" i="3"/>
  <c r="K34" i="3"/>
  <c r="K36" i="3"/>
  <c r="K41" i="9"/>
  <c r="K40" i="3"/>
  <c r="K41" i="3"/>
  <c r="K43" i="3"/>
  <c r="K42" i="9"/>
  <c r="K47" i="3"/>
  <c r="K48" i="3"/>
  <c r="K49" i="3"/>
  <c r="K50" i="3"/>
  <c r="K52" i="3"/>
  <c r="K43" i="9"/>
  <c r="K56" i="3"/>
  <c r="K57" i="3"/>
  <c r="K59" i="3"/>
  <c r="K44" i="9"/>
  <c r="K63" i="3"/>
  <c r="K64" i="3"/>
  <c r="K65" i="3"/>
  <c r="K67" i="3"/>
  <c r="K45" i="9"/>
  <c r="K71" i="3"/>
  <c r="K72" i="3"/>
  <c r="K73" i="3"/>
  <c r="K75" i="3"/>
  <c r="K46" i="9"/>
  <c r="K79" i="3"/>
  <c r="K80" i="3"/>
  <c r="K81" i="3"/>
  <c r="K83" i="3"/>
  <c r="K47" i="9"/>
  <c r="K87" i="3"/>
  <c r="K88" i="3"/>
  <c r="K90" i="3"/>
  <c r="K92" i="3"/>
  <c r="K48" i="9"/>
  <c r="K96" i="3"/>
  <c r="K97" i="3"/>
  <c r="K99" i="3"/>
  <c r="K49" i="9"/>
  <c r="K112" i="3"/>
  <c r="K113" i="3"/>
  <c r="K115" i="3"/>
  <c r="K51" i="9"/>
  <c r="K119" i="3"/>
  <c r="K120" i="3"/>
  <c r="K122" i="3"/>
  <c r="K52" i="9"/>
  <c r="K126" i="3"/>
  <c r="K127" i="3"/>
  <c r="K129" i="3"/>
  <c r="K53" i="9"/>
  <c r="K133" i="3"/>
  <c r="K134" i="3"/>
  <c r="K135" i="3"/>
  <c r="K137" i="3"/>
  <c r="K54" i="9"/>
  <c r="K56" i="9"/>
  <c r="H84" i="9"/>
  <c r="K65" i="9"/>
  <c r="K72" i="9"/>
  <c r="L9" i="2"/>
  <c r="L5" i="2"/>
  <c r="L6" i="2"/>
  <c r="L7" i="2"/>
  <c r="L8" i="2"/>
  <c r="L10" i="2"/>
  <c r="L11" i="2"/>
  <c r="L12" i="2"/>
  <c r="L14" i="2"/>
  <c r="L17" i="2"/>
  <c r="L18" i="2"/>
  <c r="L20" i="2"/>
  <c r="L22" i="2"/>
  <c r="K59" i="9"/>
  <c r="L26" i="2"/>
  <c r="L27" i="2"/>
  <c r="L28" i="2"/>
  <c r="L30" i="2"/>
  <c r="K60" i="9"/>
  <c r="K62" i="9"/>
  <c r="K74" i="9"/>
  <c r="K76" i="9"/>
  <c r="K78" i="9"/>
  <c r="L26" i="3"/>
  <c r="L27" i="3"/>
  <c r="L29" i="3"/>
  <c r="L40" i="9"/>
  <c r="L104" i="3"/>
  <c r="L105" i="3"/>
  <c r="L103" i="3"/>
  <c r="L106" i="3"/>
  <c r="L108" i="3"/>
  <c r="L50" i="9"/>
  <c r="L33" i="3"/>
  <c r="L34" i="3"/>
  <c r="L36" i="3"/>
  <c r="L41" i="9"/>
  <c r="L40" i="3"/>
  <c r="L41" i="3"/>
  <c r="L43" i="3"/>
  <c r="L42" i="9"/>
  <c r="L47" i="3"/>
  <c r="L48" i="3"/>
  <c r="L49" i="3"/>
  <c r="L50" i="3"/>
  <c r="L52" i="3"/>
  <c r="L43" i="9"/>
  <c r="L56" i="3"/>
  <c r="L57" i="3"/>
  <c r="L59" i="3"/>
  <c r="L44" i="9"/>
  <c r="L63" i="3"/>
  <c r="L64" i="3"/>
  <c r="L65" i="3"/>
  <c r="L67" i="3"/>
  <c r="L45" i="9"/>
  <c r="L71" i="3"/>
  <c r="L72" i="3"/>
  <c r="L73" i="3"/>
  <c r="L75" i="3"/>
  <c r="L46" i="9"/>
  <c r="L79" i="3"/>
  <c r="L80" i="3"/>
  <c r="L81" i="3"/>
  <c r="L83" i="3"/>
  <c r="L47" i="9"/>
  <c r="L87" i="3"/>
  <c r="L88" i="3"/>
  <c r="L90" i="3"/>
  <c r="L92" i="3"/>
  <c r="L48" i="9"/>
  <c r="L96" i="3"/>
  <c r="L97" i="3"/>
  <c r="L99" i="3"/>
  <c r="L49" i="9"/>
  <c r="L112" i="3"/>
  <c r="L113" i="3"/>
  <c r="L115" i="3"/>
  <c r="L51" i="9"/>
  <c r="L119" i="3"/>
  <c r="L120" i="3"/>
  <c r="L122" i="3"/>
  <c r="L52" i="9"/>
  <c r="L126" i="3"/>
  <c r="L127" i="3"/>
  <c r="L129" i="3"/>
  <c r="L53" i="9"/>
  <c r="L133" i="3"/>
  <c r="L134" i="3"/>
  <c r="L135" i="3"/>
  <c r="L137" i="3"/>
  <c r="L54" i="9"/>
  <c r="L56" i="9"/>
  <c r="M9" i="2"/>
  <c r="M5" i="2"/>
  <c r="M6" i="2"/>
  <c r="M7" i="2"/>
  <c r="M8" i="2"/>
  <c r="M10" i="2"/>
  <c r="M11" i="2"/>
  <c r="M12" i="2"/>
  <c r="M14" i="2"/>
  <c r="M17" i="2"/>
  <c r="M18" i="2"/>
  <c r="M20" i="2"/>
  <c r="M22" i="2"/>
  <c r="L59" i="9"/>
  <c r="M26" i="2"/>
  <c r="M27" i="2"/>
  <c r="M28" i="2"/>
  <c r="M30" i="2"/>
  <c r="L60" i="9"/>
  <c r="L62" i="9"/>
  <c r="L74" i="9"/>
  <c r="L30" i="9"/>
  <c r="L34" i="9"/>
  <c r="L36" i="9"/>
  <c r="L76" i="9"/>
  <c r="L78" i="9"/>
  <c r="M26" i="3"/>
  <c r="M27" i="3"/>
  <c r="M29" i="3"/>
  <c r="M40" i="9"/>
  <c r="M104" i="3"/>
  <c r="M105" i="3"/>
  <c r="M103" i="3"/>
  <c r="M106" i="3"/>
  <c r="M108" i="3"/>
  <c r="M50" i="9"/>
  <c r="M33" i="3"/>
  <c r="M34" i="3"/>
  <c r="M36" i="3"/>
  <c r="M41" i="9"/>
  <c r="M40" i="3"/>
  <c r="M41" i="3"/>
  <c r="M43" i="3"/>
  <c r="M42" i="9"/>
  <c r="M47" i="3"/>
  <c r="M48" i="3"/>
  <c r="M49" i="3"/>
  <c r="M50" i="3"/>
  <c r="M52" i="3"/>
  <c r="M43" i="9"/>
  <c r="M56" i="3"/>
  <c r="M57" i="3"/>
  <c r="M59" i="3"/>
  <c r="M44" i="9"/>
  <c r="M63" i="3"/>
  <c r="M64" i="3"/>
  <c r="M65" i="3"/>
  <c r="M67" i="3"/>
  <c r="M45" i="9"/>
  <c r="M71" i="3"/>
  <c r="M72" i="3"/>
  <c r="M73" i="3"/>
  <c r="M75" i="3"/>
  <c r="M46" i="9"/>
  <c r="M79" i="3"/>
  <c r="M80" i="3"/>
  <c r="M81" i="3"/>
  <c r="M83" i="3"/>
  <c r="M47" i="9"/>
  <c r="M87" i="3"/>
  <c r="M88" i="3"/>
  <c r="M90" i="3"/>
  <c r="M92" i="3"/>
  <c r="M48" i="9"/>
  <c r="M96" i="3"/>
  <c r="M97" i="3"/>
  <c r="M99" i="3"/>
  <c r="M49" i="9"/>
  <c r="M112" i="3"/>
  <c r="M113" i="3"/>
  <c r="M115" i="3"/>
  <c r="M51" i="9"/>
  <c r="M119" i="3"/>
  <c r="M120" i="3"/>
  <c r="M122" i="3"/>
  <c r="M52" i="9"/>
  <c r="M126" i="3"/>
  <c r="M127" i="3"/>
  <c r="M129" i="3"/>
  <c r="M53" i="9"/>
  <c r="M133" i="3"/>
  <c r="M134" i="3"/>
  <c r="M135" i="3"/>
  <c r="M137" i="3"/>
  <c r="M54" i="9"/>
  <c r="M56" i="9"/>
  <c r="N9" i="2"/>
  <c r="N5" i="2"/>
  <c r="N6" i="2"/>
  <c r="N7" i="2"/>
  <c r="N8" i="2"/>
  <c r="N10" i="2"/>
  <c r="N11" i="2"/>
  <c r="N12" i="2"/>
  <c r="N14" i="2"/>
  <c r="N17" i="2"/>
  <c r="N18" i="2"/>
  <c r="N20" i="2"/>
  <c r="N22" i="2"/>
  <c r="M59" i="9"/>
  <c r="N26" i="2"/>
  <c r="N27" i="2"/>
  <c r="N28" i="2"/>
  <c r="N30" i="2"/>
  <c r="M60" i="9"/>
  <c r="M62" i="9"/>
  <c r="K15" i="9"/>
  <c r="M69" i="9"/>
  <c r="M72" i="9"/>
  <c r="M74" i="9"/>
  <c r="M26" i="9"/>
  <c r="M30" i="9"/>
  <c r="M34" i="9"/>
  <c r="M36" i="9"/>
  <c r="M76" i="9"/>
  <c r="M78" i="9"/>
  <c r="K85" i="9"/>
  <c r="N29" i="9"/>
  <c r="N30" i="9"/>
  <c r="N34" i="9"/>
  <c r="N36" i="9"/>
  <c r="N26" i="3"/>
  <c r="N27" i="3"/>
  <c r="N29" i="3"/>
  <c r="N40" i="9"/>
  <c r="N104" i="3"/>
  <c r="N105" i="3"/>
  <c r="N103" i="3"/>
  <c r="N106" i="3"/>
  <c r="N108" i="3"/>
  <c r="N50" i="9"/>
  <c r="N33" i="3"/>
  <c r="N34" i="3"/>
  <c r="N36" i="3"/>
  <c r="N41" i="9"/>
  <c r="N40" i="3"/>
  <c r="N41" i="3"/>
  <c r="N43" i="3"/>
  <c r="N42" i="9"/>
  <c r="N47" i="3"/>
  <c r="N48" i="3"/>
  <c r="N49" i="3"/>
  <c r="N50" i="3"/>
  <c r="N52" i="3"/>
  <c r="N43" i="9"/>
  <c r="N56" i="3"/>
  <c r="N57" i="3"/>
  <c r="N59" i="3"/>
  <c r="N44" i="9"/>
  <c r="N63" i="3"/>
  <c r="N64" i="3"/>
  <c r="N65" i="3"/>
  <c r="N67" i="3"/>
  <c r="N45" i="9"/>
  <c r="N71" i="3"/>
  <c r="N72" i="3"/>
  <c r="N73" i="3"/>
  <c r="N75" i="3"/>
  <c r="N46" i="9"/>
  <c r="N79" i="3"/>
  <c r="N80" i="3"/>
  <c r="N81" i="3"/>
  <c r="N83" i="3"/>
  <c r="N47" i="9"/>
  <c r="N87" i="3"/>
  <c r="N88" i="3"/>
  <c r="N90" i="3"/>
  <c r="N92" i="3"/>
  <c r="N48" i="9"/>
  <c r="N96" i="3"/>
  <c r="N97" i="3"/>
  <c r="N99" i="3"/>
  <c r="N49" i="9"/>
  <c r="N112" i="3"/>
  <c r="N113" i="3"/>
  <c r="N115" i="3"/>
  <c r="N51" i="9"/>
  <c r="N119" i="3"/>
  <c r="N120" i="3"/>
  <c r="N122" i="3"/>
  <c r="N52" i="9"/>
  <c r="N126" i="3"/>
  <c r="N127" i="3"/>
  <c r="N129" i="3"/>
  <c r="N53" i="9"/>
  <c r="N133" i="3"/>
  <c r="N134" i="3"/>
  <c r="N135" i="3"/>
  <c r="N137" i="3"/>
  <c r="N54" i="9"/>
  <c r="N56" i="9"/>
  <c r="K84" i="9"/>
  <c r="N65" i="9"/>
  <c r="N72" i="9"/>
  <c r="O9" i="2"/>
  <c r="O5" i="2"/>
  <c r="O6" i="2"/>
  <c r="O7" i="2"/>
  <c r="O8" i="2"/>
  <c r="O10" i="2"/>
  <c r="O11" i="2"/>
  <c r="O12" i="2"/>
  <c r="O14" i="2"/>
  <c r="O17" i="2"/>
  <c r="O18" i="2"/>
  <c r="O20" i="2"/>
  <c r="O22" i="2"/>
  <c r="N59" i="9"/>
  <c r="O26" i="2"/>
  <c r="O27" i="2"/>
  <c r="O28" i="2"/>
  <c r="O30" i="2"/>
  <c r="N60" i="9"/>
  <c r="N62" i="9"/>
  <c r="N74" i="9"/>
  <c r="N76" i="9"/>
  <c r="N78" i="9"/>
  <c r="O26" i="3"/>
  <c r="O27" i="3"/>
  <c r="O29" i="3"/>
  <c r="O40" i="9"/>
  <c r="O104" i="3"/>
  <c r="O105" i="3"/>
  <c r="O103" i="3"/>
  <c r="O106" i="3"/>
  <c r="O108" i="3"/>
  <c r="O50" i="9"/>
  <c r="O33" i="3"/>
  <c r="O34" i="3"/>
  <c r="O36" i="3"/>
  <c r="O41" i="9"/>
  <c r="O40" i="3"/>
  <c r="O41" i="3"/>
  <c r="O43" i="3"/>
  <c r="O42" i="9"/>
  <c r="O47" i="3"/>
  <c r="O48" i="3"/>
  <c r="O49" i="3"/>
  <c r="O50" i="3"/>
  <c r="O52" i="3"/>
  <c r="O43" i="9"/>
  <c r="O56" i="3"/>
  <c r="O57" i="3"/>
  <c r="O59" i="3"/>
  <c r="O44" i="9"/>
  <c r="O63" i="3"/>
  <c r="O64" i="3"/>
  <c r="O65" i="3"/>
  <c r="O67" i="3"/>
  <c r="O45" i="9"/>
  <c r="O71" i="3"/>
  <c r="O72" i="3"/>
  <c r="O73" i="3"/>
  <c r="O75" i="3"/>
  <c r="O46" i="9"/>
  <c r="O79" i="3"/>
  <c r="O80" i="3"/>
  <c r="O81" i="3"/>
  <c r="O83" i="3"/>
  <c r="O47" i="9"/>
  <c r="O87" i="3"/>
  <c r="O88" i="3"/>
  <c r="O90" i="3"/>
  <c r="O92" i="3"/>
  <c r="O48" i="9"/>
  <c r="O96" i="3"/>
  <c r="O97" i="3"/>
  <c r="O99" i="3"/>
  <c r="O49" i="9"/>
  <c r="O112" i="3"/>
  <c r="O113" i="3"/>
  <c r="O115" i="3"/>
  <c r="O51" i="9"/>
  <c r="O119" i="3"/>
  <c r="O120" i="3"/>
  <c r="O122" i="3"/>
  <c r="O52" i="9"/>
  <c r="O126" i="3"/>
  <c r="O127" i="3"/>
  <c r="O129" i="3"/>
  <c r="O53" i="9"/>
  <c r="O133" i="3"/>
  <c r="O134" i="3"/>
  <c r="O135" i="3"/>
  <c r="O137" i="3"/>
  <c r="O54" i="9"/>
  <c r="O56" i="9"/>
  <c r="P9" i="2"/>
  <c r="P5" i="2"/>
  <c r="P6" i="2"/>
  <c r="P7" i="2"/>
  <c r="P8" i="2"/>
  <c r="P10" i="2"/>
  <c r="P11" i="2"/>
  <c r="P12" i="2"/>
  <c r="P14" i="2"/>
  <c r="P17" i="2"/>
  <c r="P18" i="2"/>
  <c r="P20" i="2"/>
  <c r="P22" i="2"/>
  <c r="O59" i="9"/>
  <c r="P26" i="2"/>
  <c r="P27" i="2"/>
  <c r="P28" i="2"/>
  <c r="P30" i="2"/>
  <c r="O60" i="9"/>
  <c r="O62" i="9"/>
  <c r="M15" i="9"/>
  <c r="O69" i="9"/>
  <c r="O72" i="9"/>
  <c r="O74" i="9"/>
  <c r="O30" i="9"/>
  <c r="O34" i="9"/>
  <c r="O36" i="9"/>
  <c r="O76" i="9"/>
  <c r="O78" i="9"/>
  <c r="P26" i="3"/>
  <c r="P27" i="3"/>
  <c r="P29" i="3"/>
  <c r="P40" i="9"/>
  <c r="P104" i="3"/>
  <c r="P105" i="3"/>
  <c r="P103" i="3"/>
  <c r="P106" i="3"/>
  <c r="P108" i="3"/>
  <c r="P50" i="9"/>
  <c r="P33" i="3"/>
  <c r="P34" i="3"/>
  <c r="P36" i="3"/>
  <c r="P41" i="9"/>
  <c r="P40" i="3"/>
  <c r="P41" i="3"/>
  <c r="P43" i="3"/>
  <c r="P42" i="9"/>
  <c r="P47" i="3"/>
  <c r="P48" i="3"/>
  <c r="P49" i="3"/>
  <c r="P50" i="3"/>
  <c r="P52" i="3"/>
  <c r="P43" i="9"/>
  <c r="P56" i="3"/>
  <c r="P57" i="3"/>
  <c r="P59" i="3"/>
  <c r="P44" i="9"/>
  <c r="P63" i="3"/>
  <c r="P64" i="3"/>
  <c r="P65" i="3"/>
  <c r="P67" i="3"/>
  <c r="P45" i="9"/>
  <c r="P71" i="3"/>
  <c r="P72" i="3"/>
  <c r="P73" i="3"/>
  <c r="P75" i="3"/>
  <c r="P46" i="9"/>
  <c r="P79" i="3"/>
  <c r="P80" i="3"/>
  <c r="P81" i="3"/>
  <c r="P83" i="3"/>
  <c r="P47" i="9"/>
  <c r="P87" i="3"/>
  <c r="P88" i="3"/>
  <c r="P90" i="3"/>
  <c r="P92" i="3"/>
  <c r="P48" i="9"/>
  <c r="P96" i="3"/>
  <c r="P97" i="3"/>
  <c r="P99" i="3"/>
  <c r="P49" i="9"/>
  <c r="P112" i="3"/>
  <c r="P113" i="3"/>
  <c r="P115" i="3"/>
  <c r="P51" i="9"/>
  <c r="P119" i="3"/>
  <c r="P120" i="3"/>
  <c r="P122" i="3"/>
  <c r="P52" i="9"/>
  <c r="P126" i="3"/>
  <c r="P127" i="3"/>
  <c r="P129" i="3"/>
  <c r="P53" i="9"/>
  <c r="P133" i="3"/>
  <c r="P134" i="3"/>
  <c r="P135" i="3"/>
  <c r="P137" i="3"/>
  <c r="P54" i="9"/>
  <c r="P56" i="9"/>
  <c r="Q9" i="2"/>
  <c r="Q5" i="2"/>
  <c r="Q6" i="2"/>
  <c r="Q7" i="2"/>
  <c r="Q8" i="2"/>
  <c r="Q10" i="2"/>
  <c r="Q11" i="2"/>
  <c r="Q12" i="2"/>
  <c r="Q14" i="2"/>
  <c r="Q17" i="2"/>
  <c r="Q18" i="2"/>
  <c r="Q20" i="2"/>
  <c r="Q22" i="2"/>
  <c r="P59" i="9"/>
  <c r="Q26" i="2"/>
  <c r="Q27" i="2"/>
  <c r="Q28" i="2"/>
  <c r="Q30" i="2"/>
  <c r="P60" i="9"/>
  <c r="P62" i="9"/>
  <c r="P74" i="9"/>
  <c r="P26" i="9"/>
  <c r="P30" i="9"/>
  <c r="P34" i="9"/>
  <c r="P36" i="9"/>
  <c r="P76" i="9"/>
  <c r="P78" i="9"/>
  <c r="N85" i="9"/>
  <c r="R29" i="9"/>
  <c r="R33" i="3"/>
  <c r="R34" i="3"/>
  <c r="R36" i="3"/>
  <c r="R41" i="9"/>
  <c r="R40" i="3"/>
  <c r="R41" i="3"/>
  <c r="R43" i="3"/>
  <c r="R42" i="9"/>
  <c r="R47" i="3"/>
  <c r="R48" i="3"/>
  <c r="R49" i="3"/>
  <c r="R50" i="3"/>
  <c r="R52" i="3"/>
  <c r="R43" i="9"/>
  <c r="R56" i="3"/>
  <c r="R57" i="3"/>
  <c r="R59" i="3"/>
  <c r="R44" i="9"/>
  <c r="R71" i="3"/>
  <c r="R72" i="3"/>
  <c r="R73" i="3"/>
  <c r="R75" i="3"/>
  <c r="R46" i="9"/>
  <c r="R79" i="3"/>
  <c r="R80" i="3"/>
  <c r="R81" i="3"/>
  <c r="R83" i="3"/>
  <c r="R47" i="9"/>
  <c r="R88" i="3"/>
  <c r="R90" i="3"/>
  <c r="R92" i="3"/>
  <c r="R48" i="9"/>
  <c r="R96" i="3"/>
  <c r="R97" i="3"/>
  <c r="R99" i="3"/>
  <c r="R49" i="9"/>
  <c r="R119" i="3"/>
  <c r="R120" i="3"/>
  <c r="R122" i="3"/>
  <c r="R52" i="9"/>
  <c r="R133" i="3"/>
  <c r="R134" i="3"/>
  <c r="R135" i="3"/>
  <c r="R137" i="3"/>
  <c r="R54" i="9"/>
  <c r="S9" i="2"/>
  <c r="S5" i="2"/>
  <c r="S6" i="2"/>
  <c r="S7" i="2"/>
  <c r="S8" i="2"/>
  <c r="S10" i="2"/>
  <c r="S11" i="2"/>
  <c r="S12" i="2"/>
  <c r="S14" i="2"/>
  <c r="S17" i="2"/>
  <c r="S18" i="2"/>
  <c r="S20" i="2"/>
  <c r="S22" i="2"/>
  <c r="R30" i="9"/>
  <c r="R34" i="9"/>
  <c r="R26" i="9"/>
  <c r="R36" i="9"/>
  <c r="R26" i="3"/>
  <c r="R27" i="3"/>
  <c r="R29" i="3"/>
  <c r="R40" i="9"/>
  <c r="R104" i="3"/>
  <c r="R105" i="3"/>
  <c r="R103" i="3"/>
  <c r="R106" i="3"/>
  <c r="R108" i="3"/>
  <c r="R50" i="9"/>
  <c r="R63" i="3"/>
  <c r="R64" i="3"/>
  <c r="R65" i="3"/>
  <c r="R67" i="3"/>
  <c r="R45" i="9"/>
  <c r="R112" i="3"/>
  <c r="R113" i="3"/>
  <c r="R115" i="3"/>
  <c r="R51" i="9"/>
  <c r="R126" i="3"/>
  <c r="R127" i="3"/>
  <c r="R129" i="3"/>
  <c r="R53" i="9"/>
  <c r="R56" i="9"/>
  <c r="N84" i="9"/>
  <c r="R65" i="9"/>
  <c r="P15" i="9"/>
  <c r="R15" i="9"/>
  <c r="R69" i="9"/>
  <c r="R72" i="9"/>
  <c r="R59" i="9"/>
  <c r="S26" i="2"/>
  <c r="S27" i="2"/>
  <c r="S28" i="2"/>
  <c r="S30" i="2"/>
  <c r="R60" i="9"/>
  <c r="R62" i="9"/>
  <c r="R74" i="9"/>
  <c r="R76" i="9"/>
  <c r="R78" i="9"/>
  <c r="R85" i="9"/>
  <c r="S29" i="9"/>
  <c r="S33" i="3"/>
  <c r="S34" i="3"/>
  <c r="S36" i="3"/>
  <c r="S41" i="9"/>
  <c r="S40" i="3"/>
  <c r="S41" i="3"/>
  <c r="S43" i="3"/>
  <c r="S42" i="9"/>
  <c r="S47" i="3"/>
  <c r="S48" i="3"/>
  <c r="S49" i="3"/>
  <c r="S50" i="3"/>
  <c r="S52" i="3"/>
  <c r="S43" i="9"/>
  <c r="S56" i="3"/>
  <c r="S57" i="3"/>
  <c r="S59" i="3"/>
  <c r="S44" i="9"/>
  <c r="S71" i="3"/>
  <c r="S72" i="3"/>
  <c r="S73" i="3"/>
  <c r="S75" i="3"/>
  <c r="S46" i="9"/>
  <c r="S79" i="3"/>
  <c r="S80" i="3"/>
  <c r="S81" i="3"/>
  <c r="S83" i="3"/>
  <c r="S47" i="9"/>
  <c r="S88" i="3"/>
  <c r="S90" i="3"/>
  <c r="S92" i="3"/>
  <c r="S48" i="9"/>
  <c r="S96" i="3"/>
  <c r="S97" i="3"/>
  <c r="S99" i="3"/>
  <c r="S49" i="9"/>
  <c r="S119" i="3"/>
  <c r="S120" i="3"/>
  <c r="S122" i="3"/>
  <c r="S52" i="9"/>
  <c r="S133" i="3"/>
  <c r="S134" i="3"/>
  <c r="S135" i="3"/>
  <c r="S137" i="3"/>
  <c r="S54" i="9"/>
  <c r="T9" i="2"/>
  <c r="T5" i="2"/>
  <c r="T6" i="2"/>
  <c r="T7" i="2"/>
  <c r="T8" i="2"/>
  <c r="T10" i="2"/>
  <c r="T11" i="2"/>
  <c r="T12" i="2"/>
  <c r="T14" i="2"/>
  <c r="T17" i="2"/>
  <c r="T18" i="2"/>
  <c r="T20" i="2"/>
  <c r="T22" i="2"/>
  <c r="S30" i="9"/>
  <c r="S34" i="9"/>
  <c r="S21" i="9"/>
  <c r="S26" i="9"/>
  <c r="S36" i="9"/>
  <c r="S26" i="3"/>
  <c r="S27" i="3"/>
  <c r="S29" i="3"/>
  <c r="S40" i="9"/>
  <c r="S104" i="3"/>
  <c r="S105" i="3"/>
  <c r="S103" i="3"/>
  <c r="S106" i="3"/>
  <c r="S108" i="3"/>
  <c r="S50" i="9"/>
  <c r="S63" i="3"/>
  <c r="S64" i="3"/>
  <c r="S65" i="3"/>
  <c r="S67" i="3"/>
  <c r="S45" i="9"/>
  <c r="S112" i="3"/>
  <c r="S113" i="3"/>
  <c r="S115" i="3"/>
  <c r="S51" i="9"/>
  <c r="S126" i="3"/>
  <c r="S127" i="3"/>
  <c r="S129" i="3"/>
  <c r="S53" i="9"/>
  <c r="S56" i="9"/>
  <c r="R84" i="9"/>
  <c r="S65" i="9"/>
  <c r="S15" i="9"/>
  <c r="S69" i="9"/>
  <c r="S72" i="9"/>
  <c r="S59" i="9"/>
  <c r="T26" i="2"/>
  <c r="T27" i="2"/>
  <c r="T28" i="2"/>
  <c r="T30" i="2"/>
  <c r="S60" i="9"/>
  <c r="S62" i="9"/>
  <c r="S74" i="9"/>
  <c r="S76" i="9"/>
  <c r="S78" i="9"/>
  <c r="Q78" i="9"/>
  <c r="S85" i="9"/>
  <c r="T29" i="9"/>
  <c r="T33" i="3"/>
  <c r="T34" i="3"/>
  <c r="T36" i="3"/>
  <c r="T41" i="9"/>
  <c r="T40" i="3"/>
  <c r="T41" i="3"/>
  <c r="T43" i="3"/>
  <c r="T42" i="9"/>
  <c r="T47" i="3"/>
  <c r="T48" i="3"/>
  <c r="T49" i="3"/>
  <c r="T50" i="3"/>
  <c r="T52" i="3"/>
  <c r="T43" i="9"/>
  <c r="T56" i="3"/>
  <c r="T57" i="3"/>
  <c r="T59" i="3"/>
  <c r="T44" i="9"/>
  <c r="T71" i="3"/>
  <c r="T72" i="3"/>
  <c r="T73" i="3"/>
  <c r="T75" i="3"/>
  <c r="T46" i="9"/>
  <c r="T79" i="3"/>
  <c r="T80" i="3"/>
  <c r="T81" i="3"/>
  <c r="T83" i="3"/>
  <c r="T47" i="9"/>
  <c r="T88" i="3"/>
  <c r="T90" i="3"/>
  <c r="T92" i="3"/>
  <c r="T48" i="9"/>
  <c r="T96" i="3"/>
  <c r="T97" i="3"/>
  <c r="T99" i="3"/>
  <c r="T49" i="9"/>
  <c r="T119" i="3"/>
  <c r="T120" i="3"/>
  <c r="T122" i="3"/>
  <c r="T52" i="9"/>
  <c r="T133" i="3"/>
  <c r="T134" i="3"/>
  <c r="T135" i="3"/>
  <c r="T137" i="3"/>
  <c r="T54" i="9"/>
  <c r="U9" i="2"/>
  <c r="U5" i="2"/>
  <c r="U6" i="2"/>
  <c r="U7" i="2"/>
  <c r="U8" i="2"/>
  <c r="U10" i="2"/>
  <c r="U11" i="2"/>
  <c r="U12" i="2"/>
  <c r="U14" i="2"/>
  <c r="U17" i="2"/>
  <c r="U18" i="2"/>
  <c r="U20" i="2"/>
  <c r="U22" i="2"/>
  <c r="T30" i="9"/>
  <c r="T34" i="9"/>
  <c r="T21" i="9"/>
  <c r="T26" i="9"/>
  <c r="T36" i="9"/>
  <c r="T26" i="3"/>
  <c r="T27" i="3"/>
  <c r="T29" i="3"/>
  <c r="T40" i="9"/>
  <c r="T104" i="3"/>
  <c r="T105" i="3"/>
  <c r="T103" i="3"/>
  <c r="T106" i="3"/>
  <c r="T108" i="3"/>
  <c r="T50" i="9"/>
  <c r="T63" i="3"/>
  <c r="T64" i="3"/>
  <c r="T65" i="3"/>
  <c r="T67" i="3"/>
  <c r="T45" i="9"/>
  <c r="T112" i="3"/>
  <c r="T113" i="3"/>
  <c r="T115" i="3"/>
  <c r="T51" i="9"/>
  <c r="T126" i="3"/>
  <c r="T127" i="3"/>
  <c r="T129" i="3"/>
  <c r="T53" i="9"/>
  <c r="T56" i="9"/>
  <c r="S84" i="9"/>
  <c r="T65" i="9"/>
  <c r="T15" i="9"/>
  <c r="T69" i="9"/>
  <c r="T72" i="9"/>
  <c r="T59" i="9"/>
  <c r="U26" i="2"/>
  <c r="U27" i="2"/>
  <c r="U28" i="2"/>
  <c r="U30" i="2"/>
  <c r="T60" i="9"/>
  <c r="T62" i="9"/>
  <c r="T74" i="9"/>
  <c r="T76" i="9"/>
  <c r="T78" i="9"/>
  <c r="T85" i="9"/>
  <c r="U29" i="9"/>
  <c r="U33" i="3"/>
  <c r="U34" i="3"/>
  <c r="U36" i="3"/>
  <c r="U41" i="9"/>
  <c r="U40" i="3"/>
  <c r="U41" i="3"/>
  <c r="U43" i="3"/>
  <c r="U42" i="9"/>
  <c r="U47" i="3"/>
  <c r="U48" i="3"/>
  <c r="U49" i="3"/>
  <c r="U50" i="3"/>
  <c r="U52" i="3"/>
  <c r="U43" i="9"/>
  <c r="U56" i="3"/>
  <c r="U57" i="3"/>
  <c r="U59" i="3"/>
  <c r="U44" i="9"/>
  <c r="U71" i="3"/>
  <c r="U72" i="3"/>
  <c r="U73" i="3"/>
  <c r="U75" i="3"/>
  <c r="U46" i="9"/>
  <c r="U79" i="3"/>
  <c r="U80" i="3"/>
  <c r="U81" i="3"/>
  <c r="U83" i="3"/>
  <c r="U47" i="9"/>
  <c r="U88" i="3"/>
  <c r="U90" i="3"/>
  <c r="U92" i="3"/>
  <c r="U48" i="9"/>
  <c r="U96" i="3"/>
  <c r="U97" i="3"/>
  <c r="U99" i="3"/>
  <c r="U49" i="9"/>
  <c r="U119" i="3"/>
  <c r="U120" i="3"/>
  <c r="U122" i="3"/>
  <c r="U52" i="9"/>
  <c r="U133" i="3"/>
  <c r="U134" i="3"/>
  <c r="U135" i="3"/>
  <c r="U137" i="3"/>
  <c r="U54" i="9"/>
  <c r="V9" i="2"/>
  <c r="V5" i="2"/>
  <c r="V6" i="2"/>
  <c r="V7" i="2"/>
  <c r="V8" i="2"/>
  <c r="V10" i="2"/>
  <c r="V11" i="2"/>
  <c r="V12" i="2"/>
  <c r="V14" i="2"/>
  <c r="V17" i="2"/>
  <c r="V18" i="2"/>
  <c r="V20" i="2"/>
  <c r="V22" i="2"/>
  <c r="U30" i="9"/>
  <c r="U34" i="9"/>
  <c r="U21" i="9"/>
  <c r="U26" i="9"/>
  <c r="U36" i="9"/>
  <c r="U26" i="3"/>
  <c r="U27" i="3"/>
  <c r="U29" i="3"/>
  <c r="U40" i="9"/>
  <c r="U104" i="3"/>
  <c r="U105" i="3"/>
  <c r="U103" i="3"/>
  <c r="U106" i="3"/>
  <c r="U108" i="3"/>
  <c r="U50" i="9"/>
  <c r="U63" i="3"/>
  <c r="U64" i="3"/>
  <c r="U65" i="3"/>
  <c r="U67" i="3"/>
  <c r="U45" i="9"/>
  <c r="U112" i="3"/>
  <c r="U113" i="3"/>
  <c r="U115" i="3"/>
  <c r="U51" i="9"/>
  <c r="U126" i="3"/>
  <c r="U127" i="3"/>
  <c r="U129" i="3"/>
  <c r="U53" i="9"/>
  <c r="U56" i="9"/>
  <c r="T84" i="9"/>
  <c r="U65" i="9"/>
  <c r="U15" i="9"/>
  <c r="U69" i="9"/>
  <c r="U72" i="9"/>
  <c r="U59" i="9"/>
  <c r="V26" i="2"/>
  <c r="V27" i="2"/>
  <c r="V28" i="2"/>
  <c r="V30" i="2"/>
  <c r="U60" i="9"/>
  <c r="U62" i="9"/>
  <c r="U74" i="9"/>
  <c r="U76" i="9"/>
  <c r="U78" i="9"/>
  <c r="U84" i="9"/>
  <c r="W65" i="9"/>
  <c r="D21" i="15"/>
  <c r="V78" i="9"/>
  <c r="W84" i="9"/>
  <c r="X65" i="9"/>
  <c r="E21" i="15"/>
  <c r="D22" i="15"/>
  <c r="E22" i="15"/>
  <c r="D23" i="15"/>
  <c r="E23" i="15"/>
  <c r="D24" i="15"/>
  <c r="E24" i="15"/>
  <c r="W15" i="9"/>
  <c r="W69" i="9"/>
  <c r="D25" i="15"/>
  <c r="X15" i="9"/>
  <c r="X69" i="9"/>
  <c r="E25" i="15"/>
  <c r="C22" i="15"/>
  <c r="C23" i="15"/>
  <c r="C24" i="15"/>
  <c r="V69" i="9"/>
  <c r="C25" i="15"/>
  <c r="V65" i="9"/>
  <c r="C21" i="15"/>
  <c r="W26" i="2"/>
  <c r="W27" i="2"/>
  <c r="W28" i="2"/>
  <c r="W30" i="2"/>
  <c r="V60" i="9"/>
  <c r="C20" i="15"/>
  <c r="W9" i="2"/>
  <c r="W5" i="2"/>
  <c r="W6" i="2"/>
  <c r="W7" i="2"/>
  <c r="W8" i="2"/>
  <c r="W10" i="2"/>
  <c r="W11" i="2"/>
  <c r="W12" i="2"/>
  <c r="W14" i="2"/>
  <c r="W17" i="2"/>
  <c r="W18" i="2"/>
  <c r="W20" i="2"/>
  <c r="W22" i="2"/>
  <c r="V59" i="9"/>
  <c r="C19" i="15"/>
  <c r="V33" i="3"/>
  <c r="V34" i="3"/>
  <c r="V36" i="3"/>
  <c r="V41" i="9"/>
  <c r="C5" i="15"/>
  <c r="V40" i="3"/>
  <c r="V41" i="3"/>
  <c r="V43" i="3"/>
  <c r="V42" i="9"/>
  <c r="C6" i="15"/>
  <c r="V47" i="3"/>
  <c r="V48" i="3"/>
  <c r="V49" i="3"/>
  <c r="V50" i="3"/>
  <c r="V52" i="3"/>
  <c r="V43" i="9"/>
  <c r="C7" i="15"/>
  <c r="V56" i="3"/>
  <c r="V57" i="3"/>
  <c r="V59" i="3"/>
  <c r="V44" i="9"/>
  <c r="C8" i="15"/>
  <c r="V63" i="3"/>
  <c r="V64" i="3"/>
  <c r="V65" i="3"/>
  <c r="V67" i="3"/>
  <c r="V45" i="9"/>
  <c r="C9" i="15"/>
  <c r="V71" i="3"/>
  <c r="V72" i="3"/>
  <c r="V73" i="3"/>
  <c r="V75" i="3"/>
  <c r="V46" i="9"/>
  <c r="C10" i="15"/>
  <c r="V79" i="3"/>
  <c r="V80" i="3"/>
  <c r="V81" i="3"/>
  <c r="V83" i="3"/>
  <c r="V47" i="9"/>
  <c r="C11" i="15"/>
  <c r="V87" i="3"/>
  <c r="V88" i="3"/>
  <c r="V90" i="3"/>
  <c r="V92" i="3"/>
  <c r="V48" i="9"/>
  <c r="C12" i="15"/>
  <c r="V96" i="3"/>
  <c r="V97" i="3"/>
  <c r="V99" i="3"/>
  <c r="V49" i="9"/>
  <c r="C13" i="15"/>
  <c r="V104" i="3"/>
  <c r="V105" i="3"/>
  <c r="V103" i="3"/>
  <c r="V106" i="3"/>
  <c r="V108" i="3"/>
  <c r="V50" i="9"/>
  <c r="C14" i="15"/>
  <c r="V112" i="3"/>
  <c r="V113" i="3"/>
  <c r="V115" i="3"/>
  <c r="V51" i="9"/>
  <c r="C15" i="15"/>
  <c r="V120" i="3"/>
  <c r="V122" i="3"/>
  <c r="V52" i="9"/>
  <c r="C16" i="15"/>
  <c r="V126" i="3"/>
  <c r="V127" i="3"/>
  <c r="V129" i="3"/>
  <c r="V53" i="9"/>
  <c r="C17" i="15"/>
  <c r="V133" i="3"/>
  <c r="V134" i="3"/>
  <c r="V135" i="3"/>
  <c r="V137" i="3"/>
  <c r="V54" i="9"/>
  <c r="C18" i="15"/>
  <c r="V26" i="3"/>
  <c r="V27" i="3"/>
  <c r="V29" i="3"/>
  <c r="V40" i="9"/>
  <c r="C4" i="15"/>
  <c r="B22" i="15"/>
  <c r="B23" i="15"/>
  <c r="B24" i="15"/>
  <c r="Q69" i="9"/>
  <c r="B25" i="15"/>
  <c r="Q65" i="9"/>
  <c r="B21" i="15"/>
  <c r="R26" i="2"/>
  <c r="R27" i="2"/>
  <c r="R28" i="2"/>
  <c r="R30" i="2"/>
  <c r="Q60" i="9"/>
  <c r="B20" i="15"/>
  <c r="R9" i="2"/>
  <c r="R5" i="2"/>
  <c r="R6" i="2"/>
  <c r="R7" i="2"/>
  <c r="R8" i="2"/>
  <c r="R10" i="2"/>
  <c r="R11" i="2"/>
  <c r="R12" i="2"/>
  <c r="R14" i="2"/>
  <c r="R17" i="2"/>
  <c r="R18" i="2"/>
  <c r="R20" i="2"/>
  <c r="R22" i="2"/>
  <c r="Q59" i="9"/>
  <c r="B19" i="15"/>
  <c r="Q33" i="3"/>
  <c r="Q34" i="3"/>
  <c r="Q36" i="3"/>
  <c r="Q41" i="9"/>
  <c r="B5" i="15"/>
  <c r="Q40" i="3"/>
  <c r="Q41" i="3"/>
  <c r="Q43" i="3"/>
  <c r="Q42" i="9"/>
  <c r="B6" i="15"/>
  <c r="Q47" i="3"/>
  <c r="Q48" i="3"/>
  <c r="Q49" i="3"/>
  <c r="Q50" i="3"/>
  <c r="Q52" i="3"/>
  <c r="Q43" i="9"/>
  <c r="B7" i="15"/>
  <c r="Q56" i="3"/>
  <c r="Q57" i="3"/>
  <c r="Q59" i="3"/>
  <c r="Q44" i="9"/>
  <c r="B8" i="15"/>
  <c r="Q63" i="3"/>
  <c r="Q64" i="3"/>
  <c r="Q65" i="3"/>
  <c r="Q67" i="3"/>
  <c r="Q45" i="9"/>
  <c r="B9" i="15"/>
  <c r="Q71" i="3"/>
  <c r="Q72" i="3"/>
  <c r="Q73" i="3"/>
  <c r="Q75" i="3"/>
  <c r="Q46" i="9"/>
  <c r="B10" i="15"/>
  <c r="Q79" i="3"/>
  <c r="Q80" i="3"/>
  <c r="Q81" i="3"/>
  <c r="Q83" i="3"/>
  <c r="Q47" i="9"/>
  <c r="B11" i="15"/>
  <c r="Q87" i="3"/>
  <c r="Q88" i="3"/>
  <c r="Q90" i="3"/>
  <c r="Q92" i="3"/>
  <c r="Q48" i="9"/>
  <c r="B12" i="15"/>
  <c r="Q96" i="3"/>
  <c r="Q97" i="3"/>
  <c r="Q99" i="3"/>
  <c r="Q49" i="9"/>
  <c r="B13" i="15"/>
  <c r="Q104" i="3"/>
  <c r="Q105" i="3"/>
  <c r="Q103" i="3"/>
  <c r="Q106" i="3"/>
  <c r="Q108" i="3"/>
  <c r="Q50" i="9"/>
  <c r="B14" i="15"/>
  <c r="Q112" i="3"/>
  <c r="Q113" i="3"/>
  <c r="Q115" i="3"/>
  <c r="Q51" i="9"/>
  <c r="B15" i="15"/>
  <c r="Q119" i="3"/>
  <c r="Q120" i="3"/>
  <c r="Q122" i="3"/>
  <c r="Q52" i="9"/>
  <c r="B16" i="15"/>
  <c r="Q126" i="3"/>
  <c r="Q127" i="3"/>
  <c r="Q129" i="3"/>
  <c r="Q53" i="9"/>
  <c r="B17" i="15"/>
  <c r="Q133" i="3"/>
  <c r="Q134" i="3"/>
  <c r="Q135" i="3"/>
  <c r="Q137" i="3"/>
  <c r="Q54" i="9"/>
  <c r="B18" i="15"/>
  <c r="Q26" i="3"/>
  <c r="Q27" i="3"/>
  <c r="Q29" i="3"/>
  <c r="Q40" i="9"/>
  <c r="B4" i="15"/>
  <c r="A22" i="15"/>
  <c r="A23" i="15"/>
  <c r="A24" i="15"/>
  <c r="A25" i="15"/>
  <c r="A21" i="15"/>
  <c r="A20" i="15"/>
  <c r="A19" i="15"/>
  <c r="A41" i="9"/>
  <c r="A5" i="15"/>
  <c r="A42" i="9"/>
  <c r="A6" i="15"/>
  <c r="A43" i="9"/>
  <c r="A7" i="15"/>
  <c r="A44" i="9"/>
  <c r="A8" i="15"/>
  <c r="A45" i="9"/>
  <c r="A9" i="15"/>
  <c r="A46" i="9"/>
  <c r="A10" i="15"/>
  <c r="A47" i="9"/>
  <c r="A11" i="15"/>
  <c r="A48" i="9"/>
  <c r="A12" i="15"/>
  <c r="A49" i="9"/>
  <c r="A13" i="15"/>
  <c r="A50" i="9"/>
  <c r="A14" i="15"/>
  <c r="A51" i="9"/>
  <c r="A15" i="15"/>
  <c r="A52" i="9"/>
  <c r="A16" i="15"/>
  <c r="A53" i="9"/>
  <c r="A17" i="15"/>
  <c r="A54" i="9"/>
  <c r="A18" i="15"/>
  <c r="A40" i="9"/>
  <c r="A4" i="15"/>
  <c r="U85" i="9"/>
  <c r="W85" i="9"/>
  <c r="W29" i="9"/>
  <c r="W30" i="9"/>
  <c r="W34" i="9"/>
  <c r="W26" i="9"/>
  <c r="W36" i="9"/>
  <c r="W72" i="9"/>
  <c r="W56" i="9"/>
  <c r="W62" i="9"/>
  <c r="W74" i="9"/>
  <c r="W76" i="9"/>
  <c r="W78" i="9"/>
  <c r="X85" i="9"/>
  <c r="G18" i="11"/>
  <c r="S39" i="6"/>
  <c r="T39" i="6"/>
  <c r="U39" i="6"/>
  <c r="R39" i="6"/>
  <c r="V39" i="6"/>
  <c r="R40" i="6"/>
  <c r="S40" i="6"/>
  <c r="T40" i="6"/>
  <c r="U40" i="6"/>
  <c r="V40" i="6"/>
  <c r="V42" i="6"/>
  <c r="R23" i="6"/>
  <c r="S23" i="6"/>
  <c r="T23" i="6"/>
  <c r="U23" i="6"/>
  <c r="V23" i="6"/>
  <c r="R31" i="6"/>
  <c r="S31" i="6"/>
  <c r="T31" i="6"/>
  <c r="U31" i="6"/>
  <c r="V31" i="6"/>
  <c r="R19" i="6"/>
  <c r="S19" i="6"/>
  <c r="T19" i="6"/>
  <c r="U19" i="6"/>
  <c r="V19" i="6"/>
  <c r="R20" i="6"/>
  <c r="S20" i="6"/>
  <c r="T20" i="6"/>
  <c r="U20" i="6"/>
  <c r="V20" i="6"/>
  <c r="V9" i="6"/>
  <c r="R10" i="6"/>
  <c r="S10" i="6"/>
  <c r="T10" i="6"/>
  <c r="U10" i="6"/>
  <c r="V10" i="6"/>
  <c r="V12" i="6"/>
  <c r="R12" i="6"/>
  <c r="R13" i="6"/>
  <c r="S12" i="6"/>
  <c r="S13" i="6"/>
  <c r="T12" i="6"/>
  <c r="T13" i="6"/>
  <c r="U12" i="6"/>
  <c r="U13" i="6"/>
  <c r="V13" i="6"/>
  <c r="R14" i="6"/>
  <c r="S14" i="6"/>
  <c r="T14" i="6"/>
  <c r="U14" i="6"/>
  <c r="V14" i="6"/>
  <c r="V18" i="6"/>
  <c r="V22" i="6"/>
  <c r="R24" i="6"/>
  <c r="S24" i="6"/>
  <c r="T24" i="6"/>
  <c r="U24" i="6"/>
  <c r="V24" i="6"/>
  <c r="R25" i="6"/>
  <c r="S25" i="6"/>
  <c r="T25" i="6"/>
  <c r="U25" i="6"/>
  <c r="V25" i="6"/>
  <c r="R26" i="6"/>
  <c r="S26" i="6"/>
  <c r="T26" i="6"/>
  <c r="U26" i="6"/>
  <c r="V26" i="6"/>
  <c r="R27" i="6"/>
  <c r="S27" i="6"/>
  <c r="T27" i="6"/>
  <c r="U27" i="6"/>
  <c r="V27" i="6"/>
  <c r="R28" i="6"/>
  <c r="S28" i="6"/>
  <c r="T28" i="6"/>
  <c r="U28" i="6"/>
  <c r="V28" i="6"/>
  <c r="R29" i="6"/>
  <c r="S29" i="6"/>
  <c r="T29" i="6"/>
  <c r="U29" i="6"/>
  <c r="V29" i="6"/>
  <c r="R30" i="6"/>
  <c r="S30" i="6"/>
  <c r="T30" i="6"/>
  <c r="U30" i="6"/>
  <c r="V30" i="6"/>
  <c r="R32" i="6"/>
  <c r="S32" i="6"/>
  <c r="T32" i="6"/>
  <c r="U32" i="6"/>
  <c r="V32" i="6"/>
  <c r="R33" i="6"/>
  <c r="S33" i="6"/>
  <c r="T33" i="6"/>
  <c r="U33" i="6"/>
  <c r="V33" i="6"/>
  <c r="R34" i="6"/>
  <c r="S34" i="6"/>
  <c r="T34" i="6"/>
  <c r="U34" i="6"/>
  <c r="V34" i="6"/>
  <c r="R35" i="6"/>
  <c r="S35" i="6"/>
  <c r="T35" i="6"/>
  <c r="U35" i="6"/>
  <c r="V35" i="6"/>
  <c r="A5" i="8" a="1"/>
  <c r="D5" i="8"/>
  <c r="B5" i="8"/>
  <c r="C5" i="8"/>
  <c r="H5" i="8"/>
  <c r="D6" i="8"/>
  <c r="B6" i="8"/>
  <c r="C6" i="8"/>
  <c r="H6" i="8"/>
  <c r="D7" i="8"/>
  <c r="B7" i="8"/>
  <c r="C7" i="8"/>
  <c r="H7" i="8"/>
  <c r="D8" i="8"/>
  <c r="B8" i="8"/>
  <c r="C8" i="8"/>
  <c r="H8" i="8"/>
  <c r="D9" i="8"/>
  <c r="B9" i="8"/>
  <c r="C9" i="8"/>
  <c r="H9" i="8"/>
  <c r="D10" i="8"/>
  <c r="B10" i="8"/>
  <c r="C10" i="8"/>
  <c r="E10" i="8"/>
  <c r="H10" i="8"/>
  <c r="D11" i="8"/>
  <c r="B11" i="8"/>
  <c r="C11" i="8"/>
  <c r="H11" i="8"/>
  <c r="D12" i="8"/>
  <c r="B12" i="8"/>
  <c r="C12" i="8"/>
  <c r="H12" i="8"/>
  <c r="D13" i="8"/>
  <c r="H13" i="8"/>
  <c r="H15" i="8"/>
  <c r="R36" i="6"/>
  <c r="S36" i="6"/>
  <c r="T36" i="6"/>
  <c r="U36" i="6"/>
  <c r="V36" i="6"/>
  <c r="V38" i="6"/>
  <c r="V44" i="6"/>
  <c r="V49" i="6"/>
  <c r="V50" i="6"/>
  <c r="H39" i="6"/>
  <c r="I39" i="6"/>
  <c r="J39" i="6"/>
  <c r="K39" i="6"/>
  <c r="L39" i="6"/>
  <c r="M39" i="6"/>
  <c r="N39" i="6"/>
  <c r="O39" i="6"/>
  <c r="P39" i="6"/>
  <c r="E39" i="6"/>
  <c r="F39" i="6"/>
  <c r="G39" i="6"/>
  <c r="Q39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Q42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E19" i="6"/>
  <c r="E20" i="6"/>
  <c r="E22" i="6"/>
  <c r="F19" i="6"/>
  <c r="F20" i="6"/>
  <c r="F22" i="6"/>
  <c r="G19" i="6"/>
  <c r="G20" i="6"/>
  <c r="G22" i="6"/>
  <c r="H19" i="6"/>
  <c r="H20" i="6"/>
  <c r="H22" i="6"/>
  <c r="I19" i="6"/>
  <c r="I20" i="6"/>
  <c r="I22" i="6"/>
  <c r="J19" i="6"/>
  <c r="J20" i="6"/>
  <c r="J22" i="6"/>
  <c r="K19" i="6"/>
  <c r="K20" i="6"/>
  <c r="K10" i="6"/>
  <c r="K12" i="6"/>
  <c r="K13" i="6"/>
  <c r="K14" i="6"/>
  <c r="K18" i="6"/>
  <c r="K22" i="6"/>
  <c r="L19" i="6"/>
  <c r="L20" i="6"/>
  <c r="L22" i="6"/>
  <c r="M19" i="6"/>
  <c r="M20" i="6"/>
  <c r="M10" i="6"/>
  <c r="M12" i="6"/>
  <c r="M13" i="6"/>
  <c r="M14" i="6"/>
  <c r="M18" i="6"/>
  <c r="M22" i="6"/>
  <c r="N19" i="6"/>
  <c r="N20" i="6"/>
  <c r="N22" i="6"/>
  <c r="O19" i="6"/>
  <c r="O20" i="6"/>
  <c r="O22" i="6"/>
  <c r="P19" i="6"/>
  <c r="P20" i="6"/>
  <c r="P10" i="6"/>
  <c r="P12" i="6"/>
  <c r="P13" i="6"/>
  <c r="P14" i="6"/>
  <c r="P18" i="6"/>
  <c r="P22" i="6"/>
  <c r="Q22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E5" i="8"/>
  <c r="F5" i="8"/>
  <c r="E6" i="8"/>
  <c r="F6" i="8"/>
  <c r="E7" i="8"/>
  <c r="F7" i="8"/>
  <c r="E8" i="8"/>
  <c r="F8" i="8"/>
  <c r="E9" i="8"/>
  <c r="F9" i="8"/>
  <c r="F10" i="8"/>
  <c r="E11" i="8"/>
  <c r="F11" i="8"/>
  <c r="E12" i="8"/>
  <c r="F12" i="8"/>
  <c r="F13" i="8"/>
  <c r="F15" i="8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Q38" i="6"/>
  <c r="Q44" i="6"/>
  <c r="Q49" i="6"/>
  <c r="Q50" i="6"/>
  <c r="Q52" i="6"/>
  <c r="V51" i="6"/>
  <c r="V54" i="6"/>
  <c r="V55" i="6"/>
  <c r="V56" i="6"/>
  <c r="V45" i="6"/>
  <c r="V47" i="6"/>
  <c r="G28" i="11"/>
  <c r="Q54" i="6"/>
  <c r="Q55" i="6"/>
  <c r="Q56" i="6"/>
  <c r="Q45" i="6"/>
  <c r="Q47" i="6"/>
  <c r="E28" i="11"/>
  <c r="G27" i="11"/>
  <c r="G30" i="11"/>
  <c r="G33" i="11"/>
  <c r="G36" i="11"/>
  <c r="W32" i="2"/>
  <c r="V62" i="9"/>
  <c r="G34" i="11"/>
  <c r="R16" i="9"/>
  <c r="S16" i="9"/>
  <c r="T16" i="9"/>
  <c r="U16" i="9"/>
  <c r="V16" i="9"/>
  <c r="V15" i="9"/>
  <c r="G16" i="11"/>
  <c r="G5" i="8"/>
  <c r="I5" i="8"/>
  <c r="G6" i="8"/>
  <c r="I6" i="8"/>
  <c r="G7" i="11"/>
  <c r="G11" i="8"/>
  <c r="I11" i="8"/>
  <c r="G12" i="8"/>
  <c r="I12" i="8"/>
  <c r="G8" i="11"/>
  <c r="G8" i="8"/>
  <c r="I8" i="8"/>
  <c r="G9" i="8"/>
  <c r="I9" i="8"/>
  <c r="G10" i="8"/>
  <c r="I10" i="8"/>
  <c r="G10" i="11"/>
  <c r="A18" i="8" a="1"/>
  <c r="B18" i="8"/>
  <c r="I18" i="8"/>
  <c r="G6" i="11"/>
  <c r="A27" i="8" a="1"/>
  <c r="D27" i="8"/>
  <c r="B27" i="8"/>
  <c r="C27" i="8"/>
  <c r="E27" i="8"/>
  <c r="F27" i="8"/>
  <c r="G27" i="8"/>
  <c r="H27" i="8"/>
  <c r="I27" i="8"/>
  <c r="D28" i="8"/>
  <c r="B28" i="8"/>
  <c r="C28" i="8"/>
  <c r="E28" i="8"/>
  <c r="H28" i="8"/>
  <c r="I28" i="8"/>
  <c r="D29" i="8"/>
  <c r="B29" i="8"/>
  <c r="C29" i="8"/>
  <c r="E29" i="8"/>
  <c r="H29" i="8"/>
  <c r="I29" i="8"/>
  <c r="D30" i="8"/>
  <c r="I30" i="8"/>
  <c r="I32" i="8"/>
  <c r="G9" i="11"/>
  <c r="G12" i="11"/>
  <c r="G17" i="11"/>
  <c r="E18" i="11"/>
  <c r="E30" i="11"/>
  <c r="E33" i="11"/>
  <c r="E36" i="11"/>
  <c r="Q19" i="6"/>
  <c r="Q20" i="6"/>
  <c r="R32" i="2"/>
  <c r="Q62" i="9"/>
  <c r="E34" i="11"/>
  <c r="M16" i="9"/>
  <c r="N16" i="9"/>
  <c r="O16" i="9"/>
  <c r="K16" i="9"/>
  <c r="L16" i="9"/>
  <c r="P16" i="9"/>
  <c r="Q16" i="9"/>
  <c r="Q9" i="6"/>
  <c r="Q15" i="9"/>
  <c r="E16" i="11"/>
  <c r="E7" i="11"/>
  <c r="E8" i="11"/>
  <c r="E10" i="11"/>
  <c r="G18" i="8"/>
  <c r="E6" i="11"/>
  <c r="G28" i="8"/>
  <c r="G29" i="8"/>
  <c r="G30" i="8"/>
  <c r="G32" i="8"/>
  <c r="E9" i="11"/>
  <c r="E12" i="11"/>
  <c r="E17" i="11"/>
  <c r="F13" i="12"/>
  <c r="G35" i="11"/>
  <c r="E35" i="11"/>
  <c r="F14" i="12"/>
  <c r="F12" i="12"/>
  <c r="F11" i="12"/>
  <c r="F16" i="12"/>
  <c r="F4" i="12"/>
  <c r="F6" i="12"/>
  <c r="F5" i="12"/>
  <c r="F8" i="12"/>
  <c r="F18" i="12"/>
  <c r="F12" i="13"/>
  <c r="W40" i="6"/>
  <c r="W39" i="6"/>
  <c r="W42" i="6"/>
  <c r="W23" i="6"/>
  <c r="W31" i="6"/>
  <c r="W19" i="6"/>
  <c r="W20" i="6"/>
  <c r="W10" i="6"/>
  <c r="W12" i="6"/>
  <c r="W13" i="6"/>
  <c r="W14" i="6"/>
  <c r="W18" i="6"/>
  <c r="W22" i="6"/>
  <c r="W24" i="6"/>
  <c r="W25" i="6"/>
  <c r="W26" i="6"/>
  <c r="W27" i="6"/>
  <c r="W28" i="6"/>
  <c r="W29" i="6"/>
  <c r="W30" i="6"/>
  <c r="W32" i="6"/>
  <c r="W33" i="6"/>
  <c r="W34" i="6"/>
  <c r="W35" i="6"/>
  <c r="G7" i="8"/>
  <c r="I7" i="8"/>
  <c r="I13" i="8"/>
  <c r="I15" i="8"/>
  <c r="W36" i="6"/>
  <c r="W38" i="6"/>
  <c r="W44" i="6"/>
  <c r="W49" i="6"/>
  <c r="W50" i="6"/>
  <c r="V52" i="6"/>
  <c r="W51" i="6"/>
  <c r="W54" i="6"/>
  <c r="W55" i="6"/>
  <c r="W56" i="6"/>
  <c r="W45" i="6"/>
  <c r="W47" i="6"/>
  <c r="I28" i="11"/>
  <c r="I27" i="11"/>
  <c r="I30" i="11"/>
  <c r="I33" i="11"/>
  <c r="I18" i="11"/>
  <c r="I36" i="11"/>
  <c r="X32" i="2"/>
  <c r="I34" i="11"/>
  <c r="W16" i="9"/>
  <c r="I16" i="11"/>
  <c r="J5" i="8"/>
  <c r="K5" i="8"/>
  <c r="J6" i="8"/>
  <c r="K6" i="8"/>
  <c r="I7" i="11"/>
  <c r="J11" i="8"/>
  <c r="K11" i="8"/>
  <c r="J12" i="8"/>
  <c r="K12" i="8"/>
  <c r="I8" i="11"/>
  <c r="J8" i="8"/>
  <c r="K8" i="8"/>
  <c r="J9" i="8"/>
  <c r="K9" i="8"/>
  <c r="J10" i="8"/>
  <c r="K10" i="8"/>
  <c r="I10" i="11"/>
  <c r="K18" i="8"/>
  <c r="I6" i="11"/>
  <c r="J27" i="8"/>
  <c r="K27" i="8"/>
  <c r="J28" i="8"/>
  <c r="K28" i="8"/>
  <c r="J29" i="8"/>
  <c r="K29" i="8"/>
  <c r="K30" i="8"/>
  <c r="K32" i="8"/>
  <c r="I9" i="11"/>
  <c r="I12" i="11"/>
  <c r="I17" i="11"/>
  <c r="G13" i="12"/>
  <c r="I35" i="11"/>
  <c r="G14" i="12"/>
  <c r="G12" i="12"/>
  <c r="G11" i="12"/>
  <c r="G16" i="12"/>
  <c r="G4" i="12"/>
  <c r="G6" i="12"/>
  <c r="G5" i="12"/>
  <c r="G8" i="12"/>
  <c r="G18" i="12"/>
  <c r="G12" i="13"/>
  <c r="X40" i="6"/>
  <c r="X84" i="9"/>
  <c r="X39" i="6"/>
  <c r="X42" i="6"/>
  <c r="X23" i="6"/>
  <c r="X31" i="6"/>
  <c r="X19" i="6"/>
  <c r="X20" i="6"/>
  <c r="X10" i="6"/>
  <c r="X12" i="6"/>
  <c r="X13" i="6"/>
  <c r="X14" i="6"/>
  <c r="X18" i="6"/>
  <c r="X22" i="6"/>
  <c r="X24" i="6"/>
  <c r="X25" i="6"/>
  <c r="X26" i="6"/>
  <c r="X27" i="6"/>
  <c r="X28" i="6"/>
  <c r="X29" i="6"/>
  <c r="X30" i="6"/>
  <c r="X32" i="6"/>
  <c r="X33" i="6"/>
  <c r="X34" i="6"/>
  <c r="X35" i="6"/>
  <c r="J7" i="8"/>
  <c r="K7" i="8"/>
  <c r="K13" i="8"/>
  <c r="K15" i="8"/>
  <c r="X36" i="6"/>
  <c r="X38" i="6"/>
  <c r="X44" i="6"/>
  <c r="X49" i="6"/>
  <c r="X50" i="6"/>
  <c r="W52" i="6"/>
  <c r="X51" i="6"/>
  <c r="X54" i="6"/>
  <c r="X55" i="6"/>
  <c r="X56" i="6"/>
  <c r="X45" i="6"/>
  <c r="X47" i="6"/>
  <c r="K28" i="11"/>
  <c r="K27" i="11"/>
  <c r="K30" i="11"/>
  <c r="K33" i="11"/>
  <c r="X29" i="9"/>
  <c r="X30" i="9"/>
  <c r="X34" i="9"/>
  <c r="X26" i="9"/>
  <c r="X36" i="9"/>
  <c r="X72" i="9"/>
  <c r="X56" i="9"/>
  <c r="X62" i="9"/>
  <c r="X74" i="9"/>
  <c r="X76" i="9"/>
  <c r="X78" i="9"/>
  <c r="K18" i="11"/>
  <c r="K36" i="11"/>
  <c r="Y32" i="2"/>
  <c r="K34" i="11"/>
  <c r="X16" i="9"/>
  <c r="K16" i="11"/>
  <c r="L5" i="8"/>
  <c r="M5" i="8"/>
  <c r="L6" i="8"/>
  <c r="M6" i="8"/>
  <c r="K7" i="11"/>
  <c r="L11" i="8"/>
  <c r="M11" i="8"/>
  <c r="L12" i="8"/>
  <c r="M12" i="8"/>
  <c r="K8" i="11"/>
  <c r="L8" i="8"/>
  <c r="M8" i="8"/>
  <c r="L9" i="8"/>
  <c r="M9" i="8"/>
  <c r="L10" i="8"/>
  <c r="M10" i="8"/>
  <c r="K10" i="11"/>
  <c r="M18" i="8"/>
  <c r="K6" i="11"/>
  <c r="L27" i="8"/>
  <c r="M27" i="8"/>
  <c r="L28" i="8"/>
  <c r="M28" i="8"/>
  <c r="L29" i="8"/>
  <c r="M29" i="8"/>
  <c r="M30" i="8"/>
  <c r="M32" i="8"/>
  <c r="K9" i="11"/>
  <c r="K12" i="11"/>
  <c r="K17" i="11"/>
  <c r="H13" i="12"/>
  <c r="K35" i="11"/>
  <c r="H14" i="12"/>
  <c r="H12" i="12"/>
  <c r="H11" i="12"/>
  <c r="H16" i="12"/>
  <c r="H4" i="12"/>
  <c r="H6" i="12"/>
  <c r="H5" i="12"/>
  <c r="H8" i="12"/>
  <c r="H18" i="12"/>
  <c r="H12" i="13"/>
  <c r="E13" i="12"/>
  <c r="E14" i="12"/>
  <c r="E12" i="12"/>
  <c r="E11" i="12"/>
  <c r="E16" i="12"/>
  <c r="E4" i="12"/>
  <c r="E6" i="12"/>
  <c r="E5" i="12"/>
  <c r="E8" i="12"/>
  <c r="E18" i="12"/>
  <c r="E12" i="13"/>
  <c r="Q23" i="9"/>
  <c r="V23" i="9"/>
  <c r="S67" i="9"/>
  <c r="T67" i="9"/>
  <c r="U67" i="9"/>
  <c r="R67" i="9"/>
  <c r="F67" i="9"/>
  <c r="G67" i="9"/>
  <c r="H67" i="9"/>
  <c r="I67" i="9"/>
  <c r="J67" i="9"/>
  <c r="K67" i="9"/>
  <c r="L67" i="9"/>
  <c r="M67" i="9"/>
  <c r="N67" i="9"/>
  <c r="O67" i="9"/>
  <c r="P67" i="9"/>
  <c r="E67" i="9"/>
  <c r="Q22" i="9"/>
  <c r="V22" i="9"/>
  <c r="A27" i="8"/>
  <c r="A18" i="8"/>
  <c r="B20" i="2"/>
  <c r="C31" i="8"/>
  <c r="C30" i="8"/>
  <c r="D31" i="8"/>
  <c r="B31" i="8"/>
  <c r="B30" i="8"/>
  <c r="A31" i="8"/>
  <c r="A30" i="8"/>
  <c r="A29" i="8"/>
  <c r="A28" i="8"/>
  <c r="C20" i="8"/>
  <c r="C19" i="8"/>
  <c r="C18" i="8"/>
  <c r="D20" i="8"/>
  <c r="D19" i="8"/>
  <c r="D18" i="8"/>
  <c r="B20" i="8"/>
  <c r="B19" i="8"/>
  <c r="A20" i="8"/>
  <c r="A19" i="8"/>
  <c r="C14" i="8"/>
  <c r="C13" i="8"/>
  <c r="B14" i="8"/>
  <c r="B13" i="8"/>
  <c r="A14" i="8"/>
  <c r="A13" i="8"/>
  <c r="A12" i="8"/>
  <c r="A11" i="8"/>
  <c r="A10" i="8"/>
  <c r="A9" i="8"/>
  <c r="A8" i="8"/>
  <c r="A7" i="8"/>
  <c r="A6" i="8"/>
  <c r="A5" i="8"/>
  <c r="D14" i="8"/>
  <c r="E14" i="8"/>
  <c r="E13" i="8"/>
  <c r="H10" i="12"/>
  <c r="G10" i="12"/>
  <c r="F10" i="12"/>
  <c r="E10" i="12"/>
  <c r="D3" i="11"/>
  <c r="V31" i="9"/>
  <c r="Q31" i="9"/>
  <c r="E26" i="11"/>
  <c r="G26" i="11"/>
  <c r="I26" i="11"/>
  <c r="K26" i="11"/>
  <c r="Q32" i="9"/>
  <c r="O26" i="9"/>
  <c r="V21" i="9"/>
  <c r="V24" i="9"/>
  <c r="V20" i="9"/>
  <c r="Q21" i="9"/>
  <c r="Q24" i="9"/>
  <c r="Q20" i="9"/>
  <c r="D7" i="9"/>
  <c r="V67" i="9"/>
  <c r="V68" i="9"/>
  <c r="Q70" i="9"/>
  <c r="Q68" i="9"/>
  <c r="A66" i="9"/>
  <c r="A65" i="9"/>
  <c r="X86" i="9"/>
  <c r="T86" i="9"/>
  <c r="U66" i="9"/>
  <c r="U86" i="9"/>
  <c r="W66" i="9"/>
  <c r="S86" i="9"/>
  <c r="T66" i="9"/>
  <c r="R86" i="9"/>
  <c r="S66" i="9"/>
  <c r="K86" i="9"/>
  <c r="N66" i="9"/>
  <c r="N86" i="9"/>
  <c r="R66" i="9"/>
  <c r="H86" i="9"/>
  <c r="K66" i="9"/>
  <c r="E86" i="9"/>
  <c r="H66" i="9"/>
  <c r="V82" i="9"/>
  <c r="W86" i="9"/>
  <c r="X66" i="9"/>
  <c r="Q82" i="9"/>
  <c r="Q66" i="9"/>
  <c r="V66" i="9"/>
  <c r="V86" i="9"/>
  <c r="Q86" i="9"/>
  <c r="V61" i="9"/>
  <c r="Q61" i="9"/>
  <c r="V55" i="9"/>
  <c r="Q55" i="9"/>
  <c r="F15" i="9"/>
  <c r="H69" i="9"/>
  <c r="G15" i="9"/>
  <c r="I69" i="9"/>
  <c r="H15" i="9"/>
  <c r="J69" i="9"/>
  <c r="I15" i="9"/>
  <c r="K69" i="9"/>
  <c r="J15" i="9"/>
  <c r="L69" i="9"/>
  <c r="L15" i="9"/>
  <c r="N69" i="9"/>
  <c r="N15" i="9"/>
  <c r="P69" i="9"/>
  <c r="O15" i="9"/>
  <c r="V12" i="9"/>
  <c r="V11" i="9"/>
  <c r="Q11" i="9"/>
  <c r="V70" i="9"/>
  <c r="Q12" i="9"/>
  <c r="E15" i="9"/>
  <c r="G69" i="9"/>
  <c r="U32" i="9"/>
  <c r="T32" i="9"/>
  <c r="S32" i="9"/>
  <c r="R32" i="9"/>
  <c r="V32" i="9"/>
  <c r="X13" i="9"/>
  <c r="W13" i="9"/>
  <c r="U13" i="9"/>
  <c r="T13" i="9"/>
  <c r="S13" i="9"/>
  <c r="R13" i="9"/>
  <c r="F13" i="9"/>
  <c r="G13" i="9"/>
  <c r="H13" i="9"/>
  <c r="I13" i="9"/>
  <c r="J13" i="9"/>
  <c r="K13" i="9"/>
  <c r="L13" i="9"/>
  <c r="M13" i="9"/>
  <c r="N13" i="9"/>
  <c r="O13" i="9"/>
  <c r="P13" i="9"/>
  <c r="E13" i="9"/>
  <c r="V13" i="9"/>
  <c r="Q13" i="9"/>
  <c r="F34" i="9"/>
  <c r="V26" i="9"/>
  <c r="J26" i="9"/>
  <c r="I26" i="9"/>
  <c r="G26" i="9"/>
  <c r="F26" i="9"/>
  <c r="L26" i="9"/>
  <c r="E34" i="9"/>
  <c r="H26" i="9"/>
  <c r="N26" i="9"/>
  <c r="E26" i="9"/>
  <c r="E36" i="9"/>
  <c r="E16" i="9"/>
  <c r="I16" i="9"/>
  <c r="J16" i="9"/>
  <c r="H16" i="9"/>
  <c r="F36" i="9"/>
  <c r="F16" i="9"/>
  <c r="G16" i="9"/>
  <c r="Q26" i="9"/>
  <c r="B21" i="8"/>
  <c r="L30" i="8"/>
  <c r="F29" i="8"/>
  <c r="B32" i="8"/>
  <c r="J30" i="8"/>
  <c r="H30" i="8"/>
  <c r="E30" i="8"/>
  <c r="F30" i="8"/>
  <c r="L13" i="8"/>
  <c r="K19" i="8"/>
  <c r="M19" i="8"/>
  <c r="I19" i="8"/>
  <c r="G19" i="8"/>
  <c r="J13" i="8"/>
  <c r="G13" i="8"/>
  <c r="B15" i="8"/>
  <c r="B23" i="8"/>
  <c r="F10" i="6"/>
  <c r="F12" i="6"/>
  <c r="F14" i="6"/>
  <c r="G10" i="6"/>
  <c r="G12" i="6"/>
  <c r="G13" i="6"/>
  <c r="H10" i="6"/>
  <c r="I10" i="6"/>
  <c r="I12" i="6"/>
  <c r="I14" i="6"/>
  <c r="J10" i="6"/>
  <c r="J12" i="6"/>
  <c r="J14" i="6"/>
  <c r="L10" i="6"/>
  <c r="L12" i="6"/>
  <c r="L14" i="6"/>
  <c r="N10" i="6"/>
  <c r="O10" i="6"/>
  <c r="O12" i="6"/>
  <c r="O13" i="6"/>
  <c r="E10" i="6"/>
  <c r="E12" i="6"/>
  <c r="E13" i="6"/>
  <c r="V15" i="6"/>
  <c r="V16" i="6"/>
  <c r="Q15" i="6"/>
  <c r="Q1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0" i="6"/>
  <c r="B19" i="6"/>
  <c r="H12" i="6"/>
  <c r="H14" i="6"/>
  <c r="N12" i="6"/>
  <c r="N14" i="6"/>
  <c r="F28" i="8"/>
  <c r="M13" i="8"/>
  <c r="L7" i="8"/>
  <c r="J32" i="8"/>
  <c r="H32" i="8"/>
  <c r="M21" i="8"/>
  <c r="I21" i="8"/>
  <c r="K21" i="8"/>
  <c r="G21" i="8"/>
  <c r="J15" i="8"/>
  <c r="U18" i="6"/>
  <c r="N13" i="6"/>
  <c r="J13" i="6"/>
  <c r="F13" i="6"/>
  <c r="O14" i="6"/>
  <c r="G14" i="6"/>
  <c r="I13" i="6"/>
  <c r="L13" i="6"/>
  <c r="H13" i="6"/>
  <c r="E14" i="6"/>
  <c r="Q10" i="6"/>
  <c r="Q12" i="6"/>
  <c r="B30" i="2"/>
  <c r="F32" i="8"/>
  <c r="M7" i="8"/>
  <c r="G15" i="8"/>
  <c r="G23" i="8"/>
  <c r="J34" i="8"/>
  <c r="H34" i="8"/>
  <c r="H18" i="6"/>
  <c r="N18" i="6"/>
  <c r="G18" i="6"/>
  <c r="L18" i="6"/>
  <c r="J18" i="6"/>
  <c r="F18" i="6"/>
  <c r="I18" i="6"/>
  <c r="T18" i="6"/>
  <c r="S18" i="6"/>
  <c r="R18" i="6"/>
  <c r="O18" i="6"/>
  <c r="Q14" i="6"/>
  <c r="Q13" i="6"/>
  <c r="E18" i="6"/>
  <c r="Z89" i="3"/>
  <c r="G34" i="8"/>
  <c r="F34" i="8"/>
  <c r="I23" i="8"/>
  <c r="I34" i="8"/>
  <c r="Q18" i="6"/>
  <c r="V17" i="3"/>
  <c r="Q17" i="3"/>
  <c r="V11" i="3"/>
  <c r="V10" i="3"/>
  <c r="Q16" i="3"/>
  <c r="V16" i="3"/>
  <c r="V9" i="3"/>
  <c r="Q8" i="3"/>
  <c r="V8" i="3"/>
  <c r="Q11" i="3"/>
  <c r="Q10" i="3"/>
  <c r="Q9" i="3"/>
  <c r="V19" i="3"/>
  <c r="V13" i="3"/>
  <c r="Q19" i="3"/>
  <c r="Q13" i="3"/>
  <c r="L15" i="8"/>
  <c r="L32" i="8"/>
  <c r="K23" i="8"/>
  <c r="K34" i="8"/>
  <c r="Z57" i="3"/>
  <c r="Z65" i="3"/>
  <c r="Z72" i="3"/>
  <c r="Z73" i="3"/>
  <c r="Z81" i="3"/>
  <c r="Z90" i="3"/>
  <c r="Z97" i="3"/>
  <c r="Z106" i="3"/>
  <c r="Z113" i="3"/>
  <c r="Z120" i="3"/>
  <c r="Z134" i="3"/>
  <c r="Z135" i="3"/>
  <c r="Z49" i="3"/>
  <c r="Z127" i="3"/>
  <c r="Z41" i="3"/>
  <c r="Z50" i="3"/>
  <c r="Z88" i="3"/>
  <c r="Z64" i="3"/>
  <c r="Z80" i="3"/>
  <c r="Z48" i="3"/>
  <c r="Z34" i="3"/>
  <c r="R22" i="6"/>
  <c r="L34" i="8"/>
  <c r="M15" i="8"/>
  <c r="M23" i="8"/>
  <c r="M34" i="8"/>
  <c r="B13" i="3"/>
  <c r="B19" i="3"/>
  <c r="Z27" i="3"/>
  <c r="B27" i="3"/>
  <c r="Q21" i="3"/>
  <c r="V21" i="3"/>
  <c r="Z133" i="3"/>
  <c r="Z137" i="3"/>
  <c r="B137" i="3"/>
  <c r="Z126" i="3"/>
  <c r="Z129" i="3"/>
  <c r="B129" i="3"/>
  <c r="Z119" i="3"/>
  <c r="Z122" i="3"/>
  <c r="B122" i="3"/>
  <c r="Z112" i="3"/>
  <c r="Z115" i="3"/>
  <c r="B115" i="3"/>
  <c r="Z103" i="3"/>
  <c r="Z96" i="3"/>
  <c r="Z99" i="3"/>
  <c r="B99" i="3"/>
  <c r="Z87" i="3"/>
  <c r="Z92" i="3"/>
  <c r="B92" i="3"/>
  <c r="Z79" i="3"/>
  <c r="Z83" i="3"/>
  <c r="B83" i="3"/>
  <c r="Z71" i="3"/>
  <c r="Z75" i="3"/>
  <c r="B75" i="3"/>
  <c r="Z63" i="3"/>
  <c r="Z67" i="3"/>
  <c r="B67" i="3"/>
  <c r="Z56" i="3"/>
  <c r="Z59" i="3"/>
  <c r="B59" i="3"/>
  <c r="Z47" i="3"/>
  <c r="Z40" i="3"/>
  <c r="Z43" i="3"/>
  <c r="B43" i="3"/>
  <c r="Z33" i="3"/>
  <c r="Z36" i="3"/>
  <c r="B36" i="3"/>
  <c r="S22" i="6"/>
  <c r="T22" i="6"/>
  <c r="U22" i="6"/>
  <c r="Z52" i="3"/>
  <c r="B52" i="3"/>
  <c r="B21" i="3"/>
  <c r="B14" i="2"/>
  <c r="B22" i="2"/>
  <c r="B32" i="2"/>
  <c r="L32" i="2"/>
  <c r="P32" i="2"/>
  <c r="H32" i="2"/>
  <c r="Q32" i="2"/>
  <c r="O32" i="2"/>
  <c r="K32" i="2"/>
  <c r="N32" i="2"/>
  <c r="J32" i="2"/>
  <c r="F32" i="2"/>
  <c r="M32" i="2"/>
  <c r="I32" i="2"/>
  <c r="T32" i="2"/>
  <c r="E4" i="13"/>
  <c r="F4" i="13"/>
  <c r="U32" i="2"/>
  <c r="G32" i="2"/>
  <c r="Q30" i="9"/>
  <c r="V32" i="2"/>
  <c r="S32" i="2"/>
  <c r="Z105" i="3"/>
  <c r="V30" i="9"/>
  <c r="S38" i="6"/>
  <c r="V56" i="9"/>
  <c r="J38" i="6"/>
  <c r="L38" i="6"/>
  <c r="M38" i="6"/>
  <c r="F38" i="6"/>
  <c r="P38" i="6"/>
  <c r="K38" i="6"/>
  <c r="H38" i="6"/>
  <c r="U38" i="6"/>
  <c r="I38" i="6"/>
  <c r="O38" i="6"/>
  <c r="Z104" i="3"/>
  <c r="Z108" i="3"/>
  <c r="B108" i="3"/>
  <c r="Q56" i="9"/>
  <c r="N38" i="6"/>
  <c r="G38" i="6"/>
  <c r="T38" i="6"/>
  <c r="Z26" i="3"/>
  <c r="Z29" i="3"/>
  <c r="B29" i="3"/>
  <c r="B26" i="3"/>
  <c r="E38" i="6"/>
  <c r="R38" i="6"/>
  <c r="G4" i="13"/>
  <c r="H4" i="13"/>
  <c r="F72" i="9"/>
  <c r="J72" i="9"/>
  <c r="L72" i="9"/>
  <c r="I72" i="9"/>
  <c r="P72" i="9"/>
  <c r="E72" i="9"/>
  <c r="G72" i="9"/>
  <c r="F42" i="6"/>
  <c r="F44" i="6"/>
  <c r="E42" i="6"/>
  <c r="E44" i="6"/>
  <c r="G42" i="6"/>
  <c r="G44" i="6"/>
  <c r="Q67" i="9"/>
  <c r="H42" i="6"/>
  <c r="H44" i="6"/>
  <c r="J42" i="6"/>
  <c r="J44" i="6"/>
  <c r="I42" i="6"/>
  <c r="I44" i="6"/>
  <c r="L42" i="6"/>
  <c r="L44" i="6"/>
  <c r="M42" i="6"/>
  <c r="M44" i="6"/>
  <c r="Q72" i="9"/>
  <c r="Q74" i="9"/>
  <c r="Q29" i="9"/>
  <c r="Q34" i="9"/>
  <c r="Q36" i="9"/>
  <c r="K42" i="6"/>
  <c r="K44" i="6"/>
  <c r="C7" i="14"/>
  <c r="C5" i="14"/>
  <c r="C6" i="14"/>
  <c r="C4" i="14"/>
  <c r="Q76" i="9"/>
  <c r="Q84" i="9"/>
  <c r="Q85" i="9"/>
  <c r="E10" i="13"/>
  <c r="P42" i="6"/>
  <c r="P44" i="6"/>
  <c r="N42" i="6"/>
  <c r="N44" i="6"/>
  <c r="O42" i="6"/>
  <c r="O44" i="6"/>
  <c r="L45" i="6"/>
  <c r="L47" i="6"/>
  <c r="R42" i="6"/>
  <c r="R44" i="6"/>
  <c r="F45" i="6"/>
  <c r="F47" i="6"/>
  <c r="M45" i="6"/>
  <c r="M47" i="6"/>
  <c r="G45" i="6"/>
  <c r="G47" i="6"/>
  <c r="J45" i="6"/>
  <c r="J47" i="6"/>
  <c r="H45" i="6"/>
  <c r="H47" i="6"/>
  <c r="P45" i="6"/>
  <c r="P47" i="6"/>
  <c r="K45" i="6"/>
  <c r="K47" i="6"/>
  <c r="E45" i="6"/>
  <c r="E47" i="6"/>
  <c r="O45" i="6"/>
  <c r="O47" i="6"/>
  <c r="I45" i="6"/>
  <c r="I47" i="6"/>
  <c r="N45" i="6"/>
  <c r="N47" i="6"/>
  <c r="E38" i="11"/>
  <c r="S42" i="6"/>
  <c r="S44" i="6"/>
  <c r="E20" i="11"/>
  <c r="E22" i="11"/>
  <c r="F15" i="11"/>
  <c r="E40" i="11"/>
  <c r="F9" i="11"/>
  <c r="F16" i="11"/>
  <c r="F6" i="11"/>
  <c r="F17" i="11"/>
  <c r="F10" i="11"/>
  <c r="F7" i="11"/>
  <c r="F18" i="11"/>
  <c r="F8" i="11"/>
  <c r="E6" i="13"/>
  <c r="F34" i="11"/>
  <c r="F35" i="11"/>
  <c r="F36" i="11"/>
  <c r="F28" i="11"/>
  <c r="F33" i="11"/>
  <c r="F26" i="11"/>
  <c r="E8" i="13"/>
  <c r="F20" i="11"/>
  <c r="F12" i="11"/>
  <c r="F30" i="11"/>
  <c r="F38" i="11"/>
  <c r="V29" i="9"/>
  <c r="V34" i="9"/>
  <c r="V36" i="9"/>
  <c r="T42" i="6"/>
  <c r="T44" i="6"/>
  <c r="D6" i="14"/>
  <c r="D4" i="14"/>
  <c r="F22" i="11"/>
  <c r="F40" i="11"/>
  <c r="V72" i="9"/>
  <c r="V74" i="9"/>
  <c r="D7" i="14"/>
  <c r="D5" i="14"/>
  <c r="V76" i="9"/>
  <c r="V85" i="9"/>
  <c r="V84" i="9"/>
  <c r="E7" i="14"/>
  <c r="E5" i="14"/>
  <c r="F4" i="14"/>
  <c r="F10" i="13"/>
  <c r="F7" i="14"/>
  <c r="F5" i="14"/>
  <c r="E6" i="14"/>
  <c r="E4" i="14"/>
  <c r="C25" i="14"/>
  <c r="G10" i="13"/>
  <c r="U42" i="6"/>
  <c r="U44" i="6"/>
  <c r="F6" i="14"/>
  <c r="H10" i="13"/>
  <c r="R45" i="6"/>
  <c r="R47" i="6"/>
  <c r="X52" i="6"/>
  <c r="S45" i="6"/>
  <c r="S47" i="6"/>
  <c r="U45" i="6"/>
  <c r="U47" i="6"/>
  <c r="T45" i="6"/>
  <c r="T47" i="6"/>
  <c r="G38" i="11"/>
  <c r="G20" i="11"/>
  <c r="G22" i="11"/>
  <c r="H18" i="11"/>
  <c r="K20" i="11"/>
  <c r="K22" i="11"/>
  <c r="G40" i="11"/>
  <c r="F6" i="13"/>
  <c r="K38" i="11"/>
  <c r="I38" i="11"/>
  <c r="I40" i="11"/>
  <c r="G6" i="13"/>
  <c r="I20" i="11"/>
  <c r="I22" i="11"/>
  <c r="J15" i="11"/>
  <c r="H9" i="11"/>
  <c r="F8" i="13"/>
  <c r="H33" i="11"/>
  <c r="H36" i="11"/>
  <c r="H16" i="11"/>
  <c r="H10" i="11"/>
  <c r="H17" i="11"/>
  <c r="H15" i="11"/>
  <c r="H7" i="11"/>
  <c r="H6" i="11"/>
  <c r="H8" i="11"/>
  <c r="H28" i="11"/>
  <c r="K40" i="11"/>
  <c r="H6" i="13"/>
  <c r="H35" i="11"/>
  <c r="H27" i="11"/>
  <c r="H26" i="11"/>
  <c r="H34" i="11"/>
  <c r="L16" i="11"/>
  <c r="L6" i="11"/>
  <c r="L10" i="11"/>
  <c r="L18" i="11"/>
  <c r="L7" i="11"/>
  <c r="L15" i="11"/>
  <c r="L9" i="11"/>
  <c r="L17" i="11"/>
  <c r="L8" i="11"/>
  <c r="H12" i="11"/>
  <c r="J16" i="11"/>
  <c r="H20" i="11"/>
  <c r="J18" i="11"/>
  <c r="J10" i="11"/>
  <c r="J8" i="11"/>
  <c r="L26" i="11"/>
  <c r="L35" i="11"/>
  <c r="L33" i="11"/>
  <c r="H8" i="13"/>
  <c r="H30" i="11"/>
  <c r="J7" i="11"/>
  <c r="J6" i="11"/>
  <c r="J17" i="11"/>
  <c r="J9" i="11"/>
  <c r="H38" i="11"/>
  <c r="J35" i="11"/>
  <c r="J28" i="11"/>
  <c r="J36" i="11"/>
  <c r="J26" i="11"/>
  <c r="G8" i="13"/>
  <c r="J27" i="11"/>
  <c r="J34" i="11"/>
  <c r="J33" i="11"/>
  <c r="L20" i="11"/>
  <c r="L12" i="11"/>
  <c r="L36" i="11"/>
  <c r="L34" i="11"/>
  <c r="L28" i="11"/>
  <c r="L27" i="11"/>
  <c r="M40" i="11"/>
  <c r="H22" i="11"/>
  <c r="J20" i="11"/>
  <c r="H40" i="11"/>
  <c r="J30" i="11"/>
  <c r="J38" i="11"/>
  <c r="J12" i="11"/>
  <c r="L38" i="11"/>
  <c r="L30" i="11"/>
  <c r="L22" i="11"/>
  <c r="J22" i="11"/>
  <c r="J40" i="11"/>
  <c r="L40" i="11"/>
</calcChain>
</file>

<file path=xl/sharedStrings.xml><?xml version="1.0" encoding="utf-8"?>
<sst xmlns="http://schemas.openxmlformats.org/spreadsheetml/2006/main" count="733" uniqueCount="273">
  <si>
    <t>Gründer</t>
  </si>
  <si>
    <t>Alexander Balasch, BSc</t>
  </si>
  <si>
    <t>Christine Bräuer, BSc</t>
  </si>
  <si>
    <t>Christopher Neuwirt, BSc</t>
  </si>
  <si>
    <t>Ing. Dominik Schönberger, BSc</t>
  </si>
  <si>
    <t>Stammdaten</t>
  </si>
  <si>
    <t>RTI - Robot Technology and Innovation</t>
  </si>
  <si>
    <t>Gesellschaft mit beschränkter Haftung</t>
  </si>
  <si>
    <t>Franzosenhausweg 49a/EG
4030 Linz, Österreich</t>
  </si>
  <si>
    <t>Rechtsform:</t>
  </si>
  <si>
    <t>Name</t>
  </si>
  <si>
    <t>Name:</t>
  </si>
  <si>
    <t>Wohnadresse</t>
  </si>
  <si>
    <t>Kontaktdaten</t>
  </si>
  <si>
    <t>Firma</t>
  </si>
  <si>
    <t>Mail: do.schoenberger@gmail.com
Mobil: +43 (0)660 165 99 77</t>
  </si>
  <si>
    <t>Anschrift:</t>
  </si>
  <si>
    <t>Gründung:</t>
  </si>
  <si>
    <t>Investionsplan</t>
  </si>
  <si>
    <t>Betrag netto [€]</t>
  </si>
  <si>
    <t>1. Jahr</t>
  </si>
  <si>
    <t>1. Qua.</t>
  </si>
  <si>
    <t>2. Qua.</t>
  </si>
  <si>
    <t>3. Qua.</t>
  </si>
  <si>
    <t>4. Qua.</t>
  </si>
  <si>
    <t>2. Jahr</t>
  </si>
  <si>
    <t>3. Jahr</t>
  </si>
  <si>
    <t>4. Jahr</t>
  </si>
  <si>
    <t>Zwischensummen:</t>
  </si>
  <si>
    <t>Nicht abzuschreibende Investitionen</t>
  </si>
  <si>
    <t>Monat der
IBN</t>
  </si>
  <si>
    <t>ND
[Jahre]</t>
  </si>
  <si>
    <t>Gesamtsumme (vorsteuerfrei):</t>
  </si>
  <si>
    <t>Gesamtsumme (nicht vorsteuerfrei):</t>
  </si>
  <si>
    <t>Gesamtsumme Investitionen:</t>
  </si>
  <si>
    <t>Billundstraße 66, 
A-4600 Wels</t>
  </si>
  <si>
    <t>Gollensdorf 13,
4300 St. Valentin</t>
  </si>
  <si>
    <t>Kremsmünstererstraße 175,
4030 Linz</t>
  </si>
  <si>
    <t>Hauptstraße 7,
4133 Niederkappel</t>
  </si>
  <si>
    <t>Information:</t>
  </si>
  <si>
    <t>Diese Berechnungen und Prognosen wurden aus heutiger Sicht erstellt und können naturgemäß von den tatsächlichen Werten abweichen.</t>
  </si>
  <si>
    <t>Die Ersteller dieses Finanzplanes haben nach bestem Wissen alle Informationen, die zum Zeitpunkt der Erstellung bekannt waren, berücksichtigt.</t>
  </si>
  <si>
    <t>Plankosten</t>
  </si>
  <si>
    <t>Materialeinsatz</t>
  </si>
  <si>
    <t>Zahlweise
[j,h,q,z,m]</t>
  </si>
  <si>
    <t>m</t>
  </si>
  <si>
    <t>h</t>
  </si>
  <si>
    <t>j</t>
  </si>
  <si>
    <t>X</t>
  </si>
  <si>
    <t>Durchschnittliche
Kosten / Monat</t>
  </si>
  <si>
    <t>Durchschnittliche Kosten / Monat</t>
  </si>
  <si>
    <t>Geschäftsführer</t>
  </si>
  <si>
    <t>Mitarbeiter</t>
  </si>
  <si>
    <t>Monatliches
Bruttogehalt</t>
  </si>
  <si>
    <t>Grundgehälter</t>
  </si>
  <si>
    <t>Sonderzahlungen</t>
  </si>
  <si>
    <t>Durchschnittliche Kosten / Monat (in 4 Jahren)</t>
  </si>
  <si>
    <t>Roh-, Betriebs- uns Hilfsstoffe</t>
  </si>
  <si>
    <t>Sonstige betriebliche Aufwendungen
(Miete, Pacht, Betriebskosten)</t>
  </si>
  <si>
    <t>Büroeinrichtung</t>
  </si>
  <si>
    <t>Küchenausstattung</t>
  </si>
  <si>
    <t>EDV - Ausstattung (allgemein)</t>
  </si>
  <si>
    <t>EDV - Ausstattung (Mitarbeiter)</t>
  </si>
  <si>
    <t>Server</t>
  </si>
  <si>
    <t>Sekretariat</t>
  </si>
  <si>
    <t>EDV - Ausstattung (Gründer)</t>
  </si>
  <si>
    <t>Messaufbau</t>
  </si>
  <si>
    <t>Miete</t>
  </si>
  <si>
    <t>Heizkosten</t>
  </si>
  <si>
    <t>Instandhaltung</t>
  </si>
  <si>
    <t>Kfz-Kosten und Reisekosten</t>
  </si>
  <si>
    <t>Betrag brutto [€]</t>
  </si>
  <si>
    <t>Büromaterial</t>
  </si>
  <si>
    <t>Telefon / Fax / Internet</t>
  </si>
  <si>
    <t>Internet</t>
  </si>
  <si>
    <t>Telefon (Mobil)</t>
  </si>
  <si>
    <t>Steuer- und Rechtsberatung</t>
  </si>
  <si>
    <t>Reisekosten</t>
  </si>
  <si>
    <t>Werbungskosten</t>
  </si>
  <si>
    <t>Gebühren, Kammerbeiträge</t>
  </si>
  <si>
    <t>Betriebsversicherung</t>
  </si>
  <si>
    <t>Leasinggebühren</t>
  </si>
  <si>
    <t>Spesen-, Bank-, Kreditgebühren</t>
  </si>
  <si>
    <t>Sonstige Kosten</t>
  </si>
  <si>
    <t>Gründungsberatung</t>
  </si>
  <si>
    <t>Jahresabschluss</t>
  </si>
  <si>
    <t>Jährlicher Gehaltsanpassung:</t>
  </si>
  <si>
    <t>Gehaltstabelle</t>
  </si>
  <si>
    <t>Durchschnittliche Gehälter / Monat (in 4 Jahren):</t>
  </si>
  <si>
    <t>Anpasssungsfaktor Personalkosten Arbeitgeber:</t>
  </si>
  <si>
    <t>Buchhaltung</t>
  </si>
  <si>
    <t>Buchhaltungssatz / Mitarbeiter / Monat:</t>
  </si>
  <si>
    <t>Vertriebsauto</t>
  </si>
  <si>
    <t>Plan Gewinn- &amp; Verlustrechnung</t>
  </si>
  <si>
    <t>Beschreibung</t>
  </si>
  <si>
    <t>Umsatzerlöse (brutto)</t>
  </si>
  <si>
    <t>Umsatzsteuer</t>
  </si>
  <si>
    <t>Umsatzerlöse (netto)</t>
  </si>
  <si>
    <t>Skonti</t>
  </si>
  <si>
    <t>Rabatt</t>
  </si>
  <si>
    <t>Umsatzsteuer:</t>
  </si>
  <si>
    <t>Sonstige Erlöse</t>
  </si>
  <si>
    <t>Bestandsveränderungen</t>
  </si>
  <si>
    <t>Skonti:</t>
  </si>
  <si>
    <t>Rabatt:</t>
  </si>
  <si>
    <t>Betriebsleistung</t>
  </si>
  <si>
    <t>Rohertrag</t>
  </si>
  <si>
    <t>-</t>
  </si>
  <si>
    <t>+</t>
  </si>
  <si>
    <t>Personalkosten</t>
  </si>
  <si>
    <t>Versicherung Auto (Haftpflicht + Kasko)</t>
  </si>
  <si>
    <r>
      <rPr>
        <b/>
        <sz val="9"/>
        <color theme="1"/>
        <rFont val="Calibri"/>
        <family val="2"/>
      </rPr>
      <t>Ø-</t>
    </r>
    <r>
      <rPr>
        <b/>
        <sz val="9"/>
        <color theme="1"/>
        <rFont val="Calibri"/>
        <family val="2"/>
        <scheme val="minor"/>
      </rPr>
      <t>Betrag netto [€]</t>
    </r>
  </si>
  <si>
    <t>Stromkosten</t>
  </si>
  <si>
    <t>Allgemein</t>
  </si>
  <si>
    <t>Betriebserfolg (EBIT)</t>
  </si>
  <si>
    <t>WKO Kammerumlage 1 (0,3% vom Jahresumsatz)</t>
  </si>
  <si>
    <t>WKO Kammerumlage 2 (0,36% von den Bruttogehältern)</t>
  </si>
  <si>
    <t>WKO Grundumlage (FV Autoindustrie, 0,043% der BG)</t>
  </si>
  <si>
    <t>q</t>
  </si>
  <si>
    <t>Finanzergebnis</t>
  </si>
  <si>
    <t>Ergebnis vor Steuern</t>
  </si>
  <si>
    <t>Jahresergebnis</t>
  </si>
  <si>
    <t xml:space="preserve">Ergebnis vor Steuern </t>
  </si>
  <si>
    <t>Verlustvortrag Vorjahr</t>
  </si>
  <si>
    <t>Verlustvortragsrest</t>
  </si>
  <si>
    <t>BMG Rest bei VV-Verbrauch</t>
  </si>
  <si>
    <t>Steuerbemessungsgrundlage</t>
  </si>
  <si>
    <t>Körperschaftssteuer:</t>
  </si>
  <si>
    <t>Bemessungsgrundlage für KöSt.</t>
  </si>
  <si>
    <t>KöSt.</t>
  </si>
  <si>
    <t>Lizenzgebühren Software</t>
  </si>
  <si>
    <t>Roboter (FH Wels)</t>
  </si>
  <si>
    <t>Abschreibung</t>
  </si>
  <si>
    <t>AfA</t>
  </si>
  <si>
    <t>Buchwert</t>
  </si>
  <si>
    <t>AfA / Buchwert gesamt:</t>
  </si>
  <si>
    <t>Patentkosten Europa</t>
  </si>
  <si>
    <t>Patentkosten Weltweit</t>
  </si>
  <si>
    <t>Patentanträge</t>
  </si>
  <si>
    <t>Eingang im 1. Monat nach Fakturierung</t>
  </si>
  <si>
    <t>Eingang im 2. Monat nach Fakturierung</t>
  </si>
  <si>
    <t>Eingang im 3. Monat nach Fakturierung</t>
  </si>
  <si>
    <t>Plan Umsatz lt. G&amp;V</t>
  </si>
  <si>
    <t>Kontoführungsgebühren</t>
  </si>
  <si>
    <t>Sonstige Einnahmen</t>
  </si>
  <si>
    <t>Umsatzerlöse</t>
  </si>
  <si>
    <t>Plan Einnahmen:</t>
  </si>
  <si>
    <t>Plan Umsatzerlöse</t>
  </si>
  <si>
    <t>Summe "Sonstige Einahmen":</t>
  </si>
  <si>
    <t>Summe "Plan Einnahmen":</t>
  </si>
  <si>
    <t>Summe "Plan Umsatzerlöse":</t>
  </si>
  <si>
    <t>Lizenzgebühr</t>
  </si>
  <si>
    <t>Plan Ausgaben:</t>
  </si>
  <si>
    <t>Plankosten:</t>
  </si>
  <si>
    <t>Summe "Plankosten":</t>
  </si>
  <si>
    <t>Summe "Investitionen":</t>
  </si>
  <si>
    <t>Investitionen:</t>
  </si>
  <si>
    <t>Mehrwertsteuersatz:</t>
  </si>
  <si>
    <t>Vorsteuerabzugsfähige Investitionen</t>
  </si>
  <si>
    <t>Nicht vorsteuerabzugsfähige Investitionen</t>
  </si>
  <si>
    <t>Summe "Plan Ausgaben":</t>
  </si>
  <si>
    <t>Sollzinsen Kontokorrentkredit</t>
  </si>
  <si>
    <t>Sollzinssatz Kontokorrentkredit:</t>
  </si>
  <si>
    <t>Habenzinssatz Kontokorrentkredit:</t>
  </si>
  <si>
    <t>Habenzinsen Kontokorrentkredit</t>
  </si>
  <si>
    <t>Sonstige Ausgaben</t>
  </si>
  <si>
    <t>Zinsen Einmalkredit</t>
  </si>
  <si>
    <t>KöSt. / Ertragssteuer</t>
  </si>
  <si>
    <t>Kredittilgung</t>
  </si>
  <si>
    <t>Stand Einmalkredit</t>
  </si>
  <si>
    <t>Differenz Einnahmen/Ausgaben:</t>
  </si>
  <si>
    <t>Kumuliert (Kontostand):</t>
  </si>
  <si>
    <t>Kredite und Zinsen</t>
  </si>
  <si>
    <t>Kontostand bei Gründung:</t>
  </si>
  <si>
    <t>KöSt. / Ertragssteuer (tatsächlich)</t>
  </si>
  <si>
    <t>Zinserträge</t>
  </si>
  <si>
    <t>Zinsaufwand</t>
  </si>
  <si>
    <t>Vorsteuer</t>
  </si>
  <si>
    <t>Liquiditätsplan</t>
  </si>
  <si>
    <t>Geplante vorsteuerabzugsfähige 
Investitionen (netto)</t>
  </si>
  <si>
    <t>Halbj. 
der IBN</t>
  </si>
  <si>
    <t>Betrag
netto [€]</t>
  </si>
  <si>
    <t>Zinssatz Einmalkredit:</t>
  </si>
  <si>
    <t>Planbilanz</t>
  </si>
  <si>
    <t>Wert</t>
  </si>
  <si>
    <t>%</t>
  </si>
  <si>
    <t>Aktiva</t>
  </si>
  <si>
    <t>Summe Anlagevermögen:</t>
  </si>
  <si>
    <t>Anlagevermögen:</t>
  </si>
  <si>
    <t>Umlaufvermögen:</t>
  </si>
  <si>
    <t>Summe Umlaufvermögen:</t>
  </si>
  <si>
    <t>Summe Aktiva:</t>
  </si>
  <si>
    <t>Passiva</t>
  </si>
  <si>
    <t>Eigenkapital</t>
  </si>
  <si>
    <t>Summe Eigenkapital:</t>
  </si>
  <si>
    <t>Summe Fremdkapital:</t>
  </si>
  <si>
    <t>Fremdkapital:</t>
  </si>
  <si>
    <t>Eigenkapital (Stamm/Grundkapital)</t>
  </si>
  <si>
    <t>Vorjahresergebnis</t>
  </si>
  <si>
    <t>Einlagen</t>
  </si>
  <si>
    <t>Sonstige Rückstellungen</t>
  </si>
  <si>
    <t>Verbindlichkeiten aus Lieferungen und Leistungen</t>
  </si>
  <si>
    <t>Sonstige Verbindlichkeiten</t>
  </si>
  <si>
    <t>Verbindlichkeiten gegenüber Kreditinstituten</t>
  </si>
  <si>
    <t>Vorräte</t>
  </si>
  <si>
    <t>Forderungen aus Lieferungen und Leistungen</t>
  </si>
  <si>
    <t>Sonstige Forderungen</t>
  </si>
  <si>
    <t>Kassenbestand, Guthaben bei Kreditinstituten</t>
  </si>
  <si>
    <t>Summe Passiva:</t>
  </si>
  <si>
    <t>KFZ</t>
  </si>
  <si>
    <t>EDV - Ausstattung</t>
  </si>
  <si>
    <t>Patente</t>
  </si>
  <si>
    <t>Gebäude, Büroeinrichtung</t>
  </si>
  <si>
    <t>Maschinen und Messanlagen</t>
  </si>
  <si>
    <t>Erhöhung (-Senkung) Rückstellungen</t>
  </si>
  <si>
    <t>Cash-Flow aus dem Ergebnis:</t>
  </si>
  <si>
    <t>Cash-Flow</t>
  </si>
  <si>
    <t>-Erhöhung (+Senkung) von Vorräten</t>
  </si>
  <si>
    <t>-Erhöhung (+Senkung) von Forderungen LL</t>
  </si>
  <si>
    <t>+Erhöhung (-Senkung) von Verbindlichkeiten LL, Kredite</t>
  </si>
  <si>
    <t>-Erhöhung (+Senkung) von sonstigen Forderungen</t>
  </si>
  <si>
    <t>+Erhöhung (-Senkung) von sonstigen Verbindlichkeiten</t>
  </si>
  <si>
    <t>Erhöhung (+Senkung) von Vorräten</t>
  </si>
  <si>
    <t>Erhöhung (+Senkung) von Forderungen LL</t>
  </si>
  <si>
    <t>Erhöhung (-Senkung) von Verbindlichkeiten LL, Kredite</t>
  </si>
  <si>
    <t>Erhöhung (+Senkung) von sonstigen Forderungen</t>
  </si>
  <si>
    <t>Erhöhung (-Senkung) von sonstigen Verbindlichkeiten</t>
  </si>
  <si>
    <t>Veränderung Working Capital:</t>
  </si>
  <si>
    <t>Cash-Flow aus dem operativen Bereich:</t>
  </si>
  <si>
    <t>Kennzahlen</t>
  </si>
  <si>
    <t>Personalkosten in % der Betriebsleistung</t>
  </si>
  <si>
    <t>Eigenkapitalquote</t>
  </si>
  <si>
    <t>Fremdkapitalquote</t>
  </si>
  <si>
    <t>Umsatzrentabilität</t>
  </si>
  <si>
    <t>Mail: balaschalexander@gmail.com
Mobil: +43 (0)681 841 06 358</t>
  </si>
  <si>
    <t>Mail: brauer_chrissi@gmx.net
Mobil: +43 (0)699 181 19 053</t>
  </si>
  <si>
    <t>Mail: c.neuwirt@gmx.net
Mobil: +43 (0)660 410 94 24</t>
  </si>
  <si>
    <t>… Überschrift (1. Ebene)</t>
  </si>
  <si>
    <t>… Überschrift (2. Ebene)</t>
  </si>
  <si>
    <t>… Eingabefeld (Ziffern)</t>
  </si>
  <si>
    <t>… Eingabefeld (Text)</t>
  </si>
  <si>
    <t>… Summenfeld (1. Ebene)</t>
  </si>
  <si>
    <t>… Summenfeld (2. Ebene)</t>
  </si>
  <si>
    <t>… Summenfeld (3. Ebene)</t>
  </si>
  <si>
    <t>Monat 
der IBN</t>
  </si>
  <si>
    <t>Monat der
Zahlung</t>
  </si>
  <si>
    <t>Monat der
Anstellung</t>
  </si>
  <si>
    <t>… keine Werte notwendig</t>
  </si>
  <si>
    <t>Monat der Bezahlung</t>
  </si>
  <si>
    <t>Geplante nicht vorsteuerabzugsfähige 
Investitionen (netto)</t>
  </si>
  <si>
    <t>Geplante nicht vorsteuerabzugsfähige
Investitionen (netto)</t>
  </si>
  <si>
    <t>Summe "Sonstige Ausgaben":</t>
  </si>
  <si>
    <t>Legende:</t>
  </si>
  <si>
    <t>Neuentwicklungen</t>
  </si>
  <si>
    <t>Lizenzen</t>
  </si>
  <si>
    <t>Umsätze</t>
  </si>
  <si>
    <t>Kosten</t>
  </si>
  <si>
    <t>Break-Even-Point</t>
  </si>
  <si>
    <t>Kapitalbedarf:</t>
  </si>
  <si>
    <t>Intensivschulung</t>
  </si>
  <si>
    <t>Grundschulung</t>
  </si>
  <si>
    <t>Kum. Umsätze</t>
  </si>
  <si>
    <t>Kum. Kosten</t>
  </si>
  <si>
    <t>Geplante vorsteuerabzugsfähige
Investitionen (netto)</t>
  </si>
  <si>
    <t>Cash-Flow aus dem operativen bereich</t>
  </si>
  <si>
    <t>Aufwände</t>
  </si>
  <si>
    <r>
      <rPr>
        <sz val="11"/>
        <color theme="1"/>
        <rFont val="Calibri"/>
        <family val="2"/>
      </rPr>
      <t xml:space="preserve">Ø - </t>
    </r>
    <r>
      <rPr>
        <sz val="11"/>
        <color theme="1"/>
        <rFont val="Calibri"/>
        <family val="2"/>
        <scheme val="minor"/>
      </rPr>
      <t>Arbeitszeit / Jahr</t>
    </r>
  </si>
  <si>
    <r>
      <rPr>
        <sz val="11"/>
        <color theme="1"/>
        <rFont val="Calibri"/>
        <family val="2"/>
      </rPr>
      <t xml:space="preserve">Ø - </t>
    </r>
    <r>
      <rPr>
        <sz val="11"/>
        <color theme="1"/>
        <rFont val="Calibri"/>
        <family val="2"/>
        <scheme val="minor"/>
      </rPr>
      <t>Stromkosten [€/kWh]</t>
    </r>
  </si>
  <si>
    <t>Durchschnittliche Leistungsaufnahme</t>
  </si>
  <si>
    <t>Energieersparnis</t>
  </si>
  <si>
    <t>Pauschale</t>
  </si>
  <si>
    <t>Ø - Betriebsdauer</t>
  </si>
  <si>
    <t>Programmierung / Robotik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</si>
</sst>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8" formatCode="#,##0.00\ &quot;€&quot;;[Red]\-#,##0.00\ &quot;€&quot;"/>
    <numFmt numFmtId="164" formatCode="#,##0.00\ &quot;€&quot;"/>
    <numFmt numFmtId="165" formatCode="#,##0\ &quot;€&quot;"/>
    <numFmt numFmtId="166" formatCode="0.00\ &quot;kW&quot;"/>
    <numFmt numFmtId="167" formatCode="0\ &quot;Jahre&quot;"/>
  </numFmts>
  <fonts count="1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9"/>
      <color theme="1"/>
      <name val="Calibri"/>
      <family val="2"/>
    </font>
    <font>
      <sz val="12"/>
      <color theme="1"/>
      <name val="Calibri"/>
      <family val="2"/>
      <scheme val="minor"/>
    </font>
    <font>
      <sz val="9"/>
      <name val="Arial"/>
      <family val="2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0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dashed">
        <color auto="1"/>
      </right>
      <top/>
      <bottom style="double">
        <color auto="1"/>
      </bottom>
      <diagonal/>
    </border>
    <border>
      <left style="dashed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dashed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indexed="64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/>
      <diagonal/>
    </border>
    <border>
      <left style="dashed">
        <color auto="1"/>
      </left>
      <right style="double">
        <color auto="1"/>
      </right>
      <top/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ashed">
        <color auto="1"/>
      </right>
      <top style="thin">
        <color indexed="64"/>
      </top>
      <bottom/>
      <diagonal/>
    </border>
    <border>
      <left style="dashed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dashed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dashed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 style="double">
        <color auto="1"/>
      </right>
      <top style="double">
        <color indexed="64"/>
      </top>
      <bottom/>
      <diagonal/>
    </border>
    <border>
      <left style="double">
        <color auto="1"/>
      </left>
      <right style="dashed">
        <color auto="1"/>
      </right>
      <top style="double">
        <color indexed="64"/>
      </top>
      <bottom/>
      <diagonal/>
    </border>
    <border>
      <left style="dashed">
        <color auto="1"/>
      </left>
      <right/>
      <top style="double">
        <color indexed="64"/>
      </top>
      <bottom/>
      <diagonal/>
    </border>
    <border>
      <left style="dashed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dashed">
        <color auto="1"/>
      </right>
      <top style="double">
        <color indexed="64"/>
      </top>
      <bottom/>
      <diagonal/>
    </border>
    <border>
      <left/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indexed="64"/>
      </top>
      <bottom/>
      <diagonal/>
    </border>
    <border>
      <left style="medium">
        <color auto="1"/>
      </left>
      <right/>
      <top style="mediumDashed">
        <color auto="1"/>
      </top>
      <bottom style="medium">
        <color auto="1"/>
      </bottom>
      <diagonal/>
    </border>
    <border>
      <left style="dashed">
        <color auto="1"/>
      </left>
      <right/>
      <top style="mediumDashed">
        <color auto="1"/>
      </top>
      <bottom style="medium">
        <color auto="1"/>
      </bottom>
      <diagonal/>
    </border>
    <border>
      <left/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/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Dashed">
        <color auto="1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 style="double">
        <color auto="1"/>
      </top>
      <bottom style="mediumDashed">
        <color auto="1"/>
      </bottom>
      <diagonal/>
    </border>
    <border>
      <left style="dashed">
        <color auto="1"/>
      </left>
      <right style="double">
        <color auto="1"/>
      </right>
      <top style="double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ouble">
        <color indexed="64"/>
      </top>
      <bottom style="medium">
        <color auto="1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ouble">
        <color auto="1"/>
      </right>
      <top/>
      <bottom/>
      <diagonal/>
    </border>
    <border>
      <left style="double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dashed">
        <color indexed="64"/>
      </left>
      <right style="double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auto="1"/>
      </top>
      <bottom style="double">
        <color auto="1"/>
      </bottom>
      <diagonal/>
    </border>
    <border>
      <left style="dashed">
        <color indexed="64"/>
      </left>
      <right style="double">
        <color indexed="64"/>
      </right>
      <top style="thin">
        <color auto="1"/>
      </top>
      <bottom style="double">
        <color auto="1"/>
      </bottom>
      <diagonal/>
    </border>
    <border>
      <left style="medium">
        <color auto="1"/>
      </left>
      <right style="dashed">
        <color auto="1"/>
      </right>
      <top style="mediumDashed">
        <color auto="1"/>
      </top>
      <bottom/>
      <diagonal/>
    </border>
    <border>
      <left style="double">
        <color auto="1"/>
      </left>
      <right style="dashed">
        <color auto="1"/>
      </right>
      <top style="thin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ashed">
        <color indexed="64"/>
      </right>
      <top/>
      <bottom/>
      <diagonal/>
    </border>
    <border>
      <left style="dashed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dashed">
        <color auto="1"/>
      </right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mediumDashed">
        <color auto="1"/>
      </top>
      <bottom/>
      <diagonal/>
    </border>
    <border>
      <left style="thin">
        <color auto="1"/>
      </left>
      <right style="medium">
        <color indexed="64"/>
      </right>
      <top style="mediumDashed">
        <color auto="1"/>
      </top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indexed="64"/>
      </top>
      <bottom style="thin">
        <color indexed="64"/>
      </bottom>
      <diagonal/>
    </border>
    <border>
      <left style="dashed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/>
      <top/>
      <bottom/>
      <diagonal/>
    </border>
    <border>
      <left style="dashed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ashed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auto="1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/>
      <top style="medium">
        <color indexed="64"/>
      </top>
      <bottom style="medium">
        <color indexed="64"/>
      </bottom>
      <diagonal/>
    </border>
    <border>
      <left style="dashed">
        <color auto="1"/>
      </left>
      <right/>
      <top style="double">
        <color indexed="64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auto="1"/>
      </top>
      <bottom style="medium">
        <color indexed="64"/>
      </bottom>
      <diagonal/>
    </border>
    <border>
      <left style="thin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auto="1"/>
      </right>
      <top style="medium">
        <color auto="1"/>
      </top>
      <bottom style="thin">
        <color auto="1"/>
      </bottom>
      <diagonal/>
    </border>
    <border>
      <left/>
      <right style="dashed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uble">
        <color indexed="64"/>
      </top>
      <bottom/>
      <diagonal/>
    </border>
    <border>
      <left style="thin">
        <color auto="1"/>
      </left>
      <right/>
      <top style="mediumDashed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dashed">
        <color auto="1"/>
      </left>
      <right style="medium">
        <color auto="1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auto="1"/>
      </right>
      <top style="double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double">
        <color auto="1"/>
      </right>
      <top style="medium">
        <color indexed="64"/>
      </top>
      <bottom style="double">
        <color indexed="64"/>
      </bottom>
      <diagonal/>
    </border>
    <border>
      <left style="dashed">
        <color auto="1"/>
      </left>
      <right/>
      <top style="mediumDashed">
        <color auto="1"/>
      </top>
      <bottom/>
      <diagonal/>
    </border>
    <border>
      <left style="medium">
        <color indexed="64"/>
      </left>
      <right/>
      <top style="mediumDashed">
        <color indexed="64"/>
      </top>
      <bottom style="thin">
        <color indexed="64"/>
      </bottom>
      <diagonal/>
    </border>
    <border>
      <left/>
      <right/>
      <top style="mediumDashed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Dashed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Dashed">
        <color indexed="64"/>
      </top>
      <bottom style="thin">
        <color indexed="64"/>
      </bottom>
      <diagonal/>
    </border>
    <border>
      <left style="double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/>
      <bottom style="thin">
        <color indexed="64"/>
      </bottom>
      <diagonal/>
    </border>
    <border>
      <left style="dashed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Dashed">
        <color indexed="64"/>
      </bottom>
      <diagonal/>
    </border>
    <border>
      <left/>
      <right/>
      <top style="double">
        <color indexed="64"/>
      </top>
      <bottom style="mediumDashed">
        <color indexed="64"/>
      </bottom>
      <diagonal/>
    </border>
    <border>
      <left/>
      <right style="double">
        <color auto="1"/>
      </right>
      <top style="double">
        <color indexed="64"/>
      </top>
      <bottom style="mediumDashed">
        <color indexed="64"/>
      </bottom>
      <diagonal/>
    </border>
    <border>
      <left/>
      <right style="dashed">
        <color auto="1"/>
      </right>
      <top style="mediumDashed">
        <color auto="1"/>
      </top>
      <bottom/>
      <diagonal/>
    </border>
    <border>
      <left/>
      <right style="double">
        <color auto="1"/>
      </right>
      <top style="mediumDashed">
        <color auto="1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ashed">
        <color auto="1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Dashed">
        <color auto="1"/>
      </bottom>
      <diagonal/>
    </border>
    <border>
      <left/>
      <right/>
      <top style="medium">
        <color auto="1"/>
      </top>
      <bottom style="mediumDashed">
        <color auto="1"/>
      </bottom>
      <diagonal/>
    </border>
    <border>
      <left style="double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medium">
        <color indexed="64"/>
      </bottom>
      <diagonal/>
    </border>
    <border>
      <left style="double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thin">
        <color auto="1"/>
      </right>
      <top style="double">
        <color auto="1"/>
      </top>
      <bottom style="medium">
        <color indexed="64"/>
      </bottom>
      <diagonal/>
    </border>
    <border>
      <left style="thin">
        <color auto="1"/>
      </left>
      <right style="dashed">
        <color auto="1"/>
      </right>
      <top style="double">
        <color auto="1"/>
      </top>
      <bottom style="medium">
        <color indexed="64"/>
      </bottom>
      <diagonal/>
    </border>
    <border>
      <left/>
      <right style="medium">
        <color indexed="64"/>
      </right>
      <top style="double">
        <color auto="1"/>
      </top>
      <bottom style="medium">
        <color indexed="64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Dashed">
        <color auto="1"/>
      </bottom>
      <diagonal/>
    </border>
    <border>
      <left style="dashed">
        <color auto="1"/>
      </left>
      <right style="medium">
        <color auto="1"/>
      </right>
      <top style="mediumDashed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ashed">
        <color auto="1"/>
      </right>
      <top style="medium">
        <color auto="1"/>
      </top>
      <bottom style="mediumDashed">
        <color auto="1"/>
      </bottom>
      <diagonal/>
    </border>
    <border>
      <left/>
      <right style="dashed">
        <color auto="1"/>
      </right>
      <top style="mediumDashed">
        <color auto="1"/>
      </top>
      <bottom style="thin">
        <color indexed="64"/>
      </bottom>
      <diagonal/>
    </border>
    <border>
      <left style="dashed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auto="1"/>
      </right>
      <top style="medium">
        <color indexed="64"/>
      </top>
      <bottom style="thin">
        <color indexed="64"/>
      </bottom>
      <diagonal/>
    </border>
    <border>
      <left style="double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dashed">
        <color auto="1"/>
      </right>
      <top style="medium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thin">
        <color indexed="64"/>
      </bottom>
      <diagonal/>
    </border>
    <border>
      <left style="dashed">
        <color auto="1"/>
      </left>
      <right style="double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double">
        <color auto="1"/>
      </right>
      <top style="mediumDashed">
        <color indexed="64"/>
      </top>
      <bottom style="thin">
        <color indexed="64"/>
      </bottom>
      <diagonal/>
    </border>
    <border>
      <left style="dashed">
        <color auto="1"/>
      </left>
      <right/>
      <top style="medium">
        <color auto="1"/>
      </top>
      <bottom style="thin">
        <color indexed="64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double">
        <color auto="1"/>
      </left>
      <right/>
      <top style="double">
        <color indexed="64"/>
      </top>
      <bottom/>
      <diagonal/>
    </border>
    <border>
      <left style="double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</borders>
  <cellStyleXfs count="1">
    <xf numFmtId="0" fontId="0" fillId="0" borderId="0"/>
  </cellStyleXfs>
  <cellXfs count="968">
    <xf numFmtId="0" fontId="0" fillId="0" borderId="0" xfId="0"/>
    <xf numFmtId="0" fontId="0" fillId="0" borderId="33" xfId="0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center" vertical="center" wrapText="1"/>
    </xf>
    <xf numFmtId="0" fontId="0" fillId="0" borderId="67" xfId="0" applyBorder="1" applyAlignment="1" applyProtection="1">
      <alignment horizontal="center" vertical="center" wrapText="1"/>
    </xf>
    <xf numFmtId="0" fontId="0" fillId="0" borderId="35" xfId="0" applyBorder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164" fontId="0" fillId="0" borderId="43" xfId="0" applyNumberFormat="1" applyBorder="1" applyAlignment="1" applyProtection="1">
      <alignment vertical="center"/>
    </xf>
    <xf numFmtId="164" fontId="0" fillId="0" borderId="41" xfId="0" applyNumberFormat="1" applyBorder="1" applyAlignment="1" applyProtection="1">
      <alignment vertical="center"/>
    </xf>
    <xf numFmtId="164" fontId="0" fillId="0" borderId="46" xfId="0" applyNumberFormat="1" applyBorder="1" applyAlignment="1" applyProtection="1">
      <alignment vertical="center"/>
    </xf>
    <xf numFmtId="164" fontId="0" fillId="0" borderId="47" xfId="0" applyNumberFormat="1" applyBorder="1" applyAlignment="1" applyProtection="1">
      <alignment vertical="center"/>
    </xf>
    <xf numFmtId="164" fontId="0" fillId="0" borderId="49" xfId="0" applyNumberFormat="1" applyBorder="1" applyAlignment="1" applyProtection="1">
      <alignment vertical="center"/>
    </xf>
    <xf numFmtId="164" fontId="0" fillId="0" borderId="22" xfId="0" applyNumberFormat="1" applyBorder="1" applyAlignment="1" applyProtection="1">
      <alignment vertical="center"/>
    </xf>
    <xf numFmtId="164" fontId="0" fillId="0" borderId="52" xfId="0" applyNumberFormat="1" applyBorder="1" applyAlignment="1" applyProtection="1">
      <alignment vertical="center"/>
    </xf>
    <xf numFmtId="164" fontId="0" fillId="0" borderId="53" xfId="0" applyNumberFormat="1" applyBorder="1" applyAlignment="1" applyProtection="1">
      <alignment vertical="center"/>
    </xf>
    <xf numFmtId="164" fontId="0" fillId="0" borderId="57" xfId="0" applyNumberFormat="1" applyBorder="1" applyAlignment="1" applyProtection="1">
      <alignment vertical="center"/>
    </xf>
    <xf numFmtId="164" fontId="0" fillId="0" borderId="55" xfId="0" applyNumberFormat="1" applyBorder="1" applyAlignment="1" applyProtection="1">
      <alignment vertical="center"/>
    </xf>
    <xf numFmtId="164" fontId="0" fillId="0" borderId="60" xfId="0" applyNumberFormat="1" applyBorder="1" applyAlignment="1" applyProtection="1">
      <alignment vertical="center"/>
    </xf>
    <xf numFmtId="164" fontId="0" fillId="0" borderId="61" xfId="0" applyNumberFormat="1" applyBorder="1" applyAlignment="1" applyProtection="1">
      <alignment vertical="center"/>
    </xf>
    <xf numFmtId="164" fontId="0" fillId="7" borderId="41" xfId="0" applyNumberFormat="1" applyFill="1" applyBorder="1" applyAlignment="1" applyProtection="1">
      <alignment vertical="center"/>
      <protection locked="0"/>
    </xf>
    <xf numFmtId="0" fontId="0" fillId="7" borderId="41" xfId="0" applyFill="1" applyBorder="1" applyAlignment="1" applyProtection="1">
      <alignment horizontal="center" vertical="center"/>
      <protection locked="0"/>
    </xf>
    <xf numFmtId="0" fontId="0" fillId="7" borderId="42" xfId="0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vertical="center"/>
      <protection locked="0"/>
    </xf>
    <xf numFmtId="0" fontId="0" fillId="3" borderId="11" xfId="0" applyFill="1" applyBorder="1" applyAlignment="1" applyProtection="1">
      <alignment vertical="center"/>
      <protection locked="0"/>
    </xf>
    <xf numFmtId="0" fontId="0" fillId="3" borderId="54" xfId="0" applyFill="1" applyBorder="1" applyAlignment="1" applyProtection="1">
      <alignment vertical="center"/>
      <protection locked="0"/>
    </xf>
    <xf numFmtId="0" fontId="0" fillId="3" borderId="75" xfId="0" applyFill="1" applyBorder="1" applyAlignment="1" applyProtection="1">
      <alignment vertical="center"/>
      <protection locked="0"/>
    </xf>
    <xf numFmtId="0" fontId="0" fillId="7" borderId="76" xfId="0" applyFill="1" applyBorder="1" applyAlignment="1" applyProtection="1">
      <alignment vertical="center"/>
      <protection locked="0"/>
    </xf>
    <xf numFmtId="0" fontId="0" fillId="7" borderId="77" xfId="0" applyFill="1" applyBorder="1" applyAlignment="1" applyProtection="1">
      <alignment vertical="center"/>
      <protection locked="0"/>
    </xf>
    <xf numFmtId="164" fontId="0" fillId="0" borderId="78" xfId="0" applyNumberFormat="1" applyBorder="1" applyAlignment="1" applyProtection="1">
      <alignment vertical="center"/>
    </xf>
    <xf numFmtId="164" fontId="0" fillId="0" borderId="76" xfId="0" applyNumberFormat="1" applyBorder="1" applyAlignment="1" applyProtection="1">
      <alignment vertical="center"/>
    </xf>
    <xf numFmtId="164" fontId="0" fillId="0" borderId="79" xfId="0" applyNumberFormat="1" applyBorder="1" applyAlignment="1" applyProtection="1">
      <alignment vertical="center"/>
    </xf>
    <xf numFmtId="164" fontId="0" fillId="0" borderId="80" xfId="0" applyNumberFormat="1" applyBorder="1" applyAlignment="1" applyProtection="1">
      <alignment vertical="center"/>
    </xf>
    <xf numFmtId="164" fontId="0" fillId="0" borderId="81" xfId="0" applyNumberFormat="1" applyBorder="1" applyAlignment="1" applyProtection="1">
      <alignment vertical="center"/>
    </xf>
    <xf numFmtId="164" fontId="0" fillId="0" borderId="82" xfId="0" applyNumberFormat="1" applyBorder="1" applyAlignment="1" applyProtection="1">
      <alignment vertical="center"/>
    </xf>
    <xf numFmtId="164" fontId="0" fillId="0" borderId="83" xfId="0" applyNumberFormat="1" applyBorder="1" applyAlignment="1" applyProtection="1">
      <alignment vertical="center"/>
    </xf>
    <xf numFmtId="164" fontId="0" fillId="0" borderId="84" xfId="0" applyNumberFormat="1" applyBorder="1" applyAlignment="1" applyProtection="1">
      <alignment vertical="center"/>
    </xf>
    <xf numFmtId="0" fontId="6" fillId="0" borderId="85" xfId="0" applyFont="1" applyBorder="1" applyAlignment="1" applyProtection="1">
      <alignment horizontal="right" vertical="center"/>
    </xf>
    <xf numFmtId="164" fontId="6" fillId="5" borderId="86" xfId="0" applyNumberFormat="1" applyFont="1" applyFill="1" applyBorder="1" applyAlignment="1" applyProtection="1">
      <alignment vertical="center"/>
    </xf>
    <xf numFmtId="164" fontId="6" fillId="5" borderId="92" xfId="0" applyNumberFormat="1" applyFont="1" applyFill="1" applyBorder="1" applyAlignment="1" applyProtection="1">
      <alignment vertical="center"/>
    </xf>
    <xf numFmtId="164" fontId="6" fillId="5" borderId="93" xfId="0" applyNumberFormat="1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2" borderId="27" xfId="0" applyFill="1" applyBorder="1" applyAlignment="1" applyProtection="1">
      <alignment vertical="center"/>
    </xf>
    <xf numFmtId="0" fontId="0" fillId="2" borderId="28" xfId="0" applyFill="1" applyBorder="1" applyAlignment="1" applyProtection="1">
      <alignment vertical="center"/>
    </xf>
    <xf numFmtId="0" fontId="0" fillId="2" borderId="68" xfId="0" applyFill="1" applyBorder="1" applyAlignment="1" applyProtection="1">
      <alignment vertical="center"/>
    </xf>
    <xf numFmtId="0" fontId="0" fillId="0" borderId="5" xfId="0" applyFill="1" applyBorder="1" applyAlignment="1" applyProtection="1">
      <alignment vertical="center"/>
    </xf>
    <xf numFmtId="0" fontId="0" fillId="2" borderId="0" xfId="0" applyFill="1" applyBorder="1" applyAlignment="1" applyProtection="1">
      <alignment vertical="center"/>
    </xf>
    <xf numFmtId="0" fontId="0" fillId="2" borderId="6" xfId="0" applyFill="1" applyBorder="1" applyAlignment="1" applyProtection="1">
      <alignment vertical="center"/>
    </xf>
    <xf numFmtId="0" fontId="0" fillId="2" borderId="5" xfId="0" applyFill="1" applyBorder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7" fillId="0" borderId="2" xfId="0" applyFont="1" applyBorder="1" applyAlignment="1" applyProtection="1">
      <alignment horizontal="right" vertical="center"/>
    </xf>
    <xf numFmtId="164" fontId="7" fillId="5" borderId="94" xfId="0" applyNumberFormat="1" applyFont="1" applyFill="1" applyBorder="1" applyAlignment="1" applyProtection="1">
      <alignment vertical="center"/>
    </xf>
    <xf numFmtId="0" fontId="7" fillId="2" borderId="8" xfId="0" applyFont="1" applyFill="1" applyBorder="1" applyAlignment="1" applyProtection="1">
      <alignment vertical="center"/>
    </xf>
    <xf numFmtId="164" fontId="7" fillId="5" borderId="63" xfId="0" applyNumberFormat="1" applyFont="1" applyFill="1" applyBorder="1" applyAlignment="1" applyProtection="1">
      <alignment vertical="center"/>
    </xf>
    <xf numFmtId="164" fontId="7" fillId="5" borderId="64" xfId="0" applyNumberFormat="1" applyFont="1" applyFill="1" applyBorder="1" applyAlignment="1" applyProtection="1">
      <alignment vertical="center"/>
    </xf>
    <xf numFmtId="164" fontId="7" fillId="5" borderId="66" xfId="0" applyNumberFormat="1" applyFont="1" applyFill="1" applyBorder="1" applyAlignment="1" applyProtection="1">
      <alignment vertical="center"/>
    </xf>
    <xf numFmtId="164" fontId="2" fillId="6" borderId="95" xfId="0" applyNumberFormat="1" applyFont="1" applyFill="1" applyBorder="1" applyAlignment="1" applyProtection="1">
      <alignment vertical="center"/>
    </xf>
    <xf numFmtId="164" fontId="2" fillId="6" borderId="62" xfId="0" applyNumberFormat="1" applyFont="1" applyFill="1" applyBorder="1" applyAlignment="1" applyProtection="1">
      <alignment vertical="center"/>
    </xf>
    <xf numFmtId="164" fontId="2" fillId="6" borderId="63" xfId="0" applyNumberFormat="1" applyFont="1" applyFill="1" applyBorder="1" applyAlignment="1" applyProtection="1">
      <alignment vertical="center"/>
    </xf>
    <xf numFmtId="164" fontId="2" fillId="6" borderId="65" xfId="0" applyNumberFormat="1" applyFont="1" applyFill="1" applyBorder="1" applyAlignment="1" applyProtection="1">
      <alignment vertical="center"/>
    </xf>
    <xf numFmtId="164" fontId="2" fillId="6" borderId="64" xfId="0" applyNumberFormat="1" applyFont="1" applyFill="1" applyBorder="1" applyAlignment="1" applyProtection="1">
      <alignment vertical="center"/>
    </xf>
    <xf numFmtId="164" fontId="2" fillId="6" borderId="66" xfId="0" applyNumberFormat="1" applyFont="1" applyFill="1" applyBorder="1" applyAlignment="1" applyProtection="1">
      <alignment vertical="center"/>
    </xf>
    <xf numFmtId="164" fontId="2" fillId="6" borderId="4" xfId="0" applyNumberFormat="1" applyFont="1" applyFill="1" applyBorder="1" applyAlignment="1" applyProtection="1">
      <alignment vertical="center"/>
    </xf>
    <xf numFmtId="0" fontId="2" fillId="2" borderId="8" xfId="0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0" fillId="2" borderId="3" xfId="0" applyFill="1" applyBorder="1" applyAlignment="1" applyProtection="1">
      <alignment vertical="center"/>
    </xf>
    <xf numFmtId="0" fontId="0" fillId="2" borderId="4" xfId="0" applyFill="1" applyBorder="1" applyAlignment="1" applyProtection="1">
      <alignment vertical="center"/>
    </xf>
    <xf numFmtId="164" fontId="7" fillId="5" borderId="86" xfId="0" applyNumberFormat="1" applyFont="1" applyFill="1" applyBorder="1" applyAlignment="1" applyProtection="1">
      <alignment vertical="center"/>
    </xf>
    <xf numFmtId="164" fontId="7" fillId="5" borderId="89" xfId="0" applyNumberFormat="1" applyFont="1" applyFill="1" applyBorder="1" applyAlignment="1" applyProtection="1">
      <alignment vertical="center"/>
    </xf>
    <xf numFmtId="164" fontId="7" fillId="5" borderId="91" xfId="0" applyNumberFormat="1" applyFont="1" applyFill="1" applyBorder="1" applyAlignment="1" applyProtection="1">
      <alignment vertical="center"/>
    </xf>
    <xf numFmtId="164" fontId="7" fillId="5" borderId="92" xfId="0" applyNumberFormat="1" applyFont="1" applyFill="1" applyBorder="1" applyAlignment="1" applyProtection="1">
      <alignment vertical="center"/>
    </xf>
    <xf numFmtId="164" fontId="7" fillId="5" borderId="93" xfId="0" applyNumberFormat="1" applyFont="1" applyFill="1" applyBorder="1" applyAlignment="1" applyProtection="1">
      <alignment vertical="center"/>
    </xf>
    <xf numFmtId="164" fontId="0" fillId="0" borderId="44" xfId="0" applyNumberFormat="1" applyFill="1" applyBorder="1" applyAlignment="1" applyProtection="1">
      <alignment vertical="center"/>
    </xf>
    <xf numFmtId="164" fontId="0" fillId="0" borderId="45" xfId="0" applyNumberFormat="1" applyFill="1" applyBorder="1" applyAlignment="1" applyProtection="1">
      <alignment vertical="center"/>
    </xf>
    <xf numFmtId="164" fontId="0" fillId="0" borderId="41" xfId="0" applyNumberFormat="1" applyFill="1" applyBorder="1" applyAlignment="1" applyProtection="1">
      <alignment vertical="center"/>
    </xf>
    <xf numFmtId="164" fontId="0" fillId="0" borderId="72" xfId="0" applyNumberFormat="1" applyFill="1" applyBorder="1" applyAlignment="1" applyProtection="1">
      <alignment vertical="center"/>
    </xf>
    <xf numFmtId="164" fontId="0" fillId="0" borderId="50" xfId="0" applyNumberFormat="1" applyFill="1" applyBorder="1" applyAlignment="1" applyProtection="1">
      <alignment vertical="center"/>
    </xf>
    <xf numFmtId="164" fontId="0" fillId="0" borderId="51" xfId="0" applyNumberFormat="1" applyFill="1" applyBorder="1" applyAlignment="1" applyProtection="1">
      <alignment vertical="center"/>
    </xf>
    <xf numFmtId="164" fontId="0" fillId="0" borderId="22" xfId="0" applyNumberFormat="1" applyFill="1" applyBorder="1" applyAlignment="1" applyProtection="1">
      <alignment vertical="center"/>
    </xf>
    <xf numFmtId="164" fontId="0" fillId="0" borderId="73" xfId="0" applyNumberFormat="1" applyFill="1" applyBorder="1" applyAlignment="1" applyProtection="1">
      <alignment vertical="center"/>
    </xf>
    <xf numFmtId="164" fontId="0" fillId="0" borderId="58" xfId="0" applyNumberFormat="1" applyFill="1" applyBorder="1" applyAlignment="1" applyProtection="1">
      <alignment vertical="center"/>
    </xf>
    <xf numFmtId="164" fontId="0" fillId="0" borderId="59" xfId="0" applyNumberFormat="1" applyFill="1" applyBorder="1" applyAlignment="1" applyProtection="1">
      <alignment vertical="center"/>
    </xf>
    <xf numFmtId="164" fontId="0" fillId="0" borderId="55" xfId="0" applyNumberFormat="1" applyFill="1" applyBorder="1" applyAlignment="1" applyProtection="1">
      <alignment vertical="center"/>
    </xf>
    <xf numFmtId="164" fontId="0" fillId="0" borderId="74" xfId="0" applyNumberFormat="1" applyFill="1" applyBorder="1" applyAlignment="1" applyProtection="1">
      <alignment vertical="center"/>
    </xf>
    <xf numFmtId="0" fontId="0" fillId="3" borderId="19" xfId="0" applyFill="1" applyBorder="1" applyAlignment="1" applyProtection="1">
      <alignment horizontal="left" vertical="center" wrapText="1"/>
      <protection locked="0"/>
    </xf>
    <xf numFmtId="0" fontId="0" fillId="3" borderId="20" xfId="0" applyFill="1" applyBorder="1" applyAlignment="1" applyProtection="1">
      <alignment wrapText="1"/>
      <protection locked="0"/>
    </xf>
    <xf numFmtId="0" fontId="0" fillId="3" borderId="22" xfId="0" applyFill="1" applyBorder="1" applyAlignment="1" applyProtection="1">
      <alignment horizontal="left" vertical="center" wrapText="1"/>
      <protection locked="0"/>
    </xf>
    <xf numFmtId="0" fontId="0" fillId="3" borderId="23" xfId="0" applyFill="1" applyBorder="1" applyAlignment="1" applyProtection="1">
      <alignment wrapText="1"/>
      <protection locked="0"/>
    </xf>
    <xf numFmtId="0" fontId="0" fillId="3" borderId="55" xfId="0" applyFill="1" applyBorder="1" applyAlignment="1" applyProtection="1">
      <alignment horizontal="left" vertical="center" wrapText="1"/>
      <protection locked="0"/>
    </xf>
    <xf numFmtId="0" fontId="0" fillId="3" borderId="98" xfId="0" applyFill="1" applyBorder="1" applyAlignment="1" applyProtection="1">
      <alignment wrapText="1"/>
      <protection locked="0"/>
    </xf>
    <xf numFmtId="0" fontId="0" fillId="3" borderId="14" xfId="0" applyFill="1" applyBorder="1" applyAlignment="1" applyProtection="1">
      <alignment vertical="center"/>
      <protection locked="0"/>
    </xf>
    <xf numFmtId="0" fontId="0" fillId="3" borderId="13" xfId="0" applyFill="1" applyBorder="1" applyAlignment="1" applyProtection="1">
      <alignment vertical="center" wrapText="1"/>
      <protection locked="0"/>
    </xf>
    <xf numFmtId="0" fontId="0" fillId="3" borderId="13" xfId="0" applyFill="1" applyBorder="1" applyAlignment="1" applyProtection="1">
      <alignment vertical="center"/>
      <protection locked="0"/>
    </xf>
    <xf numFmtId="14" fontId="0" fillId="3" borderId="101" xfId="0" applyNumberFormat="1" applyFill="1" applyBorder="1" applyAlignment="1" applyProtection="1">
      <alignment vertical="center"/>
      <protection locked="0"/>
    </xf>
    <xf numFmtId="0" fontId="0" fillId="3" borderId="108" xfId="0" applyFill="1" applyBorder="1" applyAlignment="1" applyProtection="1">
      <alignment vertical="center"/>
      <protection locked="0"/>
    </xf>
    <xf numFmtId="0" fontId="0" fillId="3" borderId="21" xfId="0" applyFill="1" applyBorder="1" applyAlignment="1" applyProtection="1">
      <alignment vertical="center"/>
      <protection locked="0"/>
    </xf>
    <xf numFmtId="164" fontId="0" fillId="7" borderId="22" xfId="0" applyNumberFormat="1" applyFill="1" applyBorder="1" applyAlignment="1" applyProtection="1">
      <alignment vertical="center"/>
      <protection locked="0"/>
    </xf>
    <xf numFmtId="0" fontId="0" fillId="7" borderId="22" xfId="0" applyFill="1" applyBorder="1" applyAlignment="1" applyProtection="1">
      <alignment horizontal="center" vertical="center"/>
      <protection locked="0"/>
    </xf>
    <xf numFmtId="0" fontId="0" fillId="7" borderId="48" xfId="0" applyFill="1" applyBorder="1" applyAlignment="1" applyProtection="1">
      <alignment horizontal="center" vertical="center"/>
      <protection locked="0"/>
    </xf>
    <xf numFmtId="0" fontId="0" fillId="3" borderId="99" xfId="0" applyFill="1" applyBorder="1" applyAlignment="1" applyProtection="1">
      <alignment vertical="center"/>
      <protection locked="0"/>
    </xf>
    <xf numFmtId="164" fontId="0" fillId="7" borderId="55" xfId="0" applyNumberFormat="1" applyFill="1" applyBorder="1" applyAlignment="1" applyProtection="1">
      <alignment vertical="center"/>
      <protection locked="0"/>
    </xf>
    <xf numFmtId="0" fontId="0" fillId="7" borderId="55" xfId="0" applyFill="1" applyBorder="1" applyAlignment="1" applyProtection="1">
      <alignment horizontal="center" vertical="center"/>
      <protection locked="0"/>
    </xf>
    <xf numFmtId="0" fontId="0" fillId="7" borderId="56" xfId="0" applyFill="1" applyBorder="1" applyAlignment="1" applyProtection="1">
      <alignment horizontal="center" vertical="center"/>
      <protection locked="0"/>
    </xf>
    <xf numFmtId="0" fontId="0" fillId="3" borderId="107" xfId="0" applyFill="1" applyBorder="1" applyAlignment="1" applyProtection="1">
      <alignment vertical="center"/>
      <protection locked="0"/>
    </xf>
    <xf numFmtId="164" fontId="0" fillId="7" borderId="76" xfId="0" applyNumberFormat="1" applyFill="1" applyBorder="1" applyAlignment="1" applyProtection="1">
      <alignment vertical="center"/>
      <protection locked="0"/>
    </xf>
    <xf numFmtId="0" fontId="0" fillId="7" borderId="119" xfId="0" applyFill="1" applyBorder="1" applyAlignment="1" applyProtection="1">
      <alignment horizontal="center" vertical="center"/>
      <protection locked="0"/>
    </xf>
    <xf numFmtId="0" fontId="0" fillId="7" borderId="118" xfId="0" applyFill="1" applyBorder="1" applyAlignment="1" applyProtection="1">
      <alignment horizontal="center" vertical="center"/>
      <protection locked="0"/>
    </xf>
    <xf numFmtId="164" fontId="0" fillId="7" borderId="41" xfId="0" applyNumberFormat="1" applyFill="1" applyBorder="1" applyAlignment="1" applyProtection="1">
      <alignment horizontal="right" vertical="center"/>
      <protection locked="0"/>
    </xf>
    <xf numFmtId="164" fontId="0" fillId="7" borderId="22" xfId="0" applyNumberFormat="1" applyFill="1" applyBorder="1" applyAlignment="1" applyProtection="1">
      <alignment horizontal="right" vertical="center"/>
      <protection locked="0"/>
    </xf>
    <xf numFmtId="164" fontId="0" fillId="7" borderId="55" xfId="0" applyNumberFormat="1" applyFill="1" applyBorder="1" applyAlignment="1" applyProtection="1">
      <alignment horizontal="right" vertical="center"/>
      <protection locked="0"/>
    </xf>
    <xf numFmtId="164" fontId="0" fillId="7" borderId="124" xfId="0" applyNumberFormat="1" applyFill="1" applyBorder="1" applyAlignment="1" applyProtection="1">
      <alignment vertical="center"/>
      <protection locked="0"/>
    </xf>
    <xf numFmtId="164" fontId="0" fillId="0" borderId="124" xfId="0" applyNumberFormat="1" applyBorder="1" applyAlignment="1" applyProtection="1">
      <alignment vertical="center"/>
    </xf>
    <xf numFmtId="164" fontId="0" fillId="0" borderId="124" xfId="0" applyNumberFormat="1" applyFill="1" applyBorder="1" applyAlignment="1" applyProtection="1">
      <alignment vertical="center"/>
    </xf>
    <xf numFmtId="0" fontId="0" fillId="0" borderId="24" xfId="0" applyBorder="1" applyAlignment="1" applyProtection="1">
      <alignment horizontal="center" vertical="center" wrapText="1"/>
    </xf>
    <xf numFmtId="0" fontId="0" fillId="0" borderId="41" xfId="0" applyFill="1" applyBorder="1" applyAlignment="1" applyProtection="1">
      <alignment horizontal="center" vertical="center"/>
    </xf>
    <xf numFmtId="0" fontId="0" fillId="0" borderId="42" xfId="0" applyFill="1" applyBorder="1" applyAlignment="1" applyProtection="1">
      <alignment horizontal="center" vertical="center"/>
    </xf>
    <xf numFmtId="0" fontId="0" fillId="0" borderId="22" xfId="0" applyFill="1" applyBorder="1" applyAlignment="1" applyProtection="1">
      <alignment horizontal="center" vertical="center"/>
    </xf>
    <xf numFmtId="0" fontId="0" fillId="0" borderId="119" xfId="0" applyFill="1" applyBorder="1" applyAlignment="1" applyProtection="1">
      <alignment horizontal="center" vertical="center"/>
    </xf>
    <xf numFmtId="0" fontId="0" fillId="0" borderId="118" xfId="0" applyFill="1" applyBorder="1" applyAlignment="1" applyProtection="1">
      <alignment horizontal="center" vertical="center"/>
    </xf>
    <xf numFmtId="0" fontId="0" fillId="0" borderId="108" xfId="0" applyFill="1" applyBorder="1" applyAlignment="1" applyProtection="1">
      <alignment vertical="center"/>
    </xf>
    <xf numFmtId="0" fontId="0" fillId="0" borderId="21" xfId="0" applyFill="1" applyBorder="1" applyAlignment="1" applyProtection="1">
      <alignment vertical="center"/>
    </xf>
    <xf numFmtId="0" fontId="0" fillId="0" borderId="107" xfId="0" applyFill="1" applyBorder="1" applyAlignment="1" applyProtection="1">
      <alignment vertical="center"/>
    </xf>
    <xf numFmtId="164" fontId="0" fillId="0" borderId="76" xfId="0" applyNumberFormat="1" applyFill="1" applyBorder="1" applyAlignment="1" applyProtection="1">
      <alignment vertical="center"/>
    </xf>
    <xf numFmtId="0" fontId="0" fillId="0" borderId="123" xfId="0" applyFill="1" applyBorder="1" applyAlignment="1" applyProtection="1">
      <alignment vertical="center"/>
    </xf>
    <xf numFmtId="0" fontId="0" fillId="0" borderId="124" xfId="0" applyFill="1" applyBorder="1" applyAlignment="1" applyProtection="1">
      <alignment horizontal="center" vertical="center"/>
    </xf>
    <xf numFmtId="0" fontId="0" fillId="0" borderId="125" xfId="0" applyFill="1" applyBorder="1" applyAlignment="1" applyProtection="1">
      <alignment horizontal="center" vertical="center"/>
    </xf>
    <xf numFmtId="0" fontId="7" fillId="2" borderId="9" xfId="0" applyFont="1" applyFill="1" applyBorder="1" applyAlignment="1" applyProtection="1">
      <alignment vertical="center"/>
    </xf>
    <xf numFmtId="0" fontId="0" fillId="3" borderId="151" xfId="0" applyFill="1" applyBorder="1" applyAlignment="1" applyProtection="1">
      <alignment vertical="center"/>
      <protection locked="0"/>
    </xf>
    <xf numFmtId="0" fontId="0" fillId="7" borderId="132" xfId="0" applyFill="1" applyBorder="1" applyAlignment="1" applyProtection="1">
      <alignment vertical="center"/>
      <protection locked="0"/>
    </xf>
    <xf numFmtId="0" fontId="0" fillId="7" borderId="133" xfId="0" applyFill="1" applyBorder="1" applyAlignment="1" applyProtection="1">
      <alignment vertical="center"/>
      <protection locked="0"/>
    </xf>
    <xf numFmtId="164" fontId="0" fillId="0" borderId="135" xfId="0" applyNumberFormat="1" applyBorder="1" applyAlignment="1" applyProtection="1">
      <alignment vertical="center"/>
    </xf>
    <xf numFmtId="164" fontId="0" fillId="0" borderId="132" xfId="0" applyNumberFormat="1" applyBorder="1" applyAlignment="1" applyProtection="1">
      <alignment vertical="center"/>
    </xf>
    <xf numFmtId="164" fontId="0" fillId="0" borderId="136" xfId="0" applyNumberFormat="1" applyFill="1" applyBorder="1" applyAlignment="1" applyProtection="1">
      <alignment vertical="center"/>
    </xf>
    <xf numFmtId="164" fontId="0" fillId="0" borderId="137" xfId="0" applyNumberFormat="1" applyFill="1" applyBorder="1" applyAlignment="1" applyProtection="1">
      <alignment vertical="center"/>
    </xf>
    <xf numFmtId="164" fontId="0" fillId="0" borderId="132" xfId="0" applyNumberFormat="1" applyFill="1" applyBorder="1" applyAlignment="1" applyProtection="1">
      <alignment vertical="center"/>
    </xf>
    <xf numFmtId="164" fontId="0" fillId="0" borderId="152" xfId="0" applyNumberFormat="1" applyFill="1" applyBorder="1" applyAlignment="1" applyProtection="1">
      <alignment vertical="center"/>
    </xf>
    <xf numFmtId="164" fontId="0" fillId="0" borderId="138" xfId="0" applyNumberFormat="1" applyBorder="1" applyAlignment="1" applyProtection="1">
      <alignment vertical="center"/>
    </xf>
    <xf numFmtId="164" fontId="0" fillId="0" borderId="139" xfId="0" applyNumberFormat="1" applyBorder="1" applyAlignment="1" applyProtection="1">
      <alignment vertical="center"/>
    </xf>
    <xf numFmtId="0" fontId="2" fillId="2" borderId="9" xfId="0" applyFont="1" applyFill="1" applyBorder="1" applyAlignment="1" applyProtection="1">
      <alignment vertical="center"/>
    </xf>
    <xf numFmtId="164" fontId="0" fillId="7" borderId="25" xfId="0" applyNumberFormat="1" applyFill="1" applyBorder="1" applyAlignment="1" applyProtection="1">
      <alignment vertical="center"/>
      <protection locked="0"/>
    </xf>
    <xf numFmtId="164" fontId="0" fillId="7" borderId="168" xfId="0" applyNumberFormat="1" applyFill="1" applyBorder="1" applyAlignment="1" applyProtection="1">
      <alignment vertical="center"/>
      <protection locked="0"/>
    </xf>
    <xf numFmtId="164" fontId="0" fillId="7" borderId="132" xfId="0" applyNumberFormat="1" applyFill="1" applyBorder="1" applyAlignment="1" applyProtection="1">
      <alignment vertical="center"/>
      <protection locked="0"/>
    </xf>
    <xf numFmtId="164" fontId="0" fillId="7" borderId="73" xfId="0" applyNumberFormat="1" applyFill="1" applyBorder="1" applyAlignment="1" applyProtection="1">
      <alignment vertical="center"/>
      <protection locked="0"/>
    </xf>
    <xf numFmtId="164" fontId="0" fillId="7" borderId="13" xfId="0" applyNumberFormat="1" applyFill="1" applyBorder="1" applyAlignment="1" applyProtection="1">
      <alignment vertical="center"/>
      <protection locked="0"/>
    </xf>
    <xf numFmtId="164" fontId="0" fillId="7" borderId="152" xfId="0" applyNumberFormat="1" applyFill="1" applyBorder="1" applyAlignment="1" applyProtection="1">
      <alignment vertical="center"/>
      <protection locked="0"/>
    </xf>
    <xf numFmtId="164" fontId="0" fillId="7" borderId="161" xfId="0" applyNumberFormat="1" applyFill="1" applyBorder="1" applyAlignment="1" applyProtection="1">
      <alignment vertical="center"/>
      <protection locked="0"/>
    </xf>
    <xf numFmtId="164" fontId="0" fillId="7" borderId="46" xfId="0" applyNumberFormat="1" applyFill="1" applyBorder="1" applyAlignment="1" applyProtection="1">
      <alignment vertical="center"/>
      <protection locked="0"/>
    </xf>
    <xf numFmtId="164" fontId="0" fillId="7" borderId="47" xfId="0" applyNumberFormat="1" applyFill="1" applyBorder="1" applyAlignment="1" applyProtection="1">
      <alignment vertical="center"/>
      <protection locked="0"/>
    </xf>
    <xf numFmtId="164" fontId="0" fillId="7" borderId="45" xfId="0" applyNumberFormat="1" applyFill="1" applyBorder="1" applyAlignment="1" applyProtection="1">
      <alignment vertical="center"/>
      <protection locked="0"/>
    </xf>
    <xf numFmtId="164" fontId="0" fillId="7" borderId="43" xfId="0" applyNumberFormat="1" applyFill="1" applyBorder="1" applyAlignment="1" applyProtection="1">
      <alignment vertical="center"/>
      <protection locked="0"/>
    </xf>
    <xf numFmtId="9" fontId="0" fillId="7" borderId="147" xfId="0" applyNumberFormat="1" applyFill="1" applyBorder="1" applyAlignment="1" applyProtection="1">
      <alignment vertical="center"/>
      <protection locked="0"/>
    </xf>
    <xf numFmtId="9" fontId="0" fillId="7" borderId="23" xfId="0" applyNumberFormat="1" applyFill="1" applyBorder="1" applyAlignment="1" applyProtection="1">
      <alignment vertical="center"/>
      <protection locked="0"/>
    </xf>
    <xf numFmtId="9" fontId="0" fillId="7" borderId="149" xfId="0" applyNumberFormat="1" applyFill="1" applyBorder="1" applyAlignment="1" applyProtection="1">
      <alignment vertical="center"/>
      <protection locked="0"/>
    </xf>
    <xf numFmtId="9" fontId="0" fillId="7" borderId="98" xfId="0" applyNumberFormat="1" applyFill="1" applyBorder="1" applyAlignment="1" applyProtection="1">
      <alignment vertical="center"/>
      <protection locked="0"/>
    </xf>
    <xf numFmtId="164" fontId="0" fillId="7" borderId="171" xfId="0" applyNumberFormat="1" applyFill="1" applyBorder="1" applyAlignment="1" applyProtection="1">
      <alignment vertical="center"/>
      <protection locked="0"/>
    </xf>
    <xf numFmtId="164" fontId="0" fillId="7" borderId="172" xfId="0" applyNumberFormat="1" applyFill="1" applyBorder="1" applyAlignment="1" applyProtection="1">
      <alignment vertical="center"/>
      <protection locked="0"/>
    </xf>
    <xf numFmtId="164" fontId="0" fillId="7" borderId="173" xfId="0" applyNumberFormat="1" applyFill="1" applyBorder="1" applyAlignment="1" applyProtection="1">
      <alignment vertical="center"/>
      <protection locked="0"/>
    </xf>
    <xf numFmtId="9" fontId="0" fillId="0" borderId="5" xfId="0" applyNumberFormat="1" applyFill="1" applyBorder="1" applyAlignment="1" applyProtection="1">
      <alignment vertical="center"/>
    </xf>
    <xf numFmtId="9" fontId="0" fillId="0" borderId="7" xfId="0" applyNumberFormat="1" applyFill="1" applyBorder="1" applyAlignment="1" applyProtection="1">
      <alignment vertical="center"/>
    </xf>
    <xf numFmtId="0" fontId="0" fillId="0" borderId="10" xfId="0" quotePrefix="1" applyBorder="1" applyAlignment="1" applyProtection="1">
      <alignment horizontal="right" vertical="center"/>
    </xf>
    <xf numFmtId="0" fontId="0" fillId="0" borderId="151" xfId="0" quotePrefix="1" applyBorder="1" applyAlignment="1" applyProtection="1">
      <alignment horizontal="right" vertical="center"/>
    </xf>
    <xf numFmtId="164" fontId="0" fillId="0" borderId="173" xfId="0" applyNumberFormat="1" applyBorder="1" applyAlignment="1" applyProtection="1">
      <alignment vertical="center"/>
    </xf>
    <xf numFmtId="164" fontId="0" fillId="0" borderId="137" xfId="0" applyNumberFormat="1" applyBorder="1" applyAlignment="1" applyProtection="1">
      <alignment vertical="center"/>
    </xf>
    <xf numFmtId="0" fontId="0" fillId="0" borderId="5" xfId="0" applyFill="1" applyBorder="1" applyAlignment="1" applyProtection="1"/>
    <xf numFmtId="0" fontId="0" fillId="0" borderId="0" xfId="0" applyFill="1" applyBorder="1" applyAlignment="1" applyProtection="1"/>
    <xf numFmtId="0" fontId="0" fillId="0" borderId="153" xfId="0" applyFill="1" applyBorder="1" applyAlignment="1" applyProtection="1"/>
    <xf numFmtId="0" fontId="0" fillId="0" borderId="78" xfId="0" applyFill="1" applyBorder="1" applyAlignment="1" applyProtection="1"/>
    <xf numFmtId="0" fontId="0" fillId="0" borderId="76" xfId="0" applyFill="1" applyBorder="1" applyAlignment="1" applyProtection="1"/>
    <xf numFmtId="0" fontId="0" fillId="0" borderId="79" xfId="0" applyFill="1" applyBorder="1" applyAlignment="1" applyProtection="1"/>
    <xf numFmtId="0" fontId="0" fillId="0" borderId="83" xfId="0" applyFill="1" applyBorder="1" applyAlignment="1" applyProtection="1"/>
    <xf numFmtId="0" fontId="0" fillId="0" borderId="166" xfId="0" applyFill="1" applyBorder="1" applyAlignment="1" applyProtection="1"/>
    <xf numFmtId="0" fontId="0" fillId="0" borderId="82" xfId="0" applyFill="1" applyBorder="1" applyAlignment="1" applyProtection="1"/>
    <xf numFmtId="0" fontId="0" fillId="0" borderId="84" xfId="0" applyFill="1" applyBorder="1" applyAlignment="1" applyProtection="1"/>
    <xf numFmtId="0" fontId="0" fillId="0" borderId="0" xfId="0" applyProtection="1"/>
    <xf numFmtId="8" fontId="0" fillId="9" borderId="33" xfId="0" applyNumberFormat="1" applyFill="1" applyBorder="1" applyAlignment="1" applyProtection="1">
      <alignment vertical="center"/>
    </xf>
    <xf numFmtId="8" fontId="0" fillId="9" borderId="16" xfId="0" applyNumberFormat="1" applyFill="1" applyBorder="1" applyAlignment="1" applyProtection="1">
      <alignment vertical="center"/>
    </xf>
    <xf numFmtId="8" fontId="0" fillId="9" borderId="67" xfId="0" applyNumberFormat="1" applyFill="1" applyBorder="1" applyAlignment="1" applyProtection="1">
      <alignment vertical="center"/>
    </xf>
    <xf numFmtId="8" fontId="6" fillId="9" borderId="36" xfId="0" applyNumberFormat="1" applyFont="1" applyFill="1" applyBorder="1" applyAlignment="1" applyProtection="1">
      <alignment vertical="center"/>
    </xf>
    <xf numFmtId="8" fontId="0" fillId="9" borderId="24" xfId="0" applyNumberFormat="1" applyFill="1" applyBorder="1" applyAlignment="1" applyProtection="1">
      <alignment vertical="center"/>
    </xf>
    <xf numFmtId="8" fontId="6" fillId="9" borderId="38" xfId="0" applyNumberFormat="1" applyFont="1" applyFill="1" applyBorder="1" applyAlignment="1" applyProtection="1">
      <alignment vertical="center"/>
    </xf>
    <xf numFmtId="8" fontId="6" fillId="9" borderId="37" xfId="0" applyNumberFormat="1" applyFont="1" applyFill="1" applyBorder="1" applyAlignment="1" applyProtection="1">
      <alignment vertical="center"/>
    </xf>
    <xf numFmtId="164" fontId="0" fillId="0" borderId="26" xfId="0" applyNumberFormat="1" applyBorder="1" applyAlignment="1" applyProtection="1">
      <alignment vertical="center"/>
    </xf>
    <xf numFmtId="164" fontId="0" fillId="0" borderId="171" xfId="0" applyNumberFormat="1" applyBorder="1" applyAlignment="1" applyProtection="1">
      <alignment vertical="center"/>
    </xf>
    <xf numFmtId="164" fontId="0" fillId="0" borderId="72" xfId="0" applyNumberFormat="1" applyBorder="1" applyAlignment="1" applyProtection="1">
      <alignment vertical="center"/>
    </xf>
    <xf numFmtId="164" fontId="0" fillId="0" borderId="163" xfId="0" applyNumberFormat="1" applyBorder="1" applyAlignment="1" applyProtection="1">
      <alignment vertical="center"/>
    </xf>
    <xf numFmtId="0" fontId="0" fillId="0" borderId="11" xfId="0" quotePrefix="1" applyBorder="1" applyAlignment="1" applyProtection="1">
      <alignment horizontal="right" vertical="center"/>
    </xf>
    <xf numFmtId="164" fontId="0" fillId="0" borderId="25" xfId="0" applyNumberFormat="1" applyBorder="1" applyAlignment="1" applyProtection="1">
      <alignment vertical="center"/>
    </xf>
    <xf numFmtId="164" fontId="0" fillId="0" borderId="172" xfId="0" applyNumberFormat="1" applyBorder="1" applyAlignment="1" applyProtection="1">
      <alignment vertical="center"/>
    </xf>
    <xf numFmtId="164" fontId="0" fillId="0" borderId="73" xfId="0" applyNumberFormat="1" applyBorder="1" applyAlignment="1" applyProtection="1">
      <alignment vertical="center"/>
    </xf>
    <xf numFmtId="164" fontId="0" fillId="0" borderId="13" xfId="0" applyNumberFormat="1" applyBorder="1" applyAlignment="1" applyProtection="1">
      <alignment vertical="center"/>
    </xf>
    <xf numFmtId="0" fontId="0" fillId="0" borderId="140" xfId="0" applyFill="1" applyBorder="1" applyAlignment="1" applyProtection="1"/>
    <xf numFmtId="0" fontId="0" fillId="0" borderId="124" xfId="0" applyFill="1" applyBorder="1" applyAlignment="1" applyProtection="1"/>
    <xf numFmtId="0" fontId="0" fillId="0" borderId="174" xfId="0" applyFill="1" applyBorder="1" applyAlignment="1" applyProtection="1"/>
    <xf numFmtId="0" fontId="0" fillId="0" borderId="129" xfId="0" applyFill="1" applyBorder="1" applyAlignment="1" applyProtection="1"/>
    <xf numFmtId="0" fontId="0" fillId="0" borderId="104" xfId="0" applyFill="1" applyBorder="1" applyAlignment="1" applyProtection="1"/>
    <xf numFmtId="0" fontId="0" fillId="0" borderId="6" xfId="0" applyFill="1" applyBorder="1" applyAlignment="1" applyProtection="1"/>
    <xf numFmtId="0" fontId="0" fillId="0" borderId="0" xfId="0" applyFill="1" applyProtection="1"/>
    <xf numFmtId="8" fontId="6" fillId="9" borderId="96" xfId="0" applyNumberFormat="1" applyFont="1" applyFill="1" applyBorder="1" applyAlignment="1" applyProtection="1">
      <alignment vertical="center"/>
    </xf>
    <xf numFmtId="164" fontId="0" fillId="0" borderId="168" xfId="0" applyNumberFormat="1" applyBorder="1" applyAlignment="1" applyProtection="1">
      <alignment vertical="center"/>
    </xf>
    <xf numFmtId="164" fontId="0" fillId="0" borderId="152" xfId="0" applyNumberFormat="1" applyBorder="1" applyAlignment="1" applyProtection="1">
      <alignment vertical="center"/>
    </xf>
    <xf numFmtId="164" fontId="0" fillId="0" borderId="161" xfId="0" applyNumberFormat="1" applyBorder="1" applyAlignment="1" applyProtection="1">
      <alignment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3" xfId="0" applyFill="1" applyBorder="1" applyAlignment="1" applyProtection="1">
      <alignment horizontal="left" vertical="center"/>
    </xf>
    <xf numFmtId="164" fontId="0" fillId="0" borderId="140" xfId="0" applyNumberFormat="1" applyFill="1" applyBorder="1" applyAlignment="1" applyProtection="1">
      <alignment vertical="center"/>
    </xf>
    <xf numFmtId="164" fontId="0" fillId="0" borderId="174" xfId="0" applyNumberFormat="1" applyFill="1" applyBorder="1" applyAlignment="1" applyProtection="1">
      <alignment vertical="center"/>
    </xf>
    <xf numFmtId="164" fontId="6" fillId="0" borderId="129" xfId="0" applyNumberFormat="1" applyFont="1" applyFill="1" applyBorder="1" applyAlignment="1" applyProtection="1">
      <alignment vertical="center"/>
    </xf>
    <xf numFmtId="164" fontId="6" fillId="0" borderId="104" xfId="0" applyNumberFormat="1" applyFont="1" applyFill="1" applyBorder="1" applyAlignment="1" applyProtection="1">
      <alignment vertical="center"/>
    </xf>
    <xf numFmtId="164" fontId="6" fillId="0" borderId="6" xfId="0" applyNumberFormat="1" applyFont="1" applyFill="1" applyBorder="1" applyAlignment="1" applyProtection="1">
      <alignment vertical="center"/>
    </xf>
    <xf numFmtId="0" fontId="0" fillId="0" borderId="181" xfId="0" quotePrefix="1" applyBorder="1" applyAlignment="1" applyProtection="1">
      <alignment horizontal="right" vertical="center"/>
    </xf>
    <xf numFmtId="164" fontId="0" fillId="0" borderId="184" xfId="0" applyNumberFormat="1" applyBorder="1" applyAlignment="1" applyProtection="1">
      <alignment vertical="center"/>
    </xf>
    <xf numFmtId="164" fontId="0" fillId="0" borderId="182" xfId="0" applyNumberFormat="1" applyBorder="1" applyAlignment="1" applyProtection="1">
      <alignment vertical="center"/>
    </xf>
    <xf numFmtId="164" fontId="0" fillId="0" borderId="162" xfId="0" applyNumberFormat="1" applyBorder="1" applyAlignment="1" applyProtection="1">
      <alignment vertical="center"/>
    </xf>
    <xf numFmtId="164" fontId="0" fillId="0" borderId="165" xfId="0" applyNumberFormat="1" applyBorder="1" applyAlignment="1" applyProtection="1">
      <alignment vertical="center"/>
    </xf>
    <xf numFmtId="164" fontId="0" fillId="0" borderId="185" xfId="0" applyNumberFormat="1" applyBorder="1" applyAlignment="1" applyProtection="1">
      <alignment vertical="center"/>
    </xf>
    <xf numFmtId="0" fontId="0" fillId="0" borderId="7" xfId="0" applyBorder="1" applyProtection="1"/>
    <xf numFmtId="0" fontId="0" fillId="0" borderId="8" xfId="0" applyBorder="1" applyProtection="1"/>
    <xf numFmtId="0" fontId="0" fillId="0" borderId="156" xfId="0" applyBorder="1" applyProtection="1"/>
    <xf numFmtId="0" fontId="0" fillId="0" borderId="176" xfId="0" applyBorder="1" applyProtection="1"/>
    <xf numFmtId="0" fontId="0" fillId="0" borderId="169" xfId="0" applyBorder="1" applyProtection="1"/>
    <xf numFmtId="0" fontId="0" fillId="0" borderId="175" xfId="0" applyBorder="1" applyProtection="1"/>
    <xf numFmtId="0" fontId="0" fillId="0" borderId="190" xfId="0" applyBorder="1" applyProtection="1"/>
    <xf numFmtId="0" fontId="0" fillId="0" borderId="186" xfId="0" applyBorder="1" applyProtection="1"/>
    <xf numFmtId="0" fontId="0" fillId="0" borderId="119" xfId="0" applyBorder="1" applyProtection="1"/>
    <xf numFmtId="0" fontId="0" fillId="0" borderId="189" xfId="0" applyBorder="1" applyProtection="1"/>
    <xf numFmtId="0" fontId="0" fillId="0" borderId="191" xfId="0" applyBorder="1" applyProtection="1"/>
    <xf numFmtId="0" fontId="0" fillId="0" borderId="167" xfId="0" applyBorder="1" applyProtection="1"/>
    <xf numFmtId="0" fontId="0" fillId="0" borderId="187" xfId="0" applyBorder="1" applyProtection="1"/>
    <xf numFmtId="8" fontId="12" fillId="5" borderId="179" xfId="0" applyNumberFormat="1" applyFont="1" applyFill="1" applyBorder="1" applyAlignment="1" applyProtection="1">
      <alignment vertical="center"/>
    </xf>
    <xf numFmtId="8" fontId="12" fillId="5" borderId="62" xfId="0" applyNumberFormat="1" applyFont="1" applyFill="1" applyBorder="1" applyAlignment="1" applyProtection="1">
      <alignment vertical="center"/>
    </xf>
    <xf numFmtId="8" fontId="12" fillId="5" borderId="188" xfId="0" applyNumberFormat="1" applyFont="1" applyFill="1" applyBorder="1" applyAlignment="1" applyProtection="1">
      <alignment vertical="center"/>
    </xf>
    <xf numFmtId="8" fontId="2" fillId="5" borderId="64" xfId="0" applyNumberFormat="1" applyFont="1" applyFill="1" applyBorder="1" applyAlignment="1" applyProtection="1">
      <alignment vertical="center"/>
    </xf>
    <xf numFmtId="8" fontId="2" fillId="5" borderId="180" xfId="0" applyNumberFormat="1" applyFont="1" applyFill="1" applyBorder="1" applyAlignment="1" applyProtection="1">
      <alignment vertical="center"/>
    </xf>
    <xf numFmtId="8" fontId="2" fillId="5" borderId="4" xfId="0" applyNumberFormat="1" applyFont="1" applyFill="1" applyBorder="1" applyAlignment="1" applyProtection="1">
      <alignment vertical="center"/>
    </xf>
    <xf numFmtId="164" fontId="0" fillId="0" borderId="194" xfId="0" applyNumberFormat="1" applyBorder="1" applyAlignment="1" applyProtection="1">
      <alignment vertical="center"/>
    </xf>
    <xf numFmtId="164" fontId="0" fillId="0" borderId="193" xfId="0" applyNumberFormat="1" applyBorder="1" applyAlignment="1" applyProtection="1">
      <alignment vertical="center"/>
    </xf>
    <xf numFmtId="164" fontId="0" fillId="0" borderId="195" xfId="0" applyNumberFormat="1" applyBorder="1" applyAlignment="1" applyProtection="1">
      <alignment vertical="center"/>
    </xf>
    <xf numFmtId="164" fontId="0" fillId="0" borderId="196" xfId="0" applyNumberFormat="1" applyBorder="1" applyAlignment="1" applyProtection="1">
      <alignment vertical="center"/>
    </xf>
    <xf numFmtId="164" fontId="0" fillId="0" borderId="177" xfId="0" applyNumberFormat="1" applyBorder="1" applyAlignment="1" applyProtection="1">
      <alignment vertical="center"/>
    </xf>
    <xf numFmtId="164" fontId="0" fillId="0" borderId="12" xfId="0" applyNumberFormat="1" applyBorder="1" applyAlignment="1" applyProtection="1">
      <alignment vertical="center"/>
    </xf>
    <xf numFmtId="164" fontId="0" fillId="0" borderId="197" xfId="0" applyNumberFormat="1" applyBorder="1" applyAlignment="1" applyProtection="1">
      <alignment vertical="center"/>
    </xf>
    <xf numFmtId="164" fontId="0" fillId="0" borderId="200" xfId="0" applyNumberFormat="1" applyBorder="1" applyAlignment="1" applyProtection="1">
      <alignment vertical="center"/>
    </xf>
    <xf numFmtId="164" fontId="0" fillId="0" borderId="100" xfId="0" applyNumberFormat="1" applyBorder="1" applyAlignment="1" applyProtection="1">
      <alignment vertical="center"/>
    </xf>
    <xf numFmtId="164" fontId="0" fillId="0" borderId="102" xfId="0" applyNumberFormat="1" applyBorder="1" applyAlignment="1" applyProtection="1">
      <alignment vertical="center"/>
    </xf>
    <xf numFmtId="164" fontId="0" fillId="0" borderId="203" xfId="0" applyNumberFormat="1" applyBorder="1" applyAlignment="1" applyProtection="1">
      <alignment vertical="center"/>
    </xf>
    <xf numFmtId="164" fontId="0" fillId="0" borderId="1" xfId="0" applyNumberFormat="1" applyBorder="1" applyAlignment="1" applyProtection="1">
      <alignment vertical="center"/>
    </xf>
    <xf numFmtId="164" fontId="0" fillId="0" borderId="105" xfId="0" applyNumberFormat="1" applyBorder="1" applyAlignment="1" applyProtection="1">
      <alignment vertical="center"/>
    </xf>
    <xf numFmtId="164" fontId="0" fillId="0" borderId="150" xfId="0" applyNumberFormat="1" applyBorder="1" applyAlignment="1" applyProtection="1">
      <alignment vertical="center"/>
    </xf>
    <xf numFmtId="164" fontId="6" fillId="5" borderId="170" xfId="0" applyNumberFormat="1" applyFont="1" applyFill="1" applyBorder="1" applyAlignment="1" applyProtection="1">
      <alignment vertical="center"/>
    </xf>
    <xf numFmtId="164" fontId="6" fillId="0" borderId="201" xfId="0" applyNumberFormat="1" applyFont="1" applyBorder="1" applyAlignment="1" applyProtection="1">
      <alignment vertical="center"/>
    </xf>
    <xf numFmtId="164" fontId="6" fillId="5" borderId="202" xfId="0" applyNumberFormat="1" applyFont="1" applyFill="1" applyBorder="1" applyAlignment="1" applyProtection="1">
      <alignment vertical="center"/>
    </xf>
    <xf numFmtId="164" fontId="6" fillId="5" borderId="187" xfId="0" applyNumberFormat="1" applyFont="1" applyFill="1" applyBorder="1" applyAlignment="1" applyProtection="1">
      <alignment vertical="center"/>
    </xf>
    <xf numFmtId="164" fontId="0" fillId="0" borderId="41" xfId="0" applyNumberFormat="1" applyFill="1" applyBorder="1" applyAlignment="1" applyProtection="1">
      <alignment horizontal="right" vertical="center"/>
    </xf>
    <xf numFmtId="164" fontId="0" fillId="0" borderId="22" xfId="0" applyNumberFormat="1" applyFill="1" applyBorder="1" applyAlignment="1" applyProtection="1">
      <alignment horizontal="right" vertical="center"/>
    </xf>
    <xf numFmtId="0" fontId="0" fillId="0" borderId="48" xfId="0" applyFill="1" applyBorder="1" applyAlignment="1" applyProtection="1">
      <alignment horizontal="center" vertical="center"/>
    </xf>
    <xf numFmtId="0" fontId="0" fillId="0" borderId="54" xfId="0" applyFill="1" applyBorder="1" applyAlignment="1" applyProtection="1">
      <alignment vertical="center"/>
    </xf>
    <xf numFmtId="164" fontId="0" fillId="0" borderId="55" xfId="0" applyNumberFormat="1" applyFill="1" applyBorder="1" applyAlignment="1" applyProtection="1">
      <alignment horizontal="right" vertical="center"/>
    </xf>
    <xf numFmtId="0" fontId="0" fillId="0" borderId="55" xfId="0" applyFill="1" applyBorder="1" applyAlignment="1" applyProtection="1">
      <alignment horizontal="center" vertical="center"/>
    </xf>
    <xf numFmtId="0" fontId="0" fillId="0" borderId="56" xfId="0" applyFill="1" applyBorder="1" applyAlignment="1" applyProtection="1">
      <alignment horizontal="center" vertical="center"/>
    </xf>
    <xf numFmtId="0" fontId="0" fillId="0" borderId="75" xfId="0" applyFill="1" applyBorder="1" applyAlignment="1" applyProtection="1">
      <alignment vertical="center"/>
    </xf>
    <xf numFmtId="0" fontId="0" fillId="0" borderId="76" xfId="0" applyFill="1" applyBorder="1" applyAlignment="1" applyProtection="1">
      <alignment vertical="center"/>
    </xf>
    <xf numFmtId="0" fontId="0" fillId="0" borderId="77" xfId="0" applyFill="1" applyBorder="1" applyAlignment="1" applyProtection="1">
      <alignment vertical="center"/>
    </xf>
    <xf numFmtId="0" fontId="0" fillId="0" borderId="33" xfId="0" applyFont="1" applyBorder="1" applyAlignment="1" applyProtection="1">
      <alignment horizontal="center" vertical="center"/>
    </xf>
    <xf numFmtId="0" fontId="0" fillId="0" borderId="34" xfId="0" applyFont="1" applyBorder="1" applyAlignment="1" applyProtection="1">
      <alignment horizontal="center" vertical="center"/>
    </xf>
    <xf numFmtId="0" fontId="0" fillId="0" borderId="35" xfId="0" applyFont="1" applyBorder="1" applyAlignment="1" applyProtection="1">
      <alignment horizontal="center" vertical="center" wrapText="1"/>
    </xf>
    <xf numFmtId="164" fontId="2" fillId="6" borderId="180" xfId="0" applyNumberFormat="1" applyFont="1" applyFill="1" applyBorder="1" applyAlignment="1" applyProtection="1">
      <alignment vertical="center"/>
    </xf>
    <xf numFmtId="164" fontId="0" fillId="0" borderId="206" xfId="0" applyNumberFormat="1" applyBorder="1" applyAlignment="1" applyProtection="1">
      <alignment vertical="center"/>
    </xf>
    <xf numFmtId="164" fontId="0" fillId="0" borderId="207" xfId="0" applyNumberFormat="1" applyBorder="1" applyAlignment="1" applyProtection="1">
      <alignment vertical="center"/>
    </xf>
    <xf numFmtId="164" fontId="0" fillId="0" borderId="210" xfId="0" applyNumberFormat="1" applyBorder="1" applyAlignment="1" applyProtection="1">
      <alignment vertical="center"/>
    </xf>
    <xf numFmtId="164" fontId="7" fillId="5" borderId="208" xfId="0" applyNumberFormat="1" applyFont="1" applyFill="1" applyBorder="1" applyAlignment="1" applyProtection="1">
      <alignment vertical="center"/>
    </xf>
    <xf numFmtId="164" fontId="2" fillId="6" borderId="209" xfId="0" applyNumberFormat="1" applyFont="1" applyFill="1" applyBorder="1" applyAlignment="1" applyProtection="1">
      <alignment vertical="center"/>
    </xf>
    <xf numFmtId="0" fontId="0" fillId="0" borderId="38" xfId="0" applyFont="1" applyBorder="1" applyAlignment="1" applyProtection="1">
      <alignment horizontal="center" vertical="center"/>
    </xf>
    <xf numFmtId="164" fontId="0" fillId="0" borderId="44" xfId="0" applyNumberFormat="1" applyBorder="1" applyAlignment="1" applyProtection="1">
      <alignment vertical="center"/>
    </xf>
    <xf numFmtId="164" fontId="0" fillId="0" borderId="58" xfId="0" applyNumberFormat="1" applyBorder="1" applyAlignment="1" applyProtection="1">
      <alignment vertical="center"/>
    </xf>
    <xf numFmtId="164" fontId="0" fillId="0" borderId="211" xfId="0" applyNumberFormat="1" applyBorder="1" applyAlignment="1" applyProtection="1">
      <alignment vertical="center"/>
    </xf>
    <xf numFmtId="164" fontId="0" fillId="0" borderId="98" xfId="0" applyNumberFormat="1" applyBorder="1" applyAlignment="1" applyProtection="1">
      <alignment vertical="center"/>
    </xf>
    <xf numFmtId="164" fontId="0" fillId="0" borderId="212" xfId="0" applyNumberFormat="1" applyBorder="1" applyAlignment="1" applyProtection="1">
      <alignment vertical="center"/>
    </xf>
    <xf numFmtId="0" fontId="2" fillId="2" borderId="7" xfId="0" applyFont="1" applyFill="1" applyBorder="1" applyAlignment="1" applyProtection="1">
      <alignment vertical="center"/>
    </xf>
    <xf numFmtId="164" fontId="0" fillId="10" borderId="43" xfId="0" applyNumberFormat="1" applyFill="1" applyBorder="1" applyAlignment="1" applyProtection="1">
      <alignment vertical="center"/>
    </xf>
    <xf numFmtId="164" fontId="0" fillId="10" borderId="57" xfId="0" applyNumberFormat="1" applyFill="1" applyBorder="1" applyAlignment="1" applyProtection="1">
      <alignment vertical="center"/>
    </xf>
    <xf numFmtId="164" fontId="0" fillId="10" borderId="45" xfId="0" applyNumberFormat="1" applyFill="1" applyBorder="1" applyAlignment="1" applyProtection="1">
      <alignment vertical="center"/>
    </xf>
    <xf numFmtId="164" fontId="0" fillId="10" borderId="59" xfId="0" applyNumberFormat="1" applyFill="1" applyBorder="1" applyAlignment="1" applyProtection="1">
      <alignment vertical="center"/>
    </xf>
    <xf numFmtId="164" fontId="7" fillId="5" borderId="87" xfId="0" applyNumberFormat="1" applyFont="1" applyFill="1" applyBorder="1" applyAlignment="1" applyProtection="1">
      <alignment vertical="center"/>
    </xf>
    <xf numFmtId="164" fontId="7" fillId="5" borderId="90" xfId="0" applyNumberFormat="1" applyFont="1" applyFill="1" applyBorder="1" applyAlignment="1" applyProtection="1">
      <alignment vertical="center"/>
    </xf>
    <xf numFmtId="164" fontId="0" fillId="10" borderId="90" xfId="0" applyNumberFormat="1" applyFont="1" applyFill="1" applyBorder="1" applyAlignment="1" applyProtection="1">
      <alignment vertical="center"/>
    </xf>
    <xf numFmtId="164" fontId="8" fillId="10" borderId="65" xfId="0" applyNumberFormat="1" applyFont="1" applyFill="1" applyBorder="1" applyAlignment="1" applyProtection="1">
      <alignment vertical="center"/>
    </xf>
    <xf numFmtId="164" fontId="8" fillId="10" borderId="95" xfId="0" applyNumberFormat="1" applyFont="1" applyFill="1" applyBorder="1" applyAlignment="1" applyProtection="1">
      <alignment vertical="center"/>
    </xf>
    <xf numFmtId="164" fontId="0" fillId="10" borderId="87" xfId="0" applyNumberFormat="1" applyFont="1" applyFill="1" applyBorder="1" applyAlignment="1" applyProtection="1">
      <alignment vertical="center"/>
    </xf>
    <xf numFmtId="164" fontId="7" fillId="10" borderId="180" xfId="0" applyNumberFormat="1" applyFont="1" applyFill="1" applyBorder="1" applyAlignment="1" applyProtection="1">
      <alignment vertical="center"/>
    </xf>
    <xf numFmtId="164" fontId="7" fillId="10" borderId="209" xfId="0" applyNumberFormat="1" applyFont="1" applyFill="1" applyBorder="1" applyAlignment="1" applyProtection="1">
      <alignment vertical="center"/>
    </xf>
    <xf numFmtId="0" fontId="0" fillId="0" borderId="34" xfId="0" applyBorder="1" applyAlignment="1" applyProtection="1">
      <alignment horizontal="center" vertical="center" wrapText="1"/>
    </xf>
    <xf numFmtId="0" fontId="1" fillId="0" borderId="0" xfId="0" applyFont="1" applyFill="1" applyBorder="1" applyAlignment="1" applyProtection="1">
      <alignment vertical="center"/>
    </xf>
    <xf numFmtId="164" fontId="0" fillId="0" borderId="46" xfId="0" applyNumberFormat="1" applyFill="1" applyBorder="1" applyAlignment="1" applyProtection="1">
      <alignment vertical="center"/>
    </xf>
    <xf numFmtId="164" fontId="0" fillId="0" borderId="52" xfId="0" applyNumberFormat="1" applyFill="1" applyBorder="1" applyAlignment="1" applyProtection="1">
      <alignment vertical="center"/>
    </xf>
    <xf numFmtId="164" fontId="0" fillId="0" borderId="53" xfId="0" applyNumberFormat="1" applyFill="1" applyBorder="1" applyAlignment="1" applyProtection="1">
      <alignment vertical="center"/>
    </xf>
    <xf numFmtId="164" fontId="0" fillId="0" borderId="229" xfId="0" applyNumberFormat="1" applyFill="1" applyBorder="1" applyAlignment="1" applyProtection="1">
      <alignment vertical="center"/>
    </xf>
    <xf numFmtId="164" fontId="0" fillId="0" borderId="230" xfId="0" applyNumberFormat="1" applyFill="1" applyBorder="1" applyAlignment="1" applyProtection="1">
      <alignment vertical="center"/>
    </xf>
    <xf numFmtId="164" fontId="0" fillId="0" borderId="231" xfId="0" applyNumberFormat="1" applyFill="1" applyBorder="1" applyAlignment="1" applyProtection="1">
      <alignment vertical="center"/>
    </xf>
    <xf numFmtId="164" fontId="0" fillId="0" borderId="232" xfId="0" applyNumberFormat="1" applyFill="1" applyBorder="1" applyAlignment="1" applyProtection="1">
      <alignment vertical="center"/>
    </xf>
    <xf numFmtId="164" fontId="0" fillId="0" borderId="233" xfId="0" applyNumberFormat="1" applyFill="1" applyBorder="1" applyAlignment="1" applyProtection="1">
      <alignment vertical="center"/>
    </xf>
    <xf numFmtId="164" fontId="0" fillId="0" borderId="172" xfId="0" applyNumberFormat="1" applyFill="1" applyBorder="1" applyAlignment="1" applyProtection="1">
      <alignment vertical="center"/>
    </xf>
    <xf numFmtId="164" fontId="0" fillId="2" borderId="234" xfId="0" applyNumberFormat="1" applyFill="1" applyBorder="1" applyAlignment="1" applyProtection="1">
      <alignment vertical="center"/>
    </xf>
    <xf numFmtId="164" fontId="0" fillId="2" borderId="19" xfId="0" applyNumberFormat="1" applyFill="1" applyBorder="1" applyAlignment="1" applyProtection="1">
      <alignment vertical="center"/>
    </xf>
    <xf numFmtId="164" fontId="0" fillId="2" borderId="235" xfId="0" applyNumberFormat="1" applyFill="1" applyBorder="1" applyAlignment="1" applyProtection="1">
      <alignment vertical="center"/>
    </xf>
    <xf numFmtId="164" fontId="0" fillId="2" borderId="236" xfId="0" applyNumberFormat="1" applyFill="1" applyBorder="1" applyAlignment="1" applyProtection="1">
      <alignment vertical="center"/>
    </xf>
    <xf numFmtId="164" fontId="0" fillId="2" borderId="247" xfId="0" applyNumberFormat="1" applyFill="1" applyBorder="1" applyAlignment="1" applyProtection="1">
      <alignment vertical="center"/>
    </xf>
    <xf numFmtId="164" fontId="0" fillId="2" borderId="150" xfId="0" applyNumberFormat="1" applyFill="1" applyBorder="1" applyAlignment="1" applyProtection="1">
      <alignment vertical="center"/>
    </xf>
    <xf numFmtId="164" fontId="0" fillId="10" borderId="41" xfId="0" applyNumberFormat="1" applyFill="1" applyBorder="1" applyAlignment="1" applyProtection="1">
      <alignment vertical="center"/>
    </xf>
    <xf numFmtId="164" fontId="0" fillId="10" borderId="171" xfId="0" applyNumberFormat="1" applyFill="1" applyBorder="1" applyAlignment="1" applyProtection="1">
      <alignment vertical="center"/>
    </xf>
    <xf numFmtId="164" fontId="0" fillId="0" borderId="45" xfId="0" applyNumberFormat="1" applyBorder="1" applyAlignment="1" applyProtection="1">
      <alignment vertical="center"/>
    </xf>
    <xf numFmtId="164" fontId="0" fillId="0" borderId="51" xfId="0" applyNumberFormat="1" applyBorder="1" applyAlignment="1" applyProtection="1">
      <alignment vertical="center"/>
    </xf>
    <xf numFmtId="164" fontId="0" fillId="7" borderId="57" xfId="0" applyNumberFormat="1" applyFill="1" applyBorder="1" applyAlignment="1" applyProtection="1">
      <alignment vertical="center"/>
      <protection locked="0"/>
    </xf>
    <xf numFmtId="164" fontId="0" fillId="7" borderId="245" xfId="0" applyNumberFormat="1" applyFill="1" applyBorder="1" applyAlignment="1" applyProtection="1">
      <alignment vertical="center"/>
      <protection locked="0"/>
    </xf>
    <xf numFmtId="164" fontId="0" fillId="7" borderId="135" xfId="0" applyNumberFormat="1" applyFill="1" applyBorder="1" applyAlignment="1" applyProtection="1">
      <alignment vertical="center"/>
      <protection locked="0"/>
    </xf>
    <xf numFmtId="164" fontId="0" fillId="7" borderId="140" xfId="0" applyNumberFormat="1" applyFill="1" applyBorder="1" applyAlignment="1" applyProtection="1">
      <alignment vertical="center"/>
      <protection locked="0"/>
    </xf>
    <xf numFmtId="164" fontId="0" fillId="7" borderId="174" xfId="0" applyNumberFormat="1" applyFill="1" applyBorder="1" applyAlignment="1" applyProtection="1">
      <alignment vertical="center"/>
      <protection locked="0"/>
    </xf>
    <xf numFmtId="10" fontId="0" fillId="0" borderId="46" xfId="0" applyNumberFormat="1" applyBorder="1" applyAlignment="1" applyProtection="1">
      <alignment vertical="center"/>
    </xf>
    <xf numFmtId="10" fontId="0" fillId="0" borderId="52" xfId="0" applyNumberFormat="1" applyBorder="1" applyAlignment="1" applyProtection="1">
      <alignment vertical="center"/>
    </xf>
    <xf numFmtId="10" fontId="0" fillId="0" borderId="135" xfId="0" applyNumberFormat="1" applyBorder="1" applyAlignment="1" applyProtection="1">
      <alignment vertical="center"/>
    </xf>
    <xf numFmtId="10" fontId="0" fillId="0" borderId="132" xfId="0" applyNumberFormat="1" applyBorder="1" applyAlignment="1" applyProtection="1">
      <alignment vertical="center"/>
    </xf>
    <xf numFmtId="10" fontId="0" fillId="0" borderId="136" xfId="0" applyNumberFormat="1" applyBorder="1" applyAlignment="1" applyProtection="1">
      <alignment vertical="center"/>
    </xf>
    <xf numFmtId="10" fontId="0" fillId="0" borderId="138" xfId="0" applyNumberFormat="1" applyBorder="1" applyAlignment="1" applyProtection="1">
      <alignment vertical="center"/>
    </xf>
    <xf numFmtId="10" fontId="0" fillId="0" borderId="137" xfId="0" applyNumberFormat="1" applyBorder="1" applyAlignment="1" applyProtection="1">
      <alignment vertical="center"/>
    </xf>
    <xf numFmtId="10" fontId="0" fillId="0" borderId="139" xfId="0" applyNumberFormat="1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0" fillId="0" borderId="126" xfId="0" applyBorder="1" applyAlignment="1" applyProtection="1">
      <alignment vertical="center"/>
    </xf>
    <xf numFmtId="0" fontId="0" fillId="0" borderId="124" xfId="0" applyBorder="1" applyAlignment="1" applyProtection="1">
      <alignment vertical="center"/>
    </xf>
    <xf numFmtId="0" fontId="0" fillId="0" borderId="127" xfId="0" applyBorder="1" applyAlignment="1" applyProtection="1">
      <alignment vertical="center"/>
    </xf>
    <xf numFmtId="0" fontId="0" fillId="0" borderId="129" xfId="0" applyBorder="1" applyAlignment="1" applyProtection="1">
      <alignment vertical="center"/>
    </xf>
    <xf numFmtId="0" fontId="0" fillId="0" borderId="128" xfId="0" applyBorder="1" applyAlignment="1" applyProtection="1">
      <alignment vertical="center"/>
    </xf>
    <xf numFmtId="0" fontId="0" fillId="0" borderId="130" xfId="0" applyBorder="1" applyAlignment="1" applyProtection="1">
      <alignment vertical="center"/>
    </xf>
    <xf numFmtId="0" fontId="2" fillId="0" borderId="154" xfId="0" applyFont="1" applyBorder="1" applyAlignment="1" applyProtection="1">
      <alignment vertical="center"/>
    </xf>
    <xf numFmtId="164" fontId="0" fillId="0" borderId="236" xfId="0" applyNumberFormat="1" applyBorder="1" applyAlignment="1" applyProtection="1">
      <alignment vertical="center"/>
    </xf>
    <xf numFmtId="0" fontId="0" fillId="0" borderId="239" xfId="0" applyBorder="1" applyAlignment="1" applyProtection="1">
      <alignment vertical="center"/>
    </xf>
    <xf numFmtId="164" fontId="6" fillId="5" borderId="64" xfId="0" applyNumberFormat="1" applyFont="1" applyFill="1" applyBorder="1" applyAlignment="1" applyProtection="1">
      <alignment vertical="center"/>
    </xf>
    <xf numFmtId="164" fontId="6" fillId="5" borderId="66" xfId="0" applyNumberFormat="1" applyFont="1" applyFill="1" applyBorder="1" applyAlignment="1" applyProtection="1">
      <alignment vertical="center"/>
    </xf>
    <xf numFmtId="164" fontId="0" fillId="0" borderId="234" xfId="0" applyNumberFormat="1" applyBorder="1" applyAlignment="1" applyProtection="1">
      <alignment vertical="center"/>
    </xf>
    <xf numFmtId="164" fontId="0" fillId="0" borderId="19" xfId="0" applyNumberFormat="1" applyBorder="1" applyAlignment="1" applyProtection="1">
      <alignment vertical="center"/>
    </xf>
    <xf numFmtId="164" fontId="0" fillId="0" borderId="235" xfId="0" applyNumberFormat="1" applyBorder="1" applyAlignment="1" applyProtection="1">
      <alignment vertical="center"/>
    </xf>
    <xf numFmtId="164" fontId="0" fillId="0" borderId="237" xfId="0" applyNumberFormat="1" applyBorder="1" applyAlignment="1" applyProtection="1">
      <alignment vertical="center"/>
    </xf>
    <xf numFmtId="164" fontId="0" fillId="0" borderId="106" xfId="0" applyNumberFormat="1" applyBorder="1" applyAlignment="1" applyProtection="1">
      <alignment vertical="center"/>
    </xf>
    <xf numFmtId="164" fontId="0" fillId="0" borderId="140" xfId="0" applyNumberFormat="1" applyBorder="1" applyAlignment="1" applyProtection="1">
      <alignment vertical="center"/>
    </xf>
    <xf numFmtId="164" fontId="0" fillId="0" borderId="174" xfId="0" applyNumberFormat="1" applyBorder="1" applyAlignment="1" applyProtection="1">
      <alignment vertical="center"/>
    </xf>
    <xf numFmtId="0" fontId="0" fillId="0" borderId="140" xfId="0" applyBorder="1" applyAlignment="1" applyProtection="1">
      <alignment vertical="center"/>
    </xf>
    <xf numFmtId="0" fontId="0" fillId="0" borderId="174" xfId="0" applyBorder="1" applyAlignment="1" applyProtection="1">
      <alignment vertical="center"/>
    </xf>
    <xf numFmtId="0" fontId="0" fillId="0" borderId="104" xfId="0" applyBorder="1" applyAlignment="1" applyProtection="1">
      <alignment vertical="center"/>
    </xf>
    <xf numFmtId="164" fontId="0" fillId="0" borderId="60" xfId="0" applyNumberFormat="1" applyFill="1" applyBorder="1" applyAlignment="1" applyProtection="1">
      <alignment vertical="center"/>
    </xf>
    <xf numFmtId="164" fontId="0" fillId="0" borderId="138" xfId="0" applyNumberFormat="1" applyFill="1" applyBorder="1" applyAlignment="1" applyProtection="1">
      <alignment vertical="center"/>
    </xf>
    <xf numFmtId="0" fontId="0" fillId="0" borderId="129" xfId="0" applyFill="1" applyBorder="1" applyAlignment="1" applyProtection="1">
      <alignment vertical="center"/>
    </xf>
    <xf numFmtId="8" fontId="12" fillId="6" borderId="251" xfId="0" applyNumberFormat="1" applyFont="1" applyFill="1" applyBorder="1" applyAlignment="1" applyProtection="1">
      <alignment vertical="center"/>
    </xf>
    <xf numFmtId="8" fontId="12" fillId="6" borderId="252" xfId="0" applyNumberFormat="1" applyFont="1" applyFill="1" applyBorder="1" applyAlignment="1" applyProtection="1">
      <alignment vertical="center"/>
    </xf>
    <xf numFmtId="8" fontId="12" fillId="6" borderId="253" xfId="0" applyNumberFormat="1" applyFont="1" applyFill="1" applyBorder="1" applyAlignment="1" applyProtection="1">
      <alignment vertical="center"/>
    </xf>
    <xf numFmtId="8" fontId="12" fillId="6" borderId="217" xfId="0" applyNumberFormat="1" applyFont="1" applyFill="1" applyBorder="1" applyAlignment="1" applyProtection="1">
      <alignment vertical="center"/>
    </xf>
    <xf numFmtId="8" fontId="12" fillId="6" borderId="254" xfId="0" applyNumberFormat="1" applyFont="1" applyFill="1" applyBorder="1" applyAlignment="1" applyProtection="1">
      <alignment vertical="center"/>
    </xf>
    <xf numFmtId="8" fontId="12" fillId="6" borderId="255" xfId="0" applyNumberFormat="1" applyFont="1" applyFill="1" applyBorder="1" applyAlignment="1" applyProtection="1">
      <alignment vertical="center"/>
    </xf>
    <xf numFmtId="8" fontId="12" fillId="6" borderId="239" xfId="0" applyNumberFormat="1" applyFont="1" applyFill="1" applyBorder="1" applyAlignment="1" applyProtection="1">
      <alignment vertical="center"/>
    </xf>
    <xf numFmtId="0" fontId="2" fillId="2" borderId="181" xfId="0" applyFont="1" applyFill="1" applyBorder="1" applyAlignment="1" applyProtection="1">
      <alignment vertical="center"/>
    </xf>
    <xf numFmtId="0" fontId="2" fillId="2" borderId="182" xfId="0" applyFont="1" applyFill="1" applyBorder="1" applyAlignment="1" applyProtection="1">
      <alignment vertical="center"/>
    </xf>
    <xf numFmtId="8" fontId="2" fillId="2" borderId="256" xfId="0" applyNumberFormat="1" applyFont="1" applyFill="1" applyBorder="1" applyAlignment="1" applyProtection="1">
      <alignment vertical="center"/>
    </xf>
    <xf numFmtId="8" fontId="2" fillId="2" borderId="257" xfId="0" applyNumberFormat="1" applyFont="1" applyFill="1" applyBorder="1" applyAlignment="1" applyProtection="1">
      <alignment vertical="center"/>
    </xf>
    <xf numFmtId="8" fontId="2" fillId="2" borderId="258" xfId="0" applyNumberFormat="1" applyFont="1" applyFill="1" applyBorder="1" applyAlignment="1" applyProtection="1">
      <alignment vertical="center"/>
    </xf>
    <xf numFmtId="8" fontId="2" fillId="2" borderId="182" xfId="0" applyNumberFormat="1" applyFont="1" applyFill="1" applyBorder="1" applyAlignment="1" applyProtection="1">
      <alignment vertical="center"/>
    </xf>
    <xf numFmtId="8" fontId="2" fillId="2" borderId="259" xfId="0" applyNumberFormat="1" applyFont="1" applyFill="1" applyBorder="1" applyAlignment="1" applyProtection="1">
      <alignment vertical="center"/>
    </xf>
    <xf numFmtId="8" fontId="2" fillId="2" borderId="162" xfId="0" applyNumberFormat="1" applyFont="1" applyFill="1" applyBorder="1" applyAlignment="1" applyProtection="1">
      <alignment vertical="center"/>
    </xf>
    <xf numFmtId="8" fontId="2" fillId="2" borderId="185" xfId="0" applyNumberFormat="1" applyFont="1" applyFill="1" applyBorder="1" applyAlignment="1" applyProtection="1">
      <alignment vertical="center"/>
    </xf>
    <xf numFmtId="8" fontId="2" fillId="6" borderId="261" xfId="0" applyNumberFormat="1" applyFont="1" applyFill="1" applyBorder="1" applyAlignment="1" applyProtection="1">
      <alignment vertical="center"/>
    </xf>
    <xf numFmtId="8" fontId="2" fillId="6" borderId="119" xfId="0" applyNumberFormat="1" applyFont="1" applyFill="1" applyBorder="1" applyAlignment="1" applyProtection="1">
      <alignment vertical="center"/>
    </xf>
    <xf numFmtId="8" fontId="2" fillId="6" borderId="262" xfId="0" applyNumberFormat="1" applyFont="1" applyFill="1" applyBorder="1" applyAlignment="1" applyProtection="1">
      <alignment vertical="center"/>
    </xf>
    <xf numFmtId="8" fontId="2" fillId="6" borderId="201" xfId="0" applyNumberFormat="1" applyFont="1" applyFill="1" applyBorder="1" applyAlignment="1" applyProtection="1">
      <alignment vertical="center"/>
    </xf>
    <xf numFmtId="8" fontId="2" fillId="6" borderId="263" xfId="0" applyNumberFormat="1" applyFont="1" applyFill="1" applyBorder="1" applyAlignment="1" applyProtection="1">
      <alignment vertical="center"/>
    </xf>
    <xf numFmtId="8" fontId="2" fillId="6" borderId="191" xfId="0" applyNumberFormat="1" applyFont="1" applyFill="1" applyBorder="1" applyAlignment="1" applyProtection="1">
      <alignment vertical="center"/>
    </xf>
    <xf numFmtId="8" fontId="2" fillId="6" borderId="264" xfId="0" applyNumberFormat="1" applyFont="1" applyFill="1" applyBorder="1" applyAlignment="1" applyProtection="1">
      <alignment vertical="center"/>
    </xf>
    <xf numFmtId="0" fontId="0" fillId="2" borderId="246" xfId="0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48" xfId="0" applyFill="1" applyBorder="1" applyAlignment="1" applyProtection="1">
      <alignment horizontal="left" vertical="center"/>
    </xf>
    <xf numFmtId="0" fontId="0" fillId="0" borderId="0" xfId="0" applyFill="1" applyAlignment="1" applyProtection="1">
      <alignment vertical="center"/>
    </xf>
    <xf numFmtId="164" fontId="0" fillId="0" borderId="0" xfId="0" applyNumberFormat="1" applyAlignment="1" applyProtection="1">
      <alignment vertical="center"/>
    </xf>
    <xf numFmtId="164" fontId="0" fillId="10" borderId="49" xfId="0" applyNumberFormat="1" applyFill="1" applyBorder="1" applyAlignment="1" applyProtection="1">
      <alignment vertical="center"/>
    </xf>
    <xf numFmtId="164" fontId="0" fillId="10" borderId="22" xfId="0" applyNumberFormat="1" applyFill="1" applyBorder="1" applyAlignment="1" applyProtection="1">
      <alignment vertical="center"/>
    </xf>
    <xf numFmtId="164" fontId="0" fillId="10" borderId="172" xfId="0" applyNumberFormat="1" applyFill="1" applyBorder="1" applyAlignment="1" applyProtection="1">
      <alignment vertical="center"/>
    </xf>
    <xf numFmtId="164" fontId="0" fillId="10" borderId="55" xfId="0" applyNumberFormat="1" applyFill="1" applyBorder="1" applyAlignment="1" applyProtection="1">
      <alignment vertical="center"/>
    </xf>
    <xf numFmtId="10" fontId="0" fillId="11" borderId="98" xfId="0" applyNumberFormat="1" applyFill="1" applyBorder="1" applyAlignment="1" applyProtection="1">
      <alignment vertical="center"/>
    </xf>
    <xf numFmtId="164" fontId="0" fillId="0" borderId="61" xfId="0" applyNumberFormat="1" applyFill="1" applyBorder="1" applyAlignment="1" applyProtection="1">
      <alignment vertical="center"/>
    </xf>
    <xf numFmtId="164" fontId="0" fillId="0" borderId="245" xfId="0" applyNumberFormat="1" applyFill="1" applyBorder="1" applyAlignment="1" applyProtection="1">
      <alignment vertical="center"/>
    </xf>
    <xf numFmtId="0" fontId="0" fillId="0" borderId="96" xfId="0" applyFont="1" applyBorder="1" applyAlignment="1" applyProtection="1">
      <alignment horizontal="center" vertical="center"/>
    </xf>
    <xf numFmtId="164" fontId="0" fillId="0" borderId="163" xfId="0" applyNumberFormat="1" applyFill="1" applyBorder="1" applyAlignment="1" applyProtection="1">
      <alignment vertical="center"/>
    </xf>
    <xf numFmtId="164" fontId="0" fillId="0" borderId="13" xfId="0" applyNumberFormat="1" applyFill="1" applyBorder="1" applyAlignment="1" applyProtection="1">
      <alignment vertical="center"/>
    </xf>
    <xf numFmtId="164" fontId="0" fillId="0" borderId="101" xfId="0" applyNumberFormat="1" applyFill="1" applyBorder="1" applyAlignment="1" applyProtection="1">
      <alignment vertical="center"/>
    </xf>
    <xf numFmtId="164" fontId="0" fillId="0" borderId="271" xfId="0" applyNumberFormat="1" applyBorder="1" applyAlignment="1" applyProtection="1">
      <alignment vertical="center"/>
    </xf>
    <xf numFmtId="164" fontId="0" fillId="7" borderId="265" xfId="0" applyNumberFormat="1" applyFill="1" applyBorder="1" applyAlignment="1" applyProtection="1">
      <alignment vertical="center"/>
      <protection locked="0"/>
    </xf>
    <xf numFmtId="10" fontId="0" fillId="7" borderId="266" xfId="0" applyNumberFormat="1" applyFill="1" applyBorder="1" applyAlignment="1" applyProtection="1">
      <alignment vertical="center"/>
      <protection locked="0"/>
    </xf>
    <xf numFmtId="10" fontId="0" fillId="7" borderId="23" xfId="0" applyNumberFormat="1" applyFill="1" applyBorder="1" applyAlignment="1" applyProtection="1">
      <alignment vertical="center"/>
      <protection locked="0"/>
    </xf>
    <xf numFmtId="10" fontId="0" fillId="7" borderId="149" xfId="0" applyNumberFormat="1" applyFill="1" applyBorder="1" applyAlignment="1" applyProtection="1">
      <alignment vertical="center"/>
      <protection locked="0"/>
    </xf>
    <xf numFmtId="10" fontId="0" fillId="7" borderId="43" xfId="0" applyNumberFormat="1" applyFill="1" applyBorder="1" applyAlignment="1" applyProtection="1">
      <alignment vertical="center"/>
      <protection locked="0"/>
    </xf>
    <xf numFmtId="10" fontId="0" fillId="7" borderId="41" xfId="0" applyNumberFormat="1" applyFill="1" applyBorder="1" applyAlignment="1" applyProtection="1">
      <alignment vertical="center"/>
      <protection locked="0"/>
    </xf>
    <xf numFmtId="10" fontId="0" fillId="7" borderId="44" xfId="0" applyNumberFormat="1" applyFill="1" applyBorder="1" applyAlignment="1" applyProtection="1">
      <alignment vertical="center"/>
      <protection locked="0"/>
    </xf>
    <xf numFmtId="10" fontId="0" fillId="7" borderId="49" xfId="0" applyNumberFormat="1" applyFill="1" applyBorder="1" applyAlignment="1" applyProtection="1">
      <alignment vertical="center"/>
      <protection locked="0"/>
    </xf>
    <xf numFmtId="10" fontId="0" fillId="7" borderId="22" xfId="0" applyNumberFormat="1" applyFill="1" applyBorder="1" applyAlignment="1" applyProtection="1">
      <alignment vertical="center"/>
      <protection locked="0"/>
    </xf>
    <xf numFmtId="10" fontId="0" fillId="7" borderId="45" xfId="0" applyNumberFormat="1" applyFill="1" applyBorder="1" applyAlignment="1" applyProtection="1">
      <alignment vertical="center"/>
      <protection locked="0"/>
    </xf>
    <xf numFmtId="10" fontId="0" fillId="7" borderId="51" xfId="0" applyNumberFormat="1" applyFill="1" applyBorder="1" applyAlignment="1" applyProtection="1">
      <alignment vertical="center"/>
      <protection locked="0"/>
    </xf>
    <xf numFmtId="10" fontId="0" fillId="7" borderId="46" xfId="0" applyNumberFormat="1" applyFill="1" applyBorder="1" applyAlignment="1" applyProtection="1">
      <alignment vertical="center"/>
      <protection locked="0"/>
    </xf>
    <xf numFmtId="10" fontId="0" fillId="7" borderId="47" xfId="0" applyNumberFormat="1" applyFill="1" applyBorder="1" applyAlignment="1" applyProtection="1">
      <alignment vertical="center"/>
      <protection locked="0"/>
    </xf>
    <xf numFmtId="10" fontId="0" fillId="7" borderId="52" xfId="0" applyNumberFormat="1" applyFill="1" applyBorder="1" applyAlignment="1" applyProtection="1">
      <alignment vertical="center"/>
      <protection locked="0"/>
    </xf>
    <xf numFmtId="10" fontId="0" fillId="7" borderId="53" xfId="0" applyNumberFormat="1" applyFill="1" applyBorder="1" applyAlignment="1" applyProtection="1">
      <alignment vertical="center"/>
      <protection locked="0"/>
    </xf>
    <xf numFmtId="164" fontId="0" fillId="7" borderId="234" xfId="0" applyNumberFormat="1" applyFill="1" applyBorder="1" applyAlignment="1" applyProtection="1">
      <alignment vertical="center"/>
      <protection locked="0"/>
    </xf>
    <xf numFmtId="164" fontId="0" fillId="7" borderId="49" xfId="0" applyNumberFormat="1" applyFill="1" applyBorder="1" applyAlignment="1" applyProtection="1">
      <alignment vertical="center"/>
      <protection locked="0"/>
    </xf>
    <xf numFmtId="164" fontId="0" fillId="7" borderId="26" xfId="0" applyNumberFormat="1" applyFill="1" applyBorder="1" applyAlignment="1" applyProtection="1">
      <alignment vertical="center"/>
      <protection locked="0"/>
    </xf>
    <xf numFmtId="0" fontId="0" fillId="7" borderId="140" xfId="0" applyFill="1" applyBorder="1" applyAlignment="1" applyProtection="1">
      <alignment vertical="center"/>
      <protection locked="0"/>
    </xf>
    <xf numFmtId="0" fontId="0" fillId="7" borderId="124" xfId="0" applyFill="1" applyBorder="1" applyAlignment="1" applyProtection="1">
      <alignment vertical="center"/>
      <protection locked="0"/>
    </xf>
    <xf numFmtId="0" fontId="0" fillId="7" borderId="174" xfId="0" applyFill="1" applyBorder="1" applyAlignment="1" applyProtection="1">
      <alignment vertical="center"/>
      <protection locked="0"/>
    </xf>
    <xf numFmtId="164" fontId="0" fillId="7" borderId="72" xfId="0" applyNumberFormat="1" applyFill="1" applyBorder="1" applyAlignment="1" applyProtection="1">
      <alignment vertical="center"/>
      <protection locked="0"/>
    </xf>
    <xf numFmtId="164" fontId="0" fillId="7" borderId="53" xfId="0" applyNumberFormat="1" applyFill="1" applyBorder="1" applyAlignment="1" applyProtection="1">
      <alignment vertical="center"/>
      <protection locked="0"/>
    </xf>
    <xf numFmtId="164" fontId="0" fillId="7" borderId="139" xfId="0" applyNumberFormat="1" applyFill="1" applyBorder="1" applyAlignment="1" applyProtection="1">
      <alignment vertical="center"/>
      <protection locked="0"/>
    </xf>
    <xf numFmtId="0" fontId="0" fillId="7" borderId="104" xfId="0" applyFill="1" applyBorder="1" applyAlignment="1" applyProtection="1">
      <alignment vertical="center"/>
      <protection locked="0"/>
    </xf>
    <xf numFmtId="0" fontId="0" fillId="7" borderId="130" xfId="0" applyFill="1" applyBorder="1" applyAlignment="1" applyProtection="1">
      <alignment vertical="center"/>
      <protection locked="0"/>
    </xf>
    <xf numFmtId="164" fontId="0" fillId="7" borderId="51" xfId="0" applyNumberFormat="1" applyFill="1" applyBorder="1" applyAlignment="1" applyProtection="1">
      <alignment vertical="center"/>
      <protection locked="0"/>
    </xf>
    <xf numFmtId="164" fontId="0" fillId="7" borderId="59" xfId="0" applyNumberFormat="1" applyFill="1" applyBorder="1" applyAlignment="1" applyProtection="1">
      <alignment vertical="center"/>
      <protection locked="0"/>
    </xf>
    <xf numFmtId="164" fontId="0" fillId="7" borderId="137" xfId="0" applyNumberFormat="1" applyFill="1" applyBorder="1" applyAlignment="1" applyProtection="1">
      <alignment vertical="center"/>
      <protection locked="0"/>
    </xf>
    <xf numFmtId="0" fontId="0" fillId="7" borderId="128" xfId="0" applyFill="1" applyBorder="1" applyAlignment="1" applyProtection="1">
      <alignment vertical="center"/>
      <protection locked="0"/>
    </xf>
    <xf numFmtId="164" fontId="0" fillId="7" borderId="52" xfId="0" applyNumberFormat="1" applyFill="1" applyBorder="1" applyAlignment="1" applyProtection="1">
      <alignment vertical="center"/>
      <protection locked="0"/>
    </xf>
    <xf numFmtId="164" fontId="0" fillId="7" borderId="60" xfId="0" applyNumberFormat="1" applyFill="1" applyBorder="1" applyAlignment="1" applyProtection="1">
      <alignment vertical="center"/>
      <protection locked="0"/>
    </xf>
    <xf numFmtId="164" fontId="0" fillId="7" borderId="61" xfId="0" applyNumberFormat="1" applyFill="1" applyBorder="1" applyAlignment="1" applyProtection="1">
      <alignment vertical="center"/>
      <protection locked="0"/>
    </xf>
    <xf numFmtId="164" fontId="0" fillId="7" borderId="138" xfId="0" applyNumberFormat="1" applyFill="1" applyBorder="1" applyAlignment="1" applyProtection="1">
      <alignment vertical="center"/>
      <protection locked="0"/>
    </xf>
    <xf numFmtId="0" fontId="0" fillId="7" borderId="129" xfId="0" applyFill="1" applyBorder="1" applyAlignment="1" applyProtection="1">
      <alignment vertical="center"/>
      <protection locked="0"/>
    </xf>
    <xf numFmtId="164" fontId="0" fillId="7" borderId="44" xfId="0" applyNumberFormat="1" applyFill="1" applyBorder="1" applyAlignment="1" applyProtection="1">
      <alignment vertical="center"/>
      <protection locked="0"/>
    </xf>
    <xf numFmtId="10" fontId="0" fillId="0" borderId="44" xfId="0" applyNumberFormat="1" applyFill="1" applyBorder="1" applyAlignment="1" applyProtection="1">
      <alignment vertical="center"/>
    </xf>
    <xf numFmtId="10" fontId="0" fillId="0" borderId="50" xfId="0" applyNumberFormat="1" applyFill="1" applyBorder="1" applyAlignment="1" applyProtection="1">
      <alignment vertical="center"/>
    </xf>
    <xf numFmtId="10" fontId="0" fillId="0" borderId="80" xfId="0" applyNumberFormat="1" applyBorder="1" applyAlignment="1" applyProtection="1">
      <alignment vertical="center"/>
    </xf>
    <xf numFmtId="10" fontId="0" fillId="0" borderId="72" xfId="0" applyNumberFormat="1" applyFill="1" applyBorder="1" applyAlignment="1" applyProtection="1">
      <alignment vertical="center"/>
    </xf>
    <xf numFmtId="10" fontId="0" fillId="0" borderId="73" xfId="0" applyNumberFormat="1" applyFill="1" applyBorder="1" applyAlignment="1" applyProtection="1">
      <alignment vertical="center"/>
    </xf>
    <xf numFmtId="10" fontId="0" fillId="0" borderId="82" xfId="0" applyNumberFormat="1" applyBorder="1" applyAlignment="1" applyProtection="1">
      <alignment vertical="center"/>
    </xf>
    <xf numFmtId="10" fontId="0" fillId="0" borderId="163" xfId="0" applyNumberFormat="1" applyFill="1" applyBorder="1" applyAlignment="1" applyProtection="1">
      <alignment vertical="center"/>
    </xf>
    <xf numFmtId="10" fontId="0" fillId="0" borderId="13" xfId="0" applyNumberFormat="1" applyFill="1" applyBorder="1" applyAlignment="1" applyProtection="1">
      <alignment vertical="center"/>
    </xf>
    <xf numFmtId="10" fontId="0" fillId="0" borderId="271" xfId="0" applyNumberFormat="1" applyBorder="1" applyAlignment="1" applyProtection="1">
      <alignment vertical="center"/>
    </xf>
    <xf numFmtId="0" fontId="6" fillId="0" borderId="28" xfId="0" applyFont="1" applyBorder="1" applyAlignment="1" applyProtection="1">
      <alignment vertical="center" wrapText="1"/>
    </xf>
    <xf numFmtId="0" fontId="6" fillId="0" borderId="154" xfId="0" applyFont="1" applyBorder="1" applyAlignment="1" applyProtection="1">
      <alignment vertical="center" wrapText="1"/>
    </xf>
    <xf numFmtId="0" fontId="6" fillId="0" borderId="32" xfId="0" applyFont="1" applyBorder="1" applyAlignment="1" applyProtection="1">
      <alignment vertical="center" wrapText="1"/>
    </xf>
    <xf numFmtId="0" fontId="6" fillId="0" borderId="155" xfId="0" applyFont="1" applyBorder="1" applyAlignment="1" applyProtection="1">
      <alignment vertical="center" wrapText="1"/>
    </xf>
    <xf numFmtId="0" fontId="10" fillId="0" borderId="15" xfId="0" applyFont="1" applyBorder="1" applyAlignment="1" applyProtection="1">
      <alignment vertical="center" wrapText="1"/>
    </xf>
    <xf numFmtId="0" fontId="10" fillId="0" borderId="216" xfId="0" applyFont="1" applyFill="1" applyBorder="1" applyAlignment="1" applyProtection="1">
      <alignment vertical="center"/>
    </xf>
    <xf numFmtId="0" fontId="0" fillId="0" borderId="217" xfId="0" applyFill="1" applyBorder="1" applyAlignment="1" applyProtection="1">
      <alignment vertical="center"/>
    </xf>
    <xf numFmtId="0" fontId="0" fillId="0" borderId="239" xfId="0" applyFill="1" applyBorder="1" applyAlignment="1" applyProtection="1">
      <alignment vertical="center"/>
    </xf>
    <xf numFmtId="0" fontId="2" fillId="0" borderId="113" xfId="0" applyFont="1" applyBorder="1" applyAlignment="1" applyProtection="1">
      <alignment vertical="center" wrapText="1"/>
    </xf>
    <xf numFmtId="164" fontId="0" fillId="0" borderId="43" xfId="0" applyNumberFormat="1" applyFill="1" applyBorder="1" applyAlignment="1" applyProtection="1">
      <alignment vertical="center"/>
    </xf>
    <xf numFmtId="10" fontId="0" fillId="10" borderId="50" xfId="0" applyNumberFormat="1" applyFill="1" applyBorder="1" applyAlignment="1" applyProtection="1">
      <alignment vertical="center"/>
    </xf>
    <xf numFmtId="164" fontId="8" fillId="9" borderId="87" xfId="0" applyNumberFormat="1" applyFont="1" applyFill="1" applyBorder="1" applyAlignment="1" applyProtection="1">
      <alignment vertical="center"/>
    </xf>
    <xf numFmtId="10" fontId="8" fillId="9" borderId="89" xfId="0" applyNumberFormat="1" applyFont="1" applyFill="1" applyBorder="1" applyAlignment="1" applyProtection="1">
      <alignment vertical="center"/>
    </xf>
    <xf numFmtId="164" fontId="8" fillId="9" borderId="90" xfId="0" applyNumberFormat="1" applyFont="1" applyFill="1" applyBorder="1" applyAlignment="1" applyProtection="1">
      <alignment vertical="center"/>
    </xf>
    <xf numFmtId="10" fontId="8" fillId="9" borderId="91" xfId="0" applyNumberFormat="1" applyFont="1" applyFill="1" applyBorder="1" applyAlignment="1" applyProtection="1">
      <alignment vertical="center"/>
    </xf>
    <xf numFmtId="10" fontId="8" fillId="9" borderId="111" xfId="0" applyNumberFormat="1" applyFont="1" applyFill="1" applyBorder="1" applyAlignment="1" applyProtection="1">
      <alignment vertical="center"/>
    </xf>
    <xf numFmtId="164" fontId="0" fillId="0" borderId="78" xfId="0" applyNumberFormat="1" applyFill="1" applyBorder="1" applyAlignment="1" applyProtection="1">
      <alignment vertical="center"/>
    </xf>
    <xf numFmtId="164" fontId="0" fillId="0" borderId="81" xfId="0" applyNumberFormat="1" applyFill="1" applyBorder="1" applyAlignment="1" applyProtection="1">
      <alignment vertical="center"/>
    </xf>
    <xf numFmtId="164" fontId="6" fillId="5" borderId="179" xfId="0" applyNumberFormat="1" applyFont="1" applyFill="1" applyBorder="1" applyAlignment="1" applyProtection="1">
      <alignment vertical="center"/>
    </xf>
    <xf numFmtId="164" fontId="6" fillId="5" borderId="65" xfId="0" applyNumberFormat="1" applyFont="1" applyFill="1" applyBorder="1" applyAlignment="1" applyProtection="1">
      <alignment vertical="center"/>
    </xf>
    <xf numFmtId="164" fontId="6" fillId="5" borderId="180" xfId="0" applyNumberFormat="1" applyFont="1" applyFill="1" applyBorder="1" applyAlignment="1" applyProtection="1">
      <alignment vertical="center"/>
    </xf>
    <xf numFmtId="164" fontId="6" fillId="5" borderId="209" xfId="0" applyNumberFormat="1" applyFont="1" applyFill="1" applyBorder="1" applyAlignment="1" applyProtection="1">
      <alignment vertical="center"/>
    </xf>
    <xf numFmtId="164" fontId="0" fillId="9" borderId="87" xfId="0" applyNumberFormat="1" applyFont="1" applyFill="1" applyBorder="1" applyAlignment="1" applyProtection="1">
      <alignment vertical="center"/>
    </xf>
    <xf numFmtId="10" fontId="0" fillId="9" borderId="89" xfId="0" applyNumberFormat="1" applyFont="1" applyFill="1" applyBorder="1" applyAlignment="1" applyProtection="1">
      <alignment vertical="center"/>
    </xf>
    <xf numFmtId="164" fontId="0" fillId="9" borderId="90" xfId="0" applyNumberFormat="1" applyFont="1" applyFill="1" applyBorder="1" applyAlignment="1" applyProtection="1">
      <alignment vertical="center"/>
    </xf>
    <xf numFmtId="10" fontId="0" fillId="9" borderId="91" xfId="0" applyNumberFormat="1" applyFont="1" applyFill="1" applyBorder="1" applyAlignment="1" applyProtection="1">
      <alignment vertical="center"/>
    </xf>
    <xf numFmtId="10" fontId="0" fillId="9" borderId="111" xfId="0" applyNumberFormat="1" applyFont="1" applyFill="1" applyBorder="1" applyAlignment="1" applyProtection="1">
      <alignment vertical="center"/>
    </xf>
    <xf numFmtId="164" fontId="0" fillId="0" borderId="49" xfId="0" applyNumberFormat="1" applyFill="1" applyBorder="1" applyAlignment="1" applyProtection="1">
      <alignment vertical="center"/>
    </xf>
    <xf numFmtId="164" fontId="0" fillId="0" borderId="135" xfId="0" applyNumberFormat="1" applyFill="1" applyBorder="1" applyAlignment="1" applyProtection="1">
      <alignment vertical="center"/>
    </xf>
    <xf numFmtId="0" fontId="0" fillId="2" borderId="7" xfId="0" applyFill="1" applyBorder="1" applyAlignment="1" applyProtection="1">
      <alignment vertical="center"/>
    </xf>
    <xf numFmtId="0" fontId="0" fillId="2" borderId="8" xfId="0" applyFill="1" applyBorder="1" applyAlignment="1" applyProtection="1">
      <alignment vertical="center"/>
    </xf>
    <xf numFmtId="0" fontId="0" fillId="2" borderId="9" xfId="0" applyFill="1" applyBorder="1" applyAlignment="1" applyProtection="1">
      <alignment vertical="center"/>
    </xf>
    <xf numFmtId="10" fontId="0" fillId="0" borderId="136" xfId="0" applyNumberFormat="1" applyFill="1" applyBorder="1" applyAlignment="1" applyProtection="1">
      <alignment vertical="center"/>
    </xf>
    <xf numFmtId="10" fontId="0" fillId="0" borderId="80" xfId="0" applyNumberFormat="1" applyFill="1" applyBorder="1" applyAlignment="1" applyProtection="1">
      <alignment vertical="center"/>
    </xf>
    <xf numFmtId="10" fontId="0" fillId="0" borderId="152" xfId="0" applyNumberFormat="1" applyFill="1" applyBorder="1" applyAlignment="1" applyProtection="1">
      <alignment vertical="center"/>
    </xf>
    <xf numFmtId="10" fontId="0" fillId="0" borderId="82" xfId="0" applyNumberFormat="1" applyFill="1" applyBorder="1" applyAlignment="1" applyProtection="1">
      <alignment vertical="center"/>
    </xf>
    <xf numFmtId="10" fontId="0" fillId="0" borderId="211" xfId="0" applyNumberFormat="1" applyFill="1" applyBorder="1" applyAlignment="1" applyProtection="1">
      <alignment vertical="center"/>
    </xf>
    <xf numFmtId="10" fontId="0" fillId="0" borderId="23" xfId="0" applyNumberFormat="1" applyFill="1" applyBorder="1" applyAlignment="1" applyProtection="1">
      <alignment vertical="center"/>
    </xf>
    <xf numFmtId="10" fontId="0" fillId="0" borderId="238" xfId="0" applyNumberFormat="1" applyFill="1" applyBorder="1" applyAlignment="1" applyProtection="1">
      <alignment vertical="center"/>
    </xf>
    <xf numFmtId="10" fontId="0" fillId="0" borderId="212" xfId="0" applyNumberFormat="1" applyFill="1" applyBorder="1" applyAlignment="1" applyProtection="1">
      <alignment vertical="center"/>
    </xf>
    <xf numFmtId="10" fontId="6" fillId="5" borderId="63" xfId="0" applyNumberFormat="1" applyFont="1" applyFill="1" applyBorder="1" applyAlignment="1" applyProtection="1">
      <alignment vertical="center"/>
    </xf>
    <xf numFmtId="10" fontId="6" fillId="5" borderId="64" xfId="0" applyNumberFormat="1" applyFont="1" applyFill="1" applyBorder="1" applyAlignment="1" applyProtection="1">
      <alignment vertical="center"/>
    </xf>
    <xf numFmtId="10" fontId="6" fillId="5" borderId="66" xfId="0" applyNumberFormat="1" applyFont="1" applyFill="1" applyBorder="1" applyAlignment="1" applyProtection="1">
      <alignment vertical="center"/>
    </xf>
    <xf numFmtId="10" fontId="0" fillId="0" borderId="94" xfId="0" applyNumberFormat="1" applyBorder="1" applyAlignment="1" applyProtection="1">
      <alignment horizontal="right" vertical="center"/>
    </xf>
    <xf numFmtId="10" fontId="0" fillId="0" borderId="274" xfId="0" applyNumberFormat="1" applyFill="1" applyBorder="1" applyAlignment="1" applyProtection="1">
      <alignment vertical="center"/>
    </xf>
    <xf numFmtId="10" fontId="0" fillId="0" borderId="106" xfId="0" applyNumberFormat="1" applyFill="1" applyBorder="1" applyAlignment="1" applyProtection="1">
      <alignment vertical="center"/>
    </xf>
    <xf numFmtId="10" fontId="0" fillId="0" borderId="20" xfId="0" applyNumberFormat="1" applyFill="1" applyBorder="1" applyAlignment="1" applyProtection="1">
      <alignment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7" fillId="0" borderId="85" xfId="0" applyFont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vertical="center"/>
    </xf>
    <xf numFmtId="0" fontId="0" fillId="0" borderId="10" xfId="0" applyFill="1" applyBorder="1" applyAlignment="1" applyProtection="1">
      <alignment vertical="center"/>
    </xf>
    <xf numFmtId="0" fontId="10" fillId="0" borderId="85" xfId="0" applyFont="1" applyBorder="1" applyAlignment="1" applyProtection="1">
      <alignment horizontal="right" vertical="center"/>
    </xf>
    <xf numFmtId="0" fontId="6" fillId="0" borderId="28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vertical="center" wrapText="1"/>
    </xf>
    <xf numFmtId="0" fontId="6" fillId="0" borderId="0" xfId="0" applyFont="1" applyBorder="1" applyAlignment="1" applyProtection="1">
      <alignment vertical="center" wrapText="1"/>
    </xf>
    <xf numFmtId="0" fontId="6" fillId="0" borderId="6" xfId="0" applyFont="1" applyBorder="1" applyAlignment="1" applyProtection="1">
      <alignment vertical="center" wrapText="1"/>
    </xf>
    <xf numFmtId="0" fontId="0" fillId="0" borderId="192" xfId="0" applyFill="1" applyBorder="1" applyAlignment="1" applyProtection="1">
      <alignment horizontal="right" vertical="center"/>
    </xf>
    <xf numFmtId="0" fontId="0" fillId="0" borderId="11" xfId="0" applyFill="1" applyBorder="1" applyAlignment="1" applyProtection="1">
      <alignment horizontal="right" vertical="center"/>
    </xf>
    <xf numFmtId="164" fontId="0" fillId="0" borderId="57" xfId="0" applyNumberFormat="1" applyFill="1" applyBorder="1" applyAlignment="1" applyProtection="1">
      <alignment vertical="center"/>
    </xf>
    <xf numFmtId="0" fontId="0" fillId="0" borderId="151" xfId="0" applyFill="1" applyBorder="1" applyAlignment="1" applyProtection="1">
      <alignment vertical="center"/>
    </xf>
    <xf numFmtId="0" fontId="0" fillId="0" borderId="54" xfId="0" applyFill="1" applyBorder="1" applyAlignment="1" applyProtection="1">
      <alignment horizontal="right" vertical="center"/>
    </xf>
    <xf numFmtId="0" fontId="0" fillId="0" borderId="151" xfId="0" applyFill="1" applyBorder="1" applyAlignment="1" applyProtection="1">
      <alignment horizontal="right" vertical="center"/>
    </xf>
    <xf numFmtId="164" fontId="0" fillId="0" borderId="47" xfId="0" applyNumberFormat="1" applyFill="1" applyBorder="1" applyAlignment="1" applyProtection="1">
      <alignment vertical="center"/>
    </xf>
    <xf numFmtId="164" fontId="8" fillId="9" borderId="93" xfId="0" applyNumberFormat="1" applyFont="1" applyFill="1" applyBorder="1" applyAlignment="1" applyProtection="1">
      <alignment vertical="center"/>
    </xf>
    <xf numFmtId="164" fontId="0" fillId="0" borderId="139" xfId="0" applyNumberFormat="1" applyFill="1" applyBorder="1" applyAlignment="1" applyProtection="1">
      <alignment vertical="center"/>
    </xf>
    <xf numFmtId="164" fontId="0" fillId="0" borderId="84" xfId="0" applyNumberFormat="1" applyFill="1" applyBorder="1" applyAlignment="1" applyProtection="1">
      <alignment vertical="center"/>
    </xf>
    <xf numFmtId="164" fontId="0" fillId="0" borderId="276" xfId="0" applyNumberFormat="1" applyFill="1" applyBorder="1" applyAlignment="1" applyProtection="1">
      <alignment vertical="center"/>
    </xf>
    <xf numFmtId="164" fontId="0" fillId="0" borderId="277" xfId="0" applyNumberFormat="1" applyFill="1" applyBorder="1" applyAlignment="1" applyProtection="1">
      <alignment vertical="center"/>
    </xf>
    <xf numFmtId="164" fontId="0" fillId="0" borderId="196" xfId="0" applyNumberFormat="1" applyFill="1" applyBorder="1" applyAlignment="1" applyProtection="1">
      <alignment vertical="center"/>
    </xf>
    <xf numFmtId="0" fontId="0" fillId="2" borderId="11" xfId="0" applyFill="1" applyBorder="1" applyAlignment="1" applyProtection="1">
      <alignment horizontal="left" vertical="center"/>
    </xf>
    <xf numFmtId="0" fontId="0" fillId="2" borderId="12" xfId="0" applyFill="1" applyBorder="1" applyAlignment="1" applyProtection="1">
      <alignment horizontal="left" vertical="center"/>
    </xf>
    <xf numFmtId="0" fontId="0" fillId="2" borderId="164" xfId="0" applyFill="1" applyBorder="1" applyAlignment="1" applyProtection="1">
      <alignment horizontal="left" vertical="center"/>
    </xf>
    <xf numFmtId="164" fontId="0" fillId="2" borderId="49" xfId="0" applyNumberFormat="1" applyFill="1" applyBorder="1" applyAlignment="1" applyProtection="1">
      <alignment vertical="center"/>
    </xf>
    <xf numFmtId="164" fontId="0" fillId="2" borderId="51" xfId="0" applyNumberFormat="1" applyFill="1" applyBorder="1" applyAlignment="1" applyProtection="1">
      <alignment vertical="center"/>
    </xf>
    <xf numFmtId="164" fontId="0" fillId="2" borderId="53" xfId="0" applyNumberFormat="1" applyFill="1" applyBorder="1" applyAlignment="1" applyProtection="1">
      <alignment vertical="center"/>
    </xf>
    <xf numFmtId="10" fontId="0" fillId="0" borderId="43" xfId="0" applyNumberFormat="1" applyFill="1" applyBorder="1" applyAlignment="1" applyProtection="1">
      <alignment vertical="center"/>
    </xf>
    <xf numFmtId="10" fontId="0" fillId="0" borderId="45" xfId="0" applyNumberFormat="1" applyFill="1" applyBorder="1" applyAlignment="1" applyProtection="1">
      <alignment vertical="center"/>
    </xf>
    <xf numFmtId="10" fontId="0" fillId="0" borderId="47" xfId="0" applyNumberFormat="1" applyFill="1" applyBorder="1" applyAlignment="1" applyProtection="1">
      <alignment vertical="center"/>
    </xf>
    <xf numFmtId="10" fontId="0" fillId="0" borderId="49" xfId="0" applyNumberFormat="1" applyFill="1" applyBorder="1" applyAlignment="1" applyProtection="1">
      <alignment vertical="center"/>
    </xf>
    <xf numFmtId="10" fontId="0" fillId="0" borderId="51" xfId="0" applyNumberFormat="1" applyFill="1" applyBorder="1" applyAlignment="1" applyProtection="1">
      <alignment vertical="center"/>
    </xf>
    <xf numFmtId="10" fontId="0" fillId="0" borderId="53" xfId="0" applyNumberFormat="1" applyFill="1" applyBorder="1" applyAlignment="1" applyProtection="1">
      <alignment vertical="center"/>
    </xf>
    <xf numFmtId="10" fontId="0" fillId="0" borderId="234" xfId="0" applyNumberFormat="1" applyFill="1" applyBorder="1" applyAlignment="1" applyProtection="1">
      <alignment vertical="center"/>
    </xf>
    <xf numFmtId="10" fontId="0" fillId="0" borderId="247" xfId="0" applyNumberFormat="1" applyFill="1" applyBorder="1" applyAlignment="1" applyProtection="1">
      <alignment vertical="center"/>
    </xf>
    <xf numFmtId="10" fontId="0" fillId="0" borderId="150" xfId="0" applyNumberFormat="1" applyFill="1" applyBorder="1" applyAlignment="1" applyProtection="1">
      <alignment vertical="center"/>
    </xf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3" fillId="0" borderId="16" xfId="0" applyFont="1" applyBorder="1" applyAlignment="1" applyProtection="1">
      <alignment vertical="center"/>
    </xf>
    <xf numFmtId="0" fontId="3" fillId="0" borderId="17" xfId="0" applyFont="1" applyBorder="1" applyAlignment="1" applyProtection="1">
      <alignment vertical="center"/>
    </xf>
    <xf numFmtId="0" fontId="0" fillId="0" borderId="9" xfId="0" applyBorder="1" applyProtection="1"/>
    <xf numFmtId="0" fontId="0" fillId="0" borderId="3" xfId="0" applyBorder="1" applyProtection="1"/>
    <xf numFmtId="0" fontId="2" fillId="0" borderId="5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6" xfId="0" applyFont="1" applyFill="1" applyBorder="1" applyAlignment="1" applyProtection="1">
      <alignment horizontal="left" vertical="center"/>
    </xf>
    <xf numFmtId="0" fontId="4" fillId="0" borderId="18" xfId="0" applyFont="1" applyFill="1" applyBorder="1" applyAlignment="1" applyProtection="1">
      <alignment horizontal="right" vertical="center"/>
    </xf>
    <xf numFmtId="0" fontId="3" fillId="0" borderId="21" xfId="0" applyFont="1" applyBorder="1" applyAlignment="1" applyProtection="1">
      <alignment horizontal="right" vertical="top"/>
    </xf>
    <xf numFmtId="0" fontId="3" fillId="0" borderId="99" xfId="0" applyFont="1" applyBorder="1" applyAlignment="1" applyProtection="1">
      <alignment horizontal="right"/>
    </xf>
    <xf numFmtId="0" fontId="0" fillId="0" borderId="0" xfId="0" applyAlignment="1" applyProtection="1">
      <alignment horizontal="left" vertical="top"/>
    </xf>
    <xf numFmtId="0" fontId="0" fillId="0" borderId="103" xfId="0" applyBorder="1" applyAlignment="1" applyProtection="1">
      <alignment vertical="top" wrapText="1"/>
    </xf>
    <xf numFmtId="0" fontId="0" fillId="0" borderId="0" xfId="0" applyBorder="1" applyAlignment="1" applyProtection="1">
      <alignment vertical="top" wrapText="1"/>
    </xf>
    <xf numFmtId="0" fontId="0" fillId="0" borderId="104" xfId="0" applyBorder="1" applyAlignment="1" applyProtection="1">
      <alignment vertical="top" wrapText="1"/>
    </xf>
    <xf numFmtId="0" fontId="0" fillId="0" borderId="0" xfId="0" applyAlignment="1" applyProtection="1">
      <alignment vertical="top" wrapText="1"/>
    </xf>
    <xf numFmtId="164" fontId="0" fillId="9" borderId="86" xfId="0" applyNumberFormat="1" applyFont="1" applyFill="1" applyBorder="1" applyAlignment="1" applyProtection="1">
      <alignment vertical="center"/>
    </xf>
    <xf numFmtId="164" fontId="8" fillId="9" borderId="86" xfId="0" applyNumberFormat="1" applyFont="1" applyFill="1" applyBorder="1" applyAlignment="1" applyProtection="1">
      <alignment vertical="center"/>
    </xf>
    <xf numFmtId="164" fontId="0" fillId="9" borderId="89" xfId="0" applyNumberFormat="1" applyFont="1" applyFill="1" applyBorder="1" applyAlignment="1" applyProtection="1">
      <alignment vertical="center"/>
    </xf>
    <xf numFmtId="164" fontId="0" fillId="9" borderId="91" xfId="0" applyNumberFormat="1" applyFont="1" applyFill="1" applyBorder="1" applyAlignment="1" applyProtection="1">
      <alignment vertical="center"/>
    </xf>
    <xf numFmtId="164" fontId="8" fillId="9" borderId="88" xfId="0" applyNumberFormat="1" applyFont="1" applyFill="1" applyBorder="1" applyAlignment="1" applyProtection="1">
      <alignment vertical="center"/>
    </xf>
    <xf numFmtId="164" fontId="8" fillId="9" borderId="91" xfId="0" applyNumberFormat="1" applyFont="1" applyFill="1" applyBorder="1" applyAlignment="1" applyProtection="1">
      <alignment vertical="center"/>
    </xf>
    <xf numFmtId="164" fontId="8" fillId="9" borderId="92" xfId="0" applyNumberFormat="1" applyFont="1" applyFill="1" applyBorder="1" applyAlignment="1" applyProtection="1">
      <alignment vertical="center"/>
    </xf>
    <xf numFmtId="0" fontId="6" fillId="0" borderId="2" xfId="0" applyFont="1" applyBorder="1" applyAlignment="1" applyProtection="1">
      <alignment horizontal="right" vertical="center"/>
    </xf>
    <xf numFmtId="164" fontId="6" fillId="5" borderId="94" xfId="0" applyNumberFormat="1" applyFont="1" applyFill="1" applyBorder="1" applyAlignment="1" applyProtection="1">
      <alignment vertical="center"/>
    </xf>
    <xf numFmtId="164" fontId="6" fillId="5" borderId="95" xfId="0" applyNumberFormat="1" applyFont="1" applyFill="1" applyBorder="1" applyAlignment="1" applyProtection="1">
      <alignment vertical="center"/>
    </xf>
    <xf numFmtId="164" fontId="6" fillId="5" borderId="62" xfId="0" applyNumberFormat="1" applyFont="1" applyFill="1" applyBorder="1" applyAlignment="1" applyProtection="1">
      <alignment vertical="center"/>
    </xf>
    <xf numFmtId="164" fontId="6" fillId="5" borderId="87" xfId="0" applyNumberFormat="1" applyFont="1" applyFill="1" applyBorder="1" applyAlignment="1" applyProtection="1">
      <alignment vertical="center"/>
    </xf>
    <xf numFmtId="164" fontId="6" fillId="5" borderId="88" xfId="0" applyNumberFormat="1" applyFont="1" applyFill="1" applyBorder="1" applyAlignment="1" applyProtection="1">
      <alignment vertical="center"/>
    </xf>
    <xf numFmtId="164" fontId="6" fillId="5" borderId="90" xfId="0" applyNumberFormat="1" applyFont="1" applyFill="1" applyBorder="1" applyAlignment="1" applyProtection="1">
      <alignment vertical="center"/>
    </xf>
    <xf numFmtId="164" fontId="0" fillId="7" borderId="279" xfId="0" applyNumberFormat="1" applyFill="1" applyBorder="1" applyAlignment="1" applyProtection="1">
      <alignment vertical="center"/>
      <protection locked="0"/>
    </xf>
    <xf numFmtId="0" fontId="0" fillId="7" borderId="279" xfId="0" applyFill="1" applyBorder="1" applyAlignment="1" applyProtection="1">
      <alignment horizontal="center" vertical="center"/>
      <protection locked="0"/>
    </xf>
    <xf numFmtId="0" fontId="0" fillId="7" borderId="280" xfId="0" applyFill="1" applyBorder="1" applyAlignment="1" applyProtection="1">
      <alignment horizontal="center" vertical="center"/>
      <protection locked="0"/>
    </xf>
    <xf numFmtId="164" fontId="0" fillId="0" borderId="276" xfId="0" applyNumberFormat="1" applyBorder="1" applyAlignment="1" applyProtection="1">
      <alignment vertical="center"/>
    </xf>
    <xf numFmtId="164" fontId="0" fillId="0" borderId="279" xfId="0" applyNumberFormat="1" applyBorder="1" applyAlignment="1" applyProtection="1">
      <alignment vertical="center"/>
    </xf>
    <xf numFmtId="164" fontId="0" fillId="0" borderId="279" xfId="0" applyNumberFormat="1" applyFill="1" applyBorder="1" applyAlignment="1" applyProtection="1">
      <alignment vertical="center"/>
    </xf>
    <xf numFmtId="164" fontId="0" fillId="0" borderId="281" xfId="0" applyNumberFormat="1" applyBorder="1" applyAlignment="1" applyProtection="1">
      <alignment vertical="center"/>
    </xf>
    <xf numFmtId="0" fontId="0" fillId="0" borderId="146" xfId="0" applyBorder="1" applyAlignment="1" applyProtection="1">
      <alignment horizontal="right" vertical="center"/>
    </xf>
    <xf numFmtId="0" fontId="0" fillId="0" borderId="21" xfId="0" applyBorder="1" applyAlignment="1" applyProtection="1">
      <alignment horizontal="right" vertical="center"/>
    </xf>
    <xf numFmtId="0" fontId="0" fillId="0" borderId="148" xfId="0" applyBorder="1" applyAlignment="1" applyProtection="1">
      <alignment horizontal="right" vertical="center"/>
    </xf>
    <xf numFmtId="0" fontId="2" fillId="0" borderId="113" xfId="0" applyFont="1" applyBorder="1" applyAlignment="1" applyProtection="1">
      <alignment vertical="center"/>
    </xf>
    <xf numFmtId="0" fontId="10" fillId="0" borderId="121" xfId="0" applyFont="1" applyBorder="1" applyAlignment="1" applyProtection="1">
      <alignment vertical="center"/>
    </xf>
    <xf numFmtId="0" fontId="10" fillId="0" borderId="123" xfId="0" applyFont="1" applyBorder="1" applyAlignment="1" applyProtection="1">
      <alignment vertical="center"/>
    </xf>
    <xf numFmtId="0" fontId="0" fillId="0" borderId="125" xfId="0" applyBorder="1" applyAlignment="1" applyProtection="1">
      <alignment vertical="center"/>
    </xf>
    <xf numFmtId="164" fontId="0" fillId="0" borderId="59" xfId="0" applyNumberFormat="1" applyBorder="1" applyAlignment="1" applyProtection="1">
      <alignment vertical="center"/>
    </xf>
    <xf numFmtId="0" fontId="6" fillId="0" borderId="145" xfId="0" applyFont="1" applyBorder="1" applyAlignment="1" applyProtection="1">
      <alignment horizontal="right" vertical="center"/>
    </xf>
    <xf numFmtId="16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64" fontId="0" fillId="0" borderId="114" xfId="0" applyNumberFormat="1" applyBorder="1" applyAlignment="1" applyProtection="1">
      <alignment vertical="center"/>
    </xf>
    <xf numFmtId="164" fontId="0" fillId="0" borderId="115" xfId="0" applyNumberFormat="1" applyBorder="1" applyAlignment="1" applyProtection="1">
      <alignment vertical="center"/>
    </xf>
    <xf numFmtId="0" fontId="0" fillId="0" borderId="117" xfId="0" applyBorder="1" applyAlignment="1" applyProtection="1">
      <alignment vertical="center"/>
    </xf>
    <xf numFmtId="0" fontId="6" fillId="0" borderId="110" xfId="0" applyFont="1" applyBorder="1" applyAlignment="1" applyProtection="1">
      <alignment horizontal="right" vertical="center"/>
    </xf>
    <xf numFmtId="164" fontId="6" fillId="5" borderId="111" xfId="0" applyNumberFormat="1" applyFont="1" applyFill="1" applyBorder="1" applyAlignment="1" applyProtection="1">
      <alignment vertical="center"/>
    </xf>
    <xf numFmtId="164" fontId="6" fillId="5" borderId="109" xfId="0" applyNumberFormat="1" applyFont="1" applyFill="1" applyBorder="1" applyAlignment="1" applyProtection="1">
      <alignment vertical="center"/>
    </xf>
    <xf numFmtId="164" fontId="0" fillId="0" borderId="116" xfId="0" applyNumberFormat="1" applyBorder="1" applyAlignment="1" applyProtection="1">
      <alignment vertical="center"/>
    </xf>
    <xf numFmtId="164" fontId="0" fillId="7" borderId="147" xfId="0" applyNumberFormat="1" applyFill="1" applyBorder="1" applyAlignment="1" applyProtection="1">
      <alignment vertical="center"/>
      <protection locked="0"/>
    </xf>
    <xf numFmtId="1" fontId="0" fillId="7" borderId="42" xfId="0" applyNumberFormat="1" applyFill="1" applyBorder="1" applyAlignment="1" applyProtection="1">
      <alignment horizontal="center" vertical="center"/>
      <protection locked="0"/>
    </xf>
    <xf numFmtId="1" fontId="0" fillId="7" borderId="48" xfId="0" applyNumberFormat="1" applyFill="1" applyBorder="1" applyAlignment="1" applyProtection="1">
      <alignment horizontal="center" vertical="center"/>
      <protection locked="0"/>
    </xf>
    <xf numFmtId="0" fontId="0" fillId="3" borderId="122" xfId="0" applyFill="1" applyBorder="1" applyAlignment="1" applyProtection="1">
      <alignment vertical="center"/>
      <protection locked="0"/>
    </xf>
    <xf numFmtId="1" fontId="0" fillId="7" borderId="133" xfId="0" applyNumberFormat="1" applyFill="1" applyBorder="1" applyAlignment="1" applyProtection="1">
      <alignment horizontal="center" vertical="center"/>
      <protection locked="0"/>
    </xf>
    <xf numFmtId="0" fontId="0" fillId="3" borderId="123" xfId="0" applyFill="1" applyBorder="1" applyAlignment="1" applyProtection="1">
      <alignment vertical="center"/>
      <protection locked="0"/>
    </xf>
    <xf numFmtId="1" fontId="0" fillId="7" borderId="118" xfId="0" applyNumberFormat="1" applyFill="1" applyBorder="1" applyAlignment="1" applyProtection="1">
      <alignment horizontal="center" vertical="center"/>
      <protection locked="0"/>
    </xf>
    <xf numFmtId="0" fontId="0" fillId="7" borderId="133" xfId="0" applyFill="1" applyBorder="1" applyAlignment="1" applyProtection="1">
      <alignment horizontal="center" vertical="center"/>
      <protection locked="0"/>
    </xf>
    <xf numFmtId="0" fontId="0" fillId="7" borderId="131" xfId="0" applyFill="1" applyBorder="1" applyAlignment="1" applyProtection="1">
      <alignment horizontal="center" vertical="center"/>
      <protection locked="0"/>
    </xf>
    <xf numFmtId="164" fontId="0" fillId="9" borderId="111" xfId="0" applyNumberFormat="1" applyFont="1" applyFill="1" applyBorder="1" applyAlignment="1" applyProtection="1">
      <alignment vertical="center"/>
    </xf>
    <xf numFmtId="0" fontId="0" fillId="0" borderId="55" xfId="0" applyFill="1" applyBorder="1" applyAlignment="1" applyProtection="1">
      <alignment vertical="center"/>
    </xf>
    <xf numFmtId="0" fontId="0" fillId="0" borderId="132" xfId="0" applyFill="1" applyBorder="1" applyAlignment="1" applyProtection="1">
      <alignment vertical="center"/>
    </xf>
    <xf numFmtId="0" fontId="0" fillId="0" borderId="133" xfId="0" applyFill="1" applyBorder="1" applyAlignment="1" applyProtection="1">
      <alignment vertical="center"/>
    </xf>
    <xf numFmtId="164" fontId="8" fillId="0" borderId="222" xfId="0" applyNumberFormat="1" applyFont="1" applyBorder="1" applyAlignment="1" applyProtection="1">
      <alignment vertical="center"/>
    </xf>
    <xf numFmtId="164" fontId="8" fillId="0" borderId="223" xfId="0" applyNumberFormat="1" applyFont="1" applyBorder="1" applyAlignment="1" applyProtection="1">
      <alignment vertical="center"/>
    </xf>
    <xf numFmtId="164" fontId="8" fillId="0" borderId="224" xfId="0" applyNumberFormat="1" applyFont="1" applyBorder="1" applyAlignment="1" applyProtection="1">
      <alignment vertical="center"/>
    </xf>
    <xf numFmtId="164" fontId="8" fillId="0" borderId="225" xfId="0" applyNumberFormat="1" applyFont="1" applyBorder="1" applyAlignment="1" applyProtection="1">
      <alignment vertical="center"/>
    </xf>
    <xf numFmtId="164" fontId="8" fillId="0" borderId="226" xfId="0" applyNumberFormat="1" applyFont="1" applyBorder="1" applyAlignment="1" applyProtection="1">
      <alignment vertical="center"/>
    </xf>
    <xf numFmtId="164" fontId="8" fillId="0" borderId="227" xfId="0" applyNumberFormat="1" applyFont="1" applyBorder="1" applyAlignment="1" applyProtection="1">
      <alignment vertical="center"/>
    </xf>
    <xf numFmtId="164" fontId="8" fillId="9" borderId="228" xfId="0" applyNumberFormat="1" applyFont="1" applyFill="1" applyBorder="1" applyAlignment="1" applyProtection="1">
      <alignment vertical="center"/>
    </xf>
    <xf numFmtId="164" fontId="8" fillId="9" borderId="229" xfId="0" applyNumberFormat="1" applyFont="1" applyFill="1" applyBorder="1" applyAlignment="1" applyProtection="1">
      <alignment vertical="center"/>
    </xf>
    <xf numFmtId="164" fontId="8" fillId="9" borderId="230" xfId="0" applyNumberFormat="1" applyFont="1" applyFill="1" applyBorder="1" applyAlignment="1" applyProtection="1">
      <alignment vertical="center"/>
    </xf>
    <xf numFmtId="164" fontId="8" fillId="9" borderId="232" xfId="0" applyNumberFormat="1" applyFont="1" applyFill="1" applyBorder="1" applyAlignment="1" applyProtection="1">
      <alignment vertical="center"/>
    </xf>
    <xf numFmtId="164" fontId="8" fillId="9" borderId="231" xfId="0" applyNumberFormat="1" applyFont="1" applyFill="1" applyBorder="1" applyAlignment="1" applyProtection="1">
      <alignment vertical="center"/>
    </xf>
    <xf numFmtId="164" fontId="8" fillId="9" borderId="233" xfId="0" applyNumberFormat="1" applyFont="1" applyFill="1" applyBorder="1" applyAlignment="1" applyProtection="1">
      <alignment vertical="center"/>
    </xf>
    <xf numFmtId="164" fontId="8" fillId="9" borderId="110" xfId="0" applyNumberFormat="1" applyFont="1" applyFill="1" applyBorder="1" applyAlignment="1" applyProtection="1">
      <alignment vertical="center"/>
    </xf>
    <xf numFmtId="164" fontId="8" fillId="9" borderId="134" xfId="0" applyNumberFormat="1" applyFont="1" applyFill="1" applyBorder="1" applyAlignment="1" applyProtection="1">
      <alignment vertical="center"/>
    </xf>
    <xf numFmtId="164" fontId="8" fillId="9" borderId="141" xfId="0" applyNumberFormat="1" applyFont="1" applyFill="1" applyBorder="1" applyAlignment="1" applyProtection="1">
      <alignment vertical="center"/>
    </xf>
    <xf numFmtId="164" fontId="8" fillId="9" borderId="219" xfId="0" applyNumberFormat="1" applyFont="1" applyFill="1" applyBorder="1" applyAlignment="1" applyProtection="1">
      <alignment vertical="center"/>
    </xf>
    <xf numFmtId="164" fontId="8" fillId="9" borderId="142" xfId="0" applyNumberFormat="1" applyFont="1" applyFill="1" applyBorder="1" applyAlignment="1" applyProtection="1">
      <alignment vertical="center"/>
    </xf>
    <xf numFmtId="164" fontId="8" fillId="9" borderId="144" xfId="0" applyNumberFormat="1" applyFont="1" applyFill="1" applyBorder="1" applyAlignment="1" applyProtection="1">
      <alignment vertical="center"/>
    </xf>
    <xf numFmtId="164" fontId="6" fillId="5" borderId="188" xfId="0" applyNumberFormat="1" applyFont="1" applyFill="1" applyBorder="1" applyAlignment="1" applyProtection="1">
      <alignment vertical="center"/>
    </xf>
    <xf numFmtId="164" fontId="8" fillId="9" borderId="243" xfId="0" applyNumberFormat="1" applyFont="1" applyFill="1" applyBorder="1" applyAlignment="1" applyProtection="1">
      <alignment vertical="center"/>
    </xf>
    <xf numFmtId="164" fontId="0" fillId="7" borderId="247" xfId="0" applyNumberFormat="1" applyFill="1" applyBorder="1" applyAlignment="1" applyProtection="1">
      <alignment vertical="center"/>
      <protection locked="0"/>
    </xf>
    <xf numFmtId="0" fontId="0" fillId="4" borderId="108" xfId="0" applyFill="1" applyBorder="1" applyProtection="1"/>
    <xf numFmtId="0" fontId="0" fillId="0" borderId="211" xfId="0" applyBorder="1" applyProtection="1"/>
    <xf numFmtId="0" fontId="0" fillId="8" borderId="122" xfId="0" applyFill="1" applyBorder="1" applyProtection="1"/>
    <xf numFmtId="0" fontId="0" fillId="0" borderId="238" xfId="0" applyBorder="1" applyProtection="1"/>
    <xf numFmtId="0" fontId="0" fillId="7" borderId="108" xfId="0" applyFill="1" applyBorder="1" applyProtection="1"/>
    <xf numFmtId="0" fontId="0" fillId="3" borderId="122" xfId="0" applyFill="1" applyBorder="1" applyProtection="1"/>
    <xf numFmtId="0" fontId="0" fillId="6" borderId="108" xfId="0" applyFill="1" applyBorder="1" applyProtection="1"/>
    <xf numFmtId="0" fontId="0" fillId="5" borderId="21" xfId="0" applyFill="1" applyBorder="1" applyProtection="1"/>
    <xf numFmtId="0" fontId="0" fillId="0" borderId="23" xfId="0" applyBorder="1" applyProtection="1"/>
    <xf numFmtId="0" fontId="0" fillId="9" borderId="122" xfId="0" applyFill="1" applyBorder="1" applyProtection="1"/>
    <xf numFmtId="0" fontId="0" fillId="10" borderId="282" xfId="0" applyFill="1" applyBorder="1" applyProtection="1"/>
    <xf numFmtId="0" fontId="0" fillId="0" borderId="283" xfId="0" applyBorder="1" applyProtection="1"/>
    <xf numFmtId="0" fontId="6" fillId="0" borderId="2" xfId="0" applyFont="1" applyBorder="1" applyProtection="1"/>
    <xf numFmtId="0" fontId="0" fillId="0" borderId="4" xfId="0" applyBorder="1" applyProtection="1"/>
    <xf numFmtId="0" fontId="0" fillId="0" borderId="284" xfId="0" applyFill="1" applyBorder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6" fillId="0" borderId="68" xfId="0" applyFont="1" applyBorder="1" applyAlignment="1" applyProtection="1">
      <alignment vertical="center"/>
    </xf>
    <xf numFmtId="164" fontId="6" fillId="5" borderId="110" xfId="0" applyNumberFormat="1" applyFont="1" applyFill="1" applyBorder="1" applyAlignment="1" applyProtection="1">
      <alignment vertical="center"/>
    </xf>
    <xf numFmtId="0" fontId="8" fillId="0" borderId="113" xfId="0" applyFont="1" applyBorder="1" applyAlignment="1" applyProtection="1">
      <alignment vertical="center"/>
    </xf>
    <xf numFmtId="0" fontId="10" fillId="0" borderId="134" xfId="0" applyFont="1" applyBorder="1" applyAlignment="1" applyProtection="1">
      <alignment horizontal="right" vertical="center"/>
    </xf>
    <xf numFmtId="164" fontId="8" fillId="9" borderId="143" xfId="0" applyNumberFormat="1" applyFont="1" applyFill="1" applyBorder="1" applyAlignment="1" applyProtection="1">
      <alignment vertical="center"/>
    </xf>
    <xf numFmtId="0" fontId="6" fillId="0" borderId="114" xfId="0" applyFont="1" applyBorder="1" applyAlignment="1" applyProtection="1">
      <alignment vertical="center"/>
    </xf>
    <xf numFmtId="0" fontId="0" fillId="7" borderId="132" xfId="0" applyFill="1" applyBorder="1" applyAlignment="1" applyProtection="1">
      <alignment horizontal="center" vertical="center"/>
      <protection locked="0"/>
    </xf>
    <xf numFmtId="0" fontId="0" fillId="10" borderId="42" xfId="0" applyFill="1" applyBorder="1" applyAlignment="1" applyProtection="1">
      <alignment horizontal="center" vertical="center"/>
    </xf>
    <xf numFmtId="0" fontId="0" fillId="10" borderId="56" xfId="0" applyFill="1" applyBorder="1" applyAlignment="1" applyProtection="1">
      <alignment vertical="center"/>
    </xf>
    <xf numFmtId="0" fontId="0" fillId="10" borderId="77" xfId="0" applyFill="1" applyBorder="1" applyAlignment="1" applyProtection="1">
      <alignment vertical="center"/>
    </xf>
    <xf numFmtId="164" fontId="0" fillId="10" borderId="78" xfId="0" applyNumberFormat="1" applyFill="1" applyBorder="1" applyAlignment="1" applyProtection="1">
      <alignment vertical="center"/>
    </xf>
    <xf numFmtId="164" fontId="0" fillId="10" borderId="81" xfId="0" applyNumberFormat="1" applyFill="1" applyBorder="1" applyAlignment="1" applyProtection="1">
      <alignment vertical="center"/>
    </xf>
    <xf numFmtId="8" fontId="0" fillId="0" borderId="0" xfId="0" quotePrefix="1" applyNumberFormat="1" applyAlignment="1" applyProtection="1">
      <alignment vertical="center"/>
    </xf>
    <xf numFmtId="164" fontId="0" fillId="0" borderId="229" xfId="0" applyNumberFormat="1" applyBorder="1"/>
    <xf numFmtId="164" fontId="0" fillId="0" borderId="149" xfId="0" applyNumberFormat="1" applyBorder="1"/>
    <xf numFmtId="0" fontId="0" fillId="0" borderId="192" xfId="0" applyBorder="1"/>
    <xf numFmtId="0" fontId="0" fillId="0" borderId="198" xfId="0" applyBorder="1"/>
    <xf numFmtId="0" fontId="0" fillId="0" borderId="121" xfId="0" applyBorder="1"/>
    <xf numFmtId="0" fontId="0" fillId="0" borderId="29" xfId="0" applyBorder="1"/>
    <xf numFmtId="0" fontId="0" fillId="0" borderId="285" xfId="0" applyBorder="1"/>
    <xf numFmtId="164" fontId="0" fillId="0" borderId="43" xfId="0" applyNumberFormat="1" applyBorder="1"/>
    <xf numFmtId="164" fontId="0" fillId="0" borderId="41" xfId="0" applyNumberFormat="1" applyBorder="1"/>
    <xf numFmtId="164" fontId="0" fillId="0" borderId="211" xfId="0" applyNumberFormat="1" applyBorder="1"/>
    <xf numFmtId="164" fontId="0" fillId="0" borderId="228" xfId="0" applyNumberFormat="1" applyBorder="1"/>
    <xf numFmtId="164" fontId="6" fillId="0" borderId="4" xfId="0" applyNumberFormat="1" applyFont="1" applyBorder="1" applyAlignment="1">
      <alignment vertical="center"/>
    </xf>
    <xf numFmtId="0" fontId="0" fillId="0" borderId="246" xfId="0" applyBorder="1"/>
    <xf numFmtId="164" fontId="0" fillId="0" borderId="234" xfId="0" applyNumberFormat="1" applyBorder="1"/>
    <xf numFmtId="164" fontId="0" fillId="0" borderId="19" xfId="0" applyNumberFormat="1" applyBorder="1"/>
    <xf numFmtId="164" fontId="0" fillId="0" borderId="20" xfId="0" applyNumberFormat="1" applyBorder="1"/>
    <xf numFmtId="0" fontId="0" fillId="0" borderId="151" xfId="0" applyBorder="1"/>
    <xf numFmtId="164" fontId="0" fillId="0" borderId="135" xfId="0" applyNumberFormat="1" applyBorder="1"/>
    <xf numFmtId="164" fontId="0" fillId="0" borderId="132" xfId="0" applyNumberFormat="1" applyBorder="1"/>
    <xf numFmtId="164" fontId="0" fillId="0" borderId="238" xfId="0" applyNumberFormat="1" applyBorder="1"/>
    <xf numFmtId="164" fontId="0" fillId="0" borderId="0" xfId="0" applyNumberFormat="1"/>
    <xf numFmtId="0" fontId="2" fillId="0" borderId="95" xfId="0" applyFont="1" applyBorder="1" applyAlignment="1" applyProtection="1">
      <alignment horizontal="right" vertical="center"/>
    </xf>
    <xf numFmtId="165" fontId="0" fillId="0" borderId="228" xfId="0" applyNumberFormat="1" applyFill="1" applyBorder="1" applyAlignment="1" applyProtection="1">
      <alignment vertical="center"/>
    </xf>
    <xf numFmtId="165" fontId="0" fillId="0" borderId="232" xfId="0" applyNumberFormat="1" applyFill="1" applyBorder="1" applyAlignment="1" applyProtection="1">
      <alignment vertical="center"/>
    </xf>
    <xf numFmtId="165" fontId="0" fillId="0" borderId="233" xfId="0" applyNumberFormat="1" applyFill="1" applyBorder="1" applyAlignment="1" applyProtection="1">
      <alignment vertical="center"/>
    </xf>
    <xf numFmtId="0" fontId="0" fillId="0" borderId="153" xfId="0" applyBorder="1" applyAlignment="1" applyProtection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164" fontId="0" fillId="0" borderId="245" xfId="0" applyNumberFormat="1" applyBorder="1" applyAlignment="1" applyProtection="1">
      <alignment vertical="center"/>
    </xf>
    <xf numFmtId="164" fontId="0" fillId="0" borderId="171" xfId="0" applyNumberFormat="1" applyFill="1" applyBorder="1" applyAlignment="1" applyProtection="1">
      <alignment vertical="center"/>
    </xf>
    <xf numFmtId="164" fontId="0" fillId="0" borderId="287" xfId="0" applyNumberFormat="1" applyFill="1" applyBorder="1" applyAlignment="1" applyProtection="1">
      <alignment vertical="center"/>
    </xf>
    <xf numFmtId="164" fontId="0" fillId="0" borderId="173" xfId="0" applyNumberFormat="1" applyFill="1" applyBorder="1" applyAlignment="1" applyProtection="1">
      <alignment vertical="center"/>
    </xf>
    <xf numFmtId="164" fontId="0" fillId="0" borderId="287" xfId="0" applyNumberFormat="1" applyBorder="1" applyAlignment="1" applyProtection="1">
      <alignment vertical="center"/>
    </xf>
    <xf numFmtId="164" fontId="2" fillId="6" borderId="188" xfId="0" applyNumberFormat="1" applyFont="1" applyFill="1" applyBorder="1" applyAlignment="1" applyProtection="1">
      <alignment vertical="center"/>
    </xf>
    <xf numFmtId="164" fontId="0" fillId="0" borderId="281" xfId="0" applyNumberFormat="1" applyFill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166" fontId="0" fillId="0" borderId="0" xfId="0" applyNumberFormat="1" applyAlignment="1">
      <alignment vertical="center"/>
    </xf>
    <xf numFmtId="164" fontId="0" fillId="0" borderId="289" xfId="0" applyNumberFormat="1" applyBorder="1" applyAlignment="1">
      <alignment vertical="center"/>
    </xf>
    <xf numFmtId="164" fontId="0" fillId="0" borderId="46" xfId="0" applyNumberFormat="1" applyBorder="1" applyAlignment="1">
      <alignment vertical="center"/>
    </xf>
    <xf numFmtId="164" fontId="0" fillId="0" borderId="177" xfId="0" applyNumberFormat="1" applyBorder="1" applyAlignment="1">
      <alignment vertical="center"/>
    </xf>
    <xf numFmtId="164" fontId="0" fillId="0" borderId="52" xfId="0" applyNumberFormat="1" applyBorder="1" applyAlignment="1">
      <alignment vertical="center"/>
    </xf>
    <xf numFmtId="166" fontId="6" fillId="0" borderId="290" xfId="0" applyNumberFormat="1" applyFont="1" applyBorder="1" applyAlignment="1">
      <alignment horizontal="center" vertical="center"/>
    </xf>
    <xf numFmtId="166" fontId="6" fillId="0" borderId="36" xfId="0" applyNumberFormat="1" applyFont="1" applyBorder="1" applyAlignment="1">
      <alignment horizontal="center" vertical="center"/>
    </xf>
    <xf numFmtId="166" fontId="6" fillId="0" borderId="37" xfId="0" applyNumberFormat="1" applyFont="1" applyBorder="1" applyAlignment="1">
      <alignment horizontal="center" vertical="center"/>
    </xf>
    <xf numFmtId="10" fontId="6" fillId="0" borderId="275" xfId="0" applyNumberFormat="1" applyFont="1" applyBorder="1" applyAlignment="1">
      <alignment vertical="center"/>
    </xf>
    <xf numFmtId="10" fontId="6" fillId="0" borderId="164" xfId="0" applyNumberFormat="1" applyFont="1" applyBorder="1" applyAlignment="1">
      <alignment vertical="center"/>
    </xf>
    <xf numFmtId="10" fontId="6" fillId="0" borderId="278" xfId="0" applyNumberFormat="1" applyFont="1" applyBorder="1" applyAlignment="1">
      <alignment vertical="center"/>
    </xf>
    <xf numFmtId="164" fontId="0" fillId="0" borderId="291" xfId="0" applyNumberFormat="1" applyBorder="1" applyAlignment="1">
      <alignment vertical="center"/>
    </xf>
    <xf numFmtId="164" fontId="0" fillId="0" borderId="292" xfId="0" applyNumberFormat="1" applyBorder="1" applyAlignment="1">
      <alignment vertical="center"/>
    </xf>
    <xf numFmtId="164" fontId="0" fillId="0" borderId="293" xfId="0" applyNumberFormat="1" applyBorder="1" applyAlignment="1">
      <alignment vertical="center"/>
    </xf>
    <xf numFmtId="164" fontId="0" fillId="0" borderId="138" xfId="0" applyNumberFormat="1" applyBorder="1" applyAlignment="1">
      <alignment vertical="center"/>
    </xf>
    <xf numFmtId="164" fontId="0" fillId="0" borderId="294" xfId="0" applyNumberFormat="1" applyBorder="1" applyAlignment="1">
      <alignment vertical="center"/>
    </xf>
    <xf numFmtId="164" fontId="0" fillId="2" borderId="295" xfId="0" applyNumberFormat="1" applyFill="1" applyBorder="1" applyAlignment="1">
      <alignment vertical="center"/>
    </xf>
    <xf numFmtId="164" fontId="0" fillId="2" borderId="267" xfId="0" applyNumberFormat="1" applyFill="1" applyBorder="1" applyAlignment="1">
      <alignment vertical="center"/>
    </xf>
    <xf numFmtId="164" fontId="0" fillId="2" borderId="297" xfId="0" applyNumberFormat="1" applyFill="1" applyBorder="1" applyAlignment="1">
      <alignment vertical="center"/>
    </xf>
    <xf numFmtId="164" fontId="6" fillId="5" borderId="296" xfId="0" applyNumberFormat="1" applyFont="1" applyFill="1" applyBorder="1" applyAlignment="1">
      <alignment vertical="center"/>
    </xf>
    <xf numFmtId="164" fontId="6" fillId="5" borderId="13" xfId="0" applyNumberFormat="1" applyFont="1" applyFill="1" applyBorder="1" applyAlignment="1">
      <alignment vertical="center"/>
    </xf>
    <xf numFmtId="164" fontId="6" fillId="5" borderId="161" xfId="0" applyNumberFormat="1" applyFont="1" applyFill="1" applyBorder="1" applyAlignment="1">
      <alignment vertical="center"/>
    </xf>
    <xf numFmtId="0" fontId="0" fillId="2" borderId="298" xfId="0" applyFill="1" applyBorder="1" applyAlignment="1">
      <alignment vertical="center"/>
    </xf>
    <xf numFmtId="0" fontId="0" fillId="2" borderId="83" xfId="0" applyFill="1" applyBorder="1" applyAlignment="1">
      <alignment vertical="center"/>
    </xf>
    <xf numFmtId="0" fontId="0" fillId="2" borderId="207" xfId="0" applyFill="1" applyBorder="1" applyAlignment="1">
      <alignment vertical="center"/>
    </xf>
    <xf numFmtId="164" fontId="6" fillId="5" borderId="299" xfId="0" applyNumberFormat="1" applyFont="1" applyFill="1" applyBorder="1" applyAlignment="1">
      <alignment vertical="center"/>
    </xf>
    <xf numFmtId="164" fontId="6" fillId="5" borderId="190" xfId="0" applyNumberFormat="1" applyFont="1" applyFill="1" applyBorder="1" applyAlignment="1">
      <alignment vertical="center"/>
    </xf>
    <xf numFmtId="164" fontId="6" fillId="5" borderId="288" xfId="0" applyNumberFormat="1" applyFont="1" applyFill="1" applyBorder="1" applyAlignment="1">
      <alignment vertical="center"/>
    </xf>
    <xf numFmtId="0" fontId="15" fillId="0" borderId="0" xfId="0" applyFont="1" applyAlignment="1">
      <alignment horizontal="right" vertical="center"/>
    </xf>
    <xf numFmtId="164" fontId="0" fillId="7" borderId="196" xfId="0" applyNumberFormat="1" applyFill="1" applyBorder="1" applyAlignment="1">
      <alignment vertical="center"/>
    </xf>
    <xf numFmtId="10" fontId="0" fillId="7" borderId="53" xfId="0" applyNumberFormat="1" applyFill="1" applyBorder="1" applyAlignment="1">
      <alignment vertical="center"/>
    </xf>
    <xf numFmtId="167" fontId="0" fillId="7" borderId="53" xfId="0" applyNumberFormat="1" applyFill="1" applyBorder="1" applyAlignment="1">
      <alignment vertical="center"/>
    </xf>
    <xf numFmtId="164" fontId="0" fillId="7" borderId="233" xfId="0" applyNumberFormat="1" applyFill="1" applyBorder="1" applyAlignment="1">
      <alignment vertical="center"/>
    </xf>
    <xf numFmtId="166" fontId="6" fillId="0" borderId="305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horizontal="center"/>
    </xf>
    <xf numFmtId="0" fontId="1" fillId="4" borderId="3" xfId="0" applyFont="1" applyFill="1" applyBorder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</xf>
    <xf numFmtId="0" fontId="2" fillId="8" borderId="2" xfId="0" applyFont="1" applyFill="1" applyBorder="1" applyAlignment="1" applyProtection="1">
      <alignment horizontal="left" vertical="center"/>
    </xf>
    <xf numFmtId="0" fontId="2" fillId="8" borderId="3" xfId="0" applyFont="1" applyFill="1" applyBorder="1" applyAlignment="1" applyProtection="1">
      <alignment horizontal="left" vertical="center"/>
    </xf>
    <xf numFmtId="0" fontId="2" fillId="8" borderId="4" xfId="0" applyFont="1" applyFill="1" applyBorder="1" applyAlignment="1" applyProtection="1">
      <alignment horizontal="left" vertical="center"/>
    </xf>
    <xf numFmtId="0" fontId="0" fillId="3" borderId="11" xfId="0" applyFill="1" applyBorder="1" applyAlignment="1" applyProtection="1">
      <alignment horizontal="left" vertical="center"/>
      <protection locked="0"/>
    </xf>
    <xf numFmtId="0" fontId="0" fillId="3" borderId="25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center" wrapText="1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3" borderId="54" xfId="0" applyFill="1" applyBorder="1" applyAlignment="1" applyProtection="1">
      <alignment horizontal="left" vertical="center"/>
      <protection locked="0"/>
    </xf>
    <xf numFmtId="0" fontId="0" fillId="3" borderId="97" xfId="0" applyFill="1" applyBorder="1" applyAlignment="1" applyProtection="1">
      <alignment horizontal="left" vertical="center"/>
      <protection locked="0"/>
    </xf>
    <xf numFmtId="0" fontId="0" fillId="0" borderId="103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horizontal="left" vertical="top" wrapText="1"/>
    </xf>
    <xf numFmtId="0" fontId="0" fillId="0" borderId="104" xfId="0" applyBorder="1" applyAlignment="1" applyProtection="1">
      <alignment horizontal="left" vertical="top" wrapText="1"/>
    </xf>
    <xf numFmtId="0" fontId="0" fillId="0" borderId="105" xfId="0" applyBorder="1" applyAlignment="1" applyProtection="1">
      <alignment horizontal="left" vertical="top" wrapText="1"/>
    </xf>
    <xf numFmtId="0" fontId="0" fillId="0" borderId="1" xfId="0" applyBorder="1" applyAlignment="1" applyProtection="1">
      <alignment horizontal="left" vertical="top" wrapText="1"/>
    </xf>
    <xf numFmtId="0" fontId="0" fillId="0" borderId="106" xfId="0" applyBorder="1" applyAlignment="1" applyProtection="1">
      <alignment horizontal="left" vertical="top" wrapText="1"/>
    </xf>
    <xf numFmtId="0" fontId="6" fillId="0" borderId="102" xfId="0" applyFont="1" applyBorder="1" applyAlignment="1" applyProtection="1">
      <alignment horizontal="left" vertical="top"/>
    </xf>
    <xf numFmtId="0" fontId="6" fillId="0" borderId="100" xfId="0" applyFont="1" applyBorder="1" applyAlignment="1" applyProtection="1">
      <alignment horizontal="left" vertical="top"/>
    </xf>
    <xf numFmtId="0" fontId="6" fillId="0" borderId="74" xfId="0" applyFont="1" applyBorder="1" applyAlignment="1" applyProtection="1">
      <alignment horizontal="left" vertical="top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3" borderId="26" xfId="0" applyFont="1" applyFill="1" applyBorder="1" applyAlignment="1" applyProtection="1">
      <alignment horizontal="left" vertical="center"/>
      <protection locked="0"/>
    </xf>
    <xf numFmtId="0" fontId="3" fillId="0" borderId="15" xfId="0" applyFont="1" applyBorder="1" applyAlignment="1" applyProtection="1">
      <alignment horizontal="left" vertical="center"/>
    </xf>
    <xf numFmtId="0" fontId="3" fillId="0" borderId="24" xfId="0" applyFont="1" applyBorder="1" applyAlignment="1" applyProtection="1">
      <alignment horizontal="left" vertical="center"/>
    </xf>
    <xf numFmtId="14" fontId="0" fillId="3" borderId="100" xfId="0" applyNumberForma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/>
    </xf>
    <xf numFmtId="0" fontId="6" fillId="0" borderId="30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28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27" xfId="0" applyFill="1" applyBorder="1" applyAlignment="1" applyProtection="1">
      <alignment horizontal="center" vertical="center"/>
    </xf>
    <xf numFmtId="0" fontId="0" fillId="2" borderId="28" xfId="0" applyFill="1" applyBorder="1" applyAlignment="1" applyProtection="1">
      <alignment horizontal="center" vertical="center"/>
    </xf>
    <xf numFmtId="0" fontId="0" fillId="2" borderId="68" xfId="0" applyFill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center" vertical="center"/>
    </xf>
    <xf numFmtId="0" fontId="6" fillId="0" borderId="37" xfId="0" applyFon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left" vertical="center" wrapText="1"/>
    </xf>
    <xf numFmtId="0" fontId="0" fillId="0" borderId="15" xfId="0" applyBorder="1" applyAlignment="1" applyProtection="1">
      <alignment horizontal="left" vertical="center" wrapText="1"/>
    </xf>
    <xf numFmtId="0" fontId="5" fillId="0" borderId="39" xfId="0" applyFont="1" applyBorder="1" applyAlignment="1" applyProtection="1">
      <alignment horizontal="center" vertical="center" wrapText="1"/>
    </xf>
    <xf numFmtId="0" fontId="5" fillId="0" borderId="40" xfId="0" applyFont="1" applyBorder="1" applyAlignment="1" applyProtection="1">
      <alignment horizontal="center" vertical="center" wrapText="1"/>
    </xf>
    <xf numFmtId="0" fontId="5" fillId="0" borderId="29" xfId="0" applyFont="1" applyBorder="1" applyAlignment="1" applyProtection="1">
      <alignment horizontal="center" vertical="center" wrapText="1"/>
    </xf>
    <xf numFmtId="0" fontId="5" fillId="0" borderId="16" xfId="0" applyFont="1" applyBorder="1" applyAlignment="1" applyProtection="1">
      <alignment horizontal="center" vertical="center" wrapText="1"/>
    </xf>
    <xf numFmtId="0" fontId="0" fillId="0" borderId="114" xfId="0" applyBorder="1" applyAlignment="1" applyProtection="1">
      <alignment horizontal="center" vertical="center" wrapText="1"/>
    </xf>
    <xf numFmtId="0" fontId="0" fillId="0" borderId="112" xfId="0" applyBorder="1" applyAlignment="1" applyProtection="1">
      <alignment horizontal="center" vertical="center" wrapText="1"/>
    </xf>
    <xf numFmtId="0" fontId="6" fillId="0" borderId="27" xfId="0" applyFont="1" applyBorder="1" applyAlignment="1" applyProtection="1">
      <alignment horizontal="left" vertical="center" wrapText="1"/>
    </xf>
    <xf numFmtId="0" fontId="6" fillId="0" borderId="15" xfId="0" applyFont="1" applyBorder="1" applyAlignment="1" applyProtection="1">
      <alignment horizontal="left" vertical="center" wrapText="1"/>
    </xf>
    <xf numFmtId="0" fontId="9" fillId="0" borderId="29" xfId="0" applyFont="1" applyBorder="1" applyAlignment="1" applyProtection="1">
      <alignment horizontal="center" vertical="center" wrapText="1"/>
    </xf>
    <xf numFmtId="0" fontId="9" fillId="0" borderId="16" xfId="0" applyFont="1" applyBorder="1" applyAlignment="1" applyProtection="1">
      <alignment horizontal="center" vertical="center" wrapText="1"/>
    </xf>
    <xf numFmtId="0" fontId="9" fillId="0" borderId="39" xfId="0" applyFont="1" applyBorder="1" applyAlignment="1" applyProtection="1">
      <alignment horizontal="center" vertical="center" wrapText="1"/>
    </xf>
    <xf numFmtId="0" fontId="9" fillId="0" borderId="40" xfId="0" applyFont="1" applyBorder="1" applyAlignment="1" applyProtection="1">
      <alignment horizontal="center" vertical="center" wrapText="1"/>
    </xf>
    <xf numFmtId="164" fontId="6" fillId="5" borderId="8" xfId="0" applyNumberFormat="1" applyFont="1" applyFill="1" applyBorder="1" applyAlignment="1" applyProtection="1">
      <alignment horizontal="center" vertical="center"/>
    </xf>
    <xf numFmtId="164" fontId="6" fillId="5" borderId="9" xfId="0" applyNumberFormat="1" applyFont="1" applyFill="1" applyBorder="1" applyAlignment="1" applyProtection="1">
      <alignment horizontal="center" vertical="center"/>
    </xf>
    <xf numFmtId="0" fontId="14" fillId="0" borderId="28" xfId="0" applyFont="1" applyBorder="1" applyAlignment="1" applyProtection="1">
      <alignment horizontal="center" vertical="center" wrapText="1"/>
    </xf>
    <xf numFmtId="0" fontId="14" fillId="0" borderId="28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164" fontId="8" fillId="9" borderId="86" xfId="0" applyNumberFormat="1" applyFont="1" applyFill="1" applyBorder="1" applyAlignment="1" applyProtection="1">
      <alignment horizontal="center" vertical="center"/>
    </xf>
    <xf numFmtId="0" fontId="8" fillId="9" borderId="120" xfId="0" applyFont="1" applyFill="1" applyBorder="1" applyAlignment="1" applyProtection="1">
      <alignment horizontal="center" vertical="center"/>
    </xf>
    <xf numFmtId="164" fontId="0" fillId="7" borderId="132" xfId="0" applyNumberFormat="1" applyFill="1" applyBorder="1" applyAlignment="1" applyProtection="1">
      <alignment horizontal="center" vertical="center"/>
      <protection locked="0"/>
    </xf>
    <xf numFmtId="164" fontId="0" fillId="7" borderId="22" xfId="0" applyNumberFormat="1" applyFill="1" applyBorder="1" applyAlignment="1" applyProtection="1">
      <alignment horizontal="center" vertical="center"/>
      <protection locked="0"/>
    </xf>
    <xf numFmtId="164" fontId="0" fillId="7" borderId="41" xfId="0" applyNumberFormat="1" applyFill="1" applyBorder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7" borderId="0" xfId="0" applyFill="1" applyBorder="1" applyAlignment="1" applyProtection="1">
      <alignment horizontal="center" vertical="center"/>
      <protection locked="0"/>
    </xf>
    <xf numFmtId="0" fontId="0" fillId="7" borderId="124" xfId="0" applyFill="1" applyBorder="1" applyAlignment="1" applyProtection="1">
      <alignment horizontal="center" vertical="center"/>
      <protection locked="0"/>
    </xf>
    <xf numFmtId="0" fontId="14" fillId="0" borderId="39" xfId="0" applyFont="1" applyBorder="1" applyAlignment="1" applyProtection="1">
      <alignment horizontal="center" vertical="center" wrapText="1"/>
    </xf>
    <xf numFmtId="0" fontId="14" fillId="0" borderId="40" xfId="0" applyFont="1" applyBorder="1" applyAlignment="1" applyProtection="1">
      <alignment horizontal="center" vertical="center" wrapText="1"/>
    </xf>
    <xf numFmtId="0" fontId="6" fillId="0" borderId="68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right" vertical="center"/>
    </xf>
    <xf numFmtId="0" fontId="2" fillId="0" borderId="3" xfId="0" applyFont="1" applyBorder="1" applyAlignment="1" applyProtection="1">
      <alignment horizontal="right" vertical="center"/>
    </xf>
    <xf numFmtId="0" fontId="2" fillId="0" borderId="4" xfId="0" applyFont="1" applyBorder="1" applyAlignment="1" applyProtection="1">
      <alignment horizontal="right" vertical="center"/>
    </xf>
    <xf numFmtId="0" fontId="6" fillId="0" borderId="71" xfId="0" applyFont="1" applyBorder="1" applyAlignment="1" applyProtection="1">
      <alignment horizontal="center" vertical="center" wrapText="1"/>
    </xf>
    <xf numFmtId="0" fontId="6" fillId="0" borderId="70" xfId="0" applyFont="1" applyBorder="1" applyAlignment="1" applyProtection="1">
      <alignment horizontal="center" vertical="center" wrapText="1"/>
    </xf>
    <xf numFmtId="0" fontId="6" fillId="0" borderId="70" xfId="0" applyFont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right" vertical="center"/>
    </xf>
    <xf numFmtId="0" fontId="6" fillId="0" borderId="153" xfId="0" applyFont="1" applyFill="1" applyBorder="1" applyAlignment="1" applyProtection="1">
      <alignment horizontal="right" vertical="center"/>
    </xf>
    <xf numFmtId="0" fontId="0" fillId="0" borderId="192" xfId="0" applyBorder="1" applyAlignment="1" applyProtection="1">
      <alignment horizontal="right" vertical="center"/>
    </xf>
    <xf numFmtId="0" fontId="0" fillId="0" borderId="193" xfId="0" applyBorder="1" applyAlignment="1" applyProtection="1">
      <alignment horizontal="right" vertical="center"/>
    </xf>
    <xf numFmtId="0" fontId="0" fillId="0" borderId="204" xfId="0" applyBorder="1" applyAlignment="1" applyProtection="1">
      <alignment horizontal="right" vertical="center"/>
    </xf>
    <xf numFmtId="0" fontId="0" fillId="0" borderId="11" xfId="0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/>
    </xf>
    <xf numFmtId="0" fontId="0" fillId="0" borderId="25" xfId="0" applyBorder="1" applyAlignment="1" applyProtection="1">
      <alignment horizontal="right" vertical="center"/>
    </xf>
    <xf numFmtId="0" fontId="0" fillId="0" borderId="198" xfId="0" applyBorder="1" applyAlignment="1" applyProtection="1">
      <alignment horizontal="right" vertical="center"/>
    </xf>
    <xf numFmtId="0" fontId="0" fillId="0" borderId="199" xfId="0" applyBorder="1" applyAlignment="1" applyProtection="1">
      <alignment horizontal="right" vertical="center"/>
    </xf>
    <xf numFmtId="0" fontId="0" fillId="0" borderId="205" xfId="0" applyBorder="1" applyAlignment="1" applyProtection="1">
      <alignment horizontal="right" vertical="center"/>
    </xf>
    <xf numFmtId="0" fontId="0" fillId="0" borderId="0" xfId="0" applyBorder="1" applyAlignment="1" applyProtection="1">
      <alignment horizontal="right" vertical="center"/>
    </xf>
    <xf numFmtId="0" fontId="0" fillId="0" borderId="153" xfId="0" applyBorder="1" applyAlignment="1" applyProtection="1">
      <alignment horizontal="right" vertical="center"/>
    </xf>
    <xf numFmtId="0" fontId="0" fillId="9" borderId="15" xfId="0" applyFill="1" applyBorder="1" applyAlignment="1" applyProtection="1">
      <alignment horizontal="left" vertical="center"/>
    </xf>
    <xf numFmtId="0" fontId="0" fillId="9" borderId="32" xfId="0" applyFill="1" applyBorder="1" applyAlignment="1" applyProtection="1">
      <alignment horizontal="left" vertical="center"/>
    </xf>
    <xf numFmtId="0" fontId="0" fillId="9" borderId="155" xfId="0" applyFill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/>
    </xf>
    <xf numFmtId="0" fontId="0" fillId="0" borderId="164" xfId="0" applyBorder="1" applyAlignment="1" applyProtection="1">
      <alignment horizontal="left" vertical="center"/>
    </xf>
    <xf numFmtId="0" fontId="0" fillId="0" borderId="157" xfId="0" applyBorder="1" applyAlignment="1" applyProtection="1">
      <alignment horizontal="left" vertical="center"/>
    </xf>
    <xf numFmtId="0" fontId="0" fillId="0" borderId="158" xfId="0" applyBorder="1" applyAlignment="1" applyProtection="1">
      <alignment horizontal="left" vertical="center"/>
    </xf>
    <xf numFmtId="0" fontId="0" fillId="0" borderId="159" xfId="0" applyBorder="1" applyAlignment="1" applyProtection="1">
      <alignment horizontal="left" vertical="center"/>
    </xf>
    <xf numFmtId="0" fontId="0" fillId="0" borderId="160" xfId="0" applyBorder="1" applyAlignment="1" applyProtection="1">
      <alignment horizontal="left" vertical="center"/>
    </xf>
    <xf numFmtId="0" fontId="0" fillId="0" borderId="182" xfId="0" applyBorder="1" applyAlignment="1" applyProtection="1">
      <alignment horizontal="left" vertical="center"/>
    </xf>
    <xf numFmtId="0" fontId="0" fillId="0" borderId="183" xfId="0" applyBorder="1" applyAlignment="1" applyProtection="1">
      <alignment horizontal="left" vertical="center"/>
    </xf>
    <xf numFmtId="0" fontId="2" fillId="5" borderId="2" xfId="0" applyFont="1" applyFill="1" applyBorder="1" applyAlignment="1" applyProtection="1">
      <alignment horizontal="left" vertical="center"/>
    </xf>
    <xf numFmtId="0" fontId="2" fillId="5" borderId="3" xfId="0" applyFont="1" applyFill="1" applyBorder="1" applyAlignment="1" applyProtection="1">
      <alignment horizontal="left" vertical="center"/>
    </xf>
    <xf numFmtId="0" fontId="2" fillId="5" borderId="178" xfId="0" applyFont="1" applyFill="1" applyBorder="1" applyAlignment="1" applyProtection="1">
      <alignment horizontal="left" vertical="center"/>
    </xf>
    <xf numFmtId="0" fontId="0" fillId="0" borderId="12" xfId="0" applyBorder="1" applyAlignment="1" applyProtection="1">
      <alignment horizontal="left" vertical="center" wrapText="1"/>
    </xf>
    <xf numFmtId="0" fontId="0" fillId="0" borderId="164" xfId="0" applyBorder="1" applyAlignment="1" applyProtection="1">
      <alignment horizontal="left" vertical="center" wrapText="1"/>
    </xf>
    <xf numFmtId="0" fontId="6" fillId="0" borderId="27" xfId="0" applyFont="1" applyBorder="1" applyAlignment="1" applyProtection="1">
      <alignment horizontal="left" vertical="center"/>
    </xf>
    <xf numFmtId="0" fontId="6" fillId="0" borderId="28" xfId="0" applyFont="1" applyBorder="1" applyAlignment="1" applyProtection="1">
      <alignment horizontal="left" vertical="center"/>
    </xf>
    <xf numFmtId="0" fontId="6" fillId="0" borderId="154" xfId="0" applyFont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/>
    </xf>
    <xf numFmtId="0" fontId="6" fillId="0" borderId="32" xfId="0" applyFont="1" applyBorder="1" applyAlignment="1" applyProtection="1">
      <alignment horizontal="left" vertical="center"/>
    </xf>
    <xf numFmtId="0" fontId="6" fillId="0" borderId="155" xfId="0" applyFont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/>
    </xf>
    <xf numFmtId="0" fontId="0" fillId="0" borderId="12" xfId="0" applyFill="1" applyBorder="1" applyAlignment="1" applyProtection="1">
      <alignment horizontal="left" vertical="center"/>
    </xf>
    <xf numFmtId="0" fontId="0" fillId="0" borderId="164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vertical="center"/>
    </xf>
    <xf numFmtId="0" fontId="0" fillId="0" borderId="12" xfId="0" applyFill="1" applyBorder="1" applyAlignment="1" applyProtection="1">
      <alignment vertical="center"/>
    </xf>
    <xf numFmtId="0" fontId="0" fillId="0" borderId="164" xfId="0" applyFill="1" applyBorder="1" applyAlignment="1" applyProtection="1">
      <alignment vertical="center"/>
    </xf>
    <xf numFmtId="0" fontId="12" fillId="0" borderId="216" xfId="0" applyFont="1" applyBorder="1" applyAlignment="1" applyProtection="1">
      <alignment horizontal="right" vertical="center"/>
    </xf>
    <xf numFmtId="0" fontId="12" fillId="0" borderId="217" xfId="0" applyFont="1" applyBorder="1" applyAlignment="1" applyProtection="1">
      <alignment horizontal="right" vertical="center"/>
    </xf>
    <xf numFmtId="0" fontId="12" fillId="0" borderId="218" xfId="0" applyFont="1" applyBorder="1" applyAlignment="1" applyProtection="1">
      <alignment horizontal="right" vertical="center"/>
    </xf>
    <xf numFmtId="0" fontId="0" fillId="0" borderId="11" xfId="0" applyBorder="1" applyAlignment="1" applyProtection="1">
      <alignment horizontal="left" vertical="center"/>
    </xf>
    <xf numFmtId="0" fontId="2" fillId="0" borderId="260" xfId="0" applyFont="1" applyBorder="1" applyAlignment="1" applyProtection="1">
      <alignment horizontal="right" vertical="center"/>
    </xf>
    <xf numFmtId="0" fontId="2" fillId="0" borderId="201" xfId="0" applyFont="1" applyBorder="1" applyAlignment="1" applyProtection="1">
      <alignment horizontal="right" vertical="center"/>
    </xf>
    <xf numFmtId="0" fontId="10" fillId="0" borderId="85" xfId="0" applyFont="1" applyBorder="1" applyAlignment="1" applyProtection="1">
      <alignment horizontal="right" vertical="center"/>
    </xf>
    <xf numFmtId="0" fontId="10" fillId="0" borderId="215" xfId="0" applyFont="1" applyBorder="1" applyAlignment="1" applyProtection="1">
      <alignment horizontal="right" vertical="center"/>
    </xf>
    <xf numFmtId="0" fontId="10" fillId="0" borderId="244" xfId="0" applyFont="1" applyBorder="1" applyAlignment="1" applyProtection="1">
      <alignment horizontal="right" vertical="center"/>
    </xf>
    <xf numFmtId="0" fontId="6" fillId="0" borderId="2" xfId="0" applyFont="1" applyBorder="1" applyAlignment="1" applyProtection="1">
      <alignment horizontal="right" vertical="center"/>
    </xf>
    <xf numFmtId="0" fontId="6" fillId="0" borderId="3" xfId="0" applyFont="1" applyBorder="1" applyAlignment="1" applyProtection="1">
      <alignment horizontal="right" vertical="center"/>
    </xf>
    <xf numFmtId="0" fontId="6" fillId="0" borderId="178" xfId="0" applyFont="1" applyBorder="1" applyAlignment="1" applyProtection="1">
      <alignment horizontal="right" vertical="center"/>
    </xf>
    <xf numFmtId="0" fontId="10" fillId="0" borderId="216" xfId="0" applyFont="1" applyBorder="1" applyAlignment="1" applyProtection="1">
      <alignment horizontal="left" vertical="center"/>
    </xf>
    <xf numFmtId="0" fontId="10" fillId="0" borderId="217" xfId="0" applyFont="1" applyBorder="1" applyAlignment="1" applyProtection="1">
      <alignment horizontal="left" vertical="center"/>
    </xf>
    <xf numFmtId="0" fontId="10" fillId="0" borderId="218" xfId="0" applyFont="1" applyBorder="1" applyAlignment="1" applyProtection="1">
      <alignment horizontal="left" vertical="center"/>
    </xf>
    <xf numFmtId="0" fontId="0" fillId="0" borderId="10" xfId="0" applyFill="1" applyBorder="1" applyAlignment="1" applyProtection="1">
      <alignment vertical="center"/>
    </xf>
    <xf numFmtId="0" fontId="0" fillId="0" borderId="157" xfId="0" applyFill="1" applyBorder="1" applyAlignment="1" applyProtection="1">
      <alignment vertical="center"/>
    </xf>
    <xf numFmtId="0" fontId="0" fillId="0" borderId="158" xfId="0" applyFill="1" applyBorder="1" applyAlignment="1" applyProtection="1">
      <alignment vertical="center"/>
    </xf>
    <xf numFmtId="0" fontId="0" fillId="3" borderId="151" xfId="0" applyFill="1" applyBorder="1" applyAlignment="1" applyProtection="1">
      <alignment horizontal="left" vertical="center"/>
      <protection locked="0"/>
    </xf>
    <xf numFmtId="0" fontId="0" fillId="3" borderId="159" xfId="0" applyFill="1" applyBorder="1" applyAlignment="1" applyProtection="1">
      <alignment horizontal="left" vertical="center"/>
      <protection locked="0"/>
    </xf>
    <xf numFmtId="0" fontId="0" fillId="3" borderId="160" xfId="0" applyFill="1" applyBorder="1" applyAlignment="1" applyProtection="1">
      <alignment horizontal="left" vertical="center"/>
      <protection locked="0"/>
    </xf>
    <xf numFmtId="0" fontId="0" fillId="3" borderId="75" xfId="0" applyFill="1" applyBorder="1" applyAlignment="1" applyProtection="1">
      <alignment horizontal="left" vertical="center"/>
      <protection locked="0"/>
    </xf>
    <xf numFmtId="0" fontId="0" fillId="3" borderId="213" xfId="0" applyFill="1" applyBorder="1" applyAlignment="1" applyProtection="1">
      <alignment horizontal="left" vertical="center"/>
      <protection locked="0"/>
    </xf>
    <xf numFmtId="0" fontId="0" fillId="3" borderId="214" xfId="0" applyFill="1" applyBorder="1" applyAlignment="1" applyProtection="1">
      <alignment horizontal="left" vertical="center"/>
      <protection locked="0"/>
    </xf>
    <xf numFmtId="0" fontId="6" fillId="0" borderId="38" xfId="0" applyFont="1" applyBorder="1" applyAlignment="1" applyProtection="1">
      <alignment horizontal="center" vertical="center"/>
    </xf>
    <xf numFmtId="0" fontId="0" fillId="0" borderId="10" xfId="0" applyFill="1" applyBorder="1" applyAlignment="1" applyProtection="1">
      <alignment horizontal="left" vertical="center"/>
    </xf>
    <xf numFmtId="0" fontId="0" fillId="0" borderId="157" xfId="0" applyFill="1" applyBorder="1" applyAlignment="1" applyProtection="1">
      <alignment horizontal="left" vertical="center"/>
    </xf>
    <xf numFmtId="0" fontId="0" fillId="0" borderId="158" xfId="0" applyFill="1" applyBorder="1" applyAlignment="1" applyProtection="1">
      <alignment horizontal="left" vertical="center"/>
    </xf>
    <xf numFmtId="0" fontId="2" fillId="0" borderId="27" xfId="0" applyFont="1" applyBorder="1" applyAlignment="1" applyProtection="1">
      <alignment horizontal="left" vertical="center"/>
    </xf>
    <xf numFmtId="0" fontId="2" fillId="0" borderId="28" xfId="0" applyFont="1" applyBorder="1" applyAlignment="1" applyProtection="1">
      <alignment horizontal="left" vertical="center"/>
    </xf>
    <xf numFmtId="0" fontId="2" fillId="0" borderId="154" xfId="0" applyFont="1" applyBorder="1" applyAlignment="1" applyProtection="1">
      <alignment horizontal="left" vertical="center"/>
    </xf>
    <xf numFmtId="0" fontId="2" fillId="0" borderId="15" xfId="0" applyFont="1" applyBorder="1" applyAlignment="1" applyProtection="1">
      <alignment horizontal="left" vertical="center"/>
    </xf>
    <xf numFmtId="0" fontId="2" fillId="0" borderId="32" xfId="0" applyFont="1" applyBorder="1" applyAlignment="1" applyProtection="1">
      <alignment horizontal="left" vertical="center"/>
    </xf>
    <xf numFmtId="0" fontId="2" fillId="0" borderId="155" xfId="0" applyFont="1" applyBorder="1" applyAlignment="1" applyProtection="1">
      <alignment horizontal="left" vertical="center"/>
    </xf>
    <xf numFmtId="0" fontId="0" fillId="0" borderId="198" xfId="0" applyBorder="1" applyAlignment="1" applyProtection="1">
      <alignment horizontal="left" vertical="center"/>
    </xf>
    <xf numFmtId="0" fontId="0" fillId="0" borderId="199" xfId="0" applyBorder="1" applyAlignment="1" applyProtection="1">
      <alignment horizontal="left" vertical="center"/>
    </xf>
    <xf numFmtId="0" fontId="0" fillId="0" borderId="278" xfId="0" applyBorder="1" applyAlignment="1" applyProtection="1">
      <alignment horizontal="left" vertical="center"/>
    </xf>
    <xf numFmtId="164" fontId="0" fillId="0" borderId="49" xfId="0" applyNumberFormat="1" applyFill="1" applyBorder="1" applyAlignment="1" applyProtection="1">
      <alignment horizontal="center" vertical="center"/>
    </xf>
    <xf numFmtId="164" fontId="0" fillId="0" borderId="22" xfId="0" applyNumberFormat="1" applyFill="1" applyBorder="1" applyAlignment="1" applyProtection="1">
      <alignment horizontal="center" vertical="center"/>
    </xf>
    <xf numFmtId="164" fontId="0" fillId="0" borderId="267" xfId="0" applyNumberFormat="1" applyFill="1" applyBorder="1" applyAlignment="1" applyProtection="1">
      <alignment horizontal="center" vertical="center"/>
    </xf>
    <xf numFmtId="164" fontId="0" fillId="0" borderId="12" xfId="0" applyNumberFormat="1" applyFill="1" applyBorder="1" applyAlignment="1" applyProtection="1">
      <alignment horizontal="center" vertical="center"/>
    </xf>
    <xf numFmtId="164" fontId="0" fillId="0" borderId="25" xfId="0" applyNumberFormat="1" applyFill="1" applyBorder="1" applyAlignment="1" applyProtection="1">
      <alignment horizontal="center" vertical="center"/>
    </xf>
    <xf numFmtId="164" fontId="0" fillId="0" borderId="268" xfId="0" applyNumberFormat="1" applyFill="1" applyBorder="1" applyAlignment="1" applyProtection="1">
      <alignment horizontal="center" vertical="center"/>
    </xf>
    <xf numFmtId="164" fontId="0" fillId="0" borderId="199" xfId="0" applyNumberFormat="1" applyFill="1" applyBorder="1" applyAlignment="1" applyProtection="1">
      <alignment horizontal="center" vertical="center"/>
    </xf>
    <xf numFmtId="164" fontId="0" fillId="0" borderId="205" xfId="0" applyNumberFormat="1" applyFill="1" applyBorder="1" applyAlignment="1" applyProtection="1">
      <alignment horizontal="center" vertical="center"/>
    </xf>
    <xf numFmtId="164" fontId="0" fillId="0" borderId="172" xfId="0" applyNumberFormat="1" applyFill="1" applyBorder="1" applyAlignment="1" applyProtection="1">
      <alignment horizontal="center" vertical="center"/>
    </xf>
    <xf numFmtId="164" fontId="0" fillId="0" borderId="73" xfId="0" applyNumberFormat="1" applyFill="1" applyBorder="1" applyAlignment="1" applyProtection="1">
      <alignment horizontal="center" vertical="center"/>
    </xf>
    <xf numFmtId="164" fontId="0" fillId="0" borderId="269" xfId="0" applyNumberFormat="1" applyFill="1" applyBorder="1" applyAlignment="1" applyProtection="1">
      <alignment horizontal="center" vertical="center"/>
    </xf>
    <xf numFmtId="164" fontId="0" fillId="0" borderId="270" xfId="0" applyNumberFormat="1" applyFill="1" applyBorder="1" applyAlignment="1" applyProtection="1">
      <alignment horizontal="center" vertical="center"/>
    </xf>
    <xf numFmtId="0" fontId="0" fillId="0" borderId="151" xfId="0" applyFill="1" applyBorder="1" applyAlignment="1" applyProtection="1">
      <alignment horizontal="left" vertical="center"/>
    </xf>
    <xf numFmtId="0" fontId="0" fillId="0" borderId="159" xfId="0" applyFill="1" applyBorder="1" applyAlignment="1" applyProtection="1">
      <alignment horizontal="left" vertical="center"/>
    </xf>
    <xf numFmtId="0" fontId="0" fillId="0" borderId="160" xfId="0" applyFill="1" applyBorder="1" applyAlignment="1" applyProtection="1">
      <alignment horizontal="left" vertical="center"/>
    </xf>
    <xf numFmtId="0" fontId="0" fillId="0" borderId="240" xfId="0" applyFill="1" applyBorder="1" applyAlignment="1" applyProtection="1">
      <alignment horizontal="left" vertical="center"/>
    </xf>
    <xf numFmtId="0" fontId="0" fillId="0" borderId="241" xfId="0" applyFill="1" applyBorder="1" applyAlignment="1" applyProtection="1">
      <alignment horizontal="left" vertical="center"/>
    </xf>
    <xf numFmtId="0" fontId="0" fillId="0" borderId="242" xfId="0" applyFill="1" applyBorder="1" applyAlignment="1" applyProtection="1">
      <alignment horizontal="left" vertical="center"/>
    </xf>
    <xf numFmtId="0" fontId="0" fillId="0" borderId="5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153" xfId="0" applyFill="1" applyBorder="1" applyAlignment="1" applyProtection="1">
      <alignment horizontal="left" vertical="center"/>
    </xf>
    <xf numFmtId="0" fontId="0" fillId="0" borderId="11" xfId="0" applyFill="1" applyBorder="1" applyAlignment="1" applyProtection="1">
      <alignment horizontal="left" vertical="center" wrapText="1"/>
    </xf>
    <xf numFmtId="0" fontId="0" fillId="0" borderId="12" xfId="0" applyFill="1" applyBorder="1" applyAlignment="1" applyProtection="1">
      <alignment horizontal="left" vertical="center" wrapText="1"/>
    </xf>
    <xf numFmtId="0" fontId="0" fillId="0" borderId="164" xfId="0" applyFill="1" applyBorder="1" applyAlignment="1" applyProtection="1">
      <alignment horizontal="left" vertical="center" wrapText="1"/>
    </xf>
    <xf numFmtId="0" fontId="0" fillId="0" borderId="151" xfId="0" applyFill="1" applyBorder="1" applyAlignment="1" applyProtection="1">
      <alignment vertical="center"/>
    </xf>
    <xf numFmtId="0" fontId="0" fillId="0" borderId="159" xfId="0" applyFill="1" applyBorder="1" applyAlignment="1" applyProtection="1">
      <alignment vertical="center"/>
    </xf>
    <xf numFmtId="0" fontId="0" fillId="0" borderId="160" xfId="0" applyFill="1" applyBorder="1" applyAlignment="1" applyProtection="1">
      <alignment vertical="center"/>
    </xf>
    <xf numFmtId="0" fontId="0" fillId="0" borderId="11" xfId="0" applyFill="1" applyBorder="1" applyAlignment="1" applyProtection="1">
      <alignment vertical="center" wrapText="1"/>
    </xf>
    <xf numFmtId="0" fontId="0" fillId="0" borderId="12" xfId="0" applyFill="1" applyBorder="1" applyAlignment="1" applyProtection="1">
      <alignment vertical="center" wrapText="1"/>
    </xf>
    <xf numFmtId="0" fontId="0" fillId="0" borderId="164" xfId="0" applyFill="1" applyBorder="1" applyAlignment="1" applyProtection="1">
      <alignment vertical="center" wrapText="1"/>
    </xf>
    <xf numFmtId="0" fontId="10" fillId="0" borderId="15" xfId="0" applyFont="1" applyBorder="1" applyAlignment="1" applyProtection="1">
      <alignment horizontal="left" vertical="center"/>
    </xf>
    <xf numFmtId="0" fontId="10" fillId="0" borderId="32" xfId="0" applyFont="1" applyBorder="1" applyAlignment="1" applyProtection="1">
      <alignment horizontal="left" vertical="center"/>
    </xf>
    <xf numFmtId="0" fontId="10" fillId="0" borderId="155" xfId="0" applyFont="1" applyBorder="1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4" xfId="0" applyFont="1" applyBorder="1" applyAlignment="1" applyProtection="1">
      <alignment horizontal="left" vertical="center"/>
    </xf>
    <xf numFmtId="0" fontId="0" fillId="3" borderId="164" xfId="0" applyFill="1" applyBorder="1" applyAlignment="1" applyProtection="1">
      <alignment horizontal="left" vertical="center"/>
      <protection locked="0"/>
    </xf>
    <xf numFmtId="0" fontId="0" fillId="3" borderId="10" xfId="0" applyFill="1" applyBorder="1" applyAlignment="1" applyProtection="1">
      <alignment horizontal="left" vertical="center"/>
      <protection locked="0"/>
    </xf>
    <xf numFmtId="0" fontId="0" fillId="3" borderId="157" xfId="0" applyFill="1" applyBorder="1" applyAlignment="1" applyProtection="1">
      <alignment horizontal="left" vertical="center"/>
      <protection locked="0"/>
    </xf>
    <xf numFmtId="0" fontId="0" fillId="3" borderId="158" xfId="0" applyFill="1" applyBorder="1" applyAlignment="1" applyProtection="1">
      <alignment horizontal="left" vertical="center"/>
      <protection locked="0"/>
    </xf>
    <xf numFmtId="0" fontId="10" fillId="0" borderId="198" xfId="0" applyFont="1" applyBorder="1" applyAlignment="1" applyProtection="1">
      <alignment horizontal="right" vertical="center"/>
    </xf>
    <xf numFmtId="0" fontId="10" fillId="0" borderId="199" xfId="0" applyFont="1" applyBorder="1" applyAlignment="1" applyProtection="1">
      <alignment horizontal="right" vertical="center"/>
    </xf>
    <xf numFmtId="0" fontId="10" fillId="0" borderId="278" xfId="0" applyFont="1" applyBorder="1" applyAlignment="1" applyProtection="1">
      <alignment horizontal="right" vertical="center"/>
    </xf>
    <xf numFmtId="0" fontId="0" fillId="0" borderId="151" xfId="0" applyBorder="1" applyAlignment="1" applyProtection="1">
      <alignment horizontal="left" vertical="center"/>
    </xf>
    <xf numFmtId="0" fontId="0" fillId="0" borderId="10" xfId="0" applyBorder="1" applyAlignment="1" applyProtection="1">
      <alignment horizontal="left" vertical="center"/>
    </xf>
    <xf numFmtId="0" fontId="10" fillId="0" borderId="220" xfId="0" applyFont="1" applyBorder="1" applyAlignment="1" applyProtection="1">
      <alignment horizontal="right" vertical="center"/>
    </xf>
    <xf numFmtId="0" fontId="10" fillId="0" borderId="221" xfId="0" applyFont="1" applyBorder="1" applyAlignment="1" applyProtection="1">
      <alignment horizontal="right" vertical="center"/>
    </xf>
    <xf numFmtId="0" fontId="10" fillId="0" borderId="286" xfId="0" applyFont="1" applyBorder="1" applyAlignment="1" applyProtection="1">
      <alignment horizontal="right" vertical="center"/>
    </xf>
    <xf numFmtId="0" fontId="0" fillId="0" borderId="249" xfId="0" applyBorder="1" applyAlignment="1" applyProtection="1">
      <alignment horizontal="right" vertical="center"/>
    </xf>
    <xf numFmtId="0" fontId="0" fillId="0" borderId="250" xfId="0" applyBorder="1" applyAlignment="1" applyProtection="1">
      <alignment horizontal="right" vertical="center"/>
    </xf>
    <xf numFmtId="0" fontId="0" fillId="0" borderId="272" xfId="0" applyBorder="1" applyAlignment="1" applyProtection="1">
      <alignment horizontal="right" vertical="center"/>
    </xf>
    <xf numFmtId="0" fontId="0" fillId="0" borderId="220" xfId="0" applyBorder="1" applyAlignment="1" applyProtection="1">
      <alignment horizontal="right" vertical="center"/>
    </xf>
    <xf numFmtId="0" fontId="0" fillId="0" borderId="221" xfId="0" applyBorder="1" applyAlignment="1" applyProtection="1">
      <alignment horizontal="right" vertical="center"/>
    </xf>
    <xf numFmtId="0" fontId="0" fillId="0" borderId="273" xfId="0" applyBorder="1" applyAlignment="1" applyProtection="1">
      <alignment horizontal="right" vertical="center"/>
    </xf>
    <xf numFmtId="0" fontId="0" fillId="0" borderId="95" xfId="0" applyBorder="1" applyAlignment="1" applyProtection="1">
      <alignment horizontal="right" vertical="center"/>
    </xf>
    <xf numFmtId="0" fontId="0" fillId="0" borderId="62" xfId="0" applyBorder="1" applyAlignment="1" applyProtection="1">
      <alignment horizontal="right" vertical="center"/>
    </xf>
    <xf numFmtId="0" fontId="0" fillId="0" borderId="240" xfId="0" applyFill="1" applyBorder="1" applyAlignment="1" applyProtection="1">
      <alignment horizontal="center" vertical="center"/>
    </xf>
    <xf numFmtId="0" fontId="0" fillId="0" borderId="241" xfId="0" applyFill="1" applyBorder="1" applyAlignment="1" applyProtection="1">
      <alignment horizontal="center" vertical="center"/>
    </xf>
    <xf numFmtId="0" fontId="0" fillId="0" borderId="242" xfId="0" applyFill="1" applyBorder="1" applyAlignment="1" applyProtection="1">
      <alignment horizontal="center" vertical="center"/>
    </xf>
    <xf numFmtId="0" fontId="0" fillId="0" borderId="75" xfId="0" applyFill="1" applyBorder="1" applyAlignment="1" applyProtection="1">
      <alignment horizontal="center" vertical="center"/>
    </xf>
    <xf numFmtId="0" fontId="0" fillId="0" borderId="213" xfId="0" applyFill="1" applyBorder="1" applyAlignment="1" applyProtection="1">
      <alignment horizontal="center" vertical="center"/>
    </xf>
    <xf numFmtId="0" fontId="0" fillId="0" borderId="214" xfId="0" applyFill="1" applyBorder="1" applyAlignment="1" applyProtection="1">
      <alignment horizontal="center" vertical="center"/>
    </xf>
    <xf numFmtId="0" fontId="2" fillId="0" borderId="178" xfId="0" applyFont="1" applyBorder="1" applyAlignment="1" applyProtection="1">
      <alignment horizontal="right" vertical="center"/>
    </xf>
    <xf numFmtId="0" fontId="13" fillId="0" borderId="151" xfId="0" applyFont="1" applyBorder="1" applyAlignment="1" applyProtection="1">
      <alignment horizontal="left" vertical="center"/>
    </xf>
    <xf numFmtId="0" fontId="13" fillId="0" borderId="159" xfId="0" applyFont="1" applyBorder="1" applyAlignment="1" applyProtection="1">
      <alignment horizontal="left" vertical="center"/>
    </xf>
    <xf numFmtId="0" fontId="13" fillId="0" borderId="160" xfId="0" applyFont="1" applyBorder="1" applyAlignment="1" applyProtection="1">
      <alignment horizontal="left" vertical="center"/>
    </xf>
    <xf numFmtId="0" fontId="13" fillId="0" borderId="11" xfId="0" applyFont="1" applyBorder="1" applyAlignment="1" applyProtection="1">
      <alignment horizontal="left" vertical="center"/>
    </xf>
    <xf numFmtId="0" fontId="13" fillId="0" borderId="12" xfId="0" applyFont="1" applyBorder="1" applyAlignment="1" applyProtection="1">
      <alignment horizontal="left" vertical="center"/>
    </xf>
    <xf numFmtId="0" fontId="13" fillId="0" borderId="164" xfId="0" applyFont="1" applyBorder="1" applyAlignment="1" applyProtection="1">
      <alignment horizontal="left" vertical="center"/>
    </xf>
    <xf numFmtId="0" fontId="13" fillId="0" borderId="10" xfId="0" applyFont="1" applyBorder="1" applyAlignment="1" applyProtection="1">
      <alignment horizontal="left" vertical="center"/>
    </xf>
    <xf numFmtId="0" fontId="13" fillId="0" borderId="157" xfId="0" applyFont="1" applyBorder="1" applyAlignment="1" applyProtection="1">
      <alignment horizontal="left" vertical="center"/>
    </xf>
    <xf numFmtId="0" fontId="13" fillId="0" borderId="158" xfId="0" applyFont="1" applyBorder="1" applyAlignment="1" applyProtection="1">
      <alignment horizontal="left" vertical="center"/>
    </xf>
    <xf numFmtId="0" fontId="0" fillId="0" borderId="193" xfId="0" applyFill="1" applyBorder="1" applyAlignment="1" applyProtection="1">
      <alignment horizontal="left" vertical="center"/>
    </xf>
    <xf numFmtId="0" fontId="0" fillId="0" borderId="275" xfId="0" applyFill="1" applyBorder="1" applyAlignment="1" applyProtection="1">
      <alignment horizontal="left" vertical="center"/>
    </xf>
    <xf numFmtId="0" fontId="0" fillId="0" borderId="198" xfId="0" applyFill="1" applyBorder="1" applyAlignment="1" applyProtection="1">
      <alignment horizontal="left" vertical="center"/>
    </xf>
    <xf numFmtId="0" fontId="0" fillId="0" borderId="199" xfId="0" applyFill="1" applyBorder="1" applyAlignment="1" applyProtection="1">
      <alignment horizontal="left" vertical="center"/>
    </xf>
    <xf numFmtId="0" fontId="0" fillId="0" borderId="278" xfId="0" applyFill="1" applyBorder="1" applyAlignment="1" applyProtection="1">
      <alignment horizontal="left" vertical="center"/>
    </xf>
    <xf numFmtId="0" fontId="0" fillId="0" borderId="192" xfId="0" applyFill="1" applyBorder="1" applyAlignment="1" applyProtection="1">
      <alignment horizontal="left" vertical="center"/>
    </xf>
    <xf numFmtId="0" fontId="0" fillId="0" borderId="0" xfId="0" applyAlignment="1">
      <alignment horizontal="center" vertical="center"/>
    </xf>
    <xf numFmtId="164" fontId="6" fillId="6" borderId="300" xfId="0" applyNumberFormat="1" applyFont="1" applyFill="1" applyBorder="1" applyAlignment="1">
      <alignment horizontal="center" vertical="center"/>
    </xf>
    <xf numFmtId="164" fontId="6" fillId="6" borderId="271" xfId="0" applyNumberFormat="1" applyFont="1" applyFill="1" applyBorder="1" applyAlignment="1">
      <alignment horizontal="center" vertical="center"/>
    </xf>
    <xf numFmtId="164" fontId="6" fillId="6" borderId="301" xfId="0" applyNumberFormat="1" applyFont="1" applyFill="1" applyBorder="1" applyAlignment="1">
      <alignment horizontal="center" vertical="center"/>
    </xf>
    <xf numFmtId="164" fontId="6" fillId="6" borderId="9" xfId="0" applyNumberFormat="1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2" fontId="6" fillId="0" borderId="192" xfId="0" applyNumberFormat="1" applyFont="1" applyBorder="1" applyAlignment="1">
      <alignment horizontal="center" vertical="center" textRotation="90"/>
    </xf>
    <xf numFmtId="2" fontId="6" fillId="0" borderId="11" xfId="0" applyNumberFormat="1" applyFont="1" applyBorder="1" applyAlignment="1">
      <alignment horizontal="center" vertical="center" textRotation="90"/>
    </xf>
    <xf numFmtId="2" fontId="6" fillId="0" borderId="198" xfId="0" applyNumberFormat="1" applyFont="1" applyBorder="1" applyAlignment="1">
      <alignment horizontal="center" vertical="center" textRotation="90"/>
    </xf>
    <xf numFmtId="0" fontId="15" fillId="0" borderId="304" xfId="0" applyFont="1" applyBorder="1" applyAlignment="1">
      <alignment horizontal="right" vertical="center"/>
    </xf>
    <xf numFmtId="0" fontId="15" fillId="0" borderId="231" xfId="0" applyFont="1" applyBorder="1" applyAlignment="1">
      <alignment horizontal="right" vertical="center"/>
    </xf>
    <xf numFmtId="0" fontId="15" fillId="0" borderId="303" xfId="0" applyFont="1" applyBorder="1" applyAlignment="1">
      <alignment horizontal="right" vertical="center"/>
    </xf>
    <xf numFmtId="0" fontId="15" fillId="0" borderId="52" xfId="0" applyFont="1" applyBorder="1" applyAlignment="1">
      <alignment horizontal="right" vertical="center"/>
    </xf>
    <xf numFmtId="0" fontId="0" fillId="0" borderId="303" xfId="0" applyBorder="1" applyAlignment="1">
      <alignment horizontal="right" vertical="center"/>
    </xf>
    <xf numFmtId="0" fontId="0" fillId="0" borderId="52" xfId="0" applyBorder="1" applyAlignment="1">
      <alignment horizontal="right" vertical="center"/>
    </xf>
    <xf numFmtId="0" fontId="0" fillId="0" borderId="302" xfId="0" applyBorder="1" applyAlignment="1">
      <alignment horizontal="right" vertical="center"/>
    </xf>
    <xf numFmtId="0" fontId="0" fillId="0" borderId="281" xfId="0" applyBorder="1" applyAlignment="1">
      <alignment horizontal="right" vertical="center"/>
    </xf>
    <xf numFmtId="0" fontId="6" fillId="0" borderId="2" xfId="0" applyFont="1" applyBorder="1" applyAlignment="1">
      <alignment horizontal="right" vertical="center"/>
    </xf>
    <xf numFmtId="0" fontId="6" fillId="0" borderId="179" xfId="0" applyFont="1" applyBorder="1" applyAlignment="1">
      <alignment horizontal="right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Lizenzgebühr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Lizenzgebühr!$C$9</c:f>
              <c:strCache>
                <c:ptCount val="1"/>
                <c:pt idx="0">
                  <c:v>0,50 kW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Lizenzgebühr!$C$10:$C$55</c:f>
              <c:numCache>
                <c:formatCode>#,##0.00\ "€"</c:formatCode>
                <c:ptCount val="46"/>
                <c:pt idx="0">
                  <c:v>400</c:v>
                </c:pt>
                <c:pt idx="1">
                  <c:v>400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600</c:v>
                </c:pt>
                <c:pt idx="15">
                  <c:v>600</c:v>
                </c:pt>
                <c:pt idx="16">
                  <c:v>600</c:v>
                </c:pt>
                <c:pt idx="17">
                  <c:v>600</c:v>
                </c:pt>
                <c:pt idx="18">
                  <c:v>600</c:v>
                </c:pt>
                <c:pt idx="19">
                  <c:v>600</c:v>
                </c:pt>
                <c:pt idx="20">
                  <c:v>600</c:v>
                </c:pt>
                <c:pt idx="21">
                  <c:v>600</c:v>
                </c:pt>
                <c:pt idx="22">
                  <c:v>600</c:v>
                </c:pt>
                <c:pt idx="23">
                  <c:v>600</c:v>
                </c:pt>
                <c:pt idx="24">
                  <c:v>600</c:v>
                </c:pt>
                <c:pt idx="25">
                  <c:v>600</c:v>
                </c:pt>
                <c:pt idx="26">
                  <c:v>700</c:v>
                </c:pt>
                <c:pt idx="27">
                  <c:v>700</c:v>
                </c:pt>
                <c:pt idx="28">
                  <c:v>700</c:v>
                </c:pt>
                <c:pt idx="29">
                  <c:v>700</c:v>
                </c:pt>
                <c:pt idx="30">
                  <c:v>700</c:v>
                </c:pt>
                <c:pt idx="31">
                  <c:v>700</c:v>
                </c:pt>
                <c:pt idx="32">
                  <c:v>700</c:v>
                </c:pt>
                <c:pt idx="33">
                  <c:v>700</c:v>
                </c:pt>
                <c:pt idx="34">
                  <c:v>700</c:v>
                </c:pt>
                <c:pt idx="35">
                  <c:v>700</c:v>
                </c:pt>
                <c:pt idx="36">
                  <c:v>700</c:v>
                </c:pt>
                <c:pt idx="37">
                  <c:v>700</c:v>
                </c:pt>
                <c:pt idx="38">
                  <c:v>800</c:v>
                </c:pt>
                <c:pt idx="39">
                  <c:v>800</c:v>
                </c:pt>
                <c:pt idx="40">
                  <c:v>800</c:v>
                </c:pt>
                <c:pt idx="41">
                  <c:v>800</c:v>
                </c:pt>
                <c:pt idx="42">
                  <c:v>800</c:v>
                </c:pt>
                <c:pt idx="43">
                  <c:v>800</c:v>
                </c:pt>
                <c:pt idx="44">
                  <c:v>800</c:v>
                </c:pt>
                <c:pt idx="45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6-4D46-BA4B-95D006EF11E1}"/>
            </c:ext>
          </c:extLst>
        </c:ser>
        <c:ser>
          <c:idx val="1"/>
          <c:order val="1"/>
          <c:tx>
            <c:strRef>
              <c:f>Lizenzgebühr!$D$9</c:f>
              <c:strCache>
                <c:ptCount val="1"/>
                <c:pt idx="0">
                  <c:v>1,00 kW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Lizenzgebühr!$D$10:$D$55</c:f>
              <c:numCache>
                <c:formatCode>#,##0.00\ "€"</c:formatCode>
                <c:ptCount val="46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600</c:v>
                </c:pt>
                <c:pt idx="9">
                  <c:v>600</c:v>
                </c:pt>
                <c:pt idx="10">
                  <c:v>600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700</c:v>
                </c:pt>
                <c:pt idx="17">
                  <c:v>800</c:v>
                </c:pt>
                <c:pt idx="18">
                  <c:v>800</c:v>
                </c:pt>
                <c:pt idx="19">
                  <c:v>800</c:v>
                </c:pt>
                <c:pt idx="20">
                  <c:v>800</c:v>
                </c:pt>
                <c:pt idx="21">
                  <c:v>800</c:v>
                </c:pt>
                <c:pt idx="22">
                  <c:v>800</c:v>
                </c:pt>
                <c:pt idx="23">
                  <c:v>900</c:v>
                </c:pt>
                <c:pt idx="24">
                  <c:v>900</c:v>
                </c:pt>
                <c:pt idx="25">
                  <c:v>900</c:v>
                </c:pt>
                <c:pt idx="26">
                  <c:v>900</c:v>
                </c:pt>
                <c:pt idx="27">
                  <c:v>900</c:v>
                </c:pt>
                <c:pt idx="28">
                  <c:v>900</c:v>
                </c:pt>
                <c:pt idx="29">
                  <c:v>1000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1100</c:v>
                </c:pt>
                <c:pt idx="36">
                  <c:v>1100</c:v>
                </c:pt>
                <c:pt idx="37">
                  <c:v>1100</c:v>
                </c:pt>
                <c:pt idx="38">
                  <c:v>1100</c:v>
                </c:pt>
                <c:pt idx="39">
                  <c:v>1100</c:v>
                </c:pt>
                <c:pt idx="40">
                  <c:v>1100</c:v>
                </c:pt>
                <c:pt idx="41">
                  <c:v>1200</c:v>
                </c:pt>
                <c:pt idx="42">
                  <c:v>1200</c:v>
                </c:pt>
                <c:pt idx="43">
                  <c:v>1200</c:v>
                </c:pt>
                <c:pt idx="44">
                  <c:v>1200</c:v>
                </c:pt>
                <c:pt idx="45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C6-4D46-BA4B-95D006EF11E1}"/>
            </c:ext>
          </c:extLst>
        </c:ser>
        <c:ser>
          <c:idx val="2"/>
          <c:order val="2"/>
          <c:tx>
            <c:strRef>
              <c:f>Lizenzgebühr!$E$9</c:f>
              <c:strCache>
                <c:ptCount val="1"/>
                <c:pt idx="0">
                  <c:v>1,50 kW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Lizenzgebühr!$E$10:$E$55</c:f>
              <c:numCache>
                <c:formatCode>#,##0.00\ "€"</c:formatCode>
                <c:ptCount val="46"/>
                <c:pt idx="0">
                  <c:v>500</c:v>
                </c:pt>
                <c:pt idx="1">
                  <c:v>500</c:v>
                </c:pt>
                <c:pt idx="2">
                  <c:v>600</c:v>
                </c:pt>
                <c:pt idx="3">
                  <c:v>600</c:v>
                </c:pt>
                <c:pt idx="4">
                  <c:v>600</c:v>
                </c:pt>
                <c:pt idx="5">
                  <c:v>600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900</c:v>
                </c:pt>
                <c:pt idx="15">
                  <c:v>900</c:v>
                </c:pt>
                <c:pt idx="16">
                  <c:v>900</c:v>
                </c:pt>
                <c:pt idx="17">
                  <c:v>900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1100</c:v>
                </c:pt>
                <c:pt idx="23">
                  <c:v>1100</c:v>
                </c:pt>
                <c:pt idx="24">
                  <c:v>1100</c:v>
                </c:pt>
                <c:pt idx="25">
                  <c:v>1100</c:v>
                </c:pt>
                <c:pt idx="26">
                  <c:v>1200</c:v>
                </c:pt>
                <c:pt idx="27">
                  <c:v>1200</c:v>
                </c:pt>
                <c:pt idx="28">
                  <c:v>1200</c:v>
                </c:pt>
                <c:pt idx="29">
                  <c:v>1200</c:v>
                </c:pt>
                <c:pt idx="30">
                  <c:v>1300</c:v>
                </c:pt>
                <c:pt idx="31">
                  <c:v>1300</c:v>
                </c:pt>
                <c:pt idx="32">
                  <c:v>1300</c:v>
                </c:pt>
                <c:pt idx="33">
                  <c:v>1300</c:v>
                </c:pt>
                <c:pt idx="34">
                  <c:v>1400</c:v>
                </c:pt>
                <c:pt idx="35">
                  <c:v>1400</c:v>
                </c:pt>
                <c:pt idx="36">
                  <c:v>1400</c:v>
                </c:pt>
                <c:pt idx="37">
                  <c:v>1400</c:v>
                </c:pt>
                <c:pt idx="38">
                  <c:v>1500</c:v>
                </c:pt>
                <c:pt idx="39">
                  <c:v>1500</c:v>
                </c:pt>
                <c:pt idx="40">
                  <c:v>1500</c:v>
                </c:pt>
                <c:pt idx="41">
                  <c:v>1500</c:v>
                </c:pt>
                <c:pt idx="42">
                  <c:v>1600</c:v>
                </c:pt>
                <c:pt idx="43">
                  <c:v>1600</c:v>
                </c:pt>
                <c:pt idx="44">
                  <c:v>1600</c:v>
                </c:pt>
                <c:pt idx="4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C6-4D46-BA4B-95D006EF11E1}"/>
            </c:ext>
          </c:extLst>
        </c:ser>
        <c:ser>
          <c:idx val="3"/>
          <c:order val="3"/>
          <c:tx>
            <c:strRef>
              <c:f>Lizenzgebühr!$F$9</c:f>
              <c:strCache>
                <c:ptCount val="1"/>
                <c:pt idx="0">
                  <c:v>2,00 kW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Lizenzgebühr!$F$10:$F$55</c:f>
              <c:numCache>
                <c:formatCode>#,##0.00\ "€"</c:formatCode>
                <c:ptCount val="46"/>
                <c:pt idx="0">
                  <c:v>600</c:v>
                </c:pt>
                <c:pt idx="1">
                  <c:v>600</c:v>
                </c:pt>
                <c:pt idx="2">
                  <c:v>600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900</c:v>
                </c:pt>
                <c:pt idx="10">
                  <c:v>900</c:v>
                </c:pt>
                <c:pt idx="11">
                  <c:v>900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1100</c:v>
                </c:pt>
                <c:pt idx="16">
                  <c:v>1100</c:v>
                </c:pt>
                <c:pt idx="17">
                  <c:v>1100</c:v>
                </c:pt>
                <c:pt idx="18">
                  <c:v>1200</c:v>
                </c:pt>
                <c:pt idx="19">
                  <c:v>1200</c:v>
                </c:pt>
                <c:pt idx="20">
                  <c:v>1200</c:v>
                </c:pt>
                <c:pt idx="21">
                  <c:v>1300</c:v>
                </c:pt>
                <c:pt idx="22">
                  <c:v>1300</c:v>
                </c:pt>
                <c:pt idx="23">
                  <c:v>1300</c:v>
                </c:pt>
                <c:pt idx="24">
                  <c:v>1400</c:v>
                </c:pt>
                <c:pt idx="25">
                  <c:v>1400</c:v>
                </c:pt>
                <c:pt idx="26">
                  <c:v>1400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  <c:pt idx="30">
                  <c:v>1600</c:v>
                </c:pt>
                <c:pt idx="31">
                  <c:v>1600</c:v>
                </c:pt>
                <c:pt idx="32">
                  <c:v>1600</c:v>
                </c:pt>
                <c:pt idx="33">
                  <c:v>1700</c:v>
                </c:pt>
                <c:pt idx="34">
                  <c:v>1700</c:v>
                </c:pt>
                <c:pt idx="35">
                  <c:v>1700</c:v>
                </c:pt>
                <c:pt idx="36">
                  <c:v>1800</c:v>
                </c:pt>
                <c:pt idx="37">
                  <c:v>1800</c:v>
                </c:pt>
                <c:pt idx="38">
                  <c:v>1800</c:v>
                </c:pt>
                <c:pt idx="39">
                  <c:v>1900</c:v>
                </c:pt>
                <c:pt idx="40">
                  <c:v>1900</c:v>
                </c:pt>
                <c:pt idx="41">
                  <c:v>1900</c:v>
                </c:pt>
                <c:pt idx="42">
                  <c:v>2000</c:v>
                </c:pt>
                <c:pt idx="43">
                  <c:v>2000</c:v>
                </c:pt>
                <c:pt idx="44">
                  <c:v>2000</c:v>
                </c:pt>
                <c:pt idx="45">
                  <c:v>2100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C6-4D46-BA4B-95D006EF11E1}"/>
            </c:ext>
          </c:extLst>
        </c:ser>
        <c:ser>
          <c:idx val="4"/>
          <c:order val="4"/>
          <c:tx>
            <c:strRef>
              <c:f>Lizenzgebühr!$G$9</c:f>
              <c:strCache>
                <c:ptCount val="1"/>
                <c:pt idx="0">
                  <c:v>2,50 kW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Lizenzgebühr!$G$10:$G$55</c:f>
              <c:numCache>
                <c:formatCode>#,##0.00\ "€"</c:formatCode>
                <c:ptCount val="46"/>
                <c:pt idx="0">
                  <c:v>600</c:v>
                </c:pt>
                <c:pt idx="1">
                  <c:v>600</c:v>
                </c:pt>
                <c:pt idx="2">
                  <c:v>700</c:v>
                </c:pt>
                <c:pt idx="3">
                  <c:v>700</c:v>
                </c:pt>
                <c:pt idx="4">
                  <c:v>800</c:v>
                </c:pt>
                <c:pt idx="5">
                  <c:v>800</c:v>
                </c:pt>
                <c:pt idx="6">
                  <c:v>900</c:v>
                </c:pt>
                <c:pt idx="7">
                  <c:v>900</c:v>
                </c:pt>
                <c:pt idx="8">
                  <c:v>900</c:v>
                </c:pt>
                <c:pt idx="9">
                  <c:v>1000</c:v>
                </c:pt>
                <c:pt idx="10">
                  <c:v>1000</c:v>
                </c:pt>
                <c:pt idx="11">
                  <c:v>1100</c:v>
                </c:pt>
                <c:pt idx="12">
                  <c:v>1100</c:v>
                </c:pt>
                <c:pt idx="13">
                  <c:v>1100</c:v>
                </c:pt>
                <c:pt idx="14">
                  <c:v>1200</c:v>
                </c:pt>
                <c:pt idx="15">
                  <c:v>1200</c:v>
                </c:pt>
                <c:pt idx="16">
                  <c:v>1300</c:v>
                </c:pt>
                <c:pt idx="17">
                  <c:v>1300</c:v>
                </c:pt>
                <c:pt idx="18">
                  <c:v>1400</c:v>
                </c:pt>
                <c:pt idx="19">
                  <c:v>1400</c:v>
                </c:pt>
                <c:pt idx="20">
                  <c:v>1400</c:v>
                </c:pt>
                <c:pt idx="21">
                  <c:v>1500</c:v>
                </c:pt>
                <c:pt idx="22">
                  <c:v>1500</c:v>
                </c:pt>
                <c:pt idx="23">
                  <c:v>1600</c:v>
                </c:pt>
                <c:pt idx="24">
                  <c:v>1600</c:v>
                </c:pt>
                <c:pt idx="25">
                  <c:v>1600</c:v>
                </c:pt>
                <c:pt idx="26">
                  <c:v>1700</c:v>
                </c:pt>
                <c:pt idx="27">
                  <c:v>1700</c:v>
                </c:pt>
                <c:pt idx="28">
                  <c:v>1800</c:v>
                </c:pt>
                <c:pt idx="29">
                  <c:v>1800</c:v>
                </c:pt>
                <c:pt idx="30">
                  <c:v>1900</c:v>
                </c:pt>
                <c:pt idx="31">
                  <c:v>1900</c:v>
                </c:pt>
                <c:pt idx="32">
                  <c:v>1900</c:v>
                </c:pt>
                <c:pt idx="33">
                  <c:v>2000</c:v>
                </c:pt>
                <c:pt idx="34">
                  <c:v>2000</c:v>
                </c:pt>
                <c:pt idx="35">
                  <c:v>2100</c:v>
                </c:pt>
                <c:pt idx="36">
                  <c:v>2100</c:v>
                </c:pt>
                <c:pt idx="37">
                  <c:v>2100</c:v>
                </c:pt>
                <c:pt idx="38">
                  <c:v>2200</c:v>
                </c:pt>
                <c:pt idx="39">
                  <c:v>2200</c:v>
                </c:pt>
                <c:pt idx="40">
                  <c:v>2300</c:v>
                </c:pt>
                <c:pt idx="41">
                  <c:v>2300</c:v>
                </c:pt>
                <c:pt idx="42">
                  <c:v>2400</c:v>
                </c:pt>
                <c:pt idx="43">
                  <c:v>2400</c:v>
                </c:pt>
                <c:pt idx="44">
                  <c:v>2400</c:v>
                </c:pt>
                <c:pt idx="45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C6-4D46-BA4B-95D006EF11E1}"/>
            </c:ext>
          </c:extLst>
        </c:ser>
        <c:ser>
          <c:idx val="5"/>
          <c:order val="5"/>
          <c:tx>
            <c:strRef>
              <c:f>Lizenzgebühr!$H$9</c:f>
              <c:strCache>
                <c:ptCount val="1"/>
                <c:pt idx="0">
                  <c:v>3,00 kW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Lizenzgebühr!$H$10:$H$55</c:f>
              <c:numCache>
                <c:formatCode>#,##0.00\ "€"</c:formatCode>
                <c:ptCount val="46"/>
                <c:pt idx="0">
                  <c:v>600</c:v>
                </c:pt>
                <c:pt idx="1">
                  <c:v>700</c:v>
                </c:pt>
                <c:pt idx="2">
                  <c:v>700</c:v>
                </c:pt>
                <c:pt idx="3">
                  <c:v>800</c:v>
                </c:pt>
                <c:pt idx="4">
                  <c:v>800</c:v>
                </c:pt>
                <c:pt idx="5">
                  <c:v>900</c:v>
                </c:pt>
                <c:pt idx="6">
                  <c:v>900</c:v>
                </c:pt>
                <c:pt idx="7">
                  <c:v>1000</c:v>
                </c:pt>
                <c:pt idx="8">
                  <c:v>1000</c:v>
                </c:pt>
                <c:pt idx="9">
                  <c:v>1100</c:v>
                </c:pt>
                <c:pt idx="10">
                  <c:v>1100</c:v>
                </c:pt>
                <c:pt idx="11">
                  <c:v>1200</c:v>
                </c:pt>
                <c:pt idx="12">
                  <c:v>1200</c:v>
                </c:pt>
                <c:pt idx="13">
                  <c:v>1300</c:v>
                </c:pt>
                <c:pt idx="14">
                  <c:v>1300</c:v>
                </c:pt>
                <c:pt idx="15">
                  <c:v>1400</c:v>
                </c:pt>
                <c:pt idx="16">
                  <c:v>1400</c:v>
                </c:pt>
                <c:pt idx="17">
                  <c:v>1500</c:v>
                </c:pt>
                <c:pt idx="18">
                  <c:v>1500</c:v>
                </c:pt>
                <c:pt idx="19">
                  <c:v>1600</c:v>
                </c:pt>
                <c:pt idx="20">
                  <c:v>1600</c:v>
                </c:pt>
                <c:pt idx="21">
                  <c:v>1700</c:v>
                </c:pt>
                <c:pt idx="22">
                  <c:v>1700</c:v>
                </c:pt>
                <c:pt idx="23">
                  <c:v>1800</c:v>
                </c:pt>
                <c:pt idx="24">
                  <c:v>1800</c:v>
                </c:pt>
                <c:pt idx="25">
                  <c:v>1900</c:v>
                </c:pt>
                <c:pt idx="26">
                  <c:v>1900</c:v>
                </c:pt>
                <c:pt idx="27">
                  <c:v>2000</c:v>
                </c:pt>
                <c:pt idx="28">
                  <c:v>2000</c:v>
                </c:pt>
                <c:pt idx="29">
                  <c:v>2100</c:v>
                </c:pt>
                <c:pt idx="30">
                  <c:v>2100</c:v>
                </c:pt>
                <c:pt idx="31">
                  <c:v>2200</c:v>
                </c:pt>
                <c:pt idx="32">
                  <c:v>2200</c:v>
                </c:pt>
                <c:pt idx="33">
                  <c:v>2300</c:v>
                </c:pt>
                <c:pt idx="34">
                  <c:v>2300</c:v>
                </c:pt>
                <c:pt idx="35">
                  <c:v>2400</c:v>
                </c:pt>
                <c:pt idx="36">
                  <c:v>2400</c:v>
                </c:pt>
                <c:pt idx="37">
                  <c:v>2500</c:v>
                </c:pt>
                <c:pt idx="38">
                  <c:v>2500</c:v>
                </c:pt>
                <c:pt idx="39">
                  <c:v>2600</c:v>
                </c:pt>
                <c:pt idx="40">
                  <c:v>2600</c:v>
                </c:pt>
                <c:pt idx="41">
                  <c:v>2700</c:v>
                </c:pt>
                <c:pt idx="42">
                  <c:v>2700</c:v>
                </c:pt>
                <c:pt idx="43">
                  <c:v>2800</c:v>
                </c:pt>
                <c:pt idx="44">
                  <c:v>2800</c:v>
                </c:pt>
                <c:pt idx="45">
                  <c:v>2900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7C6-4D46-BA4B-95D006EF11E1}"/>
            </c:ext>
          </c:extLst>
        </c:ser>
        <c:ser>
          <c:idx val="6"/>
          <c:order val="6"/>
          <c:tx>
            <c:strRef>
              <c:f>Lizenzgebühr!$I$9</c:f>
              <c:strCache>
                <c:ptCount val="1"/>
                <c:pt idx="0">
                  <c:v>3,50 kW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Lizenzgebühr!$I$10:$I$55</c:f>
              <c:numCache>
                <c:formatCode>#,##0.00\ "€"</c:formatCode>
                <c:ptCount val="46"/>
                <c:pt idx="0">
                  <c:v>700</c:v>
                </c:pt>
                <c:pt idx="1">
                  <c:v>700</c:v>
                </c:pt>
                <c:pt idx="2">
                  <c:v>800</c:v>
                </c:pt>
                <c:pt idx="3">
                  <c:v>900</c:v>
                </c:pt>
                <c:pt idx="4">
                  <c:v>900</c:v>
                </c:pt>
                <c:pt idx="5">
                  <c:v>1000</c:v>
                </c:pt>
                <c:pt idx="6">
                  <c:v>1000</c:v>
                </c:pt>
                <c:pt idx="7">
                  <c:v>1100</c:v>
                </c:pt>
                <c:pt idx="8">
                  <c:v>1200</c:v>
                </c:pt>
                <c:pt idx="9">
                  <c:v>1200</c:v>
                </c:pt>
                <c:pt idx="10">
                  <c:v>1300</c:v>
                </c:pt>
                <c:pt idx="11">
                  <c:v>1300</c:v>
                </c:pt>
                <c:pt idx="12">
                  <c:v>1400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1600</c:v>
                </c:pt>
                <c:pt idx="17">
                  <c:v>1700</c:v>
                </c:pt>
                <c:pt idx="18">
                  <c:v>1700</c:v>
                </c:pt>
                <c:pt idx="19">
                  <c:v>1800</c:v>
                </c:pt>
                <c:pt idx="20">
                  <c:v>1900</c:v>
                </c:pt>
                <c:pt idx="21">
                  <c:v>1900</c:v>
                </c:pt>
                <c:pt idx="22">
                  <c:v>2000</c:v>
                </c:pt>
                <c:pt idx="23">
                  <c:v>2000</c:v>
                </c:pt>
                <c:pt idx="24">
                  <c:v>2100</c:v>
                </c:pt>
                <c:pt idx="25">
                  <c:v>2100</c:v>
                </c:pt>
                <c:pt idx="26">
                  <c:v>2200</c:v>
                </c:pt>
                <c:pt idx="27">
                  <c:v>2300</c:v>
                </c:pt>
                <c:pt idx="28">
                  <c:v>2300</c:v>
                </c:pt>
                <c:pt idx="29">
                  <c:v>2400</c:v>
                </c:pt>
                <c:pt idx="30">
                  <c:v>2400</c:v>
                </c:pt>
                <c:pt idx="31">
                  <c:v>2500</c:v>
                </c:pt>
                <c:pt idx="32">
                  <c:v>2600</c:v>
                </c:pt>
                <c:pt idx="33">
                  <c:v>2600</c:v>
                </c:pt>
                <c:pt idx="34">
                  <c:v>2700</c:v>
                </c:pt>
                <c:pt idx="35">
                  <c:v>2700</c:v>
                </c:pt>
                <c:pt idx="36">
                  <c:v>2800</c:v>
                </c:pt>
                <c:pt idx="37">
                  <c:v>2800</c:v>
                </c:pt>
                <c:pt idx="38">
                  <c:v>2900</c:v>
                </c:pt>
                <c:pt idx="39">
                  <c:v>3000</c:v>
                </c:pt>
                <c:pt idx="40">
                  <c:v>3000</c:v>
                </c:pt>
                <c:pt idx="41">
                  <c:v>3100</c:v>
                </c:pt>
                <c:pt idx="42">
                  <c:v>3100</c:v>
                </c:pt>
                <c:pt idx="43">
                  <c:v>3200</c:v>
                </c:pt>
                <c:pt idx="44">
                  <c:v>3200</c:v>
                </c:pt>
                <c:pt idx="45">
                  <c:v>3300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7C6-4D46-BA4B-95D006EF11E1}"/>
            </c:ext>
          </c:extLst>
        </c:ser>
        <c:ser>
          <c:idx val="7"/>
          <c:order val="7"/>
          <c:tx>
            <c:strRef>
              <c:f>Lizenzgebühr!$J$9</c:f>
              <c:strCache>
                <c:ptCount val="1"/>
                <c:pt idx="0">
                  <c:v>4,00 kW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Lizenzgebühr!$J$10:$J$55</c:f>
              <c:numCache>
                <c:formatCode>#,##0.00\ "€"</c:formatCode>
                <c:ptCount val="46"/>
                <c:pt idx="0">
                  <c:v>700</c:v>
                </c:pt>
                <c:pt idx="1">
                  <c:v>800</c:v>
                </c:pt>
                <c:pt idx="2">
                  <c:v>900</c:v>
                </c:pt>
                <c:pt idx="3">
                  <c:v>900</c:v>
                </c:pt>
                <c:pt idx="4">
                  <c:v>1000</c:v>
                </c:pt>
                <c:pt idx="5">
                  <c:v>1100</c:v>
                </c:pt>
                <c:pt idx="6">
                  <c:v>1100</c:v>
                </c:pt>
                <c:pt idx="7">
                  <c:v>1200</c:v>
                </c:pt>
                <c:pt idx="8">
                  <c:v>1300</c:v>
                </c:pt>
                <c:pt idx="9">
                  <c:v>1300</c:v>
                </c:pt>
                <c:pt idx="10">
                  <c:v>1400</c:v>
                </c:pt>
                <c:pt idx="11">
                  <c:v>1500</c:v>
                </c:pt>
                <c:pt idx="12">
                  <c:v>1500</c:v>
                </c:pt>
                <c:pt idx="13">
                  <c:v>1600</c:v>
                </c:pt>
                <c:pt idx="14">
                  <c:v>1700</c:v>
                </c:pt>
                <c:pt idx="15">
                  <c:v>1700</c:v>
                </c:pt>
                <c:pt idx="16">
                  <c:v>1800</c:v>
                </c:pt>
                <c:pt idx="17">
                  <c:v>1900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2300</c:v>
                </c:pt>
                <c:pt idx="25">
                  <c:v>2400</c:v>
                </c:pt>
                <c:pt idx="26">
                  <c:v>2500</c:v>
                </c:pt>
                <c:pt idx="27">
                  <c:v>2500</c:v>
                </c:pt>
                <c:pt idx="28">
                  <c:v>2600</c:v>
                </c:pt>
                <c:pt idx="29">
                  <c:v>2700</c:v>
                </c:pt>
                <c:pt idx="30">
                  <c:v>2700</c:v>
                </c:pt>
                <c:pt idx="31">
                  <c:v>2800</c:v>
                </c:pt>
                <c:pt idx="32">
                  <c:v>2900</c:v>
                </c:pt>
                <c:pt idx="33">
                  <c:v>2900</c:v>
                </c:pt>
                <c:pt idx="34">
                  <c:v>3000</c:v>
                </c:pt>
                <c:pt idx="35">
                  <c:v>3100</c:v>
                </c:pt>
                <c:pt idx="36">
                  <c:v>3100</c:v>
                </c:pt>
                <c:pt idx="37">
                  <c:v>3200</c:v>
                </c:pt>
                <c:pt idx="38">
                  <c:v>3300</c:v>
                </c:pt>
                <c:pt idx="39">
                  <c:v>3300</c:v>
                </c:pt>
                <c:pt idx="40">
                  <c:v>3400</c:v>
                </c:pt>
                <c:pt idx="41">
                  <c:v>3500</c:v>
                </c:pt>
                <c:pt idx="42">
                  <c:v>3500</c:v>
                </c:pt>
                <c:pt idx="43">
                  <c:v>3600</c:v>
                </c:pt>
                <c:pt idx="44">
                  <c:v>3700</c:v>
                </c:pt>
                <c:pt idx="45">
                  <c:v>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7C6-4D46-BA4B-95D006EF11E1}"/>
            </c:ext>
          </c:extLst>
        </c:ser>
        <c:ser>
          <c:idx val="8"/>
          <c:order val="8"/>
          <c:tx>
            <c:strRef>
              <c:f>Lizenzgebühr!$K$9</c:f>
              <c:strCache>
                <c:ptCount val="1"/>
                <c:pt idx="0">
                  <c:v>4,50 kW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Lizenzgebühr!$K$10:$K$55</c:f>
              <c:numCache>
                <c:formatCode>#,##0.00\ "€"</c:formatCode>
                <c:ptCount val="46"/>
                <c:pt idx="0">
                  <c:v>800</c:v>
                </c:pt>
                <c:pt idx="1">
                  <c:v>800</c:v>
                </c:pt>
                <c:pt idx="2">
                  <c:v>900</c:v>
                </c:pt>
                <c:pt idx="3">
                  <c:v>1000</c:v>
                </c:pt>
                <c:pt idx="4">
                  <c:v>1100</c:v>
                </c:pt>
                <c:pt idx="5">
                  <c:v>1100</c:v>
                </c:pt>
                <c:pt idx="6">
                  <c:v>1200</c:v>
                </c:pt>
                <c:pt idx="7">
                  <c:v>1300</c:v>
                </c:pt>
                <c:pt idx="8">
                  <c:v>1400</c:v>
                </c:pt>
                <c:pt idx="9">
                  <c:v>1400</c:v>
                </c:pt>
                <c:pt idx="10">
                  <c:v>1500</c:v>
                </c:pt>
                <c:pt idx="11">
                  <c:v>1600</c:v>
                </c:pt>
                <c:pt idx="12">
                  <c:v>1700</c:v>
                </c:pt>
                <c:pt idx="13">
                  <c:v>1700</c:v>
                </c:pt>
                <c:pt idx="14">
                  <c:v>1800</c:v>
                </c:pt>
                <c:pt idx="15">
                  <c:v>1900</c:v>
                </c:pt>
                <c:pt idx="16">
                  <c:v>2000</c:v>
                </c:pt>
                <c:pt idx="17">
                  <c:v>2000</c:v>
                </c:pt>
                <c:pt idx="18">
                  <c:v>2100</c:v>
                </c:pt>
                <c:pt idx="19">
                  <c:v>2200</c:v>
                </c:pt>
                <c:pt idx="20">
                  <c:v>2300</c:v>
                </c:pt>
                <c:pt idx="21">
                  <c:v>2300</c:v>
                </c:pt>
                <c:pt idx="22">
                  <c:v>2400</c:v>
                </c:pt>
                <c:pt idx="23">
                  <c:v>2500</c:v>
                </c:pt>
                <c:pt idx="24">
                  <c:v>2600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2900</c:v>
                </c:pt>
                <c:pt idx="30">
                  <c:v>3000</c:v>
                </c:pt>
                <c:pt idx="31">
                  <c:v>3100</c:v>
                </c:pt>
                <c:pt idx="32">
                  <c:v>3200</c:v>
                </c:pt>
                <c:pt idx="33">
                  <c:v>3200</c:v>
                </c:pt>
                <c:pt idx="34">
                  <c:v>3300</c:v>
                </c:pt>
                <c:pt idx="35">
                  <c:v>3400</c:v>
                </c:pt>
                <c:pt idx="36">
                  <c:v>3500</c:v>
                </c:pt>
                <c:pt idx="37">
                  <c:v>3500</c:v>
                </c:pt>
                <c:pt idx="38">
                  <c:v>3600</c:v>
                </c:pt>
                <c:pt idx="39">
                  <c:v>3700</c:v>
                </c:pt>
                <c:pt idx="40">
                  <c:v>3800</c:v>
                </c:pt>
                <c:pt idx="41">
                  <c:v>3800</c:v>
                </c:pt>
                <c:pt idx="42">
                  <c:v>3900</c:v>
                </c:pt>
                <c:pt idx="43">
                  <c:v>4000</c:v>
                </c:pt>
                <c:pt idx="44">
                  <c:v>4100</c:v>
                </c:pt>
                <c:pt idx="45">
                  <c:v>4100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7C6-4D46-BA4B-95D006EF11E1}"/>
            </c:ext>
          </c:extLst>
        </c:ser>
        <c:ser>
          <c:idx val="9"/>
          <c:order val="9"/>
          <c:tx>
            <c:strRef>
              <c:f>Lizenzgebühr!$L$9</c:f>
              <c:strCache>
                <c:ptCount val="1"/>
                <c:pt idx="0">
                  <c:v>5,00 kW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Lizenzgebühr!$L$10:$L$55</c:f>
              <c:numCache>
                <c:formatCode>#,##0.00\ "€"</c:formatCode>
                <c:ptCount val="46"/>
                <c:pt idx="0">
                  <c:v>800</c:v>
                </c:pt>
                <c:pt idx="1">
                  <c:v>900</c:v>
                </c:pt>
                <c:pt idx="2">
                  <c:v>1000</c:v>
                </c:pt>
                <c:pt idx="3">
                  <c:v>1100</c:v>
                </c:pt>
                <c:pt idx="4">
                  <c:v>1100</c:v>
                </c:pt>
                <c:pt idx="5">
                  <c:v>1200</c:v>
                </c:pt>
                <c:pt idx="6">
                  <c:v>1300</c:v>
                </c:pt>
                <c:pt idx="7">
                  <c:v>1400</c:v>
                </c:pt>
                <c:pt idx="8">
                  <c:v>1500</c:v>
                </c:pt>
                <c:pt idx="9">
                  <c:v>1600</c:v>
                </c:pt>
                <c:pt idx="10">
                  <c:v>1600</c:v>
                </c:pt>
                <c:pt idx="11">
                  <c:v>1700</c:v>
                </c:pt>
                <c:pt idx="12">
                  <c:v>1800</c:v>
                </c:pt>
                <c:pt idx="13">
                  <c:v>1900</c:v>
                </c:pt>
                <c:pt idx="14">
                  <c:v>2000</c:v>
                </c:pt>
                <c:pt idx="15">
                  <c:v>2100</c:v>
                </c:pt>
                <c:pt idx="16">
                  <c:v>2100</c:v>
                </c:pt>
                <c:pt idx="17">
                  <c:v>2200</c:v>
                </c:pt>
                <c:pt idx="18">
                  <c:v>2300</c:v>
                </c:pt>
                <c:pt idx="19">
                  <c:v>2400</c:v>
                </c:pt>
                <c:pt idx="20">
                  <c:v>2500</c:v>
                </c:pt>
                <c:pt idx="21">
                  <c:v>2600</c:v>
                </c:pt>
                <c:pt idx="22">
                  <c:v>2600</c:v>
                </c:pt>
                <c:pt idx="23">
                  <c:v>2700</c:v>
                </c:pt>
                <c:pt idx="24">
                  <c:v>2800</c:v>
                </c:pt>
                <c:pt idx="25">
                  <c:v>2900</c:v>
                </c:pt>
                <c:pt idx="26">
                  <c:v>3000</c:v>
                </c:pt>
                <c:pt idx="27">
                  <c:v>3100</c:v>
                </c:pt>
                <c:pt idx="28">
                  <c:v>3100</c:v>
                </c:pt>
                <c:pt idx="29">
                  <c:v>3200</c:v>
                </c:pt>
                <c:pt idx="30">
                  <c:v>3300</c:v>
                </c:pt>
                <c:pt idx="31">
                  <c:v>3400</c:v>
                </c:pt>
                <c:pt idx="32">
                  <c:v>3500</c:v>
                </c:pt>
                <c:pt idx="33">
                  <c:v>3600</c:v>
                </c:pt>
                <c:pt idx="34">
                  <c:v>3600</c:v>
                </c:pt>
                <c:pt idx="35">
                  <c:v>3700</c:v>
                </c:pt>
                <c:pt idx="36">
                  <c:v>3800</c:v>
                </c:pt>
                <c:pt idx="37">
                  <c:v>3900</c:v>
                </c:pt>
                <c:pt idx="38">
                  <c:v>4000</c:v>
                </c:pt>
                <c:pt idx="39">
                  <c:v>4100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7C6-4D46-BA4B-95D006EF11E1}"/>
            </c:ext>
          </c:extLst>
        </c:ser>
        <c:ser>
          <c:idx val="10"/>
          <c:order val="10"/>
          <c:tx>
            <c:strRef>
              <c:f>Lizenzgebühr!$M$9</c:f>
              <c:strCache>
                <c:ptCount val="1"/>
                <c:pt idx="0">
                  <c:v>7,50 kW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Lizenzgebühr!$M$10:$M$55</c:f>
              <c:numCache>
                <c:formatCode>#,##0.00\ "€"</c:formatCode>
                <c:ptCount val="46"/>
                <c:pt idx="0">
                  <c:v>1000</c:v>
                </c:pt>
                <c:pt idx="1">
                  <c:v>1100</c:v>
                </c:pt>
                <c:pt idx="2">
                  <c:v>1300</c:v>
                </c:pt>
                <c:pt idx="3">
                  <c:v>1400</c:v>
                </c:pt>
                <c:pt idx="4">
                  <c:v>1500</c:v>
                </c:pt>
                <c:pt idx="5">
                  <c:v>1600</c:v>
                </c:pt>
                <c:pt idx="6">
                  <c:v>1800</c:v>
                </c:pt>
                <c:pt idx="7">
                  <c:v>1900</c:v>
                </c:pt>
                <c:pt idx="8">
                  <c:v>2000</c:v>
                </c:pt>
                <c:pt idx="9">
                  <c:v>2100</c:v>
                </c:pt>
                <c:pt idx="10">
                  <c:v>2300</c:v>
                </c:pt>
                <c:pt idx="11">
                  <c:v>2400</c:v>
                </c:pt>
                <c:pt idx="12">
                  <c:v>2500</c:v>
                </c:pt>
                <c:pt idx="13">
                  <c:v>2600</c:v>
                </c:pt>
                <c:pt idx="14">
                  <c:v>2800</c:v>
                </c:pt>
                <c:pt idx="15">
                  <c:v>2900</c:v>
                </c:pt>
                <c:pt idx="16">
                  <c:v>3000</c:v>
                </c:pt>
                <c:pt idx="17">
                  <c:v>3100</c:v>
                </c:pt>
                <c:pt idx="18">
                  <c:v>3300</c:v>
                </c:pt>
                <c:pt idx="19">
                  <c:v>3400</c:v>
                </c:pt>
                <c:pt idx="20">
                  <c:v>3500</c:v>
                </c:pt>
                <c:pt idx="21">
                  <c:v>3600</c:v>
                </c:pt>
                <c:pt idx="22">
                  <c:v>3800</c:v>
                </c:pt>
                <c:pt idx="23">
                  <c:v>3900</c:v>
                </c:pt>
                <c:pt idx="24">
                  <c:v>4000</c:v>
                </c:pt>
                <c:pt idx="25">
                  <c:v>4100</c:v>
                </c:pt>
                <c:pt idx="26">
                  <c:v>4300</c:v>
                </c:pt>
                <c:pt idx="27">
                  <c:v>4400</c:v>
                </c:pt>
                <c:pt idx="28">
                  <c:v>4500</c:v>
                </c:pt>
                <c:pt idx="29">
                  <c:v>4600</c:v>
                </c:pt>
                <c:pt idx="30">
                  <c:v>4800</c:v>
                </c:pt>
                <c:pt idx="31">
                  <c:v>4900</c:v>
                </c:pt>
                <c:pt idx="32">
                  <c:v>5000</c:v>
                </c:pt>
                <c:pt idx="33">
                  <c:v>5100</c:v>
                </c:pt>
                <c:pt idx="34">
                  <c:v>5300</c:v>
                </c:pt>
                <c:pt idx="35">
                  <c:v>5400</c:v>
                </c:pt>
                <c:pt idx="36">
                  <c:v>5500</c:v>
                </c:pt>
                <c:pt idx="37">
                  <c:v>5600</c:v>
                </c:pt>
                <c:pt idx="38">
                  <c:v>5800</c:v>
                </c:pt>
                <c:pt idx="39">
                  <c:v>5900</c:v>
                </c:pt>
                <c:pt idx="40">
                  <c:v>6000</c:v>
                </c:pt>
                <c:pt idx="41">
                  <c:v>6100</c:v>
                </c:pt>
                <c:pt idx="42">
                  <c:v>6300</c:v>
                </c:pt>
                <c:pt idx="43">
                  <c:v>6400</c:v>
                </c:pt>
                <c:pt idx="44">
                  <c:v>6500</c:v>
                </c:pt>
                <c:pt idx="45">
                  <c:v>6600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7C6-4D46-BA4B-95D006EF11E1}"/>
            </c:ext>
          </c:extLst>
        </c:ser>
        <c:ser>
          <c:idx val="11"/>
          <c:order val="11"/>
          <c:tx>
            <c:strRef>
              <c:f>Lizenzgebühr!$N$9</c:f>
              <c:strCache>
                <c:ptCount val="1"/>
                <c:pt idx="0">
                  <c:v>8,00 kW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6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Lizenzgebühr!$N$10:$N$55</c:f>
              <c:numCache>
                <c:formatCode>#,##0.00\ "€"</c:formatCode>
                <c:ptCount val="46"/>
                <c:pt idx="0">
                  <c:v>1100</c:v>
                </c:pt>
                <c:pt idx="1">
                  <c:v>1200</c:v>
                </c:pt>
                <c:pt idx="2">
                  <c:v>1300</c:v>
                </c:pt>
                <c:pt idx="3">
                  <c:v>1500</c:v>
                </c:pt>
                <c:pt idx="4">
                  <c:v>1600</c:v>
                </c:pt>
                <c:pt idx="5">
                  <c:v>1700</c:v>
                </c:pt>
                <c:pt idx="6">
                  <c:v>1900</c:v>
                </c:pt>
                <c:pt idx="7">
                  <c:v>2000</c:v>
                </c:pt>
                <c:pt idx="8">
                  <c:v>2100</c:v>
                </c:pt>
                <c:pt idx="9">
                  <c:v>2300</c:v>
                </c:pt>
                <c:pt idx="10">
                  <c:v>2400</c:v>
                </c:pt>
                <c:pt idx="11">
                  <c:v>2500</c:v>
                </c:pt>
                <c:pt idx="12">
                  <c:v>2700</c:v>
                </c:pt>
                <c:pt idx="13">
                  <c:v>2800</c:v>
                </c:pt>
                <c:pt idx="14">
                  <c:v>2900</c:v>
                </c:pt>
                <c:pt idx="15">
                  <c:v>3100</c:v>
                </c:pt>
                <c:pt idx="16">
                  <c:v>3200</c:v>
                </c:pt>
                <c:pt idx="17">
                  <c:v>3300</c:v>
                </c:pt>
                <c:pt idx="18">
                  <c:v>3500</c:v>
                </c:pt>
                <c:pt idx="19">
                  <c:v>3600</c:v>
                </c:pt>
                <c:pt idx="20">
                  <c:v>3700</c:v>
                </c:pt>
                <c:pt idx="21">
                  <c:v>3900</c:v>
                </c:pt>
                <c:pt idx="22">
                  <c:v>4000</c:v>
                </c:pt>
                <c:pt idx="23">
                  <c:v>4100</c:v>
                </c:pt>
                <c:pt idx="24">
                  <c:v>4300</c:v>
                </c:pt>
                <c:pt idx="25">
                  <c:v>4400</c:v>
                </c:pt>
                <c:pt idx="26">
                  <c:v>4500</c:v>
                </c:pt>
                <c:pt idx="27">
                  <c:v>4700</c:v>
                </c:pt>
                <c:pt idx="28">
                  <c:v>4800</c:v>
                </c:pt>
                <c:pt idx="29">
                  <c:v>4900</c:v>
                </c:pt>
                <c:pt idx="30">
                  <c:v>5100</c:v>
                </c:pt>
                <c:pt idx="31">
                  <c:v>5200</c:v>
                </c:pt>
                <c:pt idx="32">
                  <c:v>5300</c:v>
                </c:pt>
                <c:pt idx="33">
                  <c:v>5400</c:v>
                </c:pt>
                <c:pt idx="34">
                  <c:v>5600</c:v>
                </c:pt>
                <c:pt idx="35">
                  <c:v>5700</c:v>
                </c:pt>
                <c:pt idx="36">
                  <c:v>5800</c:v>
                </c:pt>
                <c:pt idx="37">
                  <c:v>6000</c:v>
                </c:pt>
                <c:pt idx="38">
                  <c:v>6100</c:v>
                </c:pt>
                <c:pt idx="39">
                  <c:v>6200</c:v>
                </c:pt>
                <c:pt idx="40">
                  <c:v>6400</c:v>
                </c:pt>
                <c:pt idx="41">
                  <c:v>6500</c:v>
                </c:pt>
                <c:pt idx="42">
                  <c:v>6600</c:v>
                </c:pt>
                <c:pt idx="43">
                  <c:v>6800</c:v>
                </c:pt>
                <c:pt idx="44">
                  <c:v>6900</c:v>
                </c:pt>
                <c:pt idx="45">
                  <c:v>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7C6-4D46-BA4B-95D006EF11E1}"/>
            </c:ext>
          </c:extLst>
        </c:ser>
        <c:ser>
          <c:idx val="12"/>
          <c:order val="12"/>
          <c:tx>
            <c:strRef>
              <c:f>Lizenzgebühr!$O$9</c:f>
              <c:strCache>
                <c:ptCount val="1"/>
                <c:pt idx="0">
                  <c:v>10,00 kW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Lizenzgebühr!$B$10:$B$55</c:f>
              <c:numCache>
                <c:formatCode>0.00%</c:formatCode>
                <c:ptCount val="46"/>
                <c:pt idx="0">
                  <c:v>0.05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0.1</c:v>
                </c:pt>
                <c:pt idx="6">
                  <c:v>0.11</c:v>
                </c:pt>
                <c:pt idx="7">
                  <c:v>0.12</c:v>
                </c:pt>
                <c:pt idx="8">
                  <c:v>0.13</c:v>
                </c:pt>
                <c:pt idx="9">
                  <c:v>0.14000000000000001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</c:v>
                </c:pt>
                <c:pt idx="14">
                  <c:v>0.19</c:v>
                </c:pt>
                <c:pt idx="15">
                  <c:v>0.2</c:v>
                </c:pt>
                <c:pt idx="16">
                  <c:v>0.21</c:v>
                </c:pt>
                <c:pt idx="17">
                  <c:v>0.22</c:v>
                </c:pt>
                <c:pt idx="18">
                  <c:v>0.23</c:v>
                </c:pt>
                <c:pt idx="19">
                  <c:v>0.24</c:v>
                </c:pt>
                <c:pt idx="20">
                  <c:v>0.25</c:v>
                </c:pt>
                <c:pt idx="21">
                  <c:v>0.26</c:v>
                </c:pt>
                <c:pt idx="22">
                  <c:v>0.27</c:v>
                </c:pt>
                <c:pt idx="23">
                  <c:v>0.28000000000000003</c:v>
                </c:pt>
                <c:pt idx="24">
                  <c:v>0.28999999999999998</c:v>
                </c:pt>
                <c:pt idx="25">
                  <c:v>0.3</c:v>
                </c:pt>
                <c:pt idx="26">
                  <c:v>0.31</c:v>
                </c:pt>
                <c:pt idx="27">
                  <c:v>0.32</c:v>
                </c:pt>
                <c:pt idx="28">
                  <c:v>0.33</c:v>
                </c:pt>
                <c:pt idx="29">
                  <c:v>0.34</c:v>
                </c:pt>
                <c:pt idx="30">
                  <c:v>0.35</c:v>
                </c:pt>
                <c:pt idx="31">
                  <c:v>0.36</c:v>
                </c:pt>
                <c:pt idx="32">
                  <c:v>0.37</c:v>
                </c:pt>
                <c:pt idx="33">
                  <c:v>0.38</c:v>
                </c:pt>
                <c:pt idx="34">
                  <c:v>0.39</c:v>
                </c:pt>
                <c:pt idx="35">
                  <c:v>0.4</c:v>
                </c:pt>
                <c:pt idx="36">
                  <c:v>0.41</c:v>
                </c:pt>
                <c:pt idx="37">
                  <c:v>0.42</c:v>
                </c:pt>
                <c:pt idx="38">
                  <c:v>0.43</c:v>
                </c:pt>
                <c:pt idx="39">
                  <c:v>0.44</c:v>
                </c:pt>
                <c:pt idx="40">
                  <c:v>0.45</c:v>
                </c:pt>
                <c:pt idx="41">
                  <c:v>0.46</c:v>
                </c:pt>
                <c:pt idx="42">
                  <c:v>0.47</c:v>
                </c:pt>
                <c:pt idx="43">
                  <c:v>0.48</c:v>
                </c:pt>
                <c:pt idx="44">
                  <c:v>0.49</c:v>
                </c:pt>
                <c:pt idx="45">
                  <c:v>0.5</c:v>
                </c:pt>
              </c:numCache>
            </c:numRef>
          </c:cat>
          <c:val>
            <c:numRef>
              <c:f>Lizenzgebühr!$O$10:$O$55</c:f>
              <c:numCache>
                <c:formatCode>#,##0.00\ "€"</c:formatCode>
                <c:ptCount val="46"/>
                <c:pt idx="0">
                  <c:v>1200</c:v>
                </c:pt>
                <c:pt idx="1">
                  <c:v>1400</c:v>
                </c:pt>
                <c:pt idx="2">
                  <c:v>1600</c:v>
                </c:pt>
                <c:pt idx="3">
                  <c:v>1700</c:v>
                </c:pt>
                <c:pt idx="4">
                  <c:v>1900</c:v>
                </c:pt>
                <c:pt idx="5">
                  <c:v>2100</c:v>
                </c:pt>
                <c:pt idx="6">
                  <c:v>2200</c:v>
                </c:pt>
                <c:pt idx="7">
                  <c:v>2400</c:v>
                </c:pt>
                <c:pt idx="8">
                  <c:v>2600</c:v>
                </c:pt>
                <c:pt idx="9">
                  <c:v>2700</c:v>
                </c:pt>
                <c:pt idx="10">
                  <c:v>2900</c:v>
                </c:pt>
                <c:pt idx="11">
                  <c:v>3100</c:v>
                </c:pt>
                <c:pt idx="12">
                  <c:v>3200</c:v>
                </c:pt>
                <c:pt idx="13">
                  <c:v>3400</c:v>
                </c:pt>
                <c:pt idx="14">
                  <c:v>3600</c:v>
                </c:pt>
                <c:pt idx="15">
                  <c:v>3700</c:v>
                </c:pt>
                <c:pt idx="16">
                  <c:v>3900</c:v>
                </c:pt>
                <c:pt idx="17">
                  <c:v>4100</c:v>
                </c:pt>
                <c:pt idx="18">
                  <c:v>4200</c:v>
                </c:pt>
                <c:pt idx="19">
                  <c:v>4400</c:v>
                </c:pt>
                <c:pt idx="20">
                  <c:v>4600</c:v>
                </c:pt>
                <c:pt idx="21">
                  <c:v>4700</c:v>
                </c:pt>
                <c:pt idx="22">
                  <c:v>4900</c:v>
                </c:pt>
                <c:pt idx="23">
                  <c:v>5100</c:v>
                </c:pt>
                <c:pt idx="24">
                  <c:v>5200</c:v>
                </c:pt>
                <c:pt idx="25">
                  <c:v>5400</c:v>
                </c:pt>
                <c:pt idx="26">
                  <c:v>5500</c:v>
                </c:pt>
                <c:pt idx="27">
                  <c:v>5700</c:v>
                </c:pt>
                <c:pt idx="28">
                  <c:v>5900</c:v>
                </c:pt>
                <c:pt idx="29">
                  <c:v>6000</c:v>
                </c:pt>
                <c:pt idx="30">
                  <c:v>6200</c:v>
                </c:pt>
                <c:pt idx="31">
                  <c:v>6400</c:v>
                </c:pt>
                <c:pt idx="32">
                  <c:v>6500</c:v>
                </c:pt>
                <c:pt idx="33">
                  <c:v>6700</c:v>
                </c:pt>
                <c:pt idx="34">
                  <c:v>6900</c:v>
                </c:pt>
                <c:pt idx="35">
                  <c:v>7000</c:v>
                </c:pt>
                <c:pt idx="36">
                  <c:v>7200</c:v>
                </c:pt>
                <c:pt idx="37">
                  <c:v>7400</c:v>
                </c:pt>
                <c:pt idx="38">
                  <c:v>7500</c:v>
                </c:pt>
                <c:pt idx="39">
                  <c:v>7700</c:v>
                </c:pt>
                <c:pt idx="40">
                  <c:v>7900</c:v>
                </c:pt>
                <c:pt idx="41">
                  <c:v>8000</c:v>
                </c:pt>
                <c:pt idx="42">
                  <c:v>8200</c:v>
                </c:pt>
                <c:pt idx="43">
                  <c:v>8400</c:v>
                </c:pt>
                <c:pt idx="44">
                  <c:v>8500</c:v>
                </c:pt>
                <c:pt idx="45">
                  <c:v>8700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7C6-4D46-BA4B-95D006EF11E1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6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lumMod val="6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lumMod val="6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6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lumMod val="6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80000"/>
                    <a:lumOff val="20000"/>
                    <a:shade val="95000"/>
                  </a:schemeClr>
                </a:contourClr>
              </a:sp3d>
            </c:spPr>
          </c:bandFmt>
        </c:bandFmts>
        <c:axId val="490376576"/>
        <c:axId val="490381496"/>
        <c:axId val="933395624"/>
      </c:surface3DChart>
      <c:catAx>
        <c:axId val="490376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0381496"/>
        <c:crosses val="autoZero"/>
        <c:auto val="1"/>
        <c:lblAlgn val="ctr"/>
        <c:lblOffset val="100"/>
        <c:noMultiLvlLbl val="0"/>
      </c:catAx>
      <c:valAx>
        <c:axId val="490381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0376576"/>
        <c:crosses val="autoZero"/>
        <c:crossBetween val="midCat"/>
      </c:valAx>
      <c:serAx>
        <c:axId val="933395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0381496"/>
        <c:crosses val="autoZero"/>
        <c:tickLblSkip val="2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Break-Even-Point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'Break-Even-Point'!$A$6</c:f>
              <c:strCache>
                <c:ptCount val="1"/>
                <c:pt idx="0">
                  <c:v>Kum. Umsätze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'Break-Even-Point'!$B$3:$F$3</c:f>
              <c:numCache>
                <c:formatCode>General</c:formatCod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numCache>
            </c:numRef>
          </c:cat>
          <c:val>
            <c:numRef>
              <c:f>'Break-Even-Point'!$B$6:$F$6</c:f>
              <c:numCache>
                <c:formatCode>#,##0.00\ "€"</c:formatCode>
                <c:ptCount val="5"/>
                <c:pt idx="0">
                  <c:v>0</c:v>
                </c:pt>
                <c:pt idx="1">
                  <c:v>134053.63333333333</c:v>
                </c:pt>
                <c:pt idx="2">
                  <c:v>415482.74444444443</c:v>
                </c:pt>
                <c:pt idx="3">
                  <c:v>1216234.0777777778</c:v>
                </c:pt>
                <c:pt idx="4">
                  <c:v>2318885.4111111108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2-49E6-A677-08F9F255B6F6}"/>
            </c:ext>
          </c:extLst>
        </c:ser>
        <c:ser>
          <c:idx val="1"/>
          <c:order val="1"/>
          <c:tx>
            <c:strRef>
              <c:f>'Break-Even-Point'!$A$7</c:f>
              <c:strCache>
                <c:ptCount val="1"/>
                <c:pt idx="0">
                  <c:v>Kum. Kosten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'Break-Even-Point'!$B$3:$F$3</c:f>
              <c:numCache>
                <c:formatCode>General</c:formatCode>
                <c:ptCount val="5"/>
                <c:pt idx="0">
                  <c:v>2018</c:v>
                </c:pt>
                <c:pt idx="1">
                  <c:v>2019</c:v>
                </c:pt>
                <c:pt idx="2">
                  <c:v>2020</c:v>
                </c:pt>
                <c:pt idx="3">
                  <c:v>2021</c:v>
                </c:pt>
                <c:pt idx="4">
                  <c:v>2022</c:v>
                </c:pt>
              </c:numCache>
            </c:numRef>
          </c:cat>
          <c:val>
            <c:numRef>
              <c:f>'Break-Even-Point'!$B$7:$F$7</c:f>
              <c:numCache>
                <c:formatCode>#,##0.00\ "€"</c:formatCode>
                <c:ptCount val="5"/>
                <c:pt idx="0">
                  <c:v>0</c:v>
                </c:pt>
                <c:pt idx="1">
                  <c:v>478090.26748700743</c:v>
                </c:pt>
                <c:pt idx="2">
                  <c:v>899499.48521845485</c:v>
                </c:pt>
                <c:pt idx="3">
                  <c:v>1367401.9122986051</c:v>
                </c:pt>
                <c:pt idx="4">
                  <c:v>1979639.7807007092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C2-49E6-A677-08F9F255B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544437712"/>
        <c:axId val="544438696"/>
      </c:lineChart>
      <c:catAx>
        <c:axId val="544437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8696"/>
        <c:crosses val="autoZero"/>
        <c:auto val="1"/>
        <c:lblAlgn val="ctr"/>
        <c:lblOffset val="100"/>
        <c:noMultiLvlLbl val="0"/>
      </c:catAx>
      <c:valAx>
        <c:axId val="544438696"/>
        <c:scaling>
          <c:orientation val="minMax"/>
        </c:scaling>
        <c:delete val="0"/>
        <c:axPos val="l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##,##0,\ 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4437712"/>
        <c:crossesAt val="1"/>
        <c:crossBetween val="between"/>
        <c:majorUnit val="400000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Aufwände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'Aufteilung Aufwände'!$B$3</c:f>
              <c:strCache>
                <c:ptCount val="1"/>
                <c:pt idx="0">
                  <c:v>1. Jahr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'Aufteilung Aufwände'!$A$4:$A$25</c:f>
              <c:strCache>
                <c:ptCount val="22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 (tatsächlich)</c:v>
                </c:pt>
                <c:pt idx="20">
                  <c:v>Kredittilgung</c:v>
                </c:pt>
                <c:pt idx="21">
                  <c:v>Umsatzsteuer</c:v>
                </c:pt>
              </c:strCache>
            </c:strRef>
          </c:cat>
          <c:val>
            <c:numRef>
              <c:f>'Aufteilung Aufwände'!$B$4:$B$25</c:f>
              <c:numCache>
                <c:formatCode>#,##0.00\ "€"</c:formatCode>
                <c:ptCount val="22"/>
                <c:pt idx="0">
                  <c:v>223594.33333333334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7500</c:v>
                </c:pt>
                <c:pt idx="6">
                  <c:v>26400</c:v>
                </c:pt>
                <c:pt idx="7">
                  <c:v>4656</c:v>
                </c:pt>
                <c:pt idx="8">
                  <c:v>8600</c:v>
                </c:pt>
                <c:pt idx="9">
                  <c:v>0</c:v>
                </c:pt>
                <c:pt idx="10">
                  <c:v>1656.2646223300003</c:v>
                </c:pt>
                <c:pt idx="11">
                  <c:v>0</c:v>
                </c:pt>
                <c:pt idx="12">
                  <c:v>18000</c:v>
                </c:pt>
                <c:pt idx="13">
                  <c:v>200</c:v>
                </c:pt>
                <c:pt idx="14">
                  <c:v>15000</c:v>
                </c:pt>
                <c:pt idx="15">
                  <c:v>112200</c:v>
                </c:pt>
                <c:pt idx="16">
                  <c:v>35000</c:v>
                </c:pt>
                <c:pt idx="17">
                  <c:v>7531.6695313440014</c:v>
                </c:pt>
                <c:pt idx="18">
                  <c:v>0</c:v>
                </c:pt>
                <c:pt idx="19">
                  <c:v>500.00000000000006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2F-4773-BB90-C636BE34AE5C}"/>
            </c:ext>
          </c:extLst>
        </c:ser>
        <c:ser>
          <c:idx val="1"/>
          <c:order val="1"/>
          <c:tx>
            <c:strRef>
              <c:f>'Aufteilung Aufwände'!$C$3</c:f>
              <c:strCache>
                <c:ptCount val="1"/>
                <c:pt idx="0">
                  <c:v>2. Jahr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'Aufteilung Aufwände'!$A$4:$A$25</c:f>
              <c:strCache>
                <c:ptCount val="22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 (tatsächlich)</c:v>
                </c:pt>
                <c:pt idx="20">
                  <c:v>Kredittilgung</c:v>
                </c:pt>
                <c:pt idx="21">
                  <c:v>Umsatzsteuer</c:v>
                </c:pt>
              </c:strCache>
            </c:strRef>
          </c:cat>
          <c:val>
            <c:numRef>
              <c:f>'Aufteilung Aufwände'!$C$4:$C$25</c:f>
              <c:numCache>
                <c:formatCode>#,##0.00\ "€"</c:formatCode>
                <c:ptCount val="22"/>
                <c:pt idx="0">
                  <c:v>246415.2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7500</c:v>
                </c:pt>
                <c:pt idx="6">
                  <c:v>26400</c:v>
                </c:pt>
                <c:pt idx="7">
                  <c:v>4656</c:v>
                </c:pt>
                <c:pt idx="8">
                  <c:v>6600</c:v>
                </c:pt>
                <c:pt idx="9">
                  <c:v>0</c:v>
                </c:pt>
                <c:pt idx="10">
                  <c:v>1656.2646223300003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0</c:v>
                </c:pt>
                <c:pt idx="16">
                  <c:v>35000</c:v>
                </c:pt>
                <c:pt idx="17">
                  <c:v>22929.75310911745</c:v>
                </c:pt>
                <c:pt idx="18">
                  <c:v>0</c:v>
                </c:pt>
                <c:pt idx="19">
                  <c:v>500</c:v>
                </c:pt>
                <c:pt idx="20">
                  <c:v>0</c:v>
                </c:pt>
                <c:pt idx="21">
                  <c:v>37300.000000000007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2F-4773-BB90-C636BE34AE5C}"/>
            </c:ext>
          </c:extLst>
        </c:ser>
        <c:ser>
          <c:idx val="2"/>
          <c:order val="2"/>
          <c:tx>
            <c:strRef>
              <c:f>'Aufteilung Aufwände'!$D$3</c:f>
              <c:strCache>
                <c:ptCount val="1"/>
                <c:pt idx="0">
                  <c:v>3. Jahr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'Aufteilung Aufwände'!$A$4:$A$25</c:f>
              <c:strCache>
                <c:ptCount val="22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 (tatsächlich)</c:v>
                </c:pt>
                <c:pt idx="20">
                  <c:v>Kredittilgung</c:v>
                </c:pt>
                <c:pt idx="21">
                  <c:v>Umsatzsteuer</c:v>
                </c:pt>
              </c:strCache>
            </c:strRef>
          </c:cat>
          <c:val>
            <c:numRef>
              <c:f>'Aufteilung Aufwände'!$D$4:$D$25</c:f>
              <c:numCache>
                <c:formatCode>#,##0.00\ "€"</c:formatCode>
                <c:ptCount val="22"/>
                <c:pt idx="0">
                  <c:v>258627.96000000002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7500</c:v>
                </c:pt>
                <c:pt idx="6">
                  <c:v>26400</c:v>
                </c:pt>
                <c:pt idx="7">
                  <c:v>4656</c:v>
                </c:pt>
                <c:pt idx="8">
                  <c:v>6600</c:v>
                </c:pt>
                <c:pt idx="9">
                  <c:v>0</c:v>
                </c:pt>
                <c:pt idx="10">
                  <c:v>1656.2646223300003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0</c:v>
                </c:pt>
                <c:pt idx="16">
                  <c:v>0</c:v>
                </c:pt>
                <c:pt idx="17">
                  <c:v>7093.5357911534938</c:v>
                </c:pt>
                <c:pt idx="18">
                  <c:v>0</c:v>
                </c:pt>
                <c:pt idx="19">
                  <c:v>500</c:v>
                </c:pt>
                <c:pt idx="20">
                  <c:v>0</c:v>
                </c:pt>
                <c:pt idx="21">
                  <c:v>122416.66666666669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2F-4773-BB90-C636BE34AE5C}"/>
            </c:ext>
          </c:extLst>
        </c:ser>
        <c:ser>
          <c:idx val="3"/>
          <c:order val="3"/>
          <c:tx>
            <c:strRef>
              <c:f>'Aufteilung Aufwände'!$E$3</c:f>
              <c:strCache>
                <c:ptCount val="1"/>
                <c:pt idx="0">
                  <c:v>4. Jahr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'Aufteilung Aufwände'!$A$4:$A$25</c:f>
              <c:strCache>
                <c:ptCount val="22"/>
                <c:pt idx="0">
                  <c:v>Personalkosten</c:v>
                </c:pt>
                <c:pt idx="1">
                  <c:v>Materialeinsatz</c:v>
                </c:pt>
                <c:pt idx="2">
                  <c:v>Roh-, Betriebs- uns Hilfsstoffe</c:v>
                </c:pt>
                <c:pt idx="3">
                  <c:v>Sonstige betriebliche Aufwendungen
(Miete, Pacht, Betriebskosten)</c:v>
                </c:pt>
                <c:pt idx="4">
                  <c:v>Instandhaltung</c:v>
                </c:pt>
                <c:pt idx="5">
                  <c:v>Kfz-Kosten und Reisekosten</c:v>
                </c:pt>
                <c:pt idx="6">
                  <c:v>Büromaterial</c:v>
                </c:pt>
                <c:pt idx="7">
                  <c:v>Telefon / Fax / Internet</c:v>
                </c:pt>
                <c:pt idx="8">
                  <c:v>Steuer- und Rechtsberatung</c:v>
                </c:pt>
                <c:pt idx="9">
                  <c:v>Werbungskosten</c:v>
                </c:pt>
                <c:pt idx="10">
                  <c:v>Gebühren, Kammerbeiträge</c:v>
                </c:pt>
                <c:pt idx="11">
                  <c:v>Betriebsversicherung</c:v>
                </c:pt>
                <c:pt idx="12">
                  <c:v>Leasinggebühren</c:v>
                </c:pt>
                <c:pt idx="13">
                  <c:v>Spesen-, Bank-, Kreditgebühren</c:v>
                </c:pt>
                <c:pt idx="14">
                  <c:v>Sonstige Kosten</c:v>
                </c:pt>
                <c:pt idx="15">
                  <c:v>Vorsteuerabzugsfähige Investitionen</c:v>
                </c:pt>
                <c:pt idx="16">
                  <c:v>Nicht vorsteuerabzugsfähige Investitionen</c:v>
                </c:pt>
                <c:pt idx="17">
                  <c:v>Sollzinsen Kontokorrentkredit</c:v>
                </c:pt>
                <c:pt idx="18">
                  <c:v>Zinsen Einmalkredit</c:v>
                </c:pt>
                <c:pt idx="19">
                  <c:v>KöSt. / Ertragssteuer (tatsächlich)</c:v>
                </c:pt>
                <c:pt idx="20">
                  <c:v>Kredittilgung</c:v>
                </c:pt>
                <c:pt idx="21">
                  <c:v>Umsatzsteuer</c:v>
                </c:pt>
              </c:strCache>
            </c:strRef>
          </c:cat>
          <c:val>
            <c:numRef>
              <c:f>'Aufteilung Aufwände'!$E$4:$E$25</c:f>
              <c:numCache>
                <c:formatCode>#,##0.00\ "€"</c:formatCode>
                <c:ptCount val="22"/>
                <c:pt idx="0">
                  <c:v>271451.35800000007</c:v>
                </c:pt>
                <c:pt idx="1">
                  <c:v>0</c:v>
                </c:pt>
                <c:pt idx="2">
                  <c:v>0</c:v>
                </c:pt>
                <c:pt idx="3">
                  <c:v>15252</c:v>
                </c:pt>
                <c:pt idx="4">
                  <c:v>2000</c:v>
                </c:pt>
                <c:pt idx="5">
                  <c:v>7500</c:v>
                </c:pt>
                <c:pt idx="6">
                  <c:v>26400</c:v>
                </c:pt>
                <c:pt idx="7">
                  <c:v>4656</c:v>
                </c:pt>
                <c:pt idx="8">
                  <c:v>6600</c:v>
                </c:pt>
                <c:pt idx="9">
                  <c:v>0</c:v>
                </c:pt>
                <c:pt idx="10">
                  <c:v>1656.2646223300003</c:v>
                </c:pt>
                <c:pt idx="11">
                  <c:v>0</c:v>
                </c:pt>
                <c:pt idx="12">
                  <c:v>0</c:v>
                </c:pt>
                <c:pt idx="13">
                  <c:v>200</c:v>
                </c:pt>
                <c:pt idx="14">
                  <c:v>15000</c:v>
                </c:pt>
                <c:pt idx="15">
                  <c:v>0</c:v>
                </c:pt>
                <c:pt idx="16">
                  <c:v>0</c:v>
                </c:pt>
                <c:pt idx="17">
                  <c:v>28088.91244644062</c:v>
                </c:pt>
                <c:pt idx="18">
                  <c:v>0</c:v>
                </c:pt>
                <c:pt idx="19">
                  <c:v>60000</c:v>
                </c:pt>
                <c:pt idx="20">
                  <c:v>0</c:v>
                </c:pt>
                <c:pt idx="21">
                  <c:v>173433.33333333334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2F-4773-BB90-C636BE34A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1445184"/>
        <c:axId val="501445512"/>
      </c:barChart>
      <c:catAx>
        <c:axId val="50144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512"/>
        <c:crosses val="autoZero"/>
        <c:auto val="1"/>
        <c:lblAlgn val="ctr"/>
        <c:lblOffset val="100"/>
        <c:noMultiLvlLbl val="0"/>
      </c:catAx>
      <c:valAx>
        <c:axId val="501445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,&quot; T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1445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58</xdr:row>
      <xdr:rowOff>0</xdr:rowOff>
    </xdr:from>
    <xdr:to>
      <xdr:col>13</xdr:col>
      <xdr:colOff>0</xdr:colOff>
      <xdr:row>82</xdr:row>
      <xdr:rowOff>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794D8340-FBE9-44F2-88E3-06724F68FF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190499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5D1F7104-DDF4-42F3-8910-D595D60138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7</xdr:col>
      <xdr:colOff>0</xdr:colOff>
      <xdr:row>50</xdr:row>
      <xdr:rowOff>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83929850-14F4-4E14-BF5E-8F879A75FE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G44"/>
  <sheetViews>
    <sheetView showZeros="0" view="pageBreakPreview" zoomScale="85" zoomScaleNormal="100" zoomScaleSheetLayoutView="85" workbookViewId="0">
      <selection activeCell="C6" sqref="C6"/>
    </sheetView>
  </sheetViews>
  <sheetFormatPr baseColWidth="10" defaultRowHeight="15" x14ac:dyDescent="0.25"/>
  <cols>
    <col min="1" max="2" width="14.28515625" style="171" customWidth="1"/>
    <col min="3" max="3" width="25.7109375" style="171" bestFit="1" customWidth="1"/>
    <col min="4" max="4" width="34.28515625" style="171" customWidth="1"/>
    <col min="5" max="16384" width="11.42578125" style="171"/>
  </cols>
  <sheetData>
    <row r="1" spans="1:4" ht="27" thickBot="1" x14ac:dyDescent="0.45">
      <c r="A1" s="710" t="s">
        <v>5</v>
      </c>
      <c r="B1" s="711"/>
      <c r="C1" s="711"/>
      <c r="D1" s="712"/>
    </row>
    <row r="2" spans="1:4" ht="7.5" customHeight="1" thickBot="1" x14ac:dyDescent="0.3"/>
    <row r="3" spans="1:4" ht="16.5" thickBot="1" x14ac:dyDescent="0.3">
      <c r="A3" s="713" t="s">
        <v>0</v>
      </c>
      <c r="B3" s="714"/>
      <c r="C3" s="714"/>
      <c r="D3" s="715"/>
    </row>
    <row r="4" spans="1:4" ht="7.5" customHeight="1" x14ac:dyDescent="0.25">
      <c r="A4" s="519"/>
      <c r="B4" s="520"/>
      <c r="C4" s="520"/>
      <c r="D4" s="521"/>
    </row>
    <row r="5" spans="1:4" ht="18.75" customHeight="1" thickBot="1" x14ac:dyDescent="0.3">
      <c r="A5" s="734" t="s">
        <v>10</v>
      </c>
      <c r="B5" s="735"/>
      <c r="C5" s="522" t="s">
        <v>12</v>
      </c>
      <c r="D5" s="523" t="s">
        <v>13</v>
      </c>
    </row>
    <row r="6" spans="1:4" ht="30.75" thickTop="1" x14ac:dyDescent="0.25">
      <c r="A6" s="732" t="s">
        <v>1</v>
      </c>
      <c r="B6" s="733"/>
      <c r="C6" s="82" t="s">
        <v>35</v>
      </c>
      <c r="D6" s="83" t="s">
        <v>234</v>
      </c>
    </row>
    <row r="7" spans="1:4" ht="30" x14ac:dyDescent="0.25">
      <c r="A7" s="716" t="s">
        <v>2</v>
      </c>
      <c r="B7" s="717"/>
      <c r="C7" s="84" t="s">
        <v>36</v>
      </c>
      <c r="D7" s="85" t="s">
        <v>235</v>
      </c>
    </row>
    <row r="8" spans="1:4" ht="30" x14ac:dyDescent="0.25">
      <c r="A8" s="716" t="s">
        <v>3</v>
      </c>
      <c r="B8" s="717"/>
      <c r="C8" s="84" t="s">
        <v>37</v>
      </c>
      <c r="D8" s="85" t="s">
        <v>236</v>
      </c>
    </row>
    <row r="9" spans="1:4" ht="30" x14ac:dyDescent="0.25">
      <c r="A9" s="721" t="s">
        <v>4</v>
      </c>
      <c r="B9" s="722"/>
      <c r="C9" s="86" t="s">
        <v>38</v>
      </c>
      <c r="D9" s="87" t="s">
        <v>15</v>
      </c>
    </row>
    <row r="10" spans="1:4" ht="7.5" customHeight="1" thickBot="1" x14ac:dyDescent="0.3">
      <c r="A10" s="213"/>
      <c r="B10" s="214"/>
      <c r="C10" s="214"/>
      <c r="D10" s="524"/>
    </row>
    <row r="11" spans="1:4" ht="7.5" customHeight="1" thickBot="1" x14ac:dyDescent="0.3">
      <c r="A11" s="525"/>
      <c r="B11" s="525"/>
      <c r="C11" s="525"/>
      <c r="D11" s="525"/>
    </row>
    <row r="12" spans="1:4" ht="16.5" thickBot="1" x14ac:dyDescent="0.3">
      <c r="A12" s="713" t="s">
        <v>14</v>
      </c>
      <c r="B12" s="714"/>
      <c r="C12" s="714"/>
      <c r="D12" s="715"/>
    </row>
    <row r="13" spans="1:4" ht="7.5" customHeight="1" x14ac:dyDescent="0.25">
      <c r="A13" s="526"/>
      <c r="B13" s="527"/>
      <c r="C13" s="527"/>
      <c r="D13" s="528"/>
    </row>
    <row r="14" spans="1:4" ht="18.75" customHeight="1" x14ac:dyDescent="0.25">
      <c r="A14" s="529" t="s">
        <v>11</v>
      </c>
      <c r="B14" s="720" t="s">
        <v>6</v>
      </c>
      <c r="C14" s="720"/>
      <c r="D14" s="88"/>
    </row>
    <row r="15" spans="1:4" ht="37.5" customHeight="1" x14ac:dyDescent="0.25">
      <c r="A15" s="530" t="s">
        <v>16</v>
      </c>
      <c r="B15" s="719" t="s">
        <v>8</v>
      </c>
      <c r="C15" s="719"/>
      <c r="D15" s="89"/>
    </row>
    <row r="16" spans="1:4" ht="20.25" customHeight="1" x14ac:dyDescent="0.25">
      <c r="A16" s="530" t="s">
        <v>9</v>
      </c>
      <c r="B16" s="718" t="s">
        <v>7</v>
      </c>
      <c r="C16" s="718"/>
      <c r="D16" s="90"/>
    </row>
    <row r="17" spans="1:4" x14ac:dyDescent="0.25">
      <c r="A17" s="531" t="s">
        <v>17</v>
      </c>
      <c r="B17" s="736">
        <v>43466</v>
      </c>
      <c r="C17" s="736"/>
      <c r="D17" s="91"/>
    </row>
    <row r="18" spans="1:4" ht="8.25" customHeight="1" thickBot="1" x14ac:dyDescent="0.3">
      <c r="A18" s="213"/>
      <c r="B18" s="214"/>
      <c r="C18" s="214"/>
      <c r="D18" s="524"/>
    </row>
    <row r="21" spans="1:4" ht="15.75" thickBot="1" x14ac:dyDescent="0.3"/>
    <row r="22" spans="1:4" ht="15.75" thickBot="1" x14ac:dyDescent="0.3">
      <c r="B22" s="622" t="s">
        <v>252</v>
      </c>
      <c r="C22" s="623"/>
    </row>
    <row r="23" spans="1:4" ht="15.75" thickBot="1" x14ac:dyDescent="0.3">
      <c r="B23" s="519"/>
      <c r="C23" s="521"/>
    </row>
    <row r="24" spans="1:4" ht="15.75" thickTop="1" x14ac:dyDescent="0.25">
      <c r="B24" s="610"/>
      <c r="C24" s="611" t="s">
        <v>237</v>
      </c>
    </row>
    <row r="25" spans="1:4" ht="15.75" thickBot="1" x14ac:dyDescent="0.3">
      <c r="B25" s="612"/>
      <c r="C25" s="613" t="s">
        <v>238</v>
      </c>
    </row>
    <row r="26" spans="1:4" ht="16.5" thickTop="1" thickBot="1" x14ac:dyDescent="0.3">
      <c r="B26" s="519"/>
      <c r="C26" s="521"/>
    </row>
    <row r="27" spans="1:4" ht="15.75" thickTop="1" x14ac:dyDescent="0.25">
      <c r="B27" s="614"/>
      <c r="C27" s="611" t="s">
        <v>239</v>
      </c>
    </row>
    <row r="28" spans="1:4" ht="15.75" thickBot="1" x14ac:dyDescent="0.3">
      <c r="B28" s="615"/>
      <c r="C28" s="613" t="s">
        <v>240</v>
      </c>
    </row>
    <row r="29" spans="1:4" ht="16.5" thickTop="1" thickBot="1" x14ac:dyDescent="0.3">
      <c r="B29" s="519"/>
      <c r="C29" s="521"/>
    </row>
    <row r="30" spans="1:4" ht="15.75" thickTop="1" x14ac:dyDescent="0.25">
      <c r="B30" s="616"/>
      <c r="C30" s="611" t="s">
        <v>241</v>
      </c>
    </row>
    <row r="31" spans="1:4" x14ac:dyDescent="0.25">
      <c r="B31" s="617"/>
      <c r="C31" s="618" t="s">
        <v>242</v>
      </c>
    </row>
    <row r="32" spans="1:4" ht="15.75" thickBot="1" x14ac:dyDescent="0.3">
      <c r="B32" s="619"/>
      <c r="C32" s="613" t="s">
        <v>243</v>
      </c>
    </row>
    <row r="33" spans="1:7" ht="16.5" thickTop="1" thickBot="1" x14ac:dyDescent="0.3">
      <c r="B33" s="519"/>
      <c r="C33" s="521"/>
    </row>
    <row r="34" spans="1:7" ht="16.5" thickTop="1" thickBot="1" x14ac:dyDescent="0.3">
      <c r="B34" s="620"/>
      <c r="C34" s="621" t="s">
        <v>247</v>
      </c>
    </row>
    <row r="35" spans="1:7" ht="16.5" thickTop="1" thickBot="1" x14ac:dyDescent="0.3">
      <c r="B35" s="213"/>
      <c r="C35" s="524"/>
    </row>
    <row r="40" spans="1:7" x14ac:dyDescent="0.25">
      <c r="A40" s="729" t="s">
        <v>39</v>
      </c>
      <c r="B40" s="730"/>
      <c r="C40" s="730"/>
      <c r="D40" s="731"/>
    </row>
    <row r="41" spans="1:7" ht="30" customHeight="1" x14ac:dyDescent="0.25">
      <c r="A41" s="723" t="s">
        <v>40</v>
      </c>
      <c r="B41" s="724"/>
      <c r="C41" s="724"/>
      <c r="D41" s="725"/>
      <c r="G41" s="532"/>
    </row>
    <row r="42" spans="1:7" ht="7.5" customHeight="1" x14ac:dyDescent="0.25">
      <c r="A42" s="533"/>
      <c r="B42" s="534"/>
      <c r="C42" s="534"/>
      <c r="D42" s="535"/>
    </row>
    <row r="43" spans="1:7" ht="30" customHeight="1" x14ac:dyDescent="0.25">
      <c r="A43" s="726" t="s">
        <v>41</v>
      </c>
      <c r="B43" s="727"/>
      <c r="C43" s="727"/>
      <c r="D43" s="728"/>
    </row>
    <row r="44" spans="1:7" x14ac:dyDescent="0.25">
      <c r="A44" s="536"/>
      <c r="B44" s="536"/>
      <c r="C44" s="536"/>
      <c r="D44" s="536"/>
    </row>
  </sheetData>
  <sheetProtection algorithmName="SHA-512" hashValue="sAXAXTs1xTXi8x2aYV9qdIIorKPlPI/fJBDq9zJYpoUgyhnL0616eL4f/QzUlG4TEovpEl/XuYKE0j3zwkwA+A==" saltValue="4a+sgL2QG1gXI7w0QhzkMQ==" spinCount="100000" sheet="1" objects="1" scenarios="1" selectLockedCells="1"/>
  <mergeCells count="15">
    <mergeCell ref="A41:D41"/>
    <mergeCell ref="A43:D43"/>
    <mergeCell ref="A40:D40"/>
    <mergeCell ref="A6:B6"/>
    <mergeCell ref="A5:B5"/>
    <mergeCell ref="B17:C17"/>
    <mergeCell ref="A1:D1"/>
    <mergeCell ref="A3:D3"/>
    <mergeCell ref="A12:D12"/>
    <mergeCell ref="A8:B8"/>
    <mergeCell ref="B16:C16"/>
    <mergeCell ref="B15:C15"/>
    <mergeCell ref="B14:C14"/>
    <mergeCell ref="A9:B9"/>
    <mergeCell ref="A7:B7"/>
  </mergeCells>
  <printOptions horizontalCentered="1"/>
  <pageMargins left="0.59055118110236227" right="0.59055118110236227" top="0.78740157480314965" bottom="0.78740157480314965" header="0.31496062992125984" footer="0.31496062992125984"/>
  <pageSetup paperSize="9" fitToHeight="0" orientation="portrait" blackAndWhite="1" horizontalDpi="300" verticalDpi="300" r:id="rId1"/>
  <headerFooter>
    <oddFooter>&amp;CSeite &amp;P von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Y32"/>
  <sheetViews>
    <sheetView showGridLines="0" view="pageBreakPreview" zoomScale="85" zoomScaleNormal="100" zoomScaleSheetLayoutView="85" workbookViewId="0">
      <pane xSplit="5" ySplit="1" topLeftCell="Q20" activePane="bottomRight" state="frozen"/>
      <selection pane="topRight" activeCell="F1" sqref="F1"/>
      <selection pane="bottomLeft" activeCell="A2" sqref="A2"/>
      <selection pane="bottomRight" activeCell="A28" sqref="A28:XFD28"/>
    </sheetView>
  </sheetViews>
  <sheetFormatPr baseColWidth="10" defaultRowHeight="15" outlineLevelRow="2" outlineLevelCol="1" x14ac:dyDescent="0.25"/>
  <cols>
    <col min="1" max="1" width="35.140625" style="39" bestFit="1" customWidth="1"/>
    <col min="2" max="2" width="13.5703125" style="39" bestFit="1" customWidth="1"/>
    <col min="3" max="3" width="7" style="39" bestFit="1" customWidth="1"/>
    <col min="4" max="4" width="6.85546875" style="39" bestFit="1" customWidth="1"/>
    <col min="5" max="5" width="9" style="39" bestFit="1" customWidth="1"/>
    <col min="6" max="17" width="14.28515625" style="39" customWidth="1" outlineLevel="1"/>
    <col min="18" max="18" width="14.28515625" style="39" customWidth="1"/>
    <col min="19" max="22" width="14.28515625" style="39" customWidth="1" outlineLevel="1"/>
    <col min="23" max="25" width="14.28515625" style="39" customWidth="1"/>
    <col min="26" max="16384" width="11.42578125" style="39"/>
  </cols>
  <sheetData>
    <row r="1" spans="1:25" ht="27" thickBot="1" x14ac:dyDescent="0.3">
      <c r="A1" s="737" t="s">
        <v>18</v>
      </c>
      <c r="B1" s="738"/>
      <c r="C1" s="738"/>
      <c r="D1" s="738"/>
      <c r="E1" s="738"/>
      <c r="F1" s="738"/>
      <c r="G1" s="738"/>
      <c r="H1" s="738"/>
      <c r="I1" s="738"/>
      <c r="J1" s="738"/>
      <c r="K1" s="738"/>
      <c r="L1" s="738"/>
      <c r="M1" s="738"/>
      <c r="N1" s="738"/>
      <c r="O1" s="738"/>
      <c r="P1" s="738"/>
      <c r="Q1" s="738"/>
      <c r="R1" s="738"/>
      <c r="S1" s="738"/>
      <c r="T1" s="738"/>
      <c r="U1" s="738"/>
      <c r="V1" s="738"/>
      <c r="W1" s="738"/>
      <c r="X1" s="738"/>
      <c r="Y1" s="739"/>
    </row>
    <row r="2" spans="1:25" ht="7.5" customHeight="1" thickBot="1" x14ac:dyDescent="0.3"/>
    <row r="3" spans="1:25" x14ac:dyDescent="0.25">
      <c r="A3" s="753" t="s">
        <v>263</v>
      </c>
      <c r="B3" s="757" t="s">
        <v>19</v>
      </c>
      <c r="C3" s="757" t="s">
        <v>31</v>
      </c>
      <c r="D3" s="757" t="s">
        <v>244</v>
      </c>
      <c r="E3" s="755" t="s">
        <v>245</v>
      </c>
      <c r="F3" s="744" t="s">
        <v>20</v>
      </c>
      <c r="G3" s="743"/>
      <c r="H3" s="743"/>
      <c r="I3" s="743"/>
      <c r="J3" s="743"/>
      <c r="K3" s="743"/>
      <c r="L3" s="743"/>
      <c r="M3" s="743"/>
      <c r="N3" s="743"/>
      <c r="O3" s="743"/>
      <c r="P3" s="743"/>
      <c r="Q3" s="743"/>
      <c r="R3" s="740" t="s">
        <v>20</v>
      </c>
      <c r="S3" s="742" t="s">
        <v>25</v>
      </c>
      <c r="T3" s="743"/>
      <c r="U3" s="743"/>
      <c r="V3" s="743"/>
      <c r="W3" s="740" t="s">
        <v>25</v>
      </c>
      <c r="X3" s="740" t="s">
        <v>26</v>
      </c>
      <c r="Y3" s="751" t="s">
        <v>27</v>
      </c>
    </row>
    <row r="4" spans="1:25" s="5" customFormat="1" ht="15" customHeight="1" thickBot="1" x14ac:dyDescent="0.3">
      <c r="A4" s="754"/>
      <c r="B4" s="758"/>
      <c r="C4" s="758"/>
      <c r="D4" s="758"/>
      <c r="E4" s="756"/>
      <c r="F4" s="1">
        <v>1</v>
      </c>
      <c r="G4" s="2">
        <v>2</v>
      </c>
      <c r="H4" s="2">
        <v>3</v>
      </c>
      <c r="I4" s="2">
        <v>4</v>
      </c>
      <c r="J4" s="2">
        <v>5</v>
      </c>
      <c r="K4" s="2">
        <v>6</v>
      </c>
      <c r="L4" s="2">
        <v>7</v>
      </c>
      <c r="M4" s="2">
        <v>8</v>
      </c>
      <c r="N4" s="2">
        <v>9</v>
      </c>
      <c r="O4" s="2">
        <v>10</v>
      </c>
      <c r="P4" s="2">
        <v>11</v>
      </c>
      <c r="Q4" s="3">
        <v>12</v>
      </c>
      <c r="R4" s="741"/>
      <c r="S4" s="4" t="s">
        <v>21</v>
      </c>
      <c r="T4" s="2" t="s">
        <v>22</v>
      </c>
      <c r="U4" s="2" t="s">
        <v>23</v>
      </c>
      <c r="V4" s="3" t="s">
        <v>24</v>
      </c>
      <c r="W4" s="741"/>
      <c r="X4" s="741"/>
      <c r="Y4" s="752"/>
    </row>
    <row r="5" spans="1:25" ht="18.75" customHeight="1" outlineLevel="2" thickTop="1" x14ac:dyDescent="0.25">
      <c r="A5" s="21" t="s">
        <v>59</v>
      </c>
      <c r="B5" s="105">
        <v>25000</v>
      </c>
      <c r="C5" s="19">
        <v>10</v>
      </c>
      <c r="D5" s="19">
        <v>1</v>
      </c>
      <c r="E5" s="20">
        <v>1</v>
      </c>
      <c r="F5" s="6">
        <f>IF($E5=F$4,$B5,"")</f>
        <v>25000</v>
      </c>
      <c r="G5" s="7" t="str">
        <f t="shared" ref="G5:Q12" si="0">IF($E5=G$4,$B5,"")</f>
        <v/>
      </c>
      <c r="H5" s="7" t="str">
        <f t="shared" si="0"/>
        <v/>
      </c>
      <c r="I5" s="7" t="str">
        <f t="shared" si="0"/>
        <v/>
      </c>
      <c r="J5" s="7" t="str">
        <f t="shared" si="0"/>
        <v/>
      </c>
      <c r="K5" s="7" t="str">
        <f t="shared" si="0"/>
        <v/>
      </c>
      <c r="L5" s="7" t="str">
        <f t="shared" si="0"/>
        <v/>
      </c>
      <c r="M5" s="7" t="str">
        <f t="shared" si="0"/>
        <v/>
      </c>
      <c r="N5" s="7" t="str">
        <f t="shared" si="0"/>
        <v/>
      </c>
      <c r="O5" s="7" t="str">
        <f t="shared" si="0"/>
        <v/>
      </c>
      <c r="P5" s="7" t="str">
        <f t="shared" si="0"/>
        <v/>
      </c>
      <c r="Q5" s="180" t="str">
        <f t="shared" si="0"/>
        <v/>
      </c>
      <c r="R5" s="290">
        <f>SUM(F5:Q5)</f>
        <v>25000</v>
      </c>
      <c r="S5" s="71" t="str">
        <f>IF(AND($E5&gt;12,$E5&lt;=15),$B5,"")</f>
        <v/>
      </c>
      <c r="T5" s="72" t="str">
        <f>IF(AND($E5&gt;15,$E5&lt;=18),$B5,"")</f>
        <v/>
      </c>
      <c r="U5" s="72" t="str">
        <f>IF(AND($E5&gt;18,$E5&lt;=21),$B5,"")</f>
        <v/>
      </c>
      <c r="V5" s="669" t="str">
        <f>IF(AND($E5&gt;21,$E5&lt;=24),$B5,"")</f>
        <v/>
      </c>
      <c r="W5" s="290">
        <f>SUM(S5:V5)</f>
        <v>0</v>
      </c>
      <c r="X5" s="8">
        <f>IF(AND($E5&gt;24,$E5&lt;=36),$B5,0)</f>
        <v>0</v>
      </c>
      <c r="Y5" s="9">
        <f>IF(AND($E5&gt;36,$E5&lt;=48),$B5,0)</f>
        <v>0</v>
      </c>
    </row>
    <row r="6" spans="1:25" ht="18.75" customHeight="1" outlineLevel="2" x14ac:dyDescent="0.25">
      <c r="A6" s="22" t="s">
        <v>60</v>
      </c>
      <c r="B6" s="106">
        <v>3000</v>
      </c>
      <c r="C6" s="95">
        <v>5</v>
      </c>
      <c r="D6" s="95">
        <v>1</v>
      </c>
      <c r="E6" s="96">
        <v>1</v>
      </c>
      <c r="F6" s="10">
        <f t="shared" ref="F6:F12" si="1">IF($E6=F$4,$B6,"")</f>
        <v>3000</v>
      </c>
      <c r="G6" s="11" t="str">
        <f t="shared" si="0"/>
        <v/>
      </c>
      <c r="H6" s="11" t="str">
        <f t="shared" si="0"/>
        <v/>
      </c>
      <c r="I6" s="11" t="str">
        <f t="shared" si="0"/>
        <v/>
      </c>
      <c r="J6" s="11" t="str">
        <f t="shared" si="0"/>
        <v/>
      </c>
      <c r="K6" s="11" t="str">
        <f t="shared" si="0"/>
        <v/>
      </c>
      <c r="L6" s="11" t="str">
        <f t="shared" si="0"/>
        <v/>
      </c>
      <c r="M6" s="11" t="str">
        <f t="shared" si="0"/>
        <v/>
      </c>
      <c r="N6" s="11" t="str">
        <f t="shared" si="0"/>
        <v/>
      </c>
      <c r="O6" s="11" t="str">
        <f t="shared" si="0"/>
        <v/>
      </c>
      <c r="P6" s="11" t="str">
        <f t="shared" si="0"/>
        <v/>
      </c>
      <c r="Q6" s="185" t="str">
        <f t="shared" si="0"/>
        <v/>
      </c>
      <c r="R6" s="291">
        <f t="shared" ref="R6:R12" si="2">SUM(F6:Q6)</f>
        <v>3000</v>
      </c>
      <c r="S6" s="75" t="str">
        <f t="shared" ref="S6:S12" si="3">IF(AND($E6&gt;12,$E6&lt;=15),$B6,"")</f>
        <v/>
      </c>
      <c r="T6" s="76" t="str">
        <f t="shared" ref="T6:T12" si="4">IF(AND($E6&gt;15,$E6&lt;=18),$B6,"")</f>
        <v/>
      </c>
      <c r="U6" s="76" t="str">
        <f t="shared" ref="U6:U12" si="5">IF(AND($E6&gt;18,$E6&lt;=21),$B6,"")</f>
        <v/>
      </c>
      <c r="V6" s="298" t="str">
        <f t="shared" ref="V6:V12" si="6">IF(AND($E6&gt;21,$E6&lt;=24),$B6,"")</f>
        <v/>
      </c>
      <c r="W6" s="291">
        <f t="shared" ref="W6:W12" si="7">SUM(S6:V6)</f>
        <v>0</v>
      </c>
      <c r="X6" s="12">
        <f t="shared" ref="X6:X12" si="8">IF(AND($E6&gt;24,$E6&lt;=36),$B6,0)</f>
        <v>0</v>
      </c>
      <c r="Y6" s="13">
        <f t="shared" ref="Y6:Y12" si="9">IF(AND($E6&gt;36,$E6&lt;=48),$B6,0)</f>
        <v>0</v>
      </c>
    </row>
    <row r="7" spans="1:25" ht="18.75" customHeight="1" outlineLevel="2" x14ac:dyDescent="0.25">
      <c r="A7" s="22" t="s">
        <v>61</v>
      </c>
      <c r="B7" s="106">
        <v>10000</v>
      </c>
      <c r="C7" s="95">
        <v>4</v>
      </c>
      <c r="D7" s="95">
        <v>1</v>
      </c>
      <c r="E7" s="96">
        <v>1</v>
      </c>
      <c r="F7" s="10">
        <f t="shared" si="1"/>
        <v>10000</v>
      </c>
      <c r="G7" s="11" t="str">
        <f t="shared" si="0"/>
        <v/>
      </c>
      <c r="H7" s="11" t="str">
        <f t="shared" si="0"/>
        <v/>
      </c>
      <c r="I7" s="11" t="str">
        <f t="shared" si="0"/>
        <v/>
      </c>
      <c r="J7" s="11" t="str">
        <f t="shared" si="0"/>
        <v/>
      </c>
      <c r="K7" s="11" t="str">
        <f t="shared" si="0"/>
        <v/>
      </c>
      <c r="L7" s="11" t="str">
        <f t="shared" si="0"/>
        <v/>
      </c>
      <c r="M7" s="11" t="str">
        <f t="shared" si="0"/>
        <v/>
      </c>
      <c r="N7" s="11" t="str">
        <f t="shared" si="0"/>
        <v/>
      </c>
      <c r="O7" s="11" t="str">
        <f t="shared" si="0"/>
        <v/>
      </c>
      <c r="P7" s="11" t="str">
        <f t="shared" si="0"/>
        <v/>
      </c>
      <c r="Q7" s="185" t="str">
        <f t="shared" si="0"/>
        <v/>
      </c>
      <c r="R7" s="291">
        <f t="shared" ref="R7:R10" si="10">SUM(F7:Q7)</f>
        <v>10000</v>
      </c>
      <c r="S7" s="75" t="str">
        <f t="shared" si="3"/>
        <v/>
      </c>
      <c r="T7" s="76" t="str">
        <f t="shared" si="4"/>
        <v/>
      </c>
      <c r="U7" s="76" t="str">
        <f t="shared" si="5"/>
        <v/>
      </c>
      <c r="V7" s="298" t="str">
        <f t="shared" si="6"/>
        <v/>
      </c>
      <c r="W7" s="291">
        <f t="shared" ref="W7:W10" si="11">SUM(S7:V7)</f>
        <v>0</v>
      </c>
      <c r="X7" s="12">
        <f t="shared" si="8"/>
        <v>0</v>
      </c>
      <c r="Y7" s="13">
        <f t="shared" si="9"/>
        <v>0</v>
      </c>
    </row>
    <row r="8" spans="1:25" ht="18.75" customHeight="1" outlineLevel="2" x14ac:dyDescent="0.25">
      <c r="A8" s="22" t="s">
        <v>65</v>
      </c>
      <c r="B8" s="106">
        <v>12000</v>
      </c>
      <c r="C8" s="95">
        <v>4</v>
      </c>
      <c r="D8" s="95">
        <v>1</v>
      </c>
      <c r="E8" s="96">
        <v>1</v>
      </c>
      <c r="F8" s="10">
        <f t="shared" si="1"/>
        <v>12000</v>
      </c>
      <c r="G8" s="11" t="str">
        <f t="shared" si="0"/>
        <v/>
      </c>
      <c r="H8" s="11" t="str">
        <f t="shared" si="0"/>
        <v/>
      </c>
      <c r="I8" s="11" t="str">
        <f t="shared" si="0"/>
        <v/>
      </c>
      <c r="J8" s="11" t="str">
        <f t="shared" si="0"/>
        <v/>
      </c>
      <c r="K8" s="11" t="str">
        <f t="shared" si="0"/>
        <v/>
      </c>
      <c r="L8" s="11" t="str">
        <f t="shared" si="0"/>
        <v/>
      </c>
      <c r="M8" s="11" t="str">
        <f t="shared" si="0"/>
        <v/>
      </c>
      <c r="N8" s="11" t="str">
        <f t="shared" si="0"/>
        <v/>
      </c>
      <c r="O8" s="11" t="str">
        <f t="shared" si="0"/>
        <v/>
      </c>
      <c r="P8" s="11" t="str">
        <f t="shared" si="0"/>
        <v/>
      </c>
      <c r="Q8" s="185" t="str">
        <f t="shared" si="0"/>
        <v/>
      </c>
      <c r="R8" s="291">
        <f t="shared" si="10"/>
        <v>12000</v>
      </c>
      <c r="S8" s="75" t="str">
        <f t="shared" si="3"/>
        <v/>
      </c>
      <c r="T8" s="76" t="str">
        <f t="shared" si="4"/>
        <v/>
      </c>
      <c r="U8" s="76" t="str">
        <f t="shared" si="5"/>
        <v/>
      </c>
      <c r="V8" s="298" t="str">
        <f t="shared" si="6"/>
        <v/>
      </c>
      <c r="W8" s="291">
        <f t="shared" si="11"/>
        <v>0</v>
      </c>
      <c r="X8" s="12">
        <f t="shared" si="8"/>
        <v>0</v>
      </c>
      <c r="Y8" s="13">
        <f t="shared" si="9"/>
        <v>0</v>
      </c>
    </row>
    <row r="9" spans="1:25" ht="18.75" customHeight="1" outlineLevel="2" x14ac:dyDescent="0.25">
      <c r="A9" s="97" t="s">
        <v>62</v>
      </c>
      <c r="B9" s="106">
        <v>3500</v>
      </c>
      <c r="C9" s="95">
        <v>4</v>
      </c>
      <c r="D9" s="95">
        <v>1</v>
      </c>
      <c r="E9" s="96">
        <v>1</v>
      </c>
      <c r="F9" s="10">
        <f t="shared" si="1"/>
        <v>3500</v>
      </c>
      <c r="G9" s="11" t="str">
        <f t="shared" si="0"/>
        <v/>
      </c>
      <c r="H9" s="11" t="str">
        <f t="shared" si="0"/>
        <v/>
      </c>
      <c r="I9" s="11" t="str">
        <f t="shared" si="0"/>
        <v/>
      </c>
      <c r="J9" s="11" t="str">
        <f t="shared" si="0"/>
        <v/>
      </c>
      <c r="K9" s="11" t="str">
        <f t="shared" si="0"/>
        <v/>
      </c>
      <c r="L9" s="11" t="str">
        <f t="shared" si="0"/>
        <v/>
      </c>
      <c r="M9" s="11" t="str">
        <f t="shared" si="0"/>
        <v/>
      </c>
      <c r="N9" s="11" t="str">
        <f t="shared" si="0"/>
        <v/>
      </c>
      <c r="O9" s="11" t="str">
        <f t="shared" si="0"/>
        <v/>
      </c>
      <c r="P9" s="11" t="str">
        <f t="shared" si="0"/>
        <v/>
      </c>
      <c r="Q9" s="185" t="str">
        <f t="shared" si="0"/>
        <v/>
      </c>
      <c r="R9" s="291">
        <f t="shared" si="10"/>
        <v>3500</v>
      </c>
      <c r="S9" s="75" t="str">
        <f t="shared" si="3"/>
        <v/>
      </c>
      <c r="T9" s="76" t="str">
        <f t="shared" si="4"/>
        <v/>
      </c>
      <c r="U9" s="76" t="str">
        <f t="shared" si="5"/>
        <v/>
      </c>
      <c r="V9" s="298" t="str">
        <f t="shared" si="6"/>
        <v/>
      </c>
      <c r="W9" s="291">
        <f t="shared" si="11"/>
        <v>0</v>
      </c>
      <c r="X9" s="12">
        <f t="shared" si="8"/>
        <v>0</v>
      </c>
      <c r="Y9" s="13">
        <f t="shared" si="9"/>
        <v>0</v>
      </c>
    </row>
    <row r="10" spans="1:25" ht="18.75" customHeight="1" outlineLevel="2" x14ac:dyDescent="0.25">
      <c r="A10" s="22" t="s">
        <v>63</v>
      </c>
      <c r="B10" s="106">
        <v>10000</v>
      </c>
      <c r="C10" s="95">
        <v>4</v>
      </c>
      <c r="D10" s="95">
        <v>2</v>
      </c>
      <c r="E10" s="96">
        <v>3</v>
      </c>
      <c r="F10" s="10" t="str">
        <f t="shared" si="1"/>
        <v/>
      </c>
      <c r="G10" s="11" t="str">
        <f t="shared" si="0"/>
        <v/>
      </c>
      <c r="H10" s="11">
        <f t="shared" si="0"/>
        <v>10000</v>
      </c>
      <c r="I10" s="11" t="str">
        <f t="shared" si="0"/>
        <v/>
      </c>
      <c r="J10" s="11" t="str">
        <f t="shared" si="0"/>
        <v/>
      </c>
      <c r="K10" s="11" t="str">
        <f t="shared" si="0"/>
        <v/>
      </c>
      <c r="L10" s="11" t="str">
        <f t="shared" si="0"/>
        <v/>
      </c>
      <c r="M10" s="11" t="str">
        <f t="shared" si="0"/>
        <v/>
      </c>
      <c r="N10" s="11" t="str">
        <f t="shared" si="0"/>
        <v/>
      </c>
      <c r="O10" s="11" t="str">
        <f t="shared" si="0"/>
        <v/>
      </c>
      <c r="P10" s="11" t="str">
        <f t="shared" si="0"/>
        <v/>
      </c>
      <c r="Q10" s="185" t="str">
        <f t="shared" si="0"/>
        <v/>
      </c>
      <c r="R10" s="291">
        <f t="shared" si="10"/>
        <v>10000</v>
      </c>
      <c r="S10" s="75" t="str">
        <f t="shared" si="3"/>
        <v/>
      </c>
      <c r="T10" s="76" t="str">
        <f t="shared" si="4"/>
        <v/>
      </c>
      <c r="U10" s="76" t="str">
        <f t="shared" si="5"/>
        <v/>
      </c>
      <c r="V10" s="298" t="str">
        <f t="shared" si="6"/>
        <v/>
      </c>
      <c r="W10" s="291">
        <f t="shared" si="11"/>
        <v>0</v>
      </c>
      <c r="X10" s="12">
        <f t="shared" si="8"/>
        <v>0</v>
      </c>
      <c r="Y10" s="13">
        <f t="shared" si="9"/>
        <v>0</v>
      </c>
    </row>
    <row r="11" spans="1:25" ht="18.75" customHeight="1" outlineLevel="2" x14ac:dyDescent="0.25">
      <c r="A11" s="23" t="s">
        <v>66</v>
      </c>
      <c r="B11" s="107">
        <v>10000</v>
      </c>
      <c r="C11" s="99">
        <v>5</v>
      </c>
      <c r="D11" s="99">
        <v>5</v>
      </c>
      <c r="E11" s="100">
        <v>6</v>
      </c>
      <c r="F11" s="14" t="str">
        <f t="shared" si="1"/>
        <v/>
      </c>
      <c r="G11" s="15" t="str">
        <f t="shared" si="0"/>
        <v/>
      </c>
      <c r="H11" s="15" t="str">
        <f t="shared" si="0"/>
        <v/>
      </c>
      <c r="I11" s="15" t="str">
        <f t="shared" si="0"/>
        <v/>
      </c>
      <c r="J11" s="15" t="str">
        <f t="shared" si="0"/>
        <v/>
      </c>
      <c r="K11" s="15">
        <f t="shared" si="0"/>
        <v>10000</v>
      </c>
      <c r="L11" s="15" t="str">
        <f t="shared" si="0"/>
        <v/>
      </c>
      <c r="M11" s="15" t="str">
        <f t="shared" si="0"/>
        <v/>
      </c>
      <c r="N11" s="15" t="str">
        <f t="shared" si="0"/>
        <v/>
      </c>
      <c r="O11" s="15" t="str">
        <f t="shared" si="0"/>
        <v/>
      </c>
      <c r="P11" s="15" t="str">
        <f t="shared" si="0"/>
        <v/>
      </c>
      <c r="Q11" s="668" t="str">
        <f t="shared" si="0"/>
        <v/>
      </c>
      <c r="R11" s="345">
        <f t="shared" ref="R11" si="12">SUM(F11:Q11)</f>
        <v>10000</v>
      </c>
      <c r="S11" s="79" t="str">
        <f t="shared" si="3"/>
        <v/>
      </c>
      <c r="T11" s="80" t="str">
        <f t="shared" si="4"/>
        <v/>
      </c>
      <c r="U11" s="80" t="str">
        <f t="shared" si="5"/>
        <v/>
      </c>
      <c r="V11" s="382" t="str">
        <f t="shared" si="6"/>
        <v/>
      </c>
      <c r="W11" s="345">
        <f t="shared" ref="W11" si="13">SUM(S11:V11)</f>
        <v>0</v>
      </c>
      <c r="X11" s="16">
        <f t="shared" si="8"/>
        <v>0</v>
      </c>
      <c r="Y11" s="17">
        <f t="shared" si="9"/>
        <v>0</v>
      </c>
    </row>
    <row r="12" spans="1:25" ht="18.75" customHeight="1" outlineLevel="2" thickBot="1" x14ac:dyDescent="0.3">
      <c r="A12" s="23"/>
      <c r="B12" s="107"/>
      <c r="C12" s="99"/>
      <c r="D12" s="99"/>
      <c r="E12" s="100"/>
      <c r="F12" s="14" t="str">
        <f t="shared" si="1"/>
        <v/>
      </c>
      <c r="G12" s="15" t="str">
        <f t="shared" si="0"/>
        <v/>
      </c>
      <c r="H12" s="15" t="str">
        <f t="shared" si="0"/>
        <v/>
      </c>
      <c r="I12" s="15" t="str">
        <f t="shared" si="0"/>
        <v/>
      </c>
      <c r="J12" s="15" t="str">
        <f t="shared" si="0"/>
        <v/>
      </c>
      <c r="K12" s="15" t="str">
        <f t="shared" si="0"/>
        <v/>
      </c>
      <c r="L12" s="15" t="str">
        <f t="shared" si="0"/>
        <v/>
      </c>
      <c r="M12" s="15" t="str">
        <f t="shared" si="0"/>
        <v/>
      </c>
      <c r="N12" s="15" t="str">
        <f t="shared" si="0"/>
        <v/>
      </c>
      <c r="O12" s="15" t="str">
        <f t="shared" si="0"/>
        <v/>
      </c>
      <c r="P12" s="15" t="str">
        <f t="shared" si="0"/>
        <v/>
      </c>
      <c r="Q12" s="668" t="str">
        <f t="shared" si="0"/>
        <v/>
      </c>
      <c r="R12" s="345">
        <f t="shared" si="2"/>
        <v>0</v>
      </c>
      <c r="S12" s="79" t="str">
        <f t="shared" si="3"/>
        <v/>
      </c>
      <c r="T12" s="80" t="str">
        <f t="shared" si="4"/>
        <v/>
      </c>
      <c r="U12" s="80" t="str">
        <f t="shared" si="5"/>
        <v/>
      </c>
      <c r="V12" s="382" t="str">
        <f t="shared" si="6"/>
        <v/>
      </c>
      <c r="W12" s="345">
        <f t="shared" si="7"/>
        <v>0</v>
      </c>
      <c r="X12" s="16">
        <f t="shared" si="8"/>
        <v>0</v>
      </c>
      <c r="Y12" s="17">
        <f t="shared" si="9"/>
        <v>0</v>
      </c>
    </row>
    <row r="13" spans="1:25" ht="7.5" customHeight="1" outlineLevel="2" thickTop="1" thickBot="1" x14ac:dyDescent="0.3">
      <c r="A13" s="24"/>
      <c r="B13" s="25"/>
      <c r="C13" s="25"/>
      <c r="D13" s="25"/>
      <c r="E13" s="26"/>
      <c r="F13" s="27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9"/>
      <c r="R13" s="33"/>
      <c r="S13" s="31"/>
      <c r="T13" s="28"/>
      <c r="U13" s="28"/>
      <c r="V13" s="29"/>
      <c r="W13" s="33"/>
      <c r="X13" s="33"/>
      <c r="Y13" s="34"/>
    </row>
    <row r="14" spans="1:25" ht="18.75" customHeight="1" outlineLevel="1" thickBot="1" x14ac:dyDescent="0.3">
      <c r="A14" s="486" t="s">
        <v>28</v>
      </c>
      <c r="B14" s="538">
        <f>SUM(B5:B13)</f>
        <v>73500</v>
      </c>
      <c r="C14" s="40"/>
      <c r="D14" s="41"/>
      <c r="E14" s="42"/>
      <c r="F14" s="444">
        <f>SUM(F5:F13)</f>
        <v>53500</v>
      </c>
      <c r="G14" s="541">
        <f>SUM(G5:G13)</f>
        <v>0</v>
      </c>
      <c r="H14" s="541">
        <f>SUM(H5:H13)</f>
        <v>10000</v>
      </c>
      <c r="I14" s="541">
        <f>SUM(I5:I13)</f>
        <v>0</v>
      </c>
      <c r="J14" s="541">
        <f>SUM(J5:J13)</f>
        <v>0</v>
      </c>
      <c r="K14" s="541">
        <f>SUM(K5:K13)</f>
        <v>10000</v>
      </c>
      <c r="L14" s="541">
        <f>SUM(L5:L13)</f>
        <v>0</v>
      </c>
      <c r="M14" s="541">
        <f>SUM(M5:M13)</f>
        <v>0</v>
      </c>
      <c r="N14" s="541">
        <f>SUM(N5:N13)</f>
        <v>0</v>
      </c>
      <c r="O14" s="541">
        <f>SUM(O5:O13)</f>
        <v>0</v>
      </c>
      <c r="P14" s="541">
        <f>SUM(P5:P13)</f>
        <v>0</v>
      </c>
      <c r="Q14" s="538">
        <f>SUM(Q5:Q13)</f>
        <v>0</v>
      </c>
      <c r="R14" s="543">
        <f>SUM(R5:R13)</f>
        <v>73500</v>
      </c>
      <c r="S14" s="446">
        <f>SUM(S5:S13)</f>
        <v>0</v>
      </c>
      <c r="T14" s="541">
        <f>SUM(T5:T13)</f>
        <v>0</v>
      </c>
      <c r="U14" s="541">
        <f>SUM(U5:U13)</f>
        <v>0</v>
      </c>
      <c r="V14" s="538">
        <f>SUM(V5:V13)</f>
        <v>0</v>
      </c>
      <c r="W14" s="543">
        <f>SUM(W5:W13)</f>
        <v>0</v>
      </c>
      <c r="X14" s="543">
        <f>SUM(X5:X13)</f>
        <v>0</v>
      </c>
      <c r="Y14" s="498">
        <f>SUM(Y5:Y13)</f>
        <v>0</v>
      </c>
    </row>
    <row r="15" spans="1:25" ht="7.5" customHeight="1" outlineLevel="1" thickBot="1" x14ac:dyDescent="0.3">
      <c r="A15" s="745"/>
      <c r="B15" s="746"/>
      <c r="C15" s="746"/>
      <c r="D15" s="746"/>
      <c r="E15" s="746"/>
      <c r="F15" s="746"/>
      <c r="G15" s="746"/>
      <c r="H15" s="746"/>
      <c r="I15" s="746"/>
      <c r="J15" s="746"/>
      <c r="K15" s="746"/>
      <c r="L15" s="746"/>
      <c r="M15" s="746"/>
      <c r="N15" s="746"/>
      <c r="O15" s="746"/>
      <c r="P15" s="746"/>
      <c r="Q15" s="746"/>
      <c r="R15" s="746"/>
      <c r="S15" s="746"/>
      <c r="T15" s="746"/>
      <c r="U15" s="746"/>
      <c r="V15" s="746"/>
      <c r="W15" s="746"/>
      <c r="X15" s="746"/>
      <c r="Y15" s="747"/>
    </row>
    <row r="16" spans="1:25" ht="18.75" customHeight="1" outlineLevel="1" thickBot="1" x14ac:dyDescent="0.3">
      <c r="A16" s="624" t="s">
        <v>29</v>
      </c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5"/>
    </row>
    <row r="17" spans="1:25" ht="18.75" customHeight="1" outlineLevel="2" thickTop="1" x14ac:dyDescent="0.25">
      <c r="A17" s="21" t="s">
        <v>138</v>
      </c>
      <c r="B17" s="551">
        <v>20000</v>
      </c>
      <c r="C17" s="552">
        <v>20</v>
      </c>
      <c r="D17" s="552">
        <v>1</v>
      </c>
      <c r="E17" s="553">
        <v>10</v>
      </c>
      <c r="F17" s="554" t="str">
        <f>IF($E17=F$4,$B17,"")</f>
        <v/>
      </c>
      <c r="G17" s="555" t="str">
        <f t="shared" ref="G17:Q18" si="14">IF($E17=G$4,$B17,"")</f>
        <v/>
      </c>
      <c r="H17" s="555" t="str">
        <f t="shared" si="14"/>
        <v/>
      </c>
      <c r="I17" s="555" t="str">
        <f t="shared" si="14"/>
        <v/>
      </c>
      <c r="J17" s="555" t="str">
        <f t="shared" si="14"/>
        <v/>
      </c>
      <c r="K17" s="555" t="str">
        <f t="shared" si="14"/>
        <v/>
      </c>
      <c r="L17" s="555" t="str">
        <f t="shared" si="14"/>
        <v/>
      </c>
      <c r="M17" s="555" t="str">
        <f t="shared" si="14"/>
        <v/>
      </c>
      <c r="N17" s="555" t="str">
        <f t="shared" si="14"/>
        <v/>
      </c>
      <c r="O17" s="555">
        <f t="shared" si="14"/>
        <v>20000</v>
      </c>
      <c r="P17" s="555" t="str">
        <f t="shared" si="14"/>
        <v/>
      </c>
      <c r="Q17" s="672" t="str">
        <f t="shared" si="14"/>
        <v/>
      </c>
      <c r="R17" s="674">
        <f>SUM(F17:Q17)</f>
        <v>20000</v>
      </c>
      <c r="S17" s="502" t="str">
        <f>IF(AND($E17&gt;12,$E17&lt;=15),$B17,"")</f>
        <v/>
      </c>
      <c r="T17" s="556" t="str">
        <f>IF(AND($E17&gt;15,$E17&lt;=18),$B17,"")</f>
        <v/>
      </c>
      <c r="U17" s="556" t="str">
        <f>IF(AND($E17&gt;18,$E17&lt;=21),$B17,"")</f>
        <v/>
      </c>
      <c r="V17" s="670" t="str">
        <f>IF(AND($E17&gt;21,$E17&lt;=24),$B17,"")</f>
        <v/>
      </c>
      <c r="W17" s="674">
        <f>SUM(S17:V17)</f>
        <v>0</v>
      </c>
      <c r="X17" s="557">
        <f>IF(AND($E17&gt;24,$E17&lt;=36),$B17,0)</f>
        <v>0</v>
      </c>
      <c r="Y17" s="235">
        <f>IF(AND($E17&gt;36,$E17&lt;=48),$B17,)</f>
        <v>0</v>
      </c>
    </row>
    <row r="18" spans="1:25" ht="18.75" customHeight="1" outlineLevel="2" thickBot="1" x14ac:dyDescent="0.3">
      <c r="A18" s="125"/>
      <c r="B18" s="139"/>
      <c r="C18" s="632"/>
      <c r="D18" s="632"/>
      <c r="E18" s="583"/>
      <c r="F18" s="128" t="str">
        <f>IF($E18=F$4,$B18,"")</f>
        <v/>
      </c>
      <c r="G18" s="129" t="str">
        <f t="shared" si="14"/>
        <v/>
      </c>
      <c r="H18" s="129" t="str">
        <f t="shared" si="14"/>
        <v/>
      </c>
      <c r="I18" s="129" t="str">
        <f t="shared" si="14"/>
        <v/>
      </c>
      <c r="J18" s="129" t="str">
        <f t="shared" si="14"/>
        <v/>
      </c>
      <c r="K18" s="129" t="str">
        <f t="shared" si="14"/>
        <v/>
      </c>
      <c r="L18" s="129" t="str">
        <f t="shared" si="14"/>
        <v/>
      </c>
      <c r="M18" s="129" t="str">
        <f t="shared" si="14"/>
        <v/>
      </c>
      <c r="N18" s="129" t="str">
        <f t="shared" si="14"/>
        <v/>
      </c>
      <c r="O18" s="129" t="str">
        <f t="shared" si="14"/>
        <v/>
      </c>
      <c r="P18" s="129" t="str">
        <f t="shared" si="14"/>
        <v/>
      </c>
      <c r="Q18" s="159" t="str">
        <f t="shared" si="14"/>
        <v/>
      </c>
      <c r="R18" s="346">
        <f>SUM(F18:Q18)</f>
        <v>0</v>
      </c>
      <c r="S18" s="131" t="str">
        <f>IF(AND($E18&gt;12,$E18&lt;=15),$B18,"")</f>
        <v/>
      </c>
      <c r="T18" s="132" t="str">
        <f>IF(AND($E18&gt;15,$E18&lt;=18),$B18,"")</f>
        <v/>
      </c>
      <c r="U18" s="132" t="str">
        <f>IF(AND($E18&gt;18,$E18&lt;=21),$B18,"")</f>
        <v/>
      </c>
      <c r="V18" s="671" t="str">
        <f>IF(AND($E18&gt;21,$E18&lt;=24),$B18,"")</f>
        <v/>
      </c>
      <c r="W18" s="346">
        <f>SUM(S18:V18)</f>
        <v>0</v>
      </c>
      <c r="X18" s="134">
        <f>IF(AND($E18&gt;24,$E18&lt;=36),$B18,0)</f>
        <v>0</v>
      </c>
      <c r="Y18" s="135">
        <f>IF(AND($E18&gt;36,$E18&lt;=48),$B18,0)</f>
        <v>0</v>
      </c>
    </row>
    <row r="19" spans="1:25" ht="7.5" customHeight="1" outlineLevel="2" thickTop="1" thickBot="1" x14ac:dyDescent="0.3">
      <c r="A19" s="24"/>
      <c r="B19" s="25"/>
      <c r="C19" s="25"/>
      <c r="D19" s="25"/>
      <c r="E19" s="26"/>
      <c r="F19" s="27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9"/>
      <c r="R19" s="33"/>
      <c r="S19" s="31"/>
      <c r="T19" s="28"/>
      <c r="U19" s="28"/>
      <c r="V19" s="29"/>
      <c r="W19" s="33"/>
      <c r="X19" s="33"/>
      <c r="Y19" s="34"/>
    </row>
    <row r="20" spans="1:25" ht="18.75" customHeight="1" outlineLevel="1" thickBot="1" x14ac:dyDescent="0.3">
      <c r="A20" s="486" t="s">
        <v>28</v>
      </c>
      <c r="B20" s="538">
        <f>SUM(B17:B19)</f>
        <v>20000</v>
      </c>
      <c r="C20" s="40"/>
      <c r="D20" s="41"/>
      <c r="E20" s="42"/>
      <c r="F20" s="444">
        <f t="shared" ref="F20:Y20" si="15">SUM(F17:F19)</f>
        <v>0</v>
      </c>
      <c r="G20" s="541">
        <f t="shared" si="15"/>
        <v>0</v>
      </c>
      <c r="H20" s="541">
        <f t="shared" si="15"/>
        <v>0</v>
      </c>
      <c r="I20" s="541">
        <f t="shared" si="15"/>
        <v>0</v>
      </c>
      <c r="J20" s="541">
        <f t="shared" si="15"/>
        <v>0</v>
      </c>
      <c r="K20" s="541">
        <f t="shared" si="15"/>
        <v>0</v>
      </c>
      <c r="L20" s="541">
        <f t="shared" si="15"/>
        <v>0</v>
      </c>
      <c r="M20" s="541">
        <f t="shared" si="15"/>
        <v>0</v>
      </c>
      <c r="N20" s="541">
        <f t="shared" si="15"/>
        <v>0</v>
      </c>
      <c r="O20" s="541">
        <f t="shared" si="15"/>
        <v>20000</v>
      </c>
      <c r="P20" s="541">
        <f t="shared" si="15"/>
        <v>0</v>
      </c>
      <c r="Q20" s="538">
        <f t="shared" si="15"/>
        <v>0</v>
      </c>
      <c r="R20" s="543">
        <f t="shared" si="15"/>
        <v>20000</v>
      </c>
      <c r="S20" s="446">
        <f t="shared" si="15"/>
        <v>0</v>
      </c>
      <c r="T20" s="541">
        <f t="shared" si="15"/>
        <v>0</v>
      </c>
      <c r="U20" s="541">
        <f t="shared" si="15"/>
        <v>0</v>
      </c>
      <c r="V20" s="538">
        <f t="shared" si="15"/>
        <v>0</v>
      </c>
      <c r="W20" s="543">
        <f t="shared" si="15"/>
        <v>0</v>
      </c>
      <c r="X20" s="543">
        <f t="shared" si="15"/>
        <v>0</v>
      </c>
      <c r="Y20" s="498">
        <f t="shared" si="15"/>
        <v>0</v>
      </c>
    </row>
    <row r="21" spans="1:25" ht="7.5" customHeight="1" outlineLevel="1" thickBot="1" x14ac:dyDescent="0.3">
      <c r="A21" s="46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5"/>
    </row>
    <row r="22" spans="1:25" s="47" customFormat="1" ht="18.75" customHeight="1" thickBot="1" x14ac:dyDescent="0.3">
      <c r="A22" s="544" t="s">
        <v>32</v>
      </c>
      <c r="B22" s="545">
        <f>B20+B14</f>
        <v>93500</v>
      </c>
      <c r="C22" s="50"/>
      <c r="D22" s="50"/>
      <c r="E22" s="124"/>
      <c r="F22" s="546">
        <f t="shared" ref="F22:Y22" si="16">F20+F14</f>
        <v>53500</v>
      </c>
      <c r="G22" s="547">
        <f t="shared" si="16"/>
        <v>0</v>
      </c>
      <c r="H22" s="547">
        <f t="shared" si="16"/>
        <v>10000</v>
      </c>
      <c r="I22" s="547">
        <f t="shared" si="16"/>
        <v>0</v>
      </c>
      <c r="J22" s="547">
        <f t="shared" si="16"/>
        <v>0</v>
      </c>
      <c r="K22" s="547">
        <f t="shared" si="16"/>
        <v>10000</v>
      </c>
      <c r="L22" s="547">
        <f t="shared" si="16"/>
        <v>0</v>
      </c>
      <c r="M22" s="547">
        <f t="shared" si="16"/>
        <v>0</v>
      </c>
      <c r="N22" s="547">
        <f t="shared" si="16"/>
        <v>0</v>
      </c>
      <c r="O22" s="547">
        <f t="shared" si="16"/>
        <v>20000</v>
      </c>
      <c r="P22" s="547">
        <f t="shared" si="16"/>
        <v>0</v>
      </c>
      <c r="Q22" s="607">
        <f t="shared" si="16"/>
        <v>0</v>
      </c>
      <c r="R22" s="333">
        <f t="shared" si="16"/>
        <v>93500</v>
      </c>
      <c r="S22" s="452">
        <f t="shared" si="16"/>
        <v>0</v>
      </c>
      <c r="T22" s="547">
        <f t="shared" si="16"/>
        <v>0</v>
      </c>
      <c r="U22" s="547">
        <f t="shared" si="16"/>
        <v>0</v>
      </c>
      <c r="V22" s="607">
        <f t="shared" si="16"/>
        <v>0</v>
      </c>
      <c r="W22" s="333">
        <f t="shared" si="16"/>
        <v>0</v>
      </c>
      <c r="X22" s="333">
        <f t="shared" si="16"/>
        <v>0</v>
      </c>
      <c r="Y22" s="334">
        <f t="shared" si="16"/>
        <v>0</v>
      </c>
    </row>
    <row r="23" spans="1:25" ht="7.5" customHeight="1" thickBot="1" x14ac:dyDescent="0.3">
      <c r="A23" s="748"/>
      <c r="B23" s="749"/>
      <c r="C23" s="749"/>
      <c r="D23" s="749"/>
      <c r="E23" s="749"/>
      <c r="F23" s="749"/>
      <c r="G23" s="749"/>
      <c r="H23" s="749"/>
      <c r="I23" s="749"/>
      <c r="J23" s="749"/>
      <c r="K23" s="749"/>
      <c r="L23" s="749"/>
      <c r="M23" s="749"/>
      <c r="N23" s="749"/>
      <c r="O23" s="749"/>
      <c r="P23" s="749"/>
      <c r="Q23" s="749"/>
      <c r="R23" s="749"/>
      <c r="S23" s="749"/>
      <c r="T23" s="749"/>
      <c r="U23" s="749"/>
      <c r="V23" s="749"/>
      <c r="W23" s="749"/>
      <c r="X23" s="749"/>
      <c r="Y23" s="750"/>
    </row>
    <row r="24" spans="1:25" ht="15" customHeight="1" x14ac:dyDescent="0.25">
      <c r="A24" s="753" t="s">
        <v>250</v>
      </c>
      <c r="B24" s="757" t="s">
        <v>19</v>
      </c>
      <c r="C24" s="757" t="s">
        <v>31</v>
      </c>
      <c r="D24" s="757" t="s">
        <v>244</v>
      </c>
      <c r="E24" s="755" t="s">
        <v>245</v>
      </c>
      <c r="F24" s="744" t="s">
        <v>20</v>
      </c>
      <c r="G24" s="743"/>
      <c r="H24" s="743"/>
      <c r="I24" s="743"/>
      <c r="J24" s="743"/>
      <c r="K24" s="743"/>
      <c r="L24" s="743"/>
      <c r="M24" s="743"/>
      <c r="N24" s="743"/>
      <c r="O24" s="743"/>
      <c r="P24" s="743"/>
      <c r="Q24" s="743"/>
      <c r="R24" s="740" t="s">
        <v>20</v>
      </c>
      <c r="S24" s="742" t="s">
        <v>25</v>
      </c>
      <c r="T24" s="743"/>
      <c r="U24" s="743"/>
      <c r="V24" s="743"/>
      <c r="W24" s="740" t="s">
        <v>25</v>
      </c>
      <c r="X24" s="740" t="s">
        <v>26</v>
      </c>
      <c r="Y24" s="751" t="s">
        <v>27</v>
      </c>
    </row>
    <row r="25" spans="1:25" ht="15" customHeight="1" thickBot="1" x14ac:dyDescent="0.3">
      <c r="A25" s="754"/>
      <c r="B25" s="758"/>
      <c r="C25" s="758"/>
      <c r="D25" s="758"/>
      <c r="E25" s="756"/>
      <c r="F25" s="1">
        <v>1</v>
      </c>
      <c r="G25" s="2">
        <v>2</v>
      </c>
      <c r="H25" s="2">
        <v>3</v>
      </c>
      <c r="I25" s="2">
        <v>4</v>
      </c>
      <c r="J25" s="2">
        <v>5</v>
      </c>
      <c r="K25" s="2">
        <v>6</v>
      </c>
      <c r="L25" s="2">
        <v>7</v>
      </c>
      <c r="M25" s="2">
        <v>8</v>
      </c>
      <c r="N25" s="2">
        <v>9</v>
      </c>
      <c r="O25" s="2">
        <v>10</v>
      </c>
      <c r="P25" s="2">
        <v>11</v>
      </c>
      <c r="Q25" s="3">
        <v>12</v>
      </c>
      <c r="R25" s="741"/>
      <c r="S25" s="4" t="s">
        <v>21</v>
      </c>
      <c r="T25" s="2" t="s">
        <v>22</v>
      </c>
      <c r="U25" s="2" t="s">
        <v>23</v>
      </c>
      <c r="V25" s="3" t="s">
        <v>24</v>
      </c>
      <c r="W25" s="741"/>
      <c r="X25" s="741"/>
      <c r="Y25" s="752"/>
    </row>
    <row r="26" spans="1:25" ht="18.75" customHeight="1" outlineLevel="1" thickTop="1" x14ac:dyDescent="0.25">
      <c r="A26" s="21" t="s">
        <v>92</v>
      </c>
      <c r="B26" s="551">
        <v>35000</v>
      </c>
      <c r="C26" s="552">
        <v>4</v>
      </c>
      <c r="D26" s="552">
        <v>2</v>
      </c>
      <c r="E26" s="553">
        <v>3</v>
      </c>
      <c r="F26" s="554" t="str">
        <f t="shared" ref="F26:Q28" si="17">IF($E26=F$25,$B26,"")</f>
        <v/>
      </c>
      <c r="G26" s="555" t="str">
        <f t="shared" si="17"/>
        <v/>
      </c>
      <c r="H26" s="555">
        <f t="shared" si="17"/>
        <v>35000</v>
      </c>
      <c r="I26" s="555" t="str">
        <f t="shared" si="17"/>
        <v/>
      </c>
      <c r="J26" s="555" t="str">
        <f t="shared" si="17"/>
        <v/>
      </c>
      <c r="K26" s="555" t="str">
        <f t="shared" si="17"/>
        <v/>
      </c>
      <c r="L26" s="555" t="str">
        <f t="shared" si="17"/>
        <v/>
      </c>
      <c r="M26" s="555" t="str">
        <f t="shared" si="17"/>
        <v/>
      </c>
      <c r="N26" s="555" t="str">
        <f t="shared" si="17"/>
        <v/>
      </c>
      <c r="O26" s="555" t="str">
        <f t="shared" si="17"/>
        <v/>
      </c>
      <c r="P26" s="555" t="str">
        <f t="shared" si="17"/>
        <v/>
      </c>
      <c r="Q26" s="672" t="str">
        <f t="shared" si="17"/>
        <v/>
      </c>
      <c r="R26" s="674">
        <f>SUM(F26:Q26)</f>
        <v>35000</v>
      </c>
      <c r="S26" s="502" t="str">
        <f>IF(AND($E26&gt;12,$E26&lt;=15),$B26,"")</f>
        <v/>
      </c>
      <c r="T26" s="556" t="str">
        <f>IF(AND($E26&gt;15,$E26&lt;=18),$B26,"")</f>
        <v/>
      </c>
      <c r="U26" s="556" t="str">
        <f>IF(AND($E26&gt;18,$E26&lt;=21),$B26,"")</f>
        <v/>
      </c>
      <c r="V26" s="670" t="str">
        <f>IF(AND($E26&gt;21,$E26&lt;=24),$B26,"")</f>
        <v/>
      </c>
      <c r="W26" s="674">
        <f>SUM(S26:V26)</f>
        <v>0</v>
      </c>
      <c r="X26" s="557">
        <f>IF(AND($E26&gt;24,$E26&lt;=36),$B26,0)</f>
        <v>0</v>
      </c>
      <c r="Y26" s="235">
        <f>IF(AND($E26&gt;36,$E26&lt;=48),$B26,0)</f>
        <v>0</v>
      </c>
    </row>
    <row r="27" spans="1:25" ht="18.75" customHeight="1" outlineLevel="1" x14ac:dyDescent="0.25">
      <c r="A27" s="22" t="s">
        <v>92</v>
      </c>
      <c r="B27" s="94">
        <v>35000</v>
      </c>
      <c r="C27" s="95">
        <v>4</v>
      </c>
      <c r="D27" s="95">
        <v>13</v>
      </c>
      <c r="E27" s="96">
        <v>14</v>
      </c>
      <c r="F27" s="10" t="str">
        <f t="shared" si="17"/>
        <v/>
      </c>
      <c r="G27" s="11" t="str">
        <f t="shared" si="17"/>
        <v/>
      </c>
      <c r="H27" s="11" t="str">
        <f t="shared" si="17"/>
        <v/>
      </c>
      <c r="I27" s="11" t="str">
        <f t="shared" si="17"/>
        <v/>
      </c>
      <c r="J27" s="11" t="str">
        <f t="shared" si="17"/>
        <v/>
      </c>
      <c r="K27" s="11" t="str">
        <f t="shared" si="17"/>
        <v/>
      </c>
      <c r="L27" s="11" t="str">
        <f t="shared" si="17"/>
        <v/>
      </c>
      <c r="M27" s="11" t="str">
        <f t="shared" si="17"/>
        <v/>
      </c>
      <c r="N27" s="11" t="str">
        <f t="shared" si="17"/>
        <v/>
      </c>
      <c r="O27" s="11" t="str">
        <f t="shared" si="17"/>
        <v/>
      </c>
      <c r="P27" s="11" t="str">
        <f t="shared" si="17"/>
        <v/>
      </c>
      <c r="Q27" s="185" t="str">
        <f t="shared" si="17"/>
        <v/>
      </c>
      <c r="R27" s="291">
        <f t="shared" ref="R27:R28" si="18">SUM(F27:Q27)</f>
        <v>0</v>
      </c>
      <c r="S27" s="75">
        <f t="shared" ref="S27:S28" si="19">IF(AND($E27&gt;12,$E27&lt;=15),$B27,"")</f>
        <v>35000</v>
      </c>
      <c r="T27" s="76" t="str">
        <f t="shared" ref="T27:T28" si="20">IF(AND($E27&gt;15,$E27&lt;=18),$B27,"")</f>
        <v/>
      </c>
      <c r="U27" s="76" t="str">
        <f t="shared" ref="U27:U28" si="21">IF(AND($E27&gt;18,$E27&lt;=21),$B27,"")</f>
        <v/>
      </c>
      <c r="V27" s="298" t="str">
        <f t="shared" ref="V27:V28" si="22">IF(AND($E27&gt;21,$E27&lt;=24),$B27,"")</f>
        <v/>
      </c>
      <c r="W27" s="291">
        <f t="shared" ref="W27:W28" si="23">SUM(S27:V27)</f>
        <v>35000</v>
      </c>
      <c r="X27" s="12">
        <f t="shared" ref="X27:X28" si="24">IF(AND($E27&gt;24,$E27&lt;=36),$B27,0)</f>
        <v>0</v>
      </c>
      <c r="Y27" s="13">
        <f t="shared" ref="Y27:Y28" si="25">IF(AND($E27&gt;36,$E27&lt;=48),$B27,0)</f>
        <v>0</v>
      </c>
    </row>
    <row r="28" spans="1:25" ht="18.75" customHeight="1" outlineLevel="1" thickBot="1" x14ac:dyDescent="0.3">
      <c r="A28" s="125"/>
      <c r="B28" s="126"/>
      <c r="C28" s="126"/>
      <c r="D28" s="126"/>
      <c r="E28" s="127"/>
      <c r="F28" s="128" t="str">
        <f t="shared" si="17"/>
        <v/>
      </c>
      <c r="G28" s="129" t="str">
        <f t="shared" si="17"/>
        <v/>
      </c>
      <c r="H28" s="129" t="str">
        <f t="shared" si="17"/>
        <v/>
      </c>
      <c r="I28" s="129" t="str">
        <f t="shared" si="17"/>
        <v/>
      </c>
      <c r="J28" s="129" t="str">
        <f t="shared" si="17"/>
        <v/>
      </c>
      <c r="K28" s="129" t="str">
        <f t="shared" si="17"/>
        <v/>
      </c>
      <c r="L28" s="129" t="str">
        <f t="shared" si="17"/>
        <v/>
      </c>
      <c r="M28" s="129" t="str">
        <f t="shared" si="17"/>
        <v/>
      </c>
      <c r="N28" s="129" t="str">
        <f t="shared" si="17"/>
        <v/>
      </c>
      <c r="O28" s="129" t="str">
        <f t="shared" si="17"/>
        <v/>
      </c>
      <c r="P28" s="129" t="str">
        <f t="shared" si="17"/>
        <v/>
      </c>
      <c r="Q28" s="159" t="str">
        <f t="shared" si="17"/>
        <v/>
      </c>
      <c r="R28" s="346">
        <f t="shared" si="18"/>
        <v>0</v>
      </c>
      <c r="S28" s="131" t="str">
        <f t="shared" si="19"/>
        <v/>
      </c>
      <c r="T28" s="132" t="str">
        <f t="shared" si="20"/>
        <v/>
      </c>
      <c r="U28" s="132" t="str">
        <f t="shared" si="21"/>
        <v/>
      </c>
      <c r="V28" s="671" t="str">
        <f t="shared" si="22"/>
        <v/>
      </c>
      <c r="W28" s="346">
        <f t="shared" si="23"/>
        <v>0</v>
      </c>
      <c r="X28" s="134">
        <f t="shared" si="24"/>
        <v>0</v>
      </c>
      <c r="Y28" s="135">
        <f t="shared" si="25"/>
        <v>0</v>
      </c>
    </row>
    <row r="29" spans="1:25" ht="7.5" customHeight="1" outlineLevel="1" thickTop="1" thickBot="1" x14ac:dyDescent="0.3">
      <c r="A29" s="24"/>
      <c r="B29" s="25"/>
      <c r="C29" s="25"/>
      <c r="D29" s="25"/>
      <c r="E29" s="26"/>
      <c r="F29" s="27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9"/>
      <c r="R29" s="33"/>
      <c r="S29" s="31"/>
      <c r="T29" s="28"/>
      <c r="U29" s="28"/>
      <c r="V29" s="29"/>
      <c r="W29" s="33"/>
      <c r="X29" s="33"/>
      <c r="Y29" s="34"/>
    </row>
    <row r="30" spans="1:25" ht="18.75" customHeight="1" thickBot="1" x14ac:dyDescent="0.3">
      <c r="A30" s="35" t="s">
        <v>33</v>
      </c>
      <c r="B30" s="36">
        <f>SUM(B26:B29)</f>
        <v>70000</v>
      </c>
      <c r="C30" s="62"/>
      <c r="D30" s="63"/>
      <c r="E30" s="64"/>
      <c r="F30" s="548">
        <f>SUM(F26:F29)</f>
        <v>0</v>
      </c>
      <c r="G30" s="549">
        <f>SUM(G26:G29)</f>
        <v>0</v>
      </c>
      <c r="H30" s="549">
        <f>SUM(H26:H29)</f>
        <v>35000</v>
      </c>
      <c r="I30" s="549">
        <f>SUM(I26:I29)</f>
        <v>0</v>
      </c>
      <c r="J30" s="549">
        <f>SUM(J26:J29)</f>
        <v>0</v>
      </c>
      <c r="K30" s="549">
        <f>SUM(K26:K29)</f>
        <v>0</v>
      </c>
      <c r="L30" s="549">
        <f>SUM(L26:L29)</f>
        <v>0</v>
      </c>
      <c r="M30" s="549">
        <f>SUM(M26:M29)</f>
        <v>0</v>
      </c>
      <c r="N30" s="549">
        <f>SUM(N26:N29)</f>
        <v>0</v>
      </c>
      <c r="O30" s="549">
        <f>SUM(O26:O29)</f>
        <v>0</v>
      </c>
      <c r="P30" s="549">
        <f>SUM(P26:P29)</f>
        <v>0</v>
      </c>
      <c r="Q30" s="36">
        <f>SUM(Q26:Q29)</f>
        <v>0</v>
      </c>
      <c r="R30" s="37">
        <f>SUM(R26:R29)</f>
        <v>35000</v>
      </c>
      <c r="S30" s="550">
        <f>SUM(S26:S29)</f>
        <v>35000</v>
      </c>
      <c r="T30" s="549">
        <f>SUM(T26:T29)</f>
        <v>0</v>
      </c>
      <c r="U30" s="549">
        <f>SUM(U26:U29)</f>
        <v>0</v>
      </c>
      <c r="V30" s="36">
        <f>SUM(V26:V29)</f>
        <v>0</v>
      </c>
      <c r="W30" s="37">
        <f>SUM(W26:W29)</f>
        <v>35000</v>
      </c>
      <c r="X30" s="37">
        <f>SUM(X26:X29)</f>
        <v>0</v>
      </c>
      <c r="Y30" s="38">
        <f>SUM(Y26:Y29)</f>
        <v>0</v>
      </c>
    </row>
    <row r="31" spans="1:25" ht="7.5" customHeight="1" thickBot="1" x14ac:dyDescent="0.3">
      <c r="A31" s="745"/>
      <c r="B31" s="746"/>
      <c r="C31" s="746"/>
      <c r="D31" s="746"/>
      <c r="E31" s="746"/>
      <c r="F31" s="746"/>
      <c r="G31" s="746"/>
      <c r="H31" s="746"/>
      <c r="I31" s="746"/>
      <c r="J31" s="746"/>
      <c r="K31" s="746"/>
      <c r="L31" s="746"/>
      <c r="M31" s="746"/>
      <c r="N31" s="746"/>
      <c r="O31" s="746"/>
      <c r="P31" s="746"/>
      <c r="Q31" s="746"/>
      <c r="R31" s="746"/>
      <c r="S31" s="746"/>
      <c r="T31" s="746"/>
      <c r="U31" s="746"/>
      <c r="V31" s="746"/>
      <c r="W31" s="746"/>
      <c r="X31" s="746"/>
      <c r="Y31" s="747"/>
    </row>
    <row r="32" spans="1:25" ht="22.5" customHeight="1" thickBot="1" x14ac:dyDescent="0.3">
      <c r="A32" s="660" t="s">
        <v>34</v>
      </c>
      <c r="B32" s="60">
        <f>B30+B22</f>
        <v>163500</v>
      </c>
      <c r="C32" s="61"/>
      <c r="D32" s="61"/>
      <c r="E32" s="136"/>
      <c r="F32" s="54">
        <f>F30+F22</f>
        <v>53500</v>
      </c>
      <c r="G32" s="55">
        <f>G30+G22</f>
        <v>0</v>
      </c>
      <c r="H32" s="55">
        <f>H30+H22</f>
        <v>45000</v>
      </c>
      <c r="I32" s="55">
        <f>I30+I22</f>
        <v>0</v>
      </c>
      <c r="J32" s="55">
        <f>J30+J22</f>
        <v>0</v>
      </c>
      <c r="K32" s="55">
        <f>K30+K22</f>
        <v>10000</v>
      </c>
      <c r="L32" s="55">
        <f>L30+L22</f>
        <v>0</v>
      </c>
      <c r="M32" s="55">
        <f>M30+M22</f>
        <v>0</v>
      </c>
      <c r="N32" s="55">
        <f>N30+N22</f>
        <v>0</v>
      </c>
      <c r="O32" s="55">
        <f>O30+O22</f>
        <v>20000</v>
      </c>
      <c r="P32" s="55">
        <f>P30+P22</f>
        <v>0</v>
      </c>
      <c r="Q32" s="673">
        <f>Q30+Q22</f>
        <v>0</v>
      </c>
      <c r="R32" s="58">
        <f>R30+R22</f>
        <v>128500</v>
      </c>
      <c r="S32" s="57">
        <f>S30+S22</f>
        <v>35000</v>
      </c>
      <c r="T32" s="55">
        <f>T30+T22</f>
        <v>0</v>
      </c>
      <c r="U32" s="55">
        <f>U30+U22</f>
        <v>0</v>
      </c>
      <c r="V32" s="673">
        <f>V30+V22</f>
        <v>0</v>
      </c>
      <c r="W32" s="58">
        <f>W30+W22</f>
        <v>35000</v>
      </c>
      <c r="X32" s="58">
        <f>X30+X22</f>
        <v>0</v>
      </c>
      <c r="Y32" s="59">
        <f>Y30+Y22</f>
        <v>0</v>
      </c>
    </row>
  </sheetData>
  <sheetProtection selectLockedCells="1"/>
  <mergeCells count="26">
    <mergeCell ref="S24:V24"/>
    <mergeCell ref="W24:W25"/>
    <mergeCell ref="X24:X25"/>
    <mergeCell ref="Y24:Y25"/>
    <mergeCell ref="A24:A25"/>
    <mergeCell ref="A15:Y15"/>
    <mergeCell ref="A23:Y23"/>
    <mergeCell ref="A31:Y31"/>
    <mergeCell ref="X3:X4"/>
    <mergeCell ref="Y3:Y4"/>
    <mergeCell ref="A3:A4"/>
    <mergeCell ref="E3:E4"/>
    <mergeCell ref="D3:D4"/>
    <mergeCell ref="C3:C4"/>
    <mergeCell ref="B3:B4"/>
    <mergeCell ref="B24:B25"/>
    <mergeCell ref="C24:C25"/>
    <mergeCell ref="D24:D25"/>
    <mergeCell ref="E24:E25"/>
    <mergeCell ref="F24:Q24"/>
    <mergeCell ref="R24:R25"/>
    <mergeCell ref="A1:Y1"/>
    <mergeCell ref="R3:R4"/>
    <mergeCell ref="W3:W4"/>
    <mergeCell ref="S3:V3"/>
    <mergeCell ref="F3:Q3"/>
  </mergeCells>
  <dataValidations count="1">
    <dataValidation type="whole" allowBlank="1" showInputMessage="1" showErrorMessage="1" sqref="D17:E19 D5:E13 D26:E29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scale="56" fitToHeight="0" orientation="landscape" blackAndWhite="1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pageSetUpPr fitToPage="1"/>
  </sheetPr>
  <dimension ref="A1:Z137"/>
  <sheetViews>
    <sheetView showGridLines="0" view="pageBreakPreview" zoomScaleNormal="100" zoomScaleSheetLayoutView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63" sqref="E63"/>
    </sheetView>
  </sheetViews>
  <sheetFormatPr baseColWidth="10" defaultRowHeight="15" outlineLevelCol="1" x14ac:dyDescent="0.25"/>
  <cols>
    <col min="1" max="1" width="51.42578125" style="39" bestFit="1" customWidth="1"/>
    <col min="2" max="2" width="11.42578125" style="39"/>
    <col min="3" max="3" width="8.140625" style="39" bestFit="1" customWidth="1"/>
    <col min="4" max="4" width="9.28515625" style="39" bestFit="1" customWidth="1"/>
    <col min="5" max="15" width="11.42578125" style="39" customWidth="1" outlineLevel="1"/>
    <col min="16" max="16" width="10.5703125" style="39" customWidth="1" outlineLevel="1"/>
    <col min="17" max="17" width="13" style="39" bestFit="1" customWidth="1"/>
    <col min="18" max="21" width="11.42578125" style="39" customWidth="1" outlineLevel="1"/>
    <col min="22" max="24" width="13" style="39" bestFit="1" customWidth="1"/>
    <col min="25" max="25" width="11.42578125" style="39"/>
    <col min="26" max="26" width="16.5703125" style="39" bestFit="1" customWidth="1"/>
    <col min="27" max="16384" width="11.42578125" style="39"/>
  </cols>
  <sheetData>
    <row r="1" spans="1:24" ht="27" thickBot="1" x14ac:dyDescent="0.3">
      <c r="A1" s="737" t="s">
        <v>42</v>
      </c>
      <c r="B1" s="738"/>
      <c r="C1" s="738"/>
      <c r="D1" s="738"/>
      <c r="E1" s="738"/>
      <c r="F1" s="738"/>
      <c r="G1" s="738"/>
      <c r="H1" s="738"/>
      <c r="I1" s="738"/>
      <c r="J1" s="738"/>
      <c r="K1" s="738"/>
      <c r="L1" s="738"/>
      <c r="M1" s="738"/>
      <c r="N1" s="738"/>
      <c r="O1" s="738"/>
      <c r="P1" s="738"/>
      <c r="Q1" s="738"/>
      <c r="R1" s="738"/>
      <c r="S1" s="738"/>
      <c r="T1" s="738"/>
      <c r="U1" s="738"/>
      <c r="V1" s="738"/>
      <c r="W1" s="738"/>
      <c r="X1" s="739"/>
    </row>
    <row r="2" spans="1:24" ht="15.75" thickBot="1" x14ac:dyDescent="0.3"/>
    <row r="3" spans="1:24" x14ac:dyDescent="0.25">
      <c r="A3" s="558" t="s">
        <v>91</v>
      </c>
      <c r="B3" s="576">
        <v>30</v>
      </c>
    </row>
    <row r="4" spans="1:24" x14ac:dyDescent="0.25">
      <c r="A4" s="559" t="s">
        <v>89</v>
      </c>
      <c r="B4" s="149">
        <v>0.34</v>
      </c>
    </row>
    <row r="5" spans="1:24" ht="15.75" thickBot="1" x14ac:dyDescent="0.3">
      <c r="A5" s="560" t="s">
        <v>86</v>
      </c>
      <c r="B5" s="150">
        <v>0.05</v>
      </c>
    </row>
    <row r="6" spans="1:24" ht="22.5" customHeight="1" thickBot="1" x14ac:dyDescent="0.3">
      <c r="A6" s="561" t="s">
        <v>87</v>
      </c>
      <c r="B6" s="769" t="s">
        <v>53</v>
      </c>
      <c r="C6" s="770"/>
      <c r="D6" s="782" t="s">
        <v>246</v>
      </c>
      <c r="E6" s="743" t="s">
        <v>20</v>
      </c>
      <c r="F6" s="743"/>
      <c r="G6" s="743"/>
      <c r="H6" s="743"/>
      <c r="I6" s="743"/>
      <c r="J6" s="743"/>
      <c r="K6" s="743"/>
      <c r="L6" s="743"/>
      <c r="M6" s="743"/>
      <c r="N6" s="743"/>
      <c r="O6" s="743"/>
      <c r="P6" s="743"/>
      <c r="Q6" s="740" t="s">
        <v>20</v>
      </c>
      <c r="R6" s="742" t="s">
        <v>25</v>
      </c>
      <c r="S6" s="743"/>
      <c r="T6" s="743"/>
      <c r="U6" s="743"/>
      <c r="V6" s="740" t="s">
        <v>25</v>
      </c>
      <c r="W6" s="740" t="s">
        <v>26</v>
      </c>
      <c r="X6" s="751" t="s">
        <v>27</v>
      </c>
    </row>
    <row r="7" spans="1:24" ht="18.75" customHeight="1" thickBot="1" x14ac:dyDescent="0.3">
      <c r="A7" s="562" t="s">
        <v>51</v>
      </c>
      <c r="B7" s="771"/>
      <c r="C7" s="771"/>
      <c r="D7" s="783"/>
      <c r="E7" s="111">
        <v>1</v>
      </c>
      <c r="F7" s="2">
        <v>2</v>
      </c>
      <c r="G7" s="2">
        <v>3</v>
      </c>
      <c r="H7" s="2">
        <v>4</v>
      </c>
      <c r="I7" s="2">
        <v>5</v>
      </c>
      <c r="J7" s="2">
        <v>6</v>
      </c>
      <c r="K7" s="2">
        <v>7</v>
      </c>
      <c r="L7" s="2">
        <v>8</v>
      </c>
      <c r="M7" s="2">
        <v>9</v>
      </c>
      <c r="N7" s="2">
        <v>10</v>
      </c>
      <c r="O7" s="2">
        <v>11</v>
      </c>
      <c r="P7" s="3">
        <v>12</v>
      </c>
      <c r="Q7" s="741"/>
      <c r="R7" s="4" t="s">
        <v>21</v>
      </c>
      <c r="S7" s="2" t="s">
        <v>22</v>
      </c>
      <c r="T7" s="2" t="s">
        <v>23</v>
      </c>
      <c r="U7" s="3" t="s">
        <v>24</v>
      </c>
      <c r="V7" s="741"/>
      <c r="W7" s="741"/>
      <c r="X7" s="752"/>
    </row>
    <row r="8" spans="1:24" ht="18.75" customHeight="1" thickTop="1" x14ac:dyDescent="0.25">
      <c r="A8" s="92" t="s">
        <v>1</v>
      </c>
      <c r="B8" s="776">
        <v>2000</v>
      </c>
      <c r="C8" s="776"/>
      <c r="D8" s="577">
        <v>1</v>
      </c>
      <c r="E8" s="6">
        <f>IF($D8="","",IF($D8&lt;=E$7,$B8,""))</f>
        <v>2000</v>
      </c>
      <c r="F8" s="7">
        <f t="shared" ref="F8:P11" si="0">IF($D8="","",IF($D8&lt;=F$7,$B8,""))</f>
        <v>2000</v>
      </c>
      <c r="G8" s="7">
        <f t="shared" si="0"/>
        <v>2000</v>
      </c>
      <c r="H8" s="7">
        <f t="shared" si="0"/>
        <v>2000</v>
      </c>
      <c r="I8" s="7">
        <f t="shared" si="0"/>
        <v>2000</v>
      </c>
      <c r="J8" s="7">
        <f t="shared" si="0"/>
        <v>2000</v>
      </c>
      <c r="K8" s="7">
        <f t="shared" si="0"/>
        <v>2000</v>
      </c>
      <c r="L8" s="7">
        <f t="shared" si="0"/>
        <v>2000</v>
      </c>
      <c r="M8" s="7">
        <f t="shared" si="0"/>
        <v>2000</v>
      </c>
      <c r="N8" s="7">
        <f t="shared" si="0"/>
        <v>2000</v>
      </c>
      <c r="O8" s="7">
        <f t="shared" si="0"/>
        <v>2000</v>
      </c>
      <c r="P8" s="180">
        <f t="shared" si="0"/>
        <v>2000</v>
      </c>
      <c r="Q8" s="8">
        <f>SUM(E8:P8)</f>
        <v>24000</v>
      </c>
      <c r="R8" s="307">
        <f t="shared" ref="R8:R11" si="1">IF($D8="","",IF(AND($D8&lt;=15,$D8&gt;12),(15-$D8+1)*$B8*(1+$B$5)^1,IF(AND($D8&lt;=15,$D8&lt;=12),3*$B8*(1+$B$5)^1,"")))</f>
        <v>6300</v>
      </c>
      <c r="S8" s="7">
        <f t="shared" ref="S8:S11" si="2">IF($D8="","",IF(AND($D8&lt;=18,$D8&gt;15),(18-$D8+1)*$B8*(1+$B$5)^1,IF(AND($D8&lt;=18,$D8&lt;=15),3*$B8*(1+$B$5)^1,"")))</f>
        <v>6300</v>
      </c>
      <c r="T8" s="7">
        <f t="shared" ref="T8:T11" si="3">IF($D8="","",IF(AND($D8&lt;=21,$D8&gt;18),(21-$D8+1)*$B8*(1+$B$5)^1,IF(AND($D8&lt;=21,$D8&lt;=18),3*$B8*(1+$B$5)^1,"")))</f>
        <v>6300</v>
      </c>
      <c r="U8" s="180">
        <f t="shared" ref="U8:U11" si="4">IF($D8="","",IF(AND($D8&lt;=24,$D8&gt;21),(24-$D8+1)*$B8*(1+$B$5)^1,IF(AND($D8&lt;=24,$D8&lt;=21),3*$B8*(1+$B$5)^1,"")))</f>
        <v>6300</v>
      </c>
      <c r="V8" s="8">
        <f>SUM(R8:U8)</f>
        <v>25200</v>
      </c>
      <c r="W8" s="8">
        <f>IF($D8="","",IF(AND($D8&lt;=36,$D8&gt;24),(36-$D8+1)*$B8*(1+$B$5)^2,IF(AND($D8&lt;=36,$D8&lt;=24),(36-24)*$B8*(1+$B$5)^2,"")))</f>
        <v>26460</v>
      </c>
      <c r="X8" s="9">
        <f>IF($D8="","",IF(AND($D8&lt;=48,$D8&gt;36),(48-$D8+1)*$B8*(1+$B$5)^3,IF(AND($D8&lt;=48,$D8&lt;=36),(48-36)*$B8*(1+$B$5)^3,"")))</f>
        <v>27783.000000000004</v>
      </c>
    </row>
    <row r="9" spans="1:24" ht="18.75" customHeight="1" x14ac:dyDescent="0.25">
      <c r="A9" s="93" t="s">
        <v>2</v>
      </c>
      <c r="B9" s="775">
        <v>2000</v>
      </c>
      <c r="C9" s="775"/>
      <c r="D9" s="578">
        <v>1</v>
      </c>
      <c r="E9" s="10">
        <f t="shared" ref="E9:E11" si="5">IF($D9="","",IF($D9&lt;=E$7,$B9,""))</f>
        <v>2000</v>
      </c>
      <c r="F9" s="11">
        <f t="shared" si="0"/>
        <v>2000</v>
      </c>
      <c r="G9" s="11">
        <f t="shared" si="0"/>
        <v>2000</v>
      </c>
      <c r="H9" s="11">
        <f t="shared" si="0"/>
        <v>2000</v>
      </c>
      <c r="I9" s="11">
        <f t="shared" si="0"/>
        <v>2000</v>
      </c>
      <c r="J9" s="11">
        <f t="shared" si="0"/>
        <v>2000</v>
      </c>
      <c r="K9" s="11">
        <f t="shared" si="0"/>
        <v>2000</v>
      </c>
      <c r="L9" s="11">
        <f t="shared" si="0"/>
        <v>2000</v>
      </c>
      <c r="M9" s="11">
        <f t="shared" si="0"/>
        <v>2000</v>
      </c>
      <c r="N9" s="11">
        <f t="shared" si="0"/>
        <v>2000</v>
      </c>
      <c r="O9" s="11">
        <f t="shared" si="0"/>
        <v>2000</v>
      </c>
      <c r="P9" s="185">
        <f t="shared" si="0"/>
        <v>2000</v>
      </c>
      <c r="Q9" s="12">
        <f t="shared" ref="Q9:Q11" si="6">SUM(E9:P9)</f>
        <v>24000</v>
      </c>
      <c r="R9" s="308">
        <f t="shared" si="1"/>
        <v>6300</v>
      </c>
      <c r="S9" s="11">
        <f t="shared" si="2"/>
        <v>6300</v>
      </c>
      <c r="T9" s="11">
        <f t="shared" si="3"/>
        <v>6300</v>
      </c>
      <c r="U9" s="185">
        <f t="shared" si="4"/>
        <v>6300</v>
      </c>
      <c r="V9" s="12">
        <f t="shared" ref="V9:V11" si="7">SUM(R9:U9)</f>
        <v>25200</v>
      </c>
      <c r="W9" s="12">
        <f t="shared" ref="W9:W11" si="8">IF($D9="","",IF(AND($D9&lt;=36,$D9&gt;24),(36-$D9+1)*$B9*(1+$B$5)^2,IF(AND($D9&lt;=36,$D9&lt;=24),(36-24)*$B9*(1+$B$5)^2,"")))</f>
        <v>26460</v>
      </c>
      <c r="X9" s="13">
        <f t="shared" ref="X9:X11" si="9">IF($D9="","",IF(AND($D9&lt;=48,$D9&gt;36),(48-$D9+1)*$B9*(1+$B$5)^3,IF(AND($D9&lt;=48,$D9&lt;=36),(48-36)*$B9*(1+$B$5)^3,"")))</f>
        <v>27783.000000000004</v>
      </c>
    </row>
    <row r="10" spans="1:24" ht="18.75" customHeight="1" x14ac:dyDescent="0.25">
      <c r="A10" s="93" t="s">
        <v>3</v>
      </c>
      <c r="B10" s="775">
        <v>2000</v>
      </c>
      <c r="C10" s="775"/>
      <c r="D10" s="578">
        <v>1</v>
      </c>
      <c r="E10" s="10">
        <f t="shared" si="5"/>
        <v>2000</v>
      </c>
      <c r="F10" s="11">
        <f t="shared" si="0"/>
        <v>2000</v>
      </c>
      <c r="G10" s="11">
        <f t="shared" si="0"/>
        <v>2000</v>
      </c>
      <c r="H10" s="11">
        <f t="shared" si="0"/>
        <v>2000</v>
      </c>
      <c r="I10" s="11">
        <f t="shared" si="0"/>
        <v>2000</v>
      </c>
      <c r="J10" s="11">
        <f t="shared" si="0"/>
        <v>2000</v>
      </c>
      <c r="K10" s="11">
        <f t="shared" si="0"/>
        <v>2000</v>
      </c>
      <c r="L10" s="11">
        <f t="shared" si="0"/>
        <v>2000</v>
      </c>
      <c r="M10" s="11">
        <f t="shared" si="0"/>
        <v>2000</v>
      </c>
      <c r="N10" s="11">
        <f t="shared" si="0"/>
        <v>2000</v>
      </c>
      <c r="O10" s="11">
        <f t="shared" si="0"/>
        <v>2000</v>
      </c>
      <c r="P10" s="185">
        <f t="shared" si="0"/>
        <v>2000</v>
      </c>
      <c r="Q10" s="12">
        <f t="shared" si="6"/>
        <v>24000</v>
      </c>
      <c r="R10" s="308">
        <f t="shared" si="1"/>
        <v>6300</v>
      </c>
      <c r="S10" s="11">
        <f t="shared" si="2"/>
        <v>6300</v>
      </c>
      <c r="T10" s="11">
        <f t="shared" si="3"/>
        <v>6300</v>
      </c>
      <c r="U10" s="185">
        <f t="shared" si="4"/>
        <v>6300</v>
      </c>
      <c r="V10" s="12">
        <f t="shared" si="7"/>
        <v>25200</v>
      </c>
      <c r="W10" s="12">
        <f t="shared" si="8"/>
        <v>26460</v>
      </c>
      <c r="X10" s="13">
        <f t="shared" si="9"/>
        <v>27783.000000000004</v>
      </c>
    </row>
    <row r="11" spans="1:24" ht="18.75" customHeight="1" thickBot="1" x14ac:dyDescent="0.3">
      <c r="A11" s="579" t="s">
        <v>4</v>
      </c>
      <c r="B11" s="774">
        <v>2000</v>
      </c>
      <c r="C11" s="774"/>
      <c r="D11" s="580">
        <v>1</v>
      </c>
      <c r="E11" s="128">
        <f t="shared" si="5"/>
        <v>2000</v>
      </c>
      <c r="F11" s="129">
        <f t="shared" si="0"/>
        <v>2000</v>
      </c>
      <c r="G11" s="129">
        <f t="shared" si="0"/>
        <v>2000</v>
      </c>
      <c r="H11" s="129">
        <f t="shared" si="0"/>
        <v>2000</v>
      </c>
      <c r="I11" s="129">
        <f t="shared" si="0"/>
        <v>2000</v>
      </c>
      <c r="J11" s="129">
        <f t="shared" si="0"/>
        <v>2000</v>
      </c>
      <c r="K11" s="129">
        <f t="shared" si="0"/>
        <v>2000</v>
      </c>
      <c r="L11" s="129">
        <f t="shared" si="0"/>
        <v>2000</v>
      </c>
      <c r="M11" s="129">
        <f t="shared" si="0"/>
        <v>2000</v>
      </c>
      <c r="N11" s="129">
        <f t="shared" si="0"/>
        <v>2000</v>
      </c>
      <c r="O11" s="129">
        <f t="shared" si="0"/>
        <v>2000</v>
      </c>
      <c r="P11" s="159">
        <f t="shared" si="0"/>
        <v>2000</v>
      </c>
      <c r="Q11" s="134">
        <f t="shared" si="6"/>
        <v>24000</v>
      </c>
      <c r="R11" s="160">
        <f t="shared" si="1"/>
        <v>6300</v>
      </c>
      <c r="S11" s="129">
        <f t="shared" si="2"/>
        <v>6300</v>
      </c>
      <c r="T11" s="129">
        <f t="shared" si="3"/>
        <v>6300</v>
      </c>
      <c r="U11" s="159">
        <f t="shared" si="4"/>
        <v>6300</v>
      </c>
      <c r="V11" s="134">
        <f t="shared" si="7"/>
        <v>25200</v>
      </c>
      <c r="W11" s="134">
        <f t="shared" si="8"/>
        <v>26460</v>
      </c>
      <c r="X11" s="135">
        <f t="shared" si="9"/>
        <v>27783.000000000004</v>
      </c>
    </row>
    <row r="12" spans="1:24" ht="7.5" customHeight="1" thickTop="1" thickBot="1" x14ac:dyDescent="0.3">
      <c r="A12" s="581"/>
      <c r="B12" s="781"/>
      <c r="C12" s="781"/>
      <c r="D12" s="582"/>
      <c r="E12" s="340"/>
      <c r="F12" s="109"/>
      <c r="G12" s="109"/>
      <c r="H12" s="109"/>
      <c r="I12" s="109"/>
      <c r="J12" s="109"/>
      <c r="K12" s="109"/>
      <c r="L12" s="109"/>
      <c r="M12" s="109"/>
      <c r="N12" s="109"/>
      <c r="O12" s="109"/>
      <c r="P12" s="341"/>
      <c r="Q12" s="327"/>
      <c r="R12" s="328"/>
      <c r="S12" s="325"/>
      <c r="T12" s="325"/>
      <c r="U12" s="343"/>
      <c r="V12" s="327"/>
      <c r="W12" s="327"/>
      <c r="X12" s="329"/>
    </row>
    <row r="13" spans="1:24" ht="18.75" customHeight="1" thickBot="1" x14ac:dyDescent="0.3">
      <c r="A13" s="629" t="s">
        <v>88</v>
      </c>
      <c r="B13" s="772">
        <f>SUM(Q13,V13,W13,X13)/48</f>
        <v>8620.25</v>
      </c>
      <c r="C13" s="773"/>
      <c r="D13" s="628"/>
      <c r="E13" s="601">
        <f>SUM(E8:E12)</f>
        <v>8000</v>
      </c>
      <c r="F13" s="541">
        <f t="shared" ref="F13:X13" si="10">SUM(F8:F12)</f>
        <v>8000</v>
      </c>
      <c r="G13" s="541">
        <f t="shared" si="10"/>
        <v>8000</v>
      </c>
      <c r="H13" s="541">
        <f t="shared" si="10"/>
        <v>8000</v>
      </c>
      <c r="I13" s="541">
        <f t="shared" si="10"/>
        <v>8000</v>
      </c>
      <c r="J13" s="541">
        <f t="shared" si="10"/>
        <v>8000</v>
      </c>
      <c r="K13" s="541">
        <f t="shared" si="10"/>
        <v>8000</v>
      </c>
      <c r="L13" s="541">
        <f t="shared" si="10"/>
        <v>8000</v>
      </c>
      <c r="M13" s="541">
        <f t="shared" si="10"/>
        <v>8000</v>
      </c>
      <c r="N13" s="541">
        <f t="shared" si="10"/>
        <v>8000</v>
      </c>
      <c r="O13" s="541">
        <f t="shared" si="10"/>
        <v>8000</v>
      </c>
      <c r="P13" s="538">
        <f t="shared" si="10"/>
        <v>8000</v>
      </c>
      <c r="Q13" s="543">
        <f t="shared" si="10"/>
        <v>96000</v>
      </c>
      <c r="R13" s="446">
        <f t="shared" si="10"/>
        <v>25200</v>
      </c>
      <c r="S13" s="541">
        <f t="shared" si="10"/>
        <v>25200</v>
      </c>
      <c r="T13" s="541">
        <f t="shared" si="10"/>
        <v>25200</v>
      </c>
      <c r="U13" s="538">
        <f t="shared" si="10"/>
        <v>25200</v>
      </c>
      <c r="V13" s="543">
        <f t="shared" si="10"/>
        <v>100800</v>
      </c>
      <c r="W13" s="543">
        <f t="shared" si="10"/>
        <v>105840</v>
      </c>
      <c r="X13" s="498">
        <f t="shared" si="10"/>
        <v>111132.00000000001</v>
      </c>
    </row>
    <row r="14" spans="1:24" ht="7.5" customHeight="1" thickBot="1" x14ac:dyDescent="0.3">
      <c r="A14" s="777"/>
      <c r="B14" s="778"/>
      <c r="C14" s="778"/>
      <c r="D14" s="778"/>
      <c r="E14" s="778"/>
      <c r="F14" s="778"/>
      <c r="G14" s="778"/>
      <c r="H14" s="778"/>
      <c r="I14" s="778"/>
      <c r="J14" s="778"/>
      <c r="K14" s="778"/>
      <c r="L14" s="778"/>
      <c r="M14" s="778"/>
      <c r="N14" s="778"/>
      <c r="O14" s="778"/>
      <c r="P14" s="778"/>
      <c r="Q14" s="778"/>
      <c r="R14" s="778"/>
      <c r="S14" s="778"/>
      <c r="T14" s="778"/>
      <c r="U14" s="778"/>
      <c r="V14" s="778"/>
      <c r="W14" s="778"/>
      <c r="X14" s="779"/>
    </row>
    <row r="15" spans="1:24" ht="18.75" customHeight="1" thickBot="1" x14ac:dyDescent="0.3">
      <c r="A15" s="563" t="s">
        <v>52</v>
      </c>
      <c r="B15" s="323"/>
      <c r="C15" s="323"/>
      <c r="D15" s="564"/>
    </row>
    <row r="16" spans="1:24" ht="15.75" thickTop="1" x14ac:dyDescent="0.25">
      <c r="A16" s="92" t="s">
        <v>64</v>
      </c>
      <c r="B16" s="776">
        <v>1700</v>
      </c>
      <c r="C16" s="776"/>
      <c r="D16" s="20">
        <v>2</v>
      </c>
      <c r="E16" s="6" t="str">
        <f t="shared" ref="E16:P16" si="11">IF($D16="","",IF($D16&lt;=E$7,$B16,""))</f>
        <v/>
      </c>
      <c r="F16" s="7">
        <f t="shared" si="11"/>
        <v>1700</v>
      </c>
      <c r="G16" s="7">
        <f t="shared" si="11"/>
        <v>1700</v>
      </c>
      <c r="H16" s="7">
        <f t="shared" si="11"/>
        <v>1700</v>
      </c>
      <c r="I16" s="7">
        <f t="shared" si="11"/>
        <v>1700</v>
      </c>
      <c r="J16" s="7">
        <f t="shared" si="11"/>
        <v>1700</v>
      </c>
      <c r="K16" s="7">
        <f t="shared" si="11"/>
        <v>1700</v>
      </c>
      <c r="L16" s="7">
        <f t="shared" si="11"/>
        <v>1700</v>
      </c>
      <c r="M16" s="7">
        <f t="shared" si="11"/>
        <v>1700</v>
      </c>
      <c r="N16" s="7">
        <f t="shared" si="11"/>
        <v>1700</v>
      </c>
      <c r="O16" s="7">
        <f t="shared" si="11"/>
        <v>1700</v>
      </c>
      <c r="P16" s="180">
        <f t="shared" si="11"/>
        <v>1700</v>
      </c>
      <c r="Q16" s="8">
        <f>SUM(E16:P16)</f>
        <v>18700</v>
      </c>
      <c r="R16" s="307">
        <f t="shared" ref="R16:R17" si="12">IF($D16="","",IF(AND($D16&lt;=15,$D16&gt;12),(15-$D16+1)*$B16*(1+$B$5)^1,IF(AND($D16&lt;=15,$D16&lt;=12),3*$B16*(1+$B$5)^1,"")))</f>
        <v>5355</v>
      </c>
      <c r="S16" s="7">
        <f t="shared" ref="S16:S17" si="13">IF($D16="","",IF(AND($D16&lt;=18,$D16&gt;15),(18-$D16+1)*$B16*(1+$B$5)^1,IF(AND($D16&lt;=18,$D16&lt;=15),3*$B16*(1+$B$5)^1,"")))</f>
        <v>5355</v>
      </c>
      <c r="T16" s="7">
        <f t="shared" ref="T16:T17" si="14">IF($D16="","",IF(AND($D16&lt;=21,$D16&gt;18),(21-$D16+1)*$B16*(1+$B$5)^1,IF(AND($D16&lt;=21,$D16&lt;=18),3*$B16*(1+$B$5)^1,"")))</f>
        <v>5355</v>
      </c>
      <c r="U16" s="180">
        <f t="shared" ref="U16:U17" si="15">IF($D16="","",IF(AND($D16&lt;=24,$D16&gt;21),(24-$D16+1)*$B16*(1+$B$5)^1,IF(AND($D16&lt;=24,$D16&lt;=21),3*$B16*(1+$B$5)^1,"")))</f>
        <v>5355</v>
      </c>
      <c r="V16" s="8">
        <f>SUM(R16:U16)</f>
        <v>21420</v>
      </c>
      <c r="W16" s="8">
        <f>IF($D16="","",IF(AND($D16&lt;=36,$D16&gt;24),(36-$D16+1)*$B16*(1+$B$5)^2,IF(AND($D16&lt;=36,$D16&lt;=24),(36-24)*$B16*(1+$B$5)^2,"")))</f>
        <v>22491</v>
      </c>
      <c r="X16" s="9">
        <f>IF($D16="","",IF(AND($D16&lt;=48,$D16&gt;36),(48-$D16+1)*$B16*(1+$B$5)^3,IF(AND($D16&lt;=48,$D16&lt;=36),(48-36)*$B16*(1+$B$5)^3,"")))</f>
        <v>23615.550000000003</v>
      </c>
    </row>
    <row r="17" spans="1:26" x14ac:dyDescent="0.25">
      <c r="A17" s="93" t="s">
        <v>272</v>
      </c>
      <c r="B17" s="775">
        <v>2700</v>
      </c>
      <c r="C17" s="775"/>
      <c r="D17" s="96">
        <v>3</v>
      </c>
      <c r="E17" s="10" t="str">
        <f t="shared" ref="E17" si="16">IF($D17="","",IF($D17&lt;=E$7,$B17,""))</f>
        <v/>
      </c>
      <c r="F17" s="11" t="str">
        <f t="shared" ref="F17:P17" si="17">IF($D17="","",IF($D17&lt;=F$7,$B17,""))</f>
        <v/>
      </c>
      <c r="G17" s="11">
        <f t="shared" si="17"/>
        <v>2700</v>
      </c>
      <c r="H17" s="11">
        <f t="shared" si="17"/>
        <v>2700</v>
      </c>
      <c r="I17" s="11">
        <f t="shared" si="17"/>
        <v>2700</v>
      </c>
      <c r="J17" s="11">
        <f t="shared" si="17"/>
        <v>2700</v>
      </c>
      <c r="K17" s="11">
        <f t="shared" si="17"/>
        <v>2700</v>
      </c>
      <c r="L17" s="11">
        <f t="shared" si="17"/>
        <v>2700</v>
      </c>
      <c r="M17" s="11">
        <f t="shared" si="17"/>
        <v>2700</v>
      </c>
      <c r="N17" s="11">
        <f t="shared" si="17"/>
        <v>2700</v>
      </c>
      <c r="O17" s="11">
        <f t="shared" si="17"/>
        <v>2700</v>
      </c>
      <c r="P17" s="185">
        <f t="shared" si="17"/>
        <v>2700</v>
      </c>
      <c r="Q17" s="12">
        <f t="shared" ref="Q17" si="18">SUM(E17:P17)</f>
        <v>27000</v>
      </c>
      <c r="R17" s="308">
        <f t="shared" si="12"/>
        <v>8505</v>
      </c>
      <c r="S17" s="11">
        <f t="shared" si="13"/>
        <v>8505</v>
      </c>
      <c r="T17" s="11">
        <f t="shared" si="14"/>
        <v>8505</v>
      </c>
      <c r="U17" s="185">
        <f t="shared" si="15"/>
        <v>8505</v>
      </c>
      <c r="V17" s="12">
        <f t="shared" ref="V17" si="19">SUM(R17:U17)</f>
        <v>34020</v>
      </c>
      <c r="W17" s="12">
        <f t="shared" ref="W17" si="20">IF($D17="","",IF(AND($D17&lt;=36,$D17&gt;24),(36-$D17+1)*$B17*(1+$B$5)^2,IF(AND($D17&lt;=36,$D17&lt;=24),(36-24)*$B17*(1+$B$5)^2,"")))</f>
        <v>35721</v>
      </c>
      <c r="X17" s="13">
        <f t="shared" ref="X17" si="21">IF($D17="","",IF(AND($D17&lt;=48,$D17&gt;36),(48-$D17+1)*$B17*(1+$B$5)^3,IF(AND($D17&lt;=48,$D17&lt;=36),(48-36)*$B17*(1+$B$5)^3,"")))</f>
        <v>37507.050000000003</v>
      </c>
    </row>
    <row r="18" spans="1:26" ht="7.5" customHeight="1" thickBot="1" x14ac:dyDescent="0.3">
      <c r="A18" s="581"/>
      <c r="B18" s="780"/>
      <c r="C18" s="780"/>
      <c r="D18" s="584"/>
      <c r="E18" s="340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341"/>
      <c r="Q18" s="327"/>
      <c r="R18" s="328"/>
      <c r="S18" s="325"/>
      <c r="T18" s="325"/>
      <c r="U18" s="343"/>
      <c r="V18" s="327"/>
      <c r="W18" s="327"/>
      <c r="X18" s="329"/>
    </row>
    <row r="19" spans="1:26" ht="18.75" customHeight="1" thickBot="1" x14ac:dyDescent="0.3">
      <c r="A19" s="629" t="s">
        <v>88</v>
      </c>
      <c r="B19" s="772">
        <f>SUM(Q19,V19,W19,X19)/48</f>
        <v>4593.2208333333338</v>
      </c>
      <c r="C19" s="773"/>
      <c r="D19" s="628"/>
      <c r="E19" s="602">
        <f>SUM(E16:E18)</f>
        <v>0</v>
      </c>
      <c r="F19" s="603">
        <f>SUM(F16:F18)</f>
        <v>1700</v>
      </c>
      <c r="G19" s="603">
        <f>SUM(G16:G18)</f>
        <v>4400</v>
      </c>
      <c r="H19" s="603">
        <f>SUM(H16:H18)</f>
        <v>4400</v>
      </c>
      <c r="I19" s="603">
        <f>SUM(I16:I18)</f>
        <v>4400</v>
      </c>
      <c r="J19" s="603">
        <f>SUM(J16:J18)</f>
        <v>4400</v>
      </c>
      <c r="K19" s="603">
        <f>SUM(K16:K18)</f>
        <v>4400</v>
      </c>
      <c r="L19" s="603">
        <f>SUM(L16:L18)</f>
        <v>4400</v>
      </c>
      <c r="M19" s="603">
        <f>SUM(M16:M18)</f>
        <v>4400</v>
      </c>
      <c r="N19" s="603">
        <f>SUM(N16:N18)</f>
        <v>4400</v>
      </c>
      <c r="O19" s="603">
        <f>SUM(O16:O18)</f>
        <v>4400</v>
      </c>
      <c r="P19" s="604">
        <f>SUM(P16:P18)</f>
        <v>4400</v>
      </c>
      <c r="Q19" s="543">
        <f>SUM(Q16:Q18)</f>
        <v>45700</v>
      </c>
      <c r="R19" s="605">
        <f>SUM(R16:R18)</f>
        <v>13860</v>
      </c>
      <c r="S19" s="603">
        <f>SUM(S16:S18)</f>
        <v>13860</v>
      </c>
      <c r="T19" s="603">
        <f>SUM(T16:T18)</f>
        <v>13860</v>
      </c>
      <c r="U19" s="604">
        <f>SUM(U16:U18)</f>
        <v>13860</v>
      </c>
      <c r="V19" s="543">
        <f>SUM(V16:V18)</f>
        <v>55440</v>
      </c>
      <c r="W19" s="630">
        <f>SUM(W16:W18)</f>
        <v>58212</v>
      </c>
      <c r="X19" s="606">
        <f>SUM(X16:X18)</f>
        <v>61122.600000000006</v>
      </c>
    </row>
    <row r="20" spans="1:26" ht="7.5" customHeight="1" thickBot="1" x14ac:dyDescent="0.3">
      <c r="A20" s="777"/>
      <c r="B20" s="778"/>
      <c r="C20" s="778"/>
      <c r="D20" s="778"/>
      <c r="E20" s="778"/>
      <c r="F20" s="778"/>
      <c r="G20" s="778"/>
      <c r="H20" s="778"/>
      <c r="I20" s="778"/>
      <c r="J20" s="778"/>
      <c r="K20" s="778"/>
      <c r="L20" s="778"/>
      <c r="M20" s="778"/>
      <c r="N20" s="778"/>
      <c r="O20" s="778"/>
      <c r="P20" s="778"/>
      <c r="Q20" s="778"/>
      <c r="R20" s="778"/>
      <c r="S20" s="778"/>
      <c r="T20" s="778"/>
      <c r="U20" s="778"/>
      <c r="V20" s="778"/>
      <c r="W20" s="778"/>
      <c r="X20" s="779"/>
    </row>
    <row r="21" spans="1:26" ht="18.75" customHeight="1" thickBot="1" x14ac:dyDescent="0.3">
      <c r="A21" s="566" t="s">
        <v>88</v>
      </c>
      <c r="B21" s="767">
        <f>SUM(Q21,V21,W21,X21)/48</f>
        <v>13213.470833333335</v>
      </c>
      <c r="C21" s="768"/>
      <c r="D21" s="631"/>
      <c r="E21" s="546">
        <f>SUM(E13+E19)</f>
        <v>8000</v>
      </c>
      <c r="F21" s="547">
        <f>SUM(F13+F19)</f>
        <v>9700</v>
      </c>
      <c r="G21" s="547">
        <f>SUM(G13+G19)</f>
        <v>12400</v>
      </c>
      <c r="H21" s="547">
        <f>SUM(H13+H19)</f>
        <v>12400</v>
      </c>
      <c r="I21" s="547">
        <f>SUM(I13+I19)</f>
        <v>12400</v>
      </c>
      <c r="J21" s="547">
        <f>SUM(J13+J19)</f>
        <v>12400</v>
      </c>
      <c r="K21" s="547">
        <f>SUM(K13+K19)</f>
        <v>12400</v>
      </c>
      <c r="L21" s="547">
        <f>SUM(L13+L19)</f>
        <v>12400</v>
      </c>
      <c r="M21" s="547">
        <f>SUM(M13+M19)</f>
        <v>12400</v>
      </c>
      <c r="N21" s="547">
        <f>SUM(N13+N19)</f>
        <v>12400</v>
      </c>
      <c r="O21" s="547">
        <f>SUM(O13+O19)</f>
        <v>12400</v>
      </c>
      <c r="P21" s="607">
        <f>SUM(P13+P19)</f>
        <v>12400</v>
      </c>
      <c r="Q21" s="333">
        <f>SUM(Q13+Q19)</f>
        <v>141700</v>
      </c>
      <c r="R21" s="452">
        <f>SUM(R13+R19)</f>
        <v>39060</v>
      </c>
      <c r="S21" s="547">
        <f>SUM(S13+S19)</f>
        <v>39060</v>
      </c>
      <c r="T21" s="547">
        <f>SUM(T13+T19)</f>
        <v>39060</v>
      </c>
      <c r="U21" s="607">
        <f>SUM(U13+U19)</f>
        <v>39060</v>
      </c>
      <c r="V21" s="333">
        <f>SUM(V13+V19)</f>
        <v>156240</v>
      </c>
      <c r="W21" s="333">
        <f>SUM(W13+W19)</f>
        <v>164052</v>
      </c>
      <c r="X21" s="334">
        <f>SUM(X13+X19)</f>
        <v>172254.60000000003</v>
      </c>
    </row>
    <row r="22" spans="1:26" ht="15.75" thickBot="1" x14ac:dyDescent="0.3">
      <c r="B22" s="567"/>
      <c r="C22" s="568"/>
    </row>
    <row r="23" spans="1:26" ht="15" customHeight="1" x14ac:dyDescent="0.25">
      <c r="A23" s="761" t="s">
        <v>109</v>
      </c>
      <c r="B23" s="763" t="s">
        <v>111</v>
      </c>
      <c r="C23" s="763" t="s">
        <v>44</v>
      </c>
      <c r="D23" s="765" t="s">
        <v>245</v>
      </c>
      <c r="E23" s="744" t="s">
        <v>20</v>
      </c>
      <c r="F23" s="743"/>
      <c r="G23" s="743"/>
      <c r="H23" s="743"/>
      <c r="I23" s="743"/>
      <c r="J23" s="743"/>
      <c r="K23" s="743"/>
      <c r="L23" s="743"/>
      <c r="M23" s="743"/>
      <c r="N23" s="743"/>
      <c r="O23" s="743"/>
      <c r="P23" s="743"/>
      <c r="Q23" s="740" t="s">
        <v>20</v>
      </c>
      <c r="R23" s="742" t="s">
        <v>25</v>
      </c>
      <c r="S23" s="743"/>
      <c r="T23" s="743"/>
      <c r="U23" s="743"/>
      <c r="V23" s="740" t="s">
        <v>25</v>
      </c>
      <c r="W23" s="740" t="s">
        <v>26</v>
      </c>
      <c r="X23" s="751" t="s">
        <v>27</v>
      </c>
      <c r="Z23" s="759" t="s">
        <v>49</v>
      </c>
    </row>
    <row r="24" spans="1:26" ht="15.75" thickBot="1" x14ac:dyDescent="0.3">
      <c r="A24" s="762"/>
      <c r="B24" s="764"/>
      <c r="C24" s="764"/>
      <c r="D24" s="766"/>
      <c r="E24" s="1">
        <v>1</v>
      </c>
      <c r="F24" s="2">
        <v>2</v>
      </c>
      <c r="G24" s="2">
        <v>3</v>
      </c>
      <c r="H24" s="2">
        <v>4</v>
      </c>
      <c r="I24" s="2">
        <v>5</v>
      </c>
      <c r="J24" s="2">
        <v>6</v>
      </c>
      <c r="K24" s="2">
        <v>7</v>
      </c>
      <c r="L24" s="2">
        <v>8</v>
      </c>
      <c r="M24" s="2">
        <v>9</v>
      </c>
      <c r="N24" s="2">
        <v>10</v>
      </c>
      <c r="O24" s="2">
        <v>11</v>
      </c>
      <c r="P24" s="3">
        <v>12</v>
      </c>
      <c r="Q24" s="741"/>
      <c r="R24" s="4" t="s">
        <v>21</v>
      </c>
      <c r="S24" s="2" t="s">
        <v>22</v>
      </c>
      <c r="T24" s="2" t="s">
        <v>23</v>
      </c>
      <c r="U24" s="3" t="s">
        <v>24</v>
      </c>
      <c r="V24" s="741"/>
      <c r="W24" s="741"/>
      <c r="X24" s="752"/>
      <c r="Z24" s="760"/>
    </row>
    <row r="25" spans="1:26" ht="18.75" customHeight="1" thickTop="1" x14ac:dyDescent="0.25">
      <c r="A25" s="117" t="s">
        <v>54</v>
      </c>
      <c r="B25" s="72">
        <f>Z25</f>
        <v>17706.050916666671</v>
      </c>
      <c r="C25" s="112" t="s">
        <v>45</v>
      </c>
      <c r="D25" s="113" t="s">
        <v>48</v>
      </c>
      <c r="E25" s="6">
        <f>E21*(1+$B$4)</f>
        <v>10720</v>
      </c>
      <c r="F25" s="7">
        <f t="shared" ref="F25:X25" si="22">F21*(1+$B$4)</f>
        <v>12998</v>
      </c>
      <c r="G25" s="7">
        <f t="shared" si="22"/>
        <v>16616</v>
      </c>
      <c r="H25" s="7">
        <f t="shared" si="22"/>
        <v>16616</v>
      </c>
      <c r="I25" s="7">
        <f t="shared" si="22"/>
        <v>16616</v>
      </c>
      <c r="J25" s="7">
        <f t="shared" si="22"/>
        <v>16616</v>
      </c>
      <c r="K25" s="7">
        <f t="shared" si="22"/>
        <v>16616</v>
      </c>
      <c r="L25" s="7">
        <f t="shared" si="22"/>
        <v>16616</v>
      </c>
      <c r="M25" s="7">
        <f t="shared" si="22"/>
        <v>16616</v>
      </c>
      <c r="N25" s="7">
        <f t="shared" si="22"/>
        <v>16616</v>
      </c>
      <c r="O25" s="7">
        <f t="shared" si="22"/>
        <v>16616</v>
      </c>
      <c r="P25" s="180">
        <f t="shared" si="22"/>
        <v>16616</v>
      </c>
      <c r="Q25" s="8">
        <f>SUM(E25:P25)</f>
        <v>189878</v>
      </c>
      <c r="R25" s="307">
        <f t="shared" si="22"/>
        <v>52340.4</v>
      </c>
      <c r="S25" s="307">
        <f t="shared" si="22"/>
        <v>52340.4</v>
      </c>
      <c r="T25" s="307">
        <f t="shared" si="22"/>
        <v>52340.4</v>
      </c>
      <c r="U25" s="264">
        <f t="shared" si="22"/>
        <v>52340.4</v>
      </c>
      <c r="V25" s="8">
        <f>SUM(R25:U25)</f>
        <v>209361.6</v>
      </c>
      <c r="W25" s="8">
        <f t="shared" si="22"/>
        <v>219829.68000000002</v>
      </c>
      <c r="X25" s="9">
        <f t="shared" si="22"/>
        <v>230821.16400000005</v>
      </c>
      <c r="Z25" s="569">
        <f>((Q25+V25+W25+X25)/4)/12</f>
        <v>17706.050916666671</v>
      </c>
    </row>
    <row r="26" spans="1:26" ht="18.75" customHeight="1" x14ac:dyDescent="0.25">
      <c r="A26" s="118" t="s">
        <v>55</v>
      </c>
      <c r="B26" s="76">
        <f>Z26</f>
        <v>2951.0084861111118</v>
      </c>
      <c r="C26" s="114" t="s">
        <v>46</v>
      </c>
      <c r="D26" s="96">
        <v>5</v>
      </c>
      <c r="E26" s="10">
        <f>($Q$25/12)*IF($D26=IF(MOD(E$24,6)=0,6,MOD(E$24,6)),1,0)</f>
        <v>0</v>
      </c>
      <c r="F26" s="11">
        <f t="shared" ref="F26:P26" si="23">($Q$25/12)*IF($D26=IF(MOD(F$24,6)=0,6,MOD(F$24,6)),1,0)</f>
        <v>0</v>
      </c>
      <c r="G26" s="11">
        <f t="shared" si="23"/>
        <v>0</v>
      </c>
      <c r="H26" s="11">
        <f t="shared" si="23"/>
        <v>0</v>
      </c>
      <c r="I26" s="11">
        <f t="shared" si="23"/>
        <v>15823.166666666666</v>
      </c>
      <c r="J26" s="11">
        <f t="shared" si="23"/>
        <v>0</v>
      </c>
      <c r="K26" s="11">
        <f t="shared" si="23"/>
        <v>0</v>
      </c>
      <c r="L26" s="11">
        <f t="shared" si="23"/>
        <v>0</v>
      </c>
      <c r="M26" s="11">
        <f t="shared" si="23"/>
        <v>0</v>
      </c>
      <c r="N26" s="11">
        <f t="shared" si="23"/>
        <v>0</v>
      </c>
      <c r="O26" s="11">
        <f t="shared" si="23"/>
        <v>15823.166666666666</v>
      </c>
      <c r="P26" s="185">
        <f t="shared" si="23"/>
        <v>0</v>
      </c>
      <c r="Q26" s="12">
        <f t="shared" ref="Q26" si="24">SUM(E26:P26)</f>
        <v>31646.333333333332</v>
      </c>
      <c r="R26" s="308" t="str">
        <f>IF(AND($D26&gt;=1,$D26&lt;=3),$V$25/12,"")</f>
        <v/>
      </c>
      <c r="S26" s="11">
        <f>IF(AND($D26&gt;=4,$D26&lt;=6),$V$25/12,"")</f>
        <v>17446.8</v>
      </c>
      <c r="T26" s="11" t="str">
        <f>IF(AND($D26&gt;=1,$D26&lt;=3),$V$25/12,"")</f>
        <v/>
      </c>
      <c r="U26" s="185">
        <f>IF(AND($D26&gt;=4,$D26&lt;=6),$V$25/12,"")</f>
        <v>17446.8</v>
      </c>
      <c r="V26" s="12">
        <f t="shared" ref="V26:V27" si="25">SUM(R26:U26)</f>
        <v>34893.599999999999</v>
      </c>
      <c r="W26" s="12">
        <f>W25/12*2</f>
        <v>36638.280000000006</v>
      </c>
      <c r="X26" s="13">
        <f>X25/12*2</f>
        <v>38470.19400000001</v>
      </c>
      <c r="Z26" s="570">
        <f>((Q26+V26+W26+X26)/4)/12</f>
        <v>2951.0084861111118</v>
      </c>
    </row>
    <row r="27" spans="1:26" ht="18.75" customHeight="1" thickBot="1" x14ac:dyDescent="0.3">
      <c r="A27" s="121" t="s">
        <v>90</v>
      </c>
      <c r="B27" s="110">
        <f>Z27</f>
        <v>178.125</v>
      </c>
      <c r="C27" s="122" t="s">
        <v>45</v>
      </c>
      <c r="D27" s="123" t="s">
        <v>48</v>
      </c>
      <c r="E27" s="14">
        <f>COUNT(E$8:E$12,E$16:E$18)*$B$3</f>
        <v>120</v>
      </c>
      <c r="F27" s="15">
        <f>COUNT(F$8:F$12,F$16:F$18)*$B$3</f>
        <v>150</v>
      </c>
      <c r="G27" s="15">
        <f>COUNT(G$8:G$12,G$16:G$18)*$B$3</f>
        <v>180</v>
      </c>
      <c r="H27" s="15">
        <f>COUNT(H$8:H$12,H$16:H$18)*$B$3</f>
        <v>180</v>
      </c>
      <c r="I27" s="15">
        <f>COUNT(I$8:I$12,I$16:I$18)*$B$3</f>
        <v>180</v>
      </c>
      <c r="J27" s="15">
        <f>COUNT(J$8:J$12,J$16:J$18)*$B$3</f>
        <v>180</v>
      </c>
      <c r="K27" s="15">
        <f>COUNT(K$8:K$12,K$16:K$18)*$B$3</f>
        <v>180</v>
      </c>
      <c r="L27" s="15">
        <f>COUNT(L$8:L$12,L$16:L$18)*$B$3</f>
        <v>180</v>
      </c>
      <c r="M27" s="15">
        <f>COUNT(M$8:M$12,M$16:M$18)*$B$3</f>
        <v>180</v>
      </c>
      <c r="N27" s="15">
        <f>COUNT(N$8:N$12,N$16:N$18)*$B$3</f>
        <v>180</v>
      </c>
      <c r="O27" s="15">
        <f>COUNT(O$8:O$12,O$16:O$18)*$B$3</f>
        <v>180</v>
      </c>
      <c r="P27" s="668">
        <f>COUNT(P$8:P$12,P$16:P$18)*$B$3</f>
        <v>180</v>
      </c>
      <c r="Q27" s="16">
        <f t="shared" ref="Q27" si="26">SUM(E27:P27)</f>
        <v>2070</v>
      </c>
      <c r="R27" s="565">
        <f>(COUNT(R$8:R$12,R$16:R$18)*3)*$B$3</f>
        <v>540</v>
      </c>
      <c r="S27" s="15">
        <f>(COUNT(S$8:S$12,S$16:S$18)*3)*$B$3</f>
        <v>540</v>
      </c>
      <c r="T27" s="15">
        <f>(COUNT(T$8:T$12,T$16:T$18)*3)*$B$3</f>
        <v>540</v>
      </c>
      <c r="U27" s="668">
        <f>(COUNT(U$8:U$12,U$16:U$18)*3)*$B$3</f>
        <v>540</v>
      </c>
      <c r="V27" s="16">
        <f t="shared" si="25"/>
        <v>2160</v>
      </c>
      <c r="W27" s="16">
        <f>(COUNT(W$8:W$12,W$16:W$18)*12)*$B$3</f>
        <v>2160</v>
      </c>
      <c r="X27" s="17">
        <f>(COUNT(X$8:X$12,X$16:X$18)*12)*$B$3</f>
        <v>2160</v>
      </c>
      <c r="Z27" s="570">
        <f>((Q27+V27+W27+X27)/4)/12</f>
        <v>178.125</v>
      </c>
    </row>
    <row r="28" spans="1:26" ht="7.5" customHeight="1" thickTop="1" thickBot="1" x14ac:dyDescent="0.3">
      <c r="A28" s="119"/>
      <c r="B28" s="120"/>
      <c r="C28" s="115"/>
      <c r="D28" s="116"/>
      <c r="E28" s="27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9"/>
      <c r="Q28" s="33"/>
      <c r="R28" s="31"/>
      <c r="S28" s="28"/>
      <c r="T28" s="28"/>
      <c r="U28" s="29"/>
      <c r="V28" s="33"/>
      <c r="W28" s="33"/>
      <c r="X28" s="34"/>
      <c r="Z28" s="571"/>
    </row>
    <row r="29" spans="1:26" s="625" customFormat="1" ht="18.75" customHeight="1" thickBot="1" x14ac:dyDescent="0.3">
      <c r="A29" s="572" t="s">
        <v>56</v>
      </c>
      <c r="B29" s="573">
        <f>Z29</f>
        <v>20835.184402777784</v>
      </c>
      <c r="D29" s="626"/>
      <c r="E29" s="627">
        <f>SUM(E25:E28)</f>
        <v>10840</v>
      </c>
      <c r="F29" s="549">
        <f t="shared" ref="F29:X29" si="27">SUM(F25:F28)</f>
        <v>13148</v>
      </c>
      <c r="G29" s="549">
        <f t="shared" si="27"/>
        <v>16796</v>
      </c>
      <c r="H29" s="549">
        <f t="shared" si="27"/>
        <v>16796</v>
      </c>
      <c r="I29" s="549">
        <f t="shared" si="27"/>
        <v>32619.166666666664</v>
      </c>
      <c r="J29" s="549">
        <f t="shared" si="27"/>
        <v>16796</v>
      </c>
      <c r="K29" s="549">
        <f t="shared" si="27"/>
        <v>16796</v>
      </c>
      <c r="L29" s="549">
        <f t="shared" si="27"/>
        <v>16796</v>
      </c>
      <c r="M29" s="549">
        <f t="shared" si="27"/>
        <v>16796</v>
      </c>
      <c r="N29" s="549">
        <f t="shared" si="27"/>
        <v>16796</v>
      </c>
      <c r="O29" s="549">
        <f t="shared" si="27"/>
        <v>32619.166666666664</v>
      </c>
      <c r="P29" s="36">
        <f t="shared" si="27"/>
        <v>16796</v>
      </c>
      <c r="Q29" s="37">
        <f t="shared" si="27"/>
        <v>223594.33333333334</v>
      </c>
      <c r="R29" s="548">
        <f t="shared" si="27"/>
        <v>52880.4</v>
      </c>
      <c r="S29" s="549">
        <f t="shared" si="27"/>
        <v>70327.199999999997</v>
      </c>
      <c r="T29" s="549">
        <f t="shared" si="27"/>
        <v>52880.4</v>
      </c>
      <c r="U29" s="36">
        <f t="shared" si="27"/>
        <v>70327.199999999997</v>
      </c>
      <c r="V29" s="37">
        <f t="shared" si="27"/>
        <v>246415.2</v>
      </c>
      <c r="W29" s="37">
        <f t="shared" si="27"/>
        <v>258627.96000000002</v>
      </c>
      <c r="X29" s="38">
        <f t="shared" si="27"/>
        <v>271451.35800000007</v>
      </c>
      <c r="Z29" s="574">
        <f>SUM(Z25:Z28)</f>
        <v>20835.184402777784</v>
      </c>
    </row>
    <row r="30" spans="1:26" ht="15.75" thickBot="1" x14ac:dyDescent="0.3">
      <c r="B30" s="567"/>
      <c r="C30" s="568"/>
    </row>
    <row r="31" spans="1:26" ht="15" customHeight="1" x14ac:dyDescent="0.25">
      <c r="A31" s="761" t="s">
        <v>43</v>
      </c>
      <c r="B31" s="763" t="s">
        <v>19</v>
      </c>
      <c r="C31" s="763" t="s">
        <v>44</v>
      </c>
      <c r="D31" s="765" t="s">
        <v>245</v>
      </c>
      <c r="E31" s="744" t="s">
        <v>20</v>
      </c>
      <c r="F31" s="743"/>
      <c r="G31" s="743"/>
      <c r="H31" s="743"/>
      <c r="I31" s="743"/>
      <c r="J31" s="743"/>
      <c r="K31" s="743"/>
      <c r="L31" s="743"/>
      <c r="M31" s="743"/>
      <c r="N31" s="743"/>
      <c r="O31" s="743"/>
      <c r="P31" s="743"/>
      <c r="Q31" s="740" t="s">
        <v>20</v>
      </c>
      <c r="R31" s="742" t="s">
        <v>25</v>
      </c>
      <c r="S31" s="743"/>
      <c r="T31" s="743"/>
      <c r="U31" s="743"/>
      <c r="V31" s="740" t="s">
        <v>25</v>
      </c>
      <c r="W31" s="740" t="s">
        <v>26</v>
      </c>
      <c r="X31" s="751" t="s">
        <v>27</v>
      </c>
      <c r="Z31" s="759" t="s">
        <v>49</v>
      </c>
    </row>
    <row r="32" spans="1:26" ht="15.75" thickBot="1" x14ac:dyDescent="0.3">
      <c r="A32" s="762"/>
      <c r="B32" s="764"/>
      <c r="C32" s="764"/>
      <c r="D32" s="766"/>
      <c r="E32" s="1">
        <v>1</v>
      </c>
      <c r="F32" s="2">
        <v>2</v>
      </c>
      <c r="G32" s="2">
        <v>3</v>
      </c>
      <c r="H32" s="2">
        <v>4</v>
      </c>
      <c r="I32" s="2">
        <v>5</v>
      </c>
      <c r="J32" s="2">
        <v>6</v>
      </c>
      <c r="K32" s="2">
        <v>7</v>
      </c>
      <c r="L32" s="2">
        <v>8</v>
      </c>
      <c r="M32" s="2">
        <v>9</v>
      </c>
      <c r="N32" s="2">
        <v>10</v>
      </c>
      <c r="O32" s="2">
        <v>11</v>
      </c>
      <c r="P32" s="3">
        <v>12</v>
      </c>
      <c r="Q32" s="741"/>
      <c r="R32" s="4" t="s">
        <v>21</v>
      </c>
      <c r="S32" s="2" t="s">
        <v>22</v>
      </c>
      <c r="T32" s="2" t="s">
        <v>23</v>
      </c>
      <c r="U32" s="3" t="s">
        <v>24</v>
      </c>
      <c r="V32" s="741"/>
      <c r="W32" s="741"/>
      <c r="X32" s="752"/>
      <c r="Z32" s="760"/>
    </row>
    <row r="33" spans="1:26" ht="18.75" customHeight="1" thickTop="1" x14ac:dyDescent="0.25">
      <c r="A33" s="92"/>
      <c r="B33" s="18"/>
      <c r="C33" s="19"/>
      <c r="D33" s="20"/>
      <c r="E33" s="6">
        <f>IF(AND($C33="j",$D33=E$32),$B33,IF($C33="h",$B33*IF($D33=IF(MOD(E$32,6)=0,6,MOD(E$32,6)),1,0),IF($C33="q",$B33*IF($D33=IF(MOD(E$32,3)=0,3,MOD(E$32,3)),1,0),IF($C33="z",$B33*IF($D33=IF(MOD(E$32,2)=0,2,MOD(E$32,2)),1,0),IF($C33="m",$B33,0)))))</f>
        <v>0</v>
      </c>
      <c r="F33" s="7">
        <f t="shared" ref="F33:P34" si="28">IF(AND($C33="j",$D33=F$32),$B33,IF($C33="h",$B33*IF($D33=IF(MOD(F$32,6)=0,6,MOD(F$32,6)),1,0),IF($C33="q",$B33*IF($D33=IF(MOD(F$32,3)=0,3,MOD(F$32,3)),1,0),IF($C33="z",$B33*IF($D33=IF(MOD(F$32,2)=0,2,MOD(F$32,2)),1,0),IF($C33="m",$B33,0)))))</f>
        <v>0</v>
      </c>
      <c r="G33" s="7">
        <f t="shared" si="28"/>
        <v>0</v>
      </c>
      <c r="H33" s="7">
        <f t="shared" si="28"/>
        <v>0</v>
      </c>
      <c r="I33" s="7">
        <f t="shared" si="28"/>
        <v>0</v>
      </c>
      <c r="J33" s="7">
        <f t="shared" si="28"/>
        <v>0</v>
      </c>
      <c r="K33" s="7">
        <f t="shared" si="28"/>
        <v>0</v>
      </c>
      <c r="L33" s="7">
        <f t="shared" si="28"/>
        <v>0</v>
      </c>
      <c r="M33" s="7">
        <f t="shared" si="28"/>
        <v>0</v>
      </c>
      <c r="N33" s="7">
        <f t="shared" si="28"/>
        <v>0</v>
      </c>
      <c r="O33" s="7">
        <f t="shared" si="28"/>
        <v>0</v>
      </c>
      <c r="P33" s="180">
        <f t="shared" si="28"/>
        <v>0</v>
      </c>
      <c r="Q33" s="8">
        <f>SUM(E33:P33)</f>
        <v>0</v>
      </c>
      <c r="R33" s="307">
        <f>IF(AND($C33="j",$D33&gt;=1,$D33&lt;=3),$B33,IF(AND($C33="h",$D33&gt;=1,$D33&lt;=3),$B33,IF(AND($C33="q",$D33&gt;=1,$D33&lt;=3),$B33,IF($C33="z",IF($D33=1,2*$B33,$B33),IF($C33="m",3*$B33,0)))))</f>
        <v>0</v>
      </c>
      <c r="S33" s="7">
        <f>IF(AND($C33="j",$D33&gt;=4,$D33&lt;=6),$B33,IF(AND($C33="h",$D33&gt;=4,$D33&lt;=6),$B33,IF(AND($C33="q",$D33&gt;=1,$D33&lt;=3),$B33,IF($C33="z",IF($D33=2,2*$B33,$B33),IF($C33="m",3*$B33,0)))))</f>
        <v>0</v>
      </c>
      <c r="T33" s="7">
        <f>IF(AND($C33="j",$D33&gt;=7,$D33&lt;=9),$B33,IF(AND($C33="h",$D33&gt;=1,$D33&lt;=3),$B33,IF(AND($C33="q",$D33&gt;=1,$D33&lt;=3),$B33,IF($C33="z",IF($D33=1,2*$B33,$B33),IF($C33="m",3*$B33,0)))))</f>
        <v>0</v>
      </c>
      <c r="U33" s="180">
        <f>IF(AND($C33="j",$D33&gt;=10,$D33&lt;=12),$B33,IF(AND($C33="h",$D33&gt;=4,$D33&lt;=6),$B33,IF(AND($C33="q",$D33&gt;=1,$D33&lt;=3),$B33,IF($C33="z",IF($D33=2,2*$B33,$B33),IF($C33="m",3*$B33,0)))))</f>
        <v>0</v>
      </c>
      <c r="V33" s="8">
        <f>SUM(R33:U33)</f>
        <v>0</v>
      </c>
      <c r="W33" s="8">
        <f>IF($C33="j",$B33,IF($C33="h",2*$B33,IF($C33="q",4*$B33,IF($C33="z",6*$B33,12*$B33))))</f>
        <v>0</v>
      </c>
      <c r="X33" s="9">
        <f>IF($C33="j",$B33,IF($C33="h",2*$B33,IF($C33="q",4*$B33,IF($C33="z",6*$B33,12*$B33))))</f>
        <v>0</v>
      </c>
      <c r="Z33" s="569">
        <f>Q33/12</f>
        <v>0</v>
      </c>
    </row>
    <row r="34" spans="1:26" ht="18.75" customHeight="1" thickBot="1" x14ac:dyDescent="0.3">
      <c r="A34" s="97"/>
      <c r="B34" s="98"/>
      <c r="C34" s="99"/>
      <c r="D34" s="100"/>
      <c r="E34" s="14">
        <f t="shared" ref="E34" si="29">IF(AND($C34="j",$D34=E$32),$B34,IF($C34="h",$B34*IF($D34=IF(MOD(E$32,6)=0,6,MOD(E$32,6)),1,0),IF($C34="q",$B34*IF($D34=IF(MOD(E$32,3)=0,3,MOD(E$32,3)),1,0),IF($C34="z",$B34*IF($D34=IF(MOD(E$32,2)=0,2,MOD(E$32,2)),1,0),IF($C34="m",$B34,0)))))</f>
        <v>0</v>
      </c>
      <c r="F34" s="15">
        <f t="shared" si="28"/>
        <v>0</v>
      </c>
      <c r="G34" s="15">
        <f t="shared" si="28"/>
        <v>0</v>
      </c>
      <c r="H34" s="15">
        <f t="shared" si="28"/>
        <v>0</v>
      </c>
      <c r="I34" s="15">
        <f t="shared" si="28"/>
        <v>0</v>
      </c>
      <c r="J34" s="15">
        <f t="shared" si="28"/>
        <v>0</v>
      </c>
      <c r="K34" s="15">
        <f t="shared" si="28"/>
        <v>0</v>
      </c>
      <c r="L34" s="15">
        <f t="shared" si="28"/>
        <v>0</v>
      </c>
      <c r="M34" s="15">
        <f t="shared" si="28"/>
        <v>0</v>
      </c>
      <c r="N34" s="15">
        <f t="shared" si="28"/>
        <v>0</v>
      </c>
      <c r="O34" s="15">
        <f t="shared" si="28"/>
        <v>0</v>
      </c>
      <c r="P34" s="668">
        <f t="shared" si="28"/>
        <v>0</v>
      </c>
      <c r="Q34" s="16">
        <f t="shared" ref="Q34" si="30">SUM(E34:P34)</f>
        <v>0</v>
      </c>
      <c r="R34" s="565">
        <f t="shared" ref="R34" si="31">IF(AND($C34="j",$D34&gt;=1,$D34&lt;=3),$B34,IF(AND($C34="h",$D34&gt;=1,$D34&lt;=3),$B34,IF(AND($C34="q",$D34&gt;=1,$D34&lt;=3),$B34,IF($C34="z",IF($D34=1,2*$B34,$B34),IF($C34="m",3*$B34,0)))))</f>
        <v>0</v>
      </c>
      <c r="S34" s="15">
        <f t="shared" ref="S34" si="32">IF(AND($C34="j",$D34&gt;=4,$D34&lt;=6),$B34,IF(AND($C34="h",$D34&gt;=4,$D34&lt;=6),$B34,IF(AND($C34="q",$D34&gt;=1,$D34&lt;=3),$B34,IF($C34="z",IF($D34=2,2*$B34,$B34),IF($C34="m",3*$B34,0)))))</f>
        <v>0</v>
      </c>
      <c r="T34" s="15">
        <f t="shared" ref="T34" si="33">IF(AND($C34="j",$D34&gt;=7,$D34&lt;=9),$B34,IF(AND($C34="h",$D34&gt;=1,$D34&lt;=3),$B34,IF(AND($C34="q",$D34&gt;=1,$D34&lt;=3),$B34,IF($C34="z",IF($D34=1,2*$B34,$B34),IF($C34="m",3*$B34,0)))))</f>
        <v>0</v>
      </c>
      <c r="U34" s="668">
        <f t="shared" ref="U34" si="34">IF(AND($C34="j",$D34&gt;=10,$D34&lt;=12),$B34,IF(AND($C34="h",$D34&gt;=4,$D34&lt;=6),$B34,IF(AND($C34="q",$D34&gt;=1,$D34&lt;=3),$B34,IF($C34="z",IF($D34=2,2*$B34,$B34),IF($C34="m",3*$B34,0)))))</f>
        <v>0</v>
      </c>
      <c r="V34" s="16">
        <f t="shared" ref="V34" si="35">SUM(R34:U34)</f>
        <v>0</v>
      </c>
      <c r="W34" s="16">
        <f t="shared" ref="W34:X34" si="36">IF($C34="j",$B34,IF($C34="h",2*$B34,IF($C34="q",4*$B34,IF($C34="z",6*$B34,12*$B34))))</f>
        <v>0</v>
      </c>
      <c r="X34" s="17">
        <f t="shared" si="36"/>
        <v>0</v>
      </c>
      <c r="Z34" s="575">
        <f t="shared" ref="Z34" si="37">Q34/12</f>
        <v>0</v>
      </c>
    </row>
    <row r="35" spans="1:26" ht="7.5" customHeight="1" thickTop="1" thickBot="1" x14ac:dyDescent="0.3">
      <c r="A35" s="101"/>
      <c r="B35" s="102"/>
      <c r="C35" s="103"/>
      <c r="D35" s="104"/>
      <c r="E35" s="27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9"/>
      <c r="Q35" s="33"/>
      <c r="R35" s="31"/>
      <c r="S35" s="28"/>
      <c r="T35" s="28"/>
      <c r="U35" s="29"/>
      <c r="V35" s="33"/>
      <c r="W35" s="33"/>
      <c r="X35" s="34"/>
      <c r="Z35" s="571"/>
    </row>
    <row r="36" spans="1:26" s="625" customFormat="1" ht="18.75" customHeight="1" thickBot="1" x14ac:dyDescent="0.3">
      <c r="A36" s="572" t="s">
        <v>50</v>
      </c>
      <c r="B36" s="573">
        <f>Z36</f>
        <v>0</v>
      </c>
      <c r="E36" s="627">
        <f>SUM(E33:E35)</f>
        <v>0</v>
      </c>
      <c r="F36" s="549">
        <f t="shared" ref="F36:X36" si="38">SUM(F33:F35)</f>
        <v>0</v>
      </c>
      <c r="G36" s="549">
        <f t="shared" si="38"/>
        <v>0</v>
      </c>
      <c r="H36" s="549">
        <f t="shared" si="38"/>
        <v>0</v>
      </c>
      <c r="I36" s="549">
        <f t="shared" si="38"/>
        <v>0</v>
      </c>
      <c r="J36" s="549">
        <f t="shared" si="38"/>
        <v>0</v>
      </c>
      <c r="K36" s="549">
        <f t="shared" si="38"/>
        <v>0</v>
      </c>
      <c r="L36" s="549">
        <f t="shared" si="38"/>
        <v>0</v>
      </c>
      <c r="M36" s="549">
        <f t="shared" si="38"/>
        <v>0</v>
      </c>
      <c r="N36" s="549">
        <f t="shared" si="38"/>
        <v>0</v>
      </c>
      <c r="O36" s="549">
        <f t="shared" si="38"/>
        <v>0</v>
      </c>
      <c r="P36" s="36">
        <f t="shared" si="38"/>
        <v>0</v>
      </c>
      <c r="Q36" s="37">
        <f t="shared" si="38"/>
        <v>0</v>
      </c>
      <c r="R36" s="548">
        <f t="shared" si="38"/>
        <v>0</v>
      </c>
      <c r="S36" s="549">
        <f t="shared" si="38"/>
        <v>0</v>
      </c>
      <c r="T36" s="549">
        <f t="shared" si="38"/>
        <v>0</v>
      </c>
      <c r="U36" s="36">
        <f t="shared" si="38"/>
        <v>0</v>
      </c>
      <c r="V36" s="37">
        <f t="shared" si="38"/>
        <v>0</v>
      </c>
      <c r="W36" s="37">
        <f t="shared" si="38"/>
        <v>0</v>
      </c>
      <c r="X36" s="38">
        <f t="shared" si="38"/>
        <v>0</v>
      </c>
      <c r="Z36" s="574">
        <f>SUM(Z33:Z34)</f>
        <v>0</v>
      </c>
    </row>
    <row r="37" spans="1:26" ht="15.75" thickBot="1" x14ac:dyDescent="0.3"/>
    <row r="38" spans="1:26" ht="15" customHeight="1" x14ac:dyDescent="0.25">
      <c r="A38" s="761" t="s">
        <v>57</v>
      </c>
      <c r="B38" s="763" t="s">
        <v>19</v>
      </c>
      <c r="C38" s="763" t="s">
        <v>44</v>
      </c>
      <c r="D38" s="765" t="s">
        <v>245</v>
      </c>
      <c r="E38" s="744" t="s">
        <v>20</v>
      </c>
      <c r="F38" s="743"/>
      <c r="G38" s="743"/>
      <c r="H38" s="743"/>
      <c r="I38" s="743"/>
      <c r="J38" s="743"/>
      <c r="K38" s="743"/>
      <c r="L38" s="743"/>
      <c r="M38" s="743"/>
      <c r="N38" s="743"/>
      <c r="O38" s="743"/>
      <c r="P38" s="743"/>
      <c r="Q38" s="740" t="s">
        <v>20</v>
      </c>
      <c r="R38" s="742" t="s">
        <v>25</v>
      </c>
      <c r="S38" s="743"/>
      <c r="T38" s="743"/>
      <c r="U38" s="743"/>
      <c r="V38" s="740" t="s">
        <v>25</v>
      </c>
      <c r="W38" s="740" t="s">
        <v>26</v>
      </c>
      <c r="X38" s="751" t="s">
        <v>27</v>
      </c>
      <c r="Z38" s="759" t="s">
        <v>49</v>
      </c>
    </row>
    <row r="39" spans="1:26" ht="15.75" thickBot="1" x14ac:dyDescent="0.3">
      <c r="A39" s="762"/>
      <c r="B39" s="764"/>
      <c r="C39" s="764"/>
      <c r="D39" s="766"/>
      <c r="E39" s="1">
        <v>1</v>
      </c>
      <c r="F39" s="2">
        <v>2</v>
      </c>
      <c r="G39" s="2">
        <v>3</v>
      </c>
      <c r="H39" s="2">
        <v>4</v>
      </c>
      <c r="I39" s="2">
        <v>5</v>
      </c>
      <c r="J39" s="2">
        <v>6</v>
      </c>
      <c r="K39" s="2">
        <v>7</v>
      </c>
      <c r="L39" s="2">
        <v>8</v>
      </c>
      <c r="M39" s="2">
        <v>9</v>
      </c>
      <c r="N39" s="2">
        <v>10</v>
      </c>
      <c r="O39" s="2">
        <v>11</v>
      </c>
      <c r="P39" s="3">
        <v>12</v>
      </c>
      <c r="Q39" s="741"/>
      <c r="R39" s="4" t="s">
        <v>21</v>
      </c>
      <c r="S39" s="2" t="s">
        <v>22</v>
      </c>
      <c r="T39" s="2" t="s">
        <v>23</v>
      </c>
      <c r="U39" s="3" t="s">
        <v>24</v>
      </c>
      <c r="V39" s="741"/>
      <c r="W39" s="741"/>
      <c r="X39" s="752"/>
      <c r="Z39" s="760"/>
    </row>
    <row r="40" spans="1:26" ht="18.75" customHeight="1" thickTop="1" x14ac:dyDescent="0.25">
      <c r="A40" s="92"/>
      <c r="B40" s="18"/>
      <c r="C40" s="19"/>
      <c r="D40" s="20"/>
      <c r="E40" s="6">
        <f>IF(AND($C40="j",$D40=E$32),$B40,IF($C40="h",$B40*IF($D40=IF(MOD(E$32,6)=0,6,MOD(E$32,6)),1,0),IF($C40="q",$B40*IF($D40=IF(MOD(E$32,3)=0,3,MOD(E$32,3)),1,0),IF($C40="z",$B40*IF($D40=IF(MOD(E$32,2)=0,2,MOD(E$32,2)),1,0),IF($C40="m",$B40,0)))))</f>
        <v>0</v>
      </c>
      <c r="F40" s="7">
        <f t="shared" ref="F40:P41" si="39">IF(AND($C40="j",$D40=F$32),$B40,IF($C40="h",$B40*IF($D40=IF(MOD(F$32,6)=0,6,MOD(F$32,6)),1,0),IF($C40="q",$B40*IF($D40=IF(MOD(F$32,3)=0,3,MOD(F$32,3)),1,0),IF($C40="z",$B40*IF($D40=IF(MOD(F$32,2)=0,2,MOD(F$32,2)),1,0),IF($C40="m",$B40,0)))))</f>
        <v>0</v>
      </c>
      <c r="G40" s="7">
        <f t="shared" si="39"/>
        <v>0</v>
      </c>
      <c r="H40" s="7">
        <f t="shared" si="39"/>
        <v>0</v>
      </c>
      <c r="I40" s="7">
        <f t="shared" si="39"/>
        <v>0</v>
      </c>
      <c r="J40" s="7">
        <f t="shared" si="39"/>
        <v>0</v>
      </c>
      <c r="K40" s="7">
        <f t="shared" si="39"/>
        <v>0</v>
      </c>
      <c r="L40" s="7">
        <f t="shared" si="39"/>
        <v>0</v>
      </c>
      <c r="M40" s="7">
        <f t="shared" si="39"/>
        <v>0</v>
      </c>
      <c r="N40" s="7">
        <f t="shared" si="39"/>
        <v>0</v>
      </c>
      <c r="O40" s="7">
        <f t="shared" si="39"/>
        <v>0</v>
      </c>
      <c r="P40" s="180">
        <f t="shared" si="39"/>
        <v>0</v>
      </c>
      <c r="Q40" s="8">
        <f>SUM(E40:P40)</f>
        <v>0</v>
      </c>
      <c r="R40" s="307">
        <f>IF(AND($C40="j",$D40&gt;=1,$D40&lt;=3),$B40,IF(AND($C40="h",$D40&gt;=1,$D40&lt;=3),$B40,IF(AND($C40="q",$D40&gt;=1,$D40&lt;=3),$B40,IF($C40="z",IF($D40=1,2*$B40,$B40),IF($C40="m",3*$B40,0)))))</f>
        <v>0</v>
      </c>
      <c r="S40" s="7">
        <f>IF(AND($C40="j",$D40&gt;=4,$D40&lt;=6),$B40,IF(AND($C40="h",$D40&gt;=4,$D40&lt;=6),$B40,IF(AND($C40="q",$D40&gt;=1,$D40&lt;=3),$B40,IF($C40="z",IF($D40=2,2*$B40,$B40),IF($C40="m",3*$B40,0)))))</f>
        <v>0</v>
      </c>
      <c r="T40" s="7">
        <f>IF(AND($C40="j",$D40&gt;=7,$D40&lt;=9),$B40,IF(AND($C40="h",$D40&gt;=1,$D40&lt;=3),$B40,IF(AND($C40="q",$D40&gt;=1,$D40&lt;=3),$B40,IF($C40="z",IF($D40=1,2*$B40,$B40),IF($C40="m",3*$B40,0)))))</f>
        <v>0</v>
      </c>
      <c r="U40" s="180">
        <f>IF(AND($C40="j",$D40&gt;=10,$D40&lt;=12),$B40,IF(AND($C40="h",$D40&gt;=4,$D40&lt;=6),$B40,IF(AND($C40="q",$D40&gt;=1,$D40&lt;=3),$B40,IF($C40="z",IF($D40=2,2*$B40,$B40),IF($C40="m",3*$B40,0)))))</f>
        <v>0</v>
      </c>
      <c r="V40" s="8">
        <f>SUM(R40:U40)</f>
        <v>0</v>
      </c>
      <c r="W40" s="8">
        <f>IF($C40="j",$B40,IF($C40="h",2*$B40,IF($C40="q",4*$B40,IF($C40="z",6*$B40,12*$B40))))</f>
        <v>0</v>
      </c>
      <c r="X40" s="9">
        <f>IF($C40="j",$B40,IF($C40="h",2*$B40,IF($C40="q",4*$B40,IF($C40="z",6*$B40,12*$B40))))</f>
        <v>0</v>
      </c>
      <c r="Z40" s="569">
        <f>Q40/12</f>
        <v>0</v>
      </c>
    </row>
    <row r="41" spans="1:26" ht="18.75" customHeight="1" thickBot="1" x14ac:dyDescent="0.3">
      <c r="A41" s="97"/>
      <c r="B41" s="98"/>
      <c r="C41" s="99"/>
      <c r="D41" s="100"/>
      <c r="E41" s="14">
        <f t="shared" ref="E41" si="40">IF(AND($C41="j",$D41=E$32),$B41,IF($C41="h",$B41*IF($D41=IF(MOD(E$32,6)=0,6,MOD(E$32,6)),1,0),IF($C41="q",$B41*IF($D41=IF(MOD(E$32,3)=0,3,MOD(E$32,3)),1,0),IF($C41="z",$B41*IF($D41=IF(MOD(E$32,2)=0,2,MOD(E$32,2)),1,0),IF($C41="m",$B41,0)))))</f>
        <v>0</v>
      </c>
      <c r="F41" s="15">
        <f t="shared" si="39"/>
        <v>0</v>
      </c>
      <c r="G41" s="15">
        <f t="shared" si="39"/>
        <v>0</v>
      </c>
      <c r="H41" s="15">
        <f t="shared" si="39"/>
        <v>0</v>
      </c>
      <c r="I41" s="15">
        <f t="shared" si="39"/>
        <v>0</v>
      </c>
      <c r="J41" s="15">
        <f t="shared" si="39"/>
        <v>0</v>
      </c>
      <c r="K41" s="15">
        <f t="shared" si="39"/>
        <v>0</v>
      </c>
      <c r="L41" s="15">
        <f t="shared" si="39"/>
        <v>0</v>
      </c>
      <c r="M41" s="15">
        <f t="shared" si="39"/>
        <v>0</v>
      </c>
      <c r="N41" s="15">
        <f t="shared" si="39"/>
        <v>0</v>
      </c>
      <c r="O41" s="15">
        <f t="shared" si="39"/>
        <v>0</v>
      </c>
      <c r="P41" s="668">
        <f t="shared" si="39"/>
        <v>0</v>
      </c>
      <c r="Q41" s="16">
        <f t="shared" ref="Q41" si="41">SUM(E41:P41)</f>
        <v>0</v>
      </c>
      <c r="R41" s="565">
        <f t="shared" ref="R41" si="42">IF(AND($C41="j",$D41&gt;=1,$D41&lt;=3),$B41,IF(AND($C41="h",$D41&gt;=1,$D41&lt;=3),$B41,IF(AND($C41="q",$D41&gt;=1,$D41&lt;=3),$B41,IF($C41="z",IF($D41=1,2*$B41,$B41),IF($C41="m",3*$B41,0)))))</f>
        <v>0</v>
      </c>
      <c r="S41" s="15">
        <f t="shared" ref="S41" si="43">IF(AND($C41="j",$D41&gt;=4,$D41&lt;=6),$B41,IF(AND($C41="h",$D41&gt;=4,$D41&lt;=6),$B41,IF(AND($C41="q",$D41&gt;=1,$D41&lt;=3),$B41,IF($C41="z",IF($D41=2,2*$B41,$B41),IF($C41="m",3*$B41,0)))))</f>
        <v>0</v>
      </c>
      <c r="T41" s="15">
        <f t="shared" ref="T41" si="44">IF(AND($C41="j",$D41&gt;=7,$D41&lt;=9),$B41,IF(AND($C41="h",$D41&gt;=1,$D41&lt;=3),$B41,IF(AND($C41="q",$D41&gt;=1,$D41&lt;=3),$B41,IF($C41="z",IF($D41=1,2*$B41,$B41),IF($C41="m",3*$B41,0)))))</f>
        <v>0</v>
      </c>
      <c r="U41" s="668">
        <f t="shared" ref="U41" si="45">IF(AND($C41="j",$D41&gt;=10,$D41&lt;=12),$B41,IF(AND($C41="h",$D41&gt;=4,$D41&lt;=6),$B41,IF(AND($C41="q",$D41&gt;=1,$D41&lt;=3),$B41,IF($C41="z",IF($D41=2,2*$B41,$B41),IF($C41="m",3*$B41,0)))))</f>
        <v>0</v>
      </c>
      <c r="V41" s="16">
        <f t="shared" ref="V41" si="46">SUM(R41:U41)</f>
        <v>0</v>
      </c>
      <c r="W41" s="16">
        <f t="shared" ref="W41:X41" si="47">IF($C41="j",$B41,IF($C41="h",2*$B41,IF($C41="q",4*$B41,IF($C41="z",6*$B41,12*$B41))))</f>
        <v>0</v>
      </c>
      <c r="X41" s="17">
        <f t="shared" si="47"/>
        <v>0</v>
      </c>
      <c r="Z41" s="575">
        <f t="shared" ref="Z41" si="48">Q41/12</f>
        <v>0</v>
      </c>
    </row>
    <row r="42" spans="1:26" ht="7.5" customHeight="1" thickTop="1" thickBot="1" x14ac:dyDescent="0.3">
      <c r="A42" s="101"/>
      <c r="B42" s="102"/>
      <c r="C42" s="103"/>
      <c r="D42" s="104"/>
      <c r="E42" s="27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9"/>
      <c r="Q42" s="33"/>
      <c r="R42" s="31"/>
      <c r="S42" s="28"/>
      <c r="T42" s="28"/>
      <c r="U42" s="29"/>
      <c r="V42" s="33"/>
      <c r="W42" s="33"/>
      <c r="X42" s="34"/>
      <c r="Z42" s="571"/>
    </row>
    <row r="43" spans="1:26" s="625" customFormat="1" ht="18.75" customHeight="1" thickBot="1" x14ac:dyDescent="0.3">
      <c r="A43" s="572" t="s">
        <v>50</v>
      </c>
      <c r="B43" s="573">
        <f>Z43</f>
        <v>0</v>
      </c>
      <c r="D43" s="626"/>
      <c r="E43" s="627">
        <f>SUM(E40:E42)</f>
        <v>0</v>
      </c>
      <c r="F43" s="549">
        <f t="shared" ref="F43:X43" si="49">SUM(F40:F41)</f>
        <v>0</v>
      </c>
      <c r="G43" s="549">
        <f t="shared" si="49"/>
        <v>0</v>
      </c>
      <c r="H43" s="549">
        <f t="shared" si="49"/>
        <v>0</v>
      </c>
      <c r="I43" s="549">
        <f t="shared" si="49"/>
        <v>0</v>
      </c>
      <c r="J43" s="549">
        <f t="shared" si="49"/>
        <v>0</v>
      </c>
      <c r="K43" s="549">
        <f t="shared" si="49"/>
        <v>0</v>
      </c>
      <c r="L43" s="549">
        <f t="shared" si="49"/>
        <v>0</v>
      </c>
      <c r="M43" s="549">
        <f t="shared" si="49"/>
        <v>0</v>
      </c>
      <c r="N43" s="549">
        <f t="shared" si="49"/>
        <v>0</v>
      </c>
      <c r="O43" s="549">
        <f t="shared" si="49"/>
        <v>0</v>
      </c>
      <c r="P43" s="36">
        <f t="shared" si="49"/>
        <v>0</v>
      </c>
      <c r="Q43" s="37">
        <f t="shared" si="49"/>
        <v>0</v>
      </c>
      <c r="R43" s="548">
        <f t="shared" si="49"/>
        <v>0</v>
      </c>
      <c r="S43" s="549">
        <f t="shared" si="49"/>
        <v>0</v>
      </c>
      <c r="T43" s="549">
        <f t="shared" si="49"/>
        <v>0</v>
      </c>
      <c r="U43" s="36">
        <f t="shared" si="49"/>
        <v>0</v>
      </c>
      <c r="V43" s="37">
        <f t="shared" si="49"/>
        <v>0</v>
      </c>
      <c r="W43" s="37">
        <f t="shared" si="49"/>
        <v>0</v>
      </c>
      <c r="X43" s="38">
        <f t="shared" si="49"/>
        <v>0</v>
      </c>
      <c r="Z43" s="574">
        <f>SUM(Z40:Z41)</f>
        <v>0</v>
      </c>
    </row>
    <row r="44" spans="1:26" ht="15.75" thickBot="1" x14ac:dyDescent="0.3"/>
    <row r="45" spans="1:26" ht="15" customHeight="1" x14ac:dyDescent="0.25">
      <c r="A45" s="761" t="s">
        <v>58</v>
      </c>
      <c r="B45" s="763" t="s">
        <v>19</v>
      </c>
      <c r="C45" s="763" t="s">
        <v>44</v>
      </c>
      <c r="D45" s="765" t="s">
        <v>245</v>
      </c>
      <c r="E45" s="744" t="s">
        <v>20</v>
      </c>
      <c r="F45" s="743"/>
      <c r="G45" s="743"/>
      <c r="H45" s="743"/>
      <c r="I45" s="743"/>
      <c r="J45" s="743"/>
      <c r="K45" s="743"/>
      <c r="L45" s="743"/>
      <c r="M45" s="743"/>
      <c r="N45" s="743"/>
      <c r="O45" s="743"/>
      <c r="P45" s="743"/>
      <c r="Q45" s="740" t="s">
        <v>20</v>
      </c>
      <c r="R45" s="742" t="s">
        <v>25</v>
      </c>
      <c r="S45" s="743"/>
      <c r="T45" s="743"/>
      <c r="U45" s="743"/>
      <c r="V45" s="740" t="s">
        <v>25</v>
      </c>
      <c r="W45" s="740" t="s">
        <v>26</v>
      </c>
      <c r="X45" s="751" t="s">
        <v>27</v>
      </c>
      <c r="Z45" s="759" t="s">
        <v>49</v>
      </c>
    </row>
    <row r="46" spans="1:26" ht="15.75" thickBot="1" x14ac:dyDescent="0.3">
      <c r="A46" s="762"/>
      <c r="B46" s="764"/>
      <c r="C46" s="764"/>
      <c r="D46" s="766"/>
      <c r="E46" s="1">
        <v>1</v>
      </c>
      <c r="F46" s="2">
        <v>2</v>
      </c>
      <c r="G46" s="2">
        <v>3</v>
      </c>
      <c r="H46" s="2">
        <v>4</v>
      </c>
      <c r="I46" s="2">
        <v>5</v>
      </c>
      <c r="J46" s="2">
        <v>6</v>
      </c>
      <c r="K46" s="2">
        <v>7</v>
      </c>
      <c r="L46" s="2">
        <v>8</v>
      </c>
      <c r="M46" s="2">
        <v>9</v>
      </c>
      <c r="N46" s="2">
        <v>10</v>
      </c>
      <c r="O46" s="2">
        <v>11</v>
      </c>
      <c r="P46" s="3">
        <v>12</v>
      </c>
      <c r="Q46" s="741"/>
      <c r="R46" s="4" t="s">
        <v>21</v>
      </c>
      <c r="S46" s="2" t="s">
        <v>22</v>
      </c>
      <c r="T46" s="2" t="s">
        <v>23</v>
      </c>
      <c r="U46" s="3" t="s">
        <v>24</v>
      </c>
      <c r="V46" s="741"/>
      <c r="W46" s="741"/>
      <c r="X46" s="752"/>
      <c r="Z46" s="760"/>
    </row>
    <row r="47" spans="1:26" ht="18.75" customHeight="1" thickTop="1" x14ac:dyDescent="0.25">
      <c r="A47" s="92" t="s">
        <v>67</v>
      </c>
      <c r="B47" s="18">
        <v>1026</v>
      </c>
      <c r="C47" s="19" t="s">
        <v>45</v>
      </c>
      <c r="D47" s="20" t="s">
        <v>48</v>
      </c>
      <c r="E47" s="6">
        <f>IF(AND($C47="j",$D47=E$32),$B47,IF($C47="h",$B47*IF($D47=IF(MOD(E$32,6)=0,6,MOD(E$32,6)),1,0),IF($C47="q",$B47*IF($D47=IF(MOD(E$32,3)=0,3,MOD(E$32,3)),1,0),IF($C47="z",$B47*IF($D47=IF(MOD(E$32,2)=0,2,MOD(E$32,2)),1,0),IF($C47="m",$B47,0)))))</f>
        <v>1026</v>
      </c>
      <c r="F47" s="7">
        <f t="shared" ref="F47:P50" si="50">IF(AND($C47="j",$D47=F$32),$B47,IF($C47="h",$B47*IF($D47=IF(MOD(F$32,6)=0,6,MOD(F$32,6)),1,0),IF($C47="q",$B47*IF($D47=IF(MOD(F$32,3)=0,3,MOD(F$32,3)),1,0),IF($C47="z",$B47*IF($D47=IF(MOD(F$32,2)=0,2,MOD(F$32,2)),1,0),IF($C47="m",$B47,0)))))</f>
        <v>1026</v>
      </c>
      <c r="G47" s="7">
        <f t="shared" si="50"/>
        <v>1026</v>
      </c>
      <c r="H47" s="7">
        <f t="shared" si="50"/>
        <v>1026</v>
      </c>
      <c r="I47" s="7">
        <f t="shared" si="50"/>
        <v>1026</v>
      </c>
      <c r="J47" s="7">
        <f t="shared" si="50"/>
        <v>1026</v>
      </c>
      <c r="K47" s="7">
        <f t="shared" si="50"/>
        <v>1026</v>
      </c>
      <c r="L47" s="7">
        <f t="shared" si="50"/>
        <v>1026</v>
      </c>
      <c r="M47" s="7">
        <f t="shared" si="50"/>
        <v>1026</v>
      </c>
      <c r="N47" s="7">
        <f t="shared" si="50"/>
        <v>1026</v>
      </c>
      <c r="O47" s="7">
        <f t="shared" si="50"/>
        <v>1026</v>
      </c>
      <c r="P47" s="180">
        <f t="shared" si="50"/>
        <v>1026</v>
      </c>
      <c r="Q47" s="8">
        <f>SUM(E47:P47)</f>
        <v>12312</v>
      </c>
      <c r="R47" s="307">
        <f>IF(AND($C47="j",$D47&gt;=1,$D47&lt;=3),$B47,IF(AND($C47="h",$D47&gt;=1,$D47&lt;=3),$B47,IF(AND($C47="q",$D47&gt;=1,$D47&lt;=3),$B47,IF($C47="z",IF($D47=1,2*$B47,$B47),IF($C47="m",3*$B47,0)))))</f>
        <v>3078</v>
      </c>
      <c r="S47" s="7">
        <f>IF(AND($C47="j",$D47&gt;=4,$D47&lt;=6),$B47,IF(AND($C47="h",$D47&gt;=4,$D47&lt;=6),$B47,IF(AND($C47="q",$D47&gt;=1,$D47&lt;=3),$B47,IF($C47="z",IF($D47=2,2*$B47,$B47),IF($C47="m",3*$B47,0)))))</f>
        <v>3078</v>
      </c>
      <c r="T47" s="7">
        <f>IF(AND($C47="j",$D47&gt;=7,$D47&lt;=9),$B47,IF(AND($C47="h",$D47&gt;=1,$D47&lt;=3),$B47,IF(AND($C47="q",$D47&gt;=1,$D47&lt;=3),$B47,IF($C47="z",IF($D47=1,2*$B47,$B47),IF($C47="m",3*$B47,0)))))</f>
        <v>3078</v>
      </c>
      <c r="U47" s="180">
        <f>IF(AND($C47="j",$D47&gt;=10,$D47&lt;=12),$B47,IF(AND($C47="h",$D47&gt;=4,$D47&lt;=6),$B47,IF(AND($C47="q",$D47&gt;=1,$D47&lt;=3),$B47,IF($C47="z",IF($D47=2,2*$B47,$B47),IF($C47="m",3*$B47,0)))))</f>
        <v>3078</v>
      </c>
      <c r="V47" s="8">
        <f>SUM(R47:U47)</f>
        <v>12312</v>
      </c>
      <c r="W47" s="8">
        <f>IF($C47="j",$B47,IF($C47="h",2*$B47,IF($C47="q",4*$B47,IF($C47="z",6*$B47,12*$B47))))</f>
        <v>12312</v>
      </c>
      <c r="X47" s="9">
        <f>IF($C47="j",$B47,IF($C47="h",2*$B47,IF($C47="q",4*$B47,IF($C47="z",6*$B47,12*$B47))))</f>
        <v>12312</v>
      </c>
      <c r="Z47" s="569">
        <f>Q47/12</f>
        <v>1026</v>
      </c>
    </row>
    <row r="48" spans="1:26" ht="18.75" customHeight="1" x14ac:dyDescent="0.25">
      <c r="A48" s="93" t="s">
        <v>68</v>
      </c>
      <c r="B48" s="94">
        <v>45</v>
      </c>
      <c r="C48" s="95" t="s">
        <v>45</v>
      </c>
      <c r="D48" s="96" t="s">
        <v>48</v>
      </c>
      <c r="E48" s="10">
        <f t="shared" ref="E48:E50" si="51">IF(AND($C48="j",$D48=E$32),$B48,IF($C48="h",$B48*IF($D48=IF(MOD(E$32,6)=0,6,MOD(E$32,6)),1,0),IF($C48="q",$B48*IF($D48=IF(MOD(E$32,3)=0,3,MOD(E$32,3)),1,0),IF($C48="z",$B48*IF($D48=IF(MOD(E$32,2)=0,2,MOD(E$32,2)),1,0),IF($C48="m",$B48,0)))))</f>
        <v>45</v>
      </c>
      <c r="F48" s="11">
        <f t="shared" si="50"/>
        <v>45</v>
      </c>
      <c r="G48" s="11">
        <f t="shared" si="50"/>
        <v>45</v>
      </c>
      <c r="H48" s="11">
        <f t="shared" si="50"/>
        <v>45</v>
      </c>
      <c r="I48" s="11">
        <f t="shared" si="50"/>
        <v>45</v>
      </c>
      <c r="J48" s="11">
        <f t="shared" si="50"/>
        <v>45</v>
      </c>
      <c r="K48" s="11">
        <f t="shared" si="50"/>
        <v>45</v>
      </c>
      <c r="L48" s="11">
        <f t="shared" si="50"/>
        <v>45</v>
      </c>
      <c r="M48" s="11">
        <f t="shared" si="50"/>
        <v>45</v>
      </c>
      <c r="N48" s="11">
        <f t="shared" si="50"/>
        <v>45</v>
      </c>
      <c r="O48" s="11">
        <f t="shared" si="50"/>
        <v>45</v>
      </c>
      <c r="P48" s="185">
        <f t="shared" si="50"/>
        <v>45</v>
      </c>
      <c r="Q48" s="12">
        <f t="shared" ref="Q48:Q50" si="52">SUM(E48:P48)</f>
        <v>540</v>
      </c>
      <c r="R48" s="308">
        <f t="shared" ref="R48:R50" si="53">IF(AND($C48="j",$D48&gt;=1,$D48&lt;=3),$B48,IF(AND($C48="h",$D48&gt;=1,$D48&lt;=3),$B48,IF(AND($C48="q",$D48&gt;=1,$D48&lt;=3),$B48,IF($C48="z",IF($D48=1,2*$B48,$B48),IF($C48="m",3*$B48,0)))))</f>
        <v>135</v>
      </c>
      <c r="S48" s="11">
        <f t="shared" ref="S48:S50" si="54">IF(AND($C48="j",$D48&gt;=4,$D48&lt;=6),$B48,IF(AND($C48="h",$D48&gt;=4,$D48&lt;=6),$B48,IF(AND($C48="q",$D48&gt;=1,$D48&lt;=3),$B48,IF($C48="z",IF($D48=2,2*$B48,$B48),IF($C48="m",3*$B48,0)))))</f>
        <v>135</v>
      </c>
      <c r="T48" s="11">
        <f t="shared" ref="T48:T50" si="55">IF(AND($C48="j",$D48&gt;=7,$D48&lt;=9),$B48,IF(AND($C48="h",$D48&gt;=1,$D48&lt;=3),$B48,IF(AND($C48="q",$D48&gt;=1,$D48&lt;=3),$B48,IF($C48="z",IF($D48=1,2*$B48,$B48),IF($C48="m",3*$B48,0)))))</f>
        <v>135</v>
      </c>
      <c r="U48" s="185">
        <f t="shared" ref="U48:U50" si="56">IF(AND($C48="j",$D48&gt;=10,$D48&lt;=12),$B48,IF(AND($C48="h",$D48&gt;=4,$D48&lt;=6),$B48,IF(AND($C48="q",$D48&gt;=1,$D48&lt;=3),$B48,IF($C48="z",IF($D48=2,2*$B48,$B48),IF($C48="m",3*$B48,0)))))</f>
        <v>135</v>
      </c>
      <c r="V48" s="12">
        <f t="shared" ref="V48:V50" si="57">SUM(R48:U48)</f>
        <v>540</v>
      </c>
      <c r="W48" s="12">
        <f t="shared" ref="W48:X50" si="58">IF($C48="j",$B48,IF($C48="h",2*$B48,IF($C48="q",4*$B48,IF($C48="z",6*$B48,12*$B48))))</f>
        <v>540</v>
      </c>
      <c r="X48" s="13">
        <f t="shared" si="58"/>
        <v>540</v>
      </c>
      <c r="Z48" s="570">
        <f t="shared" ref="Z48:Z50" si="59">Q48/12</f>
        <v>45</v>
      </c>
    </row>
    <row r="49" spans="1:26" ht="18.75" customHeight="1" x14ac:dyDescent="0.25">
      <c r="A49" s="93" t="s">
        <v>112</v>
      </c>
      <c r="B49" s="94">
        <v>200</v>
      </c>
      <c r="C49" s="95" t="s">
        <v>45</v>
      </c>
      <c r="D49" s="96" t="s">
        <v>48</v>
      </c>
      <c r="E49" s="10">
        <f t="shared" si="51"/>
        <v>200</v>
      </c>
      <c r="F49" s="11">
        <f t="shared" si="50"/>
        <v>200</v>
      </c>
      <c r="G49" s="11">
        <f t="shared" si="50"/>
        <v>200</v>
      </c>
      <c r="H49" s="11">
        <f t="shared" si="50"/>
        <v>200</v>
      </c>
      <c r="I49" s="11">
        <f t="shared" si="50"/>
        <v>200</v>
      </c>
      <c r="J49" s="11">
        <f t="shared" si="50"/>
        <v>200</v>
      </c>
      <c r="K49" s="11">
        <f t="shared" si="50"/>
        <v>200</v>
      </c>
      <c r="L49" s="11">
        <f t="shared" si="50"/>
        <v>200</v>
      </c>
      <c r="M49" s="11">
        <f t="shared" si="50"/>
        <v>200</v>
      </c>
      <c r="N49" s="11">
        <f t="shared" si="50"/>
        <v>200</v>
      </c>
      <c r="O49" s="11">
        <f t="shared" si="50"/>
        <v>200</v>
      </c>
      <c r="P49" s="185">
        <f t="shared" si="50"/>
        <v>200</v>
      </c>
      <c r="Q49" s="12">
        <f t="shared" si="52"/>
        <v>2400</v>
      </c>
      <c r="R49" s="308">
        <f t="shared" si="53"/>
        <v>600</v>
      </c>
      <c r="S49" s="11">
        <f t="shared" si="54"/>
        <v>600</v>
      </c>
      <c r="T49" s="11">
        <f t="shared" si="55"/>
        <v>600</v>
      </c>
      <c r="U49" s="185">
        <f t="shared" si="56"/>
        <v>600</v>
      </c>
      <c r="V49" s="12">
        <f t="shared" si="57"/>
        <v>2400</v>
      </c>
      <c r="W49" s="12">
        <f t="shared" si="58"/>
        <v>2400</v>
      </c>
      <c r="X49" s="13">
        <f t="shared" si="58"/>
        <v>2400</v>
      </c>
      <c r="Z49" s="570">
        <f t="shared" si="59"/>
        <v>200</v>
      </c>
    </row>
    <row r="50" spans="1:26" ht="18.75" customHeight="1" thickBot="1" x14ac:dyDescent="0.3">
      <c r="A50" s="97"/>
      <c r="B50" s="98"/>
      <c r="C50" s="99"/>
      <c r="D50" s="100"/>
      <c r="E50" s="14">
        <f t="shared" si="51"/>
        <v>0</v>
      </c>
      <c r="F50" s="15">
        <f t="shared" si="50"/>
        <v>0</v>
      </c>
      <c r="G50" s="15">
        <f t="shared" si="50"/>
        <v>0</v>
      </c>
      <c r="H50" s="15">
        <f t="shared" si="50"/>
        <v>0</v>
      </c>
      <c r="I50" s="15">
        <f t="shared" si="50"/>
        <v>0</v>
      </c>
      <c r="J50" s="15">
        <f t="shared" si="50"/>
        <v>0</v>
      </c>
      <c r="K50" s="15">
        <f t="shared" si="50"/>
        <v>0</v>
      </c>
      <c r="L50" s="15">
        <f t="shared" si="50"/>
        <v>0</v>
      </c>
      <c r="M50" s="15">
        <f t="shared" si="50"/>
        <v>0</v>
      </c>
      <c r="N50" s="15">
        <f t="shared" si="50"/>
        <v>0</v>
      </c>
      <c r="O50" s="15">
        <f t="shared" si="50"/>
        <v>0</v>
      </c>
      <c r="P50" s="668">
        <f t="shared" si="50"/>
        <v>0</v>
      </c>
      <c r="Q50" s="16">
        <f t="shared" si="52"/>
        <v>0</v>
      </c>
      <c r="R50" s="565">
        <f t="shared" si="53"/>
        <v>0</v>
      </c>
      <c r="S50" s="15">
        <f t="shared" si="54"/>
        <v>0</v>
      </c>
      <c r="T50" s="15">
        <f t="shared" si="55"/>
        <v>0</v>
      </c>
      <c r="U50" s="668">
        <f t="shared" si="56"/>
        <v>0</v>
      </c>
      <c r="V50" s="16">
        <f t="shared" si="57"/>
        <v>0</v>
      </c>
      <c r="W50" s="16">
        <f t="shared" si="58"/>
        <v>0</v>
      </c>
      <c r="X50" s="17">
        <f t="shared" si="58"/>
        <v>0</v>
      </c>
      <c r="Z50" s="575">
        <f t="shared" si="59"/>
        <v>0</v>
      </c>
    </row>
    <row r="51" spans="1:26" ht="7.5" customHeight="1" thickTop="1" thickBot="1" x14ac:dyDescent="0.3">
      <c r="A51" s="101"/>
      <c r="B51" s="102"/>
      <c r="C51" s="103"/>
      <c r="D51" s="104"/>
      <c r="E51" s="27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9"/>
      <c r="Q51" s="33"/>
      <c r="R51" s="31"/>
      <c r="S51" s="28"/>
      <c r="T51" s="28"/>
      <c r="U51" s="29"/>
      <c r="V51" s="33"/>
      <c r="W51" s="33"/>
      <c r="X51" s="34"/>
      <c r="Z51" s="571"/>
    </row>
    <row r="52" spans="1:26" s="625" customFormat="1" ht="18.75" customHeight="1" thickBot="1" x14ac:dyDescent="0.3">
      <c r="A52" s="572" t="s">
        <v>50</v>
      </c>
      <c r="B52" s="573">
        <f>Z52</f>
        <v>1271</v>
      </c>
      <c r="D52" s="626"/>
      <c r="E52" s="627">
        <f>SUM(E47:E51)</f>
        <v>1271</v>
      </c>
      <c r="F52" s="549">
        <f t="shared" ref="F52:X52" si="60">SUM(F47:F51)</f>
        <v>1271</v>
      </c>
      <c r="G52" s="549">
        <f t="shared" si="60"/>
        <v>1271</v>
      </c>
      <c r="H52" s="549">
        <f t="shared" si="60"/>
        <v>1271</v>
      </c>
      <c r="I52" s="549">
        <f t="shared" si="60"/>
        <v>1271</v>
      </c>
      <c r="J52" s="549">
        <f t="shared" si="60"/>
        <v>1271</v>
      </c>
      <c r="K52" s="549">
        <f t="shared" si="60"/>
        <v>1271</v>
      </c>
      <c r="L52" s="549">
        <f t="shared" si="60"/>
        <v>1271</v>
      </c>
      <c r="M52" s="549">
        <f t="shared" si="60"/>
        <v>1271</v>
      </c>
      <c r="N52" s="549">
        <f t="shared" si="60"/>
        <v>1271</v>
      </c>
      <c r="O52" s="549">
        <f t="shared" si="60"/>
        <v>1271</v>
      </c>
      <c r="P52" s="36">
        <f t="shared" si="60"/>
        <v>1271</v>
      </c>
      <c r="Q52" s="37">
        <f t="shared" si="60"/>
        <v>15252</v>
      </c>
      <c r="R52" s="548">
        <f t="shared" si="60"/>
        <v>3813</v>
      </c>
      <c r="S52" s="549">
        <f t="shared" si="60"/>
        <v>3813</v>
      </c>
      <c r="T52" s="549">
        <f t="shared" si="60"/>
        <v>3813</v>
      </c>
      <c r="U52" s="36">
        <f t="shared" si="60"/>
        <v>3813</v>
      </c>
      <c r="V52" s="37">
        <f t="shared" si="60"/>
        <v>15252</v>
      </c>
      <c r="W52" s="37">
        <f t="shared" si="60"/>
        <v>15252</v>
      </c>
      <c r="X52" s="38">
        <f t="shared" si="60"/>
        <v>15252</v>
      </c>
      <c r="Z52" s="574">
        <f>SUM(Z47:Z51)</f>
        <v>1271</v>
      </c>
    </row>
    <row r="53" spans="1:26" ht="15.75" thickBot="1" x14ac:dyDescent="0.3"/>
    <row r="54" spans="1:26" ht="15" customHeight="1" x14ac:dyDescent="0.25">
      <c r="A54" s="761" t="s">
        <v>69</v>
      </c>
      <c r="B54" s="763" t="s">
        <v>19</v>
      </c>
      <c r="C54" s="763" t="s">
        <v>44</v>
      </c>
      <c r="D54" s="765" t="s">
        <v>245</v>
      </c>
      <c r="E54" s="744" t="s">
        <v>20</v>
      </c>
      <c r="F54" s="743"/>
      <c r="G54" s="743"/>
      <c r="H54" s="743"/>
      <c r="I54" s="743"/>
      <c r="J54" s="743"/>
      <c r="K54" s="743"/>
      <c r="L54" s="743"/>
      <c r="M54" s="743"/>
      <c r="N54" s="743"/>
      <c r="O54" s="743"/>
      <c r="P54" s="743"/>
      <c r="Q54" s="740" t="s">
        <v>20</v>
      </c>
      <c r="R54" s="742" t="s">
        <v>25</v>
      </c>
      <c r="S54" s="743"/>
      <c r="T54" s="743"/>
      <c r="U54" s="743"/>
      <c r="V54" s="740" t="s">
        <v>25</v>
      </c>
      <c r="W54" s="740" t="s">
        <v>26</v>
      </c>
      <c r="X54" s="751" t="s">
        <v>27</v>
      </c>
      <c r="Z54" s="759" t="s">
        <v>49</v>
      </c>
    </row>
    <row r="55" spans="1:26" ht="15.75" thickBot="1" x14ac:dyDescent="0.3">
      <c r="A55" s="762"/>
      <c r="B55" s="764"/>
      <c r="C55" s="764"/>
      <c r="D55" s="766"/>
      <c r="E55" s="1">
        <v>1</v>
      </c>
      <c r="F55" s="2">
        <v>2</v>
      </c>
      <c r="G55" s="2">
        <v>3</v>
      </c>
      <c r="H55" s="2">
        <v>4</v>
      </c>
      <c r="I55" s="2">
        <v>5</v>
      </c>
      <c r="J55" s="2">
        <v>6</v>
      </c>
      <c r="K55" s="2">
        <v>7</v>
      </c>
      <c r="L55" s="2">
        <v>8</v>
      </c>
      <c r="M55" s="2">
        <v>9</v>
      </c>
      <c r="N55" s="2">
        <v>10</v>
      </c>
      <c r="O55" s="2">
        <v>11</v>
      </c>
      <c r="P55" s="3">
        <v>12</v>
      </c>
      <c r="Q55" s="741"/>
      <c r="R55" s="4" t="s">
        <v>21</v>
      </c>
      <c r="S55" s="2" t="s">
        <v>22</v>
      </c>
      <c r="T55" s="2" t="s">
        <v>23</v>
      </c>
      <c r="U55" s="3" t="s">
        <v>24</v>
      </c>
      <c r="V55" s="741"/>
      <c r="W55" s="741"/>
      <c r="X55" s="752"/>
      <c r="Z55" s="760"/>
    </row>
    <row r="56" spans="1:26" ht="18.75" customHeight="1" thickTop="1" x14ac:dyDescent="0.25">
      <c r="A56" s="92" t="s">
        <v>113</v>
      </c>
      <c r="B56" s="18">
        <v>2000</v>
      </c>
      <c r="C56" s="19" t="s">
        <v>47</v>
      </c>
      <c r="D56" s="20">
        <v>12</v>
      </c>
      <c r="E56" s="6">
        <f>IF(AND($C56="j",$D56=E$32),$B56,IF($C56="h",$B56*IF($D56=IF(MOD(E$32,6)=0,6,MOD(E$32,6)),1,0),IF($C56="q",$B56*IF($D56=IF(MOD(E$32,3)=0,3,MOD(E$32,3)),1,0),IF($C56="z",$B56*IF($D56=IF(MOD(E$32,2)=0,2,MOD(E$32,2)),1,0),IF($C56="m",$B56,0)))))</f>
        <v>0</v>
      </c>
      <c r="F56" s="7">
        <f t="shared" ref="F56:P57" si="61">IF(AND($C56="j",$D56=F$32),$B56,IF($C56="h",$B56*IF($D56=IF(MOD(F$32,6)=0,6,MOD(F$32,6)),1,0),IF($C56="q",$B56*IF($D56=IF(MOD(F$32,3)=0,3,MOD(F$32,3)),1,0),IF($C56="z",$B56*IF($D56=IF(MOD(F$32,2)=0,2,MOD(F$32,2)),1,0),IF($C56="m",$B56,0)))))</f>
        <v>0</v>
      </c>
      <c r="G56" s="7">
        <f t="shared" si="61"/>
        <v>0</v>
      </c>
      <c r="H56" s="7">
        <f t="shared" si="61"/>
        <v>0</v>
      </c>
      <c r="I56" s="7">
        <f t="shared" si="61"/>
        <v>0</v>
      </c>
      <c r="J56" s="7">
        <f t="shared" si="61"/>
        <v>0</v>
      </c>
      <c r="K56" s="7">
        <f t="shared" si="61"/>
        <v>0</v>
      </c>
      <c r="L56" s="7">
        <f t="shared" si="61"/>
        <v>0</v>
      </c>
      <c r="M56" s="7">
        <f t="shared" si="61"/>
        <v>0</v>
      </c>
      <c r="N56" s="7">
        <f t="shared" si="61"/>
        <v>0</v>
      </c>
      <c r="O56" s="7">
        <f t="shared" si="61"/>
        <v>0</v>
      </c>
      <c r="P56" s="180">
        <f t="shared" si="61"/>
        <v>2000</v>
      </c>
      <c r="Q56" s="8">
        <f>SUM(E56:P56)</f>
        <v>2000</v>
      </c>
      <c r="R56" s="307">
        <f>IF(AND($C56="j",$D56&gt;=1,$D56&lt;=3),$B56,IF(AND($C56="h",$D56&gt;=1,$D56&lt;=3),$B56,IF(AND($C56="q",$D56&gt;=1,$D56&lt;=3),$B56,IF($C56="z",IF($D56=1,2*$B56,$B56),IF($C56="m",3*$B56,0)))))</f>
        <v>0</v>
      </c>
      <c r="S56" s="7">
        <f>IF(AND($C56="j",$D56&gt;=4,$D56&lt;=6),$B56,IF(AND($C56="h",$D56&gt;=4,$D56&lt;=6),$B56,IF(AND($C56="q",$D56&gt;=1,$D56&lt;=3),$B56,IF($C56="z",IF($D56=2,2*$B56,$B56),IF($C56="m",3*$B56,0)))))</f>
        <v>0</v>
      </c>
      <c r="T56" s="7">
        <f>IF(AND($C56="j",$D56&gt;=7,$D56&lt;=9),$B56,IF(AND($C56="h",$D56&gt;=1,$D56&lt;=3),$B56,IF(AND($C56="q",$D56&gt;=1,$D56&lt;=3),$B56,IF($C56="z",IF($D56=1,2*$B56,$B56),IF($C56="m",3*$B56,0)))))</f>
        <v>0</v>
      </c>
      <c r="U56" s="180">
        <f>IF(AND($C56="j",$D56&gt;=10,$D56&lt;=12),$B56,IF(AND($C56="h",$D56&gt;=4,$D56&lt;=6),$B56,IF(AND($C56="q",$D56&gt;=1,$D56&lt;=3),$B56,IF($C56="z",IF($D56=2,2*$B56,$B56),IF($C56="m",3*$B56,0)))))</f>
        <v>2000</v>
      </c>
      <c r="V56" s="8">
        <f>SUM(R56:U56)</f>
        <v>2000</v>
      </c>
      <c r="W56" s="8">
        <f>IF($C56="j",$B56,IF($C56="h",2*$B56,IF($C56="q",4*$B56,IF($C56="z",6*$B56,12*$B56))))</f>
        <v>2000</v>
      </c>
      <c r="X56" s="9">
        <f>IF($C56="j",$B56,IF($C56="h",2*$B56,IF($C56="q",4*$B56,IF($C56="z",6*$B56,12*$B56))))</f>
        <v>2000</v>
      </c>
      <c r="Z56" s="569">
        <f>Q56/12</f>
        <v>166.66666666666666</v>
      </c>
    </row>
    <row r="57" spans="1:26" ht="18.75" customHeight="1" thickBot="1" x14ac:dyDescent="0.3">
      <c r="A57" s="97"/>
      <c r="B57" s="98"/>
      <c r="C57" s="99"/>
      <c r="D57" s="100"/>
      <c r="E57" s="14">
        <f t="shared" ref="E57" si="62">IF(AND($C57="j",$D57=E$32),$B57,IF($C57="h",$B57*IF($D57=IF(MOD(E$32,6)=0,6,MOD(E$32,6)),1,0),IF($C57="q",$B57*IF($D57=IF(MOD(E$32,3)=0,3,MOD(E$32,3)),1,0),IF($C57="z",$B57*IF($D57=IF(MOD(E$32,2)=0,2,MOD(E$32,2)),1,0),IF($C57="m",$B57,0)))))</f>
        <v>0</v>
      </c>
      <c r="F57" s="15">
        <f t="shared" si="61"/>
        <v>0</v>
      </c>
      <c r="G57" s="15">
        <f t="shared" si="61"/>
        <v>0</v>
      </c>
      <c r="H57" s="15">
        <f t="shared" si="61"/>
        <v>0</v>
      </c>
      <c r="I57" s="15">
        <f t="shared" si="61"/>
        <v>0</v>
      </c>
      <c r="J57" s="15">
        <f t="shared" si="61"/>
        <v>0</v>
      </c>
      <c r="K57" s="15">
        <f t="shared" si="61"/>
        <v>0</v>
      </c>
      <c r="L57" s="15">
        <f t="shared" si="61"/>
        <v>0</v>
      </c>
      <c r="M57" s="15">
        <f t="shared" si="61"/>
        <v>0</v>
      </c>
      <c r="N57" s="15">
        <f t="shared" si="61"/>
        <v>0</v>
      </c>
      <c r="O57" s="15">
        <f t="shared" si="61"/>
        <v>0</v>
      </c>
      <c r="P57" s="668">
        <f t="shared" si="61"/>
        <v>0</v>
      </c>
      <c r="Q57" s="16">
        <f t="shared" ref="Q57" si="63">SUM(E57:P57)</f>
        <v>0</v>
      </c>
      <c r="R57" s="565">
        <f t="shared" ref="R57" si="64">IF(AND($C57="j",$D57&gt;=1,$D57&lt;=3),$B57,IF(AND($C57="h",$D57&gt;=1,$D57&lt;=3),$B57,IF(AND($C57="q",$D57&gt;=1,$D57&lt;=3),$B57,IF($C57="z",IF($D57=1,2*$B57,$B57),IF($C57="m",3*$B57,0)))))</f>
        <v>0</v>
      </c>
      <c r="S57" s="15">
        <f t="shared" ref="S57" si="65">IF(AND($C57="j",$D57&gt;=4,$D57&lt;=6),$B57,IF(AND($C57="h",$D57&gt;=4,$D57&lt;=6),$B57,IF(AND($C57="q",$D57&gt;=1,$D57&lt;=3),$B57,IF($C57="z",IF($D57=2,2*$B57,$B57),IF($C57="m",3*$B57,0)))))</f>
        <v>0</v>
      </c>
      <c r="T57" s="15">
        <f t="shared" ref="T57" si="66">IF(AND($C57="j",$D57&gt;=7,$D57&lt;=9),$B57,IF(AND($C57="h",$D57&gt;=1,$D57&lt;=3),$B57,IF(AND($C57="q",$D57&gt;=1,$D57&lt;=3),$B57,IF($C57="z",IF($D57=1,2*$B57,$B57),IF($C57="m",3*$B57,0)))))</f>
        <v>0</v>
      </c>
      <c r="U57" s="668">
        <f t="shared" ref="U57" si="67">IF(AND($C57="j",$D57&gt;=10,$D57&lt;=12),$B57,IF(AND($C57="h",$D57&gt;=4,$D57&lt;=6),$B57,IF(AND($C57="q",$D57&gt;=1,$D57&lt;=3),$B57,IF($C57="z",IF($D57=2,2*$B57,$B57),IF($C57="m",3*$B57,0)))))</f>
        <v>0</v>
      </c>
      <c r="V57" s="16">
        <f t="shared" ref="V57" si="68">SUM(R57:U57)</f>
        <v>0</v>
      </c>
      <c r="W57" s="16">
        <f t="shared" ref="W57:X57" si="69">IF($C57="j",$B57,IF($C57="h",2*$B57,IF($C57="q",4*$B57,IF($C57="z",6*$B57,12*$B57))))</f>
        <v>0</v>
      </c>
      <c r="X57" s="17">
        <f t="shared" si="69"/>
        <v>0</v>
      </c>
      <c r="Z57" s="575">
        <f t="shared" ref="Z57" si="70">Q57/12</f>
        <v>0</v>
      </c>
    </row>
    <row r="58" spans="1:26" ht="7.5" customHeight="1" thickTop="1" thickBot="1" x14ac:dyDescent="0.3">
      <c r="A58" s="101"/>
      <c r="B58" s="102"/>
      <c r="C58" s="103"/>
      <c r="D58" s="104"/>
      <c r="E58" s="27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9"/>
      <c r="Q58" s="33"/>
      <c r="R58" s="31"/>
      <c r="S58" s="28"/>
      <c r="T58" s="28"/>
      <c r="U58" s="29"/>
      <c r="V58" s="33"/>
      <c r="W58" s="33"/>
      <c r="X58" s="34"/>
      <c r="Z58" s="571"/>
    </row>
    <row r="59" spans="1:26" s="625" customFormat="1" ht="18.75" customHeight="1" thickBot="1" x14ac:dyDescent="0.3">
      <c r="A59" s="572" t="s">
        <v>50</v>
      </c>
      <c r="B59" s="573">
        <f>Z59</f>
        <v>166.66666666666666</v>
      </c>
      <c r="D59" s="626"/>
      <c r="E59" s="627">
        <f>SUM(E56:E58)</f>
        <v>0</v>
      </c>
      <c r="F59" s="549">
        <f t="shared" ref="F59:X59" si="71">SUM(F56:F58)</f>
        <v>0</v>
      </c>
      <c r="G59" s="549">
        <f t="shared" si="71"/>
        <v>0</v>
      </c>
      <c r="H59" s="549">
        <f t="shared" si="71"/>
        <v>0</v>
      </c>
      <c r="I59" s="549">
        <f t="shared" si="71"/>
        <v>0</v>
      </c>
      <c r="J59" s="549">
        <f t="shared" si="71"/>
        <v>0</v>
      </c>
      <c r="K59" s="549">
        <f t="shared" si="71"/>
        <v>0</v>
      </c>
      <c r="L59" s="549">
        <f t="shared" si="71"/>
        <v>0</v>
      </c>
      <c r="M59" s="549">
        <f t="shared" si="71"/>
        <v>0</v>
      </c>
      <c r="N59" s="549">
        <f t="shared" si="71"/>
        <v>0</v>
      </c>
      <c r="O59" s="549">
        <f t="shared" si="71"/>
        <v>0</v>
      </c>
      <c r="P59" s="36">
        <f t="shared" si="71"/>
        <v>2000</v>
      </c>
      <c r="Q59" s="37">
        <f t="shared" si="71"/>
        <v>2000</v>
      </c>
      <c r="R59" s="548">
        <f t="shared" si="71"/>
        <v>0</v>
      </c>
      <c r="S59" s="549">
        <f t="shared" si="71"/>
        <v>0</v>
      </c>
      <c r="T59" s="549">
        <f t="shared" si="71"/>
        <v>0</v>
      </c>
      <c r="U59" s="36">
        <f t="shared" si="71"/>
        <v>2000</v>
      </c>
      <c r="V59" s="37">
        <f t="shared" si="71"/>
        <v>2000</v>
      </c>
      <c r="W59" s="37">
        <f t="shared" si="71"/>
        <v>2000</v>
      </c>
      <c r="X59" s="38">
        <f t="shared" si="71"/>
        <v>2000</v>
      </c>
      <c r="Z59" s="574">
        <f>SUM(Z56:Z57)</f>
        <v>166.66666666666666</v>
      </c>
    </row>
    <row r="60" spans="1:26" ht="15.75" thickBot="1" x14ac:dyDescent="0.3"/>
    <row r="61" spans="1:26" ht="15" customHeight="1" x14ac:dyDescent="0.25">
      <c r="A61" s="761" t="s">
        <v>70</v>
      </c>
      <c r="B61" s="763" t="s">
        <v>71</v>
      </c>
      <c r="C61" s="763" t="s">
        <v>44</v>
      </c>
      <c r="D61" s="765" t="s">
        <v>245</v>
      </c>
      <c r="E61" s="744" t="s">
        <v>20</v>
      </c>
      <c r="F61" s="743"/>
      <c r="G61" s="743"/>
      <c r="H61" s="743"/>
      <c r="I61" s="743"/>
      <c r="J61" s="743"/>
      <c r="K61" s="743"/>
      <c r="L61" s="743"/>
      <c r="M61" s="743"/>
      <c r="N61" s="743"/>
      <c r="O61" s="743"/>
      <c r="P61" s="743"/>
      <c r="Q61" s="740" t="s">
        <v>20</v>
      </c>
      <c r="R61" s="742" t="s">
        <v>25</v>
      </c>
      <c r="S61" s="743"/>
      <c r="T61" s="743"/>
      <c r="U61" s="743"/>
      <c r="V61" s="740" t="s">
        <v>25</v>
      </c>
      <c r="W61" s="740" t="s">
        <v>26</v>
      </c>
      <c r="X61" s="751" t="s">
        <v>27</v>
      </c>
      <c r="Z61" s="759" t="s">
        <v>49</v>
      </c>
    </row>
    <row r="62" spans="1:26" ht="15.75" thickBot="1" x14ac:dyDescent="0.3">
      <c r="A62" s="762"/>
      <c r="B62" s="764"/>
      <c r="C62" s="764"/>
      <c r="D62" s="766"/>
      <c r="E62" s="1">
        <v>1</v>
      </c>
      <c r="F62" s="2">
        <v>2</v>
      </c>
      <c r="G62" s="2">
        <v>3</v>
      </c>
      <c r="H62" s="2">
        <v>4</v>
      </c>
      <c r="I62" s="2">
        <v>5</v>
      </c>
      <c r="J62" s="2">
        <v>6</v>
      </c>
      <c r="K62" s="2">
        <v>7</v>
      </c>
      <c r="L62" s="2">
        <v>8</v>
      </c>
      <c r="M62" s="2">
        <v>9</v>
      </c>
      <c r="N62" s="2">
        <v>10</v>
      </c>
      <c r="O62" s="2">
        <v>11</v>
      </c>
      <c r="P62" s="3">
        <v>12</v>
      </c>
      <c r="Q62" s="741"/>
      <c r="R62" s="4" t="s">
        <v>21</v>
      </c>
      <c r="S62" s="2" t="s">
        <v>22</v>
      </c>
      <c r="T62" s="2" t="s">
        <v>23</v>
      </c>
      <c r="U62" s="3" t="s">
        <v>24</v>
      </c>
      <c r="V62" s="741"/>
      <c r="W62" s="741"/>
      <c r="X62" s="752"/>
      <c r="Z62" s="760"/>
    </row>
    <row r="63" spans="1:26" ht="18.75" customHeight="1" thickTop="1" x14ac:dyDescent="0.25">
      <c r="A63" s="92" t="s">
        <v>110</v>
      </c>
      <c r="B63" s="18">
        <v>1500</v>
      </c>
      <c r="C63" s="19" t="s">
        <v>47</v>
      </c>
      <c r="D63" s="20">
        <v>1</v>
      </c>
      <c r="E63" s="6">
        <f t="shared" ref="E63:P65" si="72">IF(AND($C63="j",$D63=E$32),$B63,IF($C63="h",$B63*IF($D63=IF(MOD(E$32,6)=0,6,MOD(E$32,6)),1,0),IF($C63="q",$B63*IF($D63=IF(MOD(E$32,3)=0,3,MOD(E$32,3)),1,0),IF($C63="z",$B63*IF($D63=IF(MOD(E$32,2)=0,2,MOD(E$32,2)),1,0),IF($C63="m",$B63,0)))))</f>
        <v>1500</v>
      </c>
      <c r="F63" s="7">
        <f t="shared" si="72"/>
        <v>0</v>
      </c>
      <c r="G63" s="7">
        <f t="shared" si="72"/>
        <v>0</v>
      </c>
      <c r="H63" s="7">
        <f t="shared" si="72"/>
        <v>0</v>
      </c>
      <c r="I63" s="7">
        <f t="shared" si="72"/>
        <v>0</v>
      </c>
      <c r="J63" s="7">
        <f t="shared" si="72"/>
        <v>0</v>
      </c>
      <c r="K63" s="7">
        <f t="shared" si="72"/>
        <v>0</v>
      </c>
      <c r="L63" s="7">
        <f t="shared" si="72"/>
        <v>0</v>
      </c>
      <c r="M63" s="7">
        <f t="shared" si="72"/>
        <v>0</v>
      </c>
      <c r="N63" s="7">
        <f t="shared" si="72"/>
        <v>0</v>
      </c>
      <c r="O63" s="7">
        <f t="shared" si="72"/>
        <v>0</v>
      </c>
      <c r="P63" s="180">
        <f t="shared" si="72"/>
        <v>0</v>
      </c>
      <c r="Q63" s="8">
        <f>SUM(E63:P63)</f>
        <v>1500</v>
      </c>
      <c r="R63" s="307">
        <f>IF(AND($C63="j",$D63&gt;=1,$D63&lt;=3),$B63,IF(AND($C63="h",$D63&gt;=1,$D63&lt;=3),$B63,IF(AND($C63="q",$D63&gt;=1,$D63&lt;=3),$B63,IF($C63="z",IF($D63=1,2*$B63,$B63),IF($C63="m",3*$B63,0)))))</f>
        <v>1500</v>
      </c>
      <c r="S63" s="7">
        <f>IF(AND($C63="j",$D63&gt;=4,$D63&lt;=6),$B63,IF(AND($C63="h",$D63&gt;=4,$D63&lt;=6),$B63,IF(AND($C63="q",$D63&gt;=1,$D63&lt;=3),$B63,IF($C63="z",IF($D63=2,2*$B63,$B63),IF($C63="m",3*$B63,0)))))</f>
        <v>0</v>
      </c>
      <c r="T63" s="7">
        <f>IF(AND($C63="j",$D63&gt;=7,$D63&lt;=9),$B63,IF(AND($C63="h",$D63&gt;=1,$D63&lt;=3),$B63,IF(AND($C63="q",$D63&gt;=1,$D63&lt;=3),$B63,IF($C63="z",IF($D63=1,2*$B63,$B63),IF($C63="m",3*$B63,0)))))</f>
        <v>0</v>
      </c>
      <c r="U63" s="180">
        <f>IF(AND($C63="j",$D63&gt;=10,$D63&lt;=12),$B63,IF(AND($C63="h",$D63&gt;=4,$D63&lt;=6),$B63,IF(AND($C63="q",$D63&gt;=1,$D63&lt;=3),$B63,IF($C63="z",IF($D63=2,2*$B63,$B63),IF($C63="m",3*$B63,0)))))</f>
        <v>0</v>
      </c>
      <c r="V63" s="8">
        <f>SUM(R63:U63)</f>
        <v>1500</v>
      </c>
      <c r="W63" s="8">
        <f>IF($C63="j",$B63,IF($C63="h",2*$B63,IF($C63="q",4*$B63,IF($C63="z",6*$B63,12*$B63))))</f>
        <v>1500</v>
      </c>
      <c r="X63" s="9">
        <f>IF($C63="j",$B63,IF($C63="h",2*$B63,IF($C63="q",4*$B63,IF($C63="z",6*$B63,12*$B63))))</f>
        <v>1500</v>
      </c>
      <c r="Z63" s="569">
        <f>Q63/12</f>
        <v>125</v>
      </c>
    </row>
    <row r="64" spans="1:26" ht="18.75" customHeight="1" x14ac:dyDescent="0.25">
      <c r="A64" s="93" t="s">
        <v>77</v>
      </c>
      <c r="B64" s="94">
        <v>500</v>
      </c>
      <c r="C64" s="95" t="s">
        <v>45</v>
      </c>
      <c r="D64" s="96" t="s">
        <v>48</v>
      </c>
      <c r="E64" s="10">
        <f t="shared" si="72"/>
        <v>500</v>
      </c>
      <c r="F64" s="11">
        <f t="shared" si="72"/>
        <v>500</v>
      </c>
      <c r="G64" s="11">
        <f t="shared" si="72"/>
        <v>500</v>
      </c>
      <c r="H64" s="11">
        <f t="shared" si="72"/>
        <v>500</v>
      </c>
      <c r="I64" s="11">
        <f t="shared" si="72"/>
        <v>500</v>
      </c>
      <c r="J64" s="11">
        <f t="shared" si="72"/>
        <v>500</v>
      </c>
      <c r="K64" s="11">
        <f t="shared" si="72"/>
        <v>500</v>
      </c>
      <c r="L64" s="11">
        <f t="shared" si="72"/>
        <v>500</v>
      </c>
      <c r="M64" s="11">
        <f t="shared" si="72"/>
        <v>500</v>
      </c>
      <c r="N64" s="11">
        <f t="shared" si="72"/>
        <v>500</v>
      </c>
      <c r="O64" s="11">
        <f t="shared" si="72"/>
        <v>500</v>
      </c>
      <c r="P64" s="185">
        <f t="shared" si="72"/>
        <v>500</v>
      </c>
      <c r="Q64" s="12">
        <f t="shared" ref="Q64:Q65" si="73">SUM(E64:P64)</f>
        <v>6000</v>
      </c>
      <c r="R64" s="308">
        <f t="shared" ref="R64:R65" si="74">IF(AND($C64="j",$D64&gt;=1,$D64&lt;=3),$B64,IF(AND($C64="h",$D64&gt;=1,$D64&lt;=3),$B64,IF(AND($C64="q",$D64&gt;=1,$D64&lt;=3),$B64,IF($C64="z",IF($D64=1,2*$B64,$B64),IF($C64="m",3*$B64,0)))))</f>
        <v>1500</v>
      </c>
      <c r="S64" s="11">
        <f t="shared" ref="S64:S65" si="75">IF(AND($C64="j",$D64&gt;=4,$D64&lt;=6),$B64,IF(AND($C64="h",$D64&gt;=4,$D64&lt;=6),$B64,IF(AND($C64="q",$D64&gt;=1,$D64&lt;=3),$B64,IF($C64="z",IF($D64=2,2*$B64,$B64),IF($C64="m",3*$B64,0)))))</f>
        <v>1500</v>
      </c>
      <c r="T64" s="11">
        <f t="shared" ref="T64:T65" si="76">IF(AND($C64="j",$D64&gt;=7,$D64&lt;=9),$B64,IF(AND($C64="h",$D64&gt;=1,$D64&lt;=3),$B64,IF(AND($C64="q",$D64&gt;=1,$D64&lt;=3),$B64,IF($C64="z",IF($D64=1,2*$B64,$B64),IF($C64="m",3*$B64,0)))))</f>
        <v>1500</v>
      </c>
      <c r="U64" s="185">
        <f t="shared" ref="U64:U65" si="77">IF(AND($C64="j",$D64&gt;=10,$D64&lt;=12),$B64,IF(AND($C64="h",$D64&gt;=4,$D64&lt;=6),$B64,IF(AND($C64="q",$D64&gt;=1,$D64&lt;=3),$B64,IF($C64="z",IF($D64=2,2*$B64,$B64),IF($C64="m",3*$B64,0)))))</f>
        <v>1500</v>
      </c>
      <c r="V64" s="12">
        <f t="shared" ref="V64:V65" si="78">SUM(R64:U64)</f>
        <v>6000</v>
      </c>
      <c r="W64" s="12">
        <f t="shared" ref="W64:X65" si="79">IF($C64="j",$B64,IF($C64="h",2*$B64,IF($C64="q",4*$B64,IF($C64="z",6*$B64,12*$B64))))</f>
        <v>6000</v>
      </c>
      <c r="X64" s="13">
        <f t="shared" si="79"/>
        <v>6000</v>
      </c>
      <c r="Z64" s="570">
        <f t="shared" ref="Z64:Z65" si="80">Q64/12</f>
        <v>500</v>
      </c>
    </row>
    <row r="65" spans="1:26" ht="18.75" customHeight="1" thickBot="1" x14ac:dyDescent="0.3">
      <c r="A65" s="97"/>
      <c r="B65" s="98"/>
      <c r="C65" s="99"/>
      <c r="D65" s="100"/>
      <c r="E65" s="14">
        <f t="shared" si="72"/>
        <v>0</v>
      </c>
      <c r="F65" s="15">
        <f t="shared" si="72"/>
        <v>0</v>
      </c>
      <c r="G65" s="15">
        <f t="shared" si="72"/>
        <v>0</v>
      </c>
      <c r="H65" s="15">
        <f t="shared" si="72"/>
        <v>0</v>
      </c>
      <c r="I65" s="15">
        <f t="shared" si="72"/>
        <v>0</v>
      </c>
      <c r="J65" s="15">
        <f t="shared" si="72"/>
        <v>0</v>
      </c>
      <c r="K65" s="15">
        <f t="shared" si="72"/>
        <v>0</v>
      </c>
      <c r="L65" s="15">
        <f t="shared" si="72"/>
        <v>0</v>
      </c>
      <c r="M65" s="15">
        <f t="shared" si="72"/>
        <v>0</v>
      </c>
      <c r="N65" s="15">
        <f t="shared" si="72"/>
        <v>0</v>
      </c>
      <c r="O65" s="15">
        <f t="shared" si="72"/>
        <v>0</v>
      </c>
      <c r="P65" s="668">
        <f t="shared" si="72"/>
        <v>0</v>
      </c>
      <c r="Q65" s="16">
        <f t="shared" si="73"/>
        <v>0</v>
      </c>
      <c r="R65" s="565">
        <f t="shared" si="74"/>
        <v>0</v>
      </c>
      <c r="S65" s="15">
        <f t="shared" si="75"/>
        <v>0</v>
      </c>
      <c r="T65" s="15">
        <f t="shared" si="76"/>
        <v>0</v>
      </c>
      <c r="U65" s="668">
        <f t="shared" si="77"/>
        <v>0</v>
      </c>
      <c r="V65" s="16">
        <f t="shared" si="78"/>
        <v>0</v>
      </c>
      <c r="W65" s="16">
        <f t="shared" si="79"/>
        <v>0</v>
      </c>
      <c r="X65" s="17">
        <f t="shared" si="79"/>
        <v>0</v>
      </c>
      <c r="Z65" s="575">
        <f t="shared" si="80"/>
        <v>0</v>
      </c>
    </row>
    <row r="66" spans="1:26" ht="7.5" customHeight="1" thickTop="1" thickBot="1" x14ac:dyDescent="0.3">
      <c r="A66" s="101"/>
      <c r="B66" s="102"/>
      <c r="C66" s="103"/>
      <c r="D66" s="104"/>
      <c r="E66" s="27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9"/>
      <c r="Q66" s="33"/>
      <c r="R66" s="31"/>
      <c r="S66" s="28"/>
      <c r="T66" s="28"/>
      <c r="U66" s="29"/>
      <c r="V66" s="33"/>
      <c r="W66" s="33"/>
      <c r="X66" s="34"/>
      <c r="Z66" s="571"/>
    </row>
    <row r="67" spans="1:26" s="625" customFormat="1" ht="18.75" customHeight="1" thickBot="1" x14ac:dyDescent="0.3">
      <c r="A67" s="572" t="s">
        <v>50</v>
      </c>
      <c r="B67" s="573">
        <f>Z67</f>
        <v>625</v>
      </c>
      <c r="D67" s="626"/>
      <c r="E67" s="627">
        <f t="shared" ref="E67:X67" si="81">SUM(E63:E66)</f>
        <v>2000</v>
      </c>
      <c r="F67" s="549">
        <f t="shared" si="81"/>
        <v>500</v>
      </c>
      <c r="G67" s="549">
        <f t="shared" si="81"/>
        <v>500</v>
      </c>
      <c r="H67" s="549">
        <f t="shared" si="81"/>
        <v>500</v>
      </c>
      <c r="I67" s="549">
        <f t="shared" si="81"/>
        <v>500</v>
      </c>
      <c r="J67" s="549">
        <f t="shared" si="81"/>
        <v>500</v>
      </c>
      <c r="K67" s="549">
        <f t="shared" si="81"/>
        <v>500</v>
      </c>
      <c r="L67" s="549">
        <f t="shared" si="81"/>
        <v>500</v>
      </c>
      <c r="M67" s="549">
        <f t="shared" si="81"/>
        <v>500</v>
      </c>
      <c r="N67" s="549">
        <f t="shared" si="81"/>
        <v>500</v>
      </c>
      <c r="O67" s="549">
        <f t="shared" si="81"/>
        <v>500</v>
      </c>
      <c r="P67" s="36">
        <f t="shared" si="81"/>
        <v>500</v>
      </c>
      <c r="Q67" s="37">
        <f t="shared" si="81"/>
        <v>7500</v>
      </c>
      <c r="R67" s="548">
        <f t="shared" si="81"/>
        <v>3000</v>
      </c>
      <c r="S67" s="549">
        <f t="shared" si="81"/>
        <v>1500</v>
      </c>
      <c r="T67" s="549">
        <f t="shared" si="81"/>
        <v>1500</v>
      </c>
      <c r="U67" s="36">
        <f t="shared" si="81"/>
        <v>1500</v>
      </c>
      <c r="V67" s="37">
        <f t="shared" si="81"/>
        <v>7500</v>
      </c>
      <c r="W67" s="37">
        <f t="shared" si="81"/>
        <v>7500</v>
      </c>
      <c r="X67" s="38">
        <f t="shared" si="81"/>
        <v>7500</v>
      </c>
      <c r="Z67" s="574">
        <f>SUM(Z63:Z65)</f>
        <v>625</v>
      </c>
    </row>
    <row r="68" spans="1:26" ht="15.75" thickBot="1" x14ac:dyDescent="0.3"/>
    <row r="69" spans="1:26" ht="15" customHeight="1" x14ac:dyDescent="0.25">
      <c r="A69" s="761" t="s">
        <v>72</v>
      </c>
      <c r="B69" s="763" t="s">
        <v>19</v>
      </c>
      <c r="C69" s="763" t="s">
        <v>44</v>
      </c>
      <c r="D69" s="765" t="s">
        <v>245</v>
      </c>
      <c r="E69" s="744" t="s">
        <v>20</v>
      </c>
      <c r="F69" s="743"/>
      <c r="G69" s="743"/>
      <c r="H69" s="743"/>
      <c r="I69" s="743"/>
      <c r="J69" s="743"/>
      <c r="K69" s="743"/>
      <c r="L69" s="743"/>
      <c r="M69" s="743"/>
      <c r="N69" s="743"/>
      <c r="O69" s="743"/>
      <c r="P69" s="743"/>
      <c r="Q69" s="740" t="s">
        <v>20</v>
      </c>
      <c r="R69" s="742" t="s">
        <v>25</v>
      </c>
      <c r="S69" s="743"/>
      <c r="T69" s="743"/>
      <c r="U69" s="743"/>
      <c r="V69" s="740" t="s">
        <v>25</v>
      </c>
      <c r="W69" s="740" t="s">
        <v>26</v>
      </c>
      <c r="X69" s="751" t="s">
        <v>27</v>
      </c>
      <c r="Z69" s="759" t="s">
        <v>49</v>
      </c>
    </row>
    <row r="70" spans="1:26" ht="15.75" thickBot="1" x14ac:dyDescent="0.3">
      <c r="A70" s="762"/>
      <c r="B70" s="764"/>
      <c r="C70" s="764"/>
      <c r="D70" s="766"/>
      <c r="E70" s="1">
        <v>1</v>
      </c>
      <c r="F70" s="2">
        <v>2</v>
      </c>
      <c r="G70" s="2">
        <v>3</v>
      </c>
      <c r="H70" s="2">
        <v>4</v>
      </c>
      <c r="I70" s="2">
        <v>5</v>
      </c>
      <c r="J70" s="2">
        <v>6</v>
      </c>
      <c r="K70" s="2">
        <v>7</v>
      </c>
      <c r="L70" s="2">
        <v>8</v>
      </c>
      <c r="M70" s="2">
        <v>9</v>
      </c>
      <c r="N70" s="2">
        <v>10</v>
      </c>
      <c r="O70" s="2">
        <v>11</v>
      </c>
      <c r="P70" s="3">
        <v>12</v>
      </c>
      <c r="Q70" s="741"/>
      <c r="R70" s="4" t="s">
        <v>21</v>
      </c>
      <c r="S70" s="2" t="s">
        <v>22</v>
      </c>
      <c r="T70" s="2" t="s">
        <v>23</v>
      </c>
      <c r="U70" s="3" t="s">
        <v>24</v>
      </c>
      <c r="V70" s="741"/>
      <c r="W70" s="741"/>
      <c r="X70" s="752"/>
      <c r="Z70" s="760"/>
    </row>
    <row r="71" spans="1:26" ht="18.75" customHeight="1" thickTop="1" x14ac:dyDescent="0.25">
      <c r="A71" s="92" t="s">
        <v>130</v>
      </c>
      <c r="B71" s="18">
        <v>2000</v>
      </c>
      <c r="C71" s="19" t="s">
        <v>45</v>
      </c>
      <c r="D71" s="20" t="s">
        <v>48</v>
      </c>
      <c r="E71" s="6">
        <f t="shared" ref="E71:P73" si="82">IF(AND($C71="j",$D71=E$32),$B71,IF($C71="h",$B71*IF($D71=IF(MOD(E$32,6)=0,6,MOD(E$32,6)),1,0),IF($C71="q",$B71*IF($D71=IF(MOD(E$32,3)=0,3,MOD(E$32,3)),1,0),IF($C71="z",$B71*IF($D71=IF(MOD(E$32,2)=0,2,MOD(E$32,2)),1,0),IF($C71="m",$B71,0)))))</f>
        <v>2000</v>
      </c>
      <c r="F71" s="7">
        <f t="shared" si="82"/>
        <v>2000</v>
      </c>
      <c r="G71" s="7">
        <f t="shared" si="82"/>
        <v>2000</v>
      </c>
      <c r="H71" s="7">
        <f t="shared" si="82"/>
        <v>2000</v>
      </c>
      <c r="I71" s="7">
        <f t="shared" si="82"/>
        <v>2000</v>
      </c>
      <c r="J71" s="7">
        <f t="shared" si="82"/>
        <v>2000</v>
      </c>
      <c r="K71" s="7">
        <f t="shared" si="82"/>
        <v>2000</v>
      </c>
      <c r="L71" s="7">
        <f t="shared" si="82"/>
        <v>2000</v>
      </c>
      <c r="M71" s="7">
        <f t="shared" si="82"/>
        <v>2000</v>
      </c>
      <c r="N71" s="7">
        <f t="shared" si="82"/>
        <v>2000</v>
      </c>
      <c r="O71" s="7">
        <f t="shared" si="82"/>
        <v>2000</v>
      </c>
      <c r="P71" s="180">
        <f t="shared" si="82"/>
        <v>2000</v>
      </c>
      <c r="Q71" s="8">
        <f>SUM(E71:P71)</f>
        <v>24000</v>
      </c>
      <c r="R71" s="307">
        <f>IF(AND($C71="j",$D71&gt;=1,$D71&lt;=3),$B71,IF(AND($C71="h",$D71&gt;=1,$D71&lt;=3),$B71,IF(AND($C71="q",$D71&gt;=1,$D71&lt;=3),$B71,IF($C71="z",IF($D71=1,2*$B71,$B71),IF($C71="m",3*$B71,0)))))</f>
        <v>6000</v>
      </c>
      <c r="S71" s="7">
        <f>IF(AND($C71="j",$D71&gt;=4,$D71&lt;=6),$B71,IF(AND($C71="h",$D71&gt;=4,$D71&lt;=6),$B71,IF(AND($C71="q",$D71&gt;=1,$D71&lt;=3),$B71,IF($C71="z",IF($D71=2,2*$B71,$B71),IF($C71="m",3*$B71,0)))))</f>
        <v>6000</v>
      </c>
      <c r="T71" s="7">
        <f>IF(AND($C71="j",$D71&gt;=7,$D71&lt;=9),$B71,IF(AND($C71="h",$D71&gt;=1,$D71&lt;=3),$B71,IF(AND($C71="q",$D71&gt;=1,$D71&lt;=3),$B71,IF($C71="z",IF($D71=1,2*$B71,$B71),IF($C71="m",3*$B71,0)))))</f>
        <v>6000</v>
      </c>
      <c r="U71" s="180">
        <f>IF(AND($C71="j",$D71&gt;=10,$D71&lt;=12),$B71,IF(AND($C71="h",$D71&gt;=4,$D71&lt;=6),$B71,IF(AND($C71="q",$D71&gt;=1,$D71&lt;=3),$B71,IF($C71="z",IF($D71=2,2*$B71,$B71),IF($C71="m",3*$B71,0)))))</f>
        <v>6000</v>
      </c>
      <c r="V71" s="8">
        <f>SUM(R71:U71)</f>
        <v>24000</v>
      </c>
      <c r="W71" s="8">
        <f>IF($C71="j",$B71,IF($C71="h",2*$B71,IF($C71="q",4*$B71,IF($C71="z",6*$B71,12*$B71))))</f>
        <v>24000</v>
      </c>
      <c r="X71" s="9">
        <f>IF($C71="j",$B71,IF($C71="h",2*$B71,IF($C71="q",4*$B71,IF($C71="z",6*$B71,12*$B71))))</f>
        <v>24000</v>
      </c>
      <c r="Z71" s="569">
        <f>Q71/12</f>
        <v>2000</v>
      </c>
    </row>
    <row r="72" spans="1:26" ht="18.75" customHeight="1" x14ac:dyDescent="0.25">
      <c r="A72" s="93" t="s">
        <v>113</v>
      </c>
      <c r="B72" s="94">
        <v>200</v>
      </c>
      <c r="C72" s="95" t="s">
        <v>45</v>
      </c>
      <c r="D72" s="96" t="s">
        <v>48</v>
      </c>
      <c r="E72" s="10">
        <f t="shared" si="82"/>
        <v>200</v>
      </c>
      <c r="F72" s="11">
        <f t="shared" si="82"/>
        <v>200</v>
      </c>
      <c r="G72" s="11">
        <f t="shared" si="82"/>
        <v>200</v>
      </c>
      <c r="H72" s="11">
        <f t="shared" si="82"/>
        <v>200</v>
      </c>
      <c r="I72" s="11">
        <f t="shared" si="82"/>
        <v>200</v>
      </c>
      <c r="J72" s="11">
        <f t="shared" si="82"/>
        <v>200</v>
      </c>
      <c r="K72" s="11">
        <f t="shared" si="82"/>
        <v>200</v>
      </c>
      <c r="L72" s="11">
        <f t="shared" si="82"/>
        <v>200</v>
      </c>
      <c r="M72" s="11">
        <f t="shared" si="82"/>
        <v>200</v>
      </c>
      <c r="N72" s="11">
        <f t="shared" si="82"/>
        <v>200</v>
      </c>
      <c r="O72" s="11">
        <f t="shared" si="82"/>
        <v>200</v>
      </c>
      <c r="P72" s="185">
        <f t="shared" si="82"/>
        <v>200</v>
      </c>
      <c r="Q72" s="12">
        <f t="shared" ref="Q72:Q73" si="83">SUM(E72:P72)</f>
        <v>2400</v>
      </c>
      <c r="R72" s="308">
        <f t="shared" ref="R72:R73" si="84">IF(AND($C72="j",$D72&gt;=1,$D72&lt;=3),$B72,IF(AND($C72="h",$D72&gt;=1,$D72&lt;=3),$B72,IF(AND($C72="q",$D72&gt;=1,$D72&lt;=3),$B72,IF($C72="z",IF($D72=1,2*$B72,$B72),IF($C72="m",3*$B72,0)))))</f>
        <v>600</v>
      </c>
      <c r="S72" s="11">
        <f t="shared" ref="S72:S73" si="85">IF(AND($C72="j",$D72&gt;=4,$D72&lt;=6),$B72,IF(AND($C72="h",$D72&gt;=4,$D72&lt;=6),$B72,IF(AND($C72="q",$D72&gt;=1,$D72&lt;=3),$B72,IF($C72="z",IF($D72=2,2*$B72,$B72),IF($C72="m",3*$B72,0)))))</f>
        <v>600</v>
      </c>
      <c r="T72" s="11">
        <f t="shared" ref="T72:T73" si="86">IF(AND($C72="j",$D72&gt;=7,$D72&lt;=9),$B72,IF(AND($C72="h",$D72&gt;=1,$D72&lt;=3),$B72,IF(AND($C72="q",$D72&gt;=1,$D72&lt;=3),$B72,IF($C72="z",IF($D72=1,2*$B72,$B72),IF($C72="m",3*$B72,0)))))</f>
        <v>600</v>
      </c>
      <c r="U72" s="185">
        <f t="shared" ref="U72:U73" si="87">IF(AND($C72="j",$D72&gt;=10,$D72&lt;=12),$B72,IF(AND($C72="h",$D72&gt;=4,$D72&lt;=6),$B72,IF(AND($C72="q",$D72&gt;=1,$D72&lt;=3),$B72,IF($C72="z",IF($D72=2,2*$B72,$B72),IF($C72="m",3*$B72,0)))))</f>
        <v>600</v>
      </c>
      <c r="V72" s="12">
        <f t="shared" ref="V72:V73" si="88">SUM(R72:U72)</f>
        <v>2400</v>
      </c>
      <c r="W72" s="12">
        <f t="shared" ref="W72:X73" si="89">IF($C72="j",$B72,IF($C72="h",2*$B72,IF($C72="q",4*$B72,IF($C72="z",6*$B72,12*$B72))))</f>
        <v>2400</v>
      </c>
      <c r="X72" s="13">
        <f t="shared" si="89"/>
        <v>2400</v>
      </c>
      <c r="Z72" s="570">
        <f t="shared" ref="Z72:Z73" si="90">Q72/12</f>
        <v>200</v>
      </c>
    </row>
    <row r="73" spans="1:26" ht="18.75" customHeight="1" thickBot="1" x14ac:dyDescent="0.3">
      <c r="A73" s="97"/>
      <c r="B73" s="98"/>
      <c r="C73" s="99"/>
      <c r="D73" s="100"/>
      <c r="E73" s="14">
        <f t="shared" si="82"/>
        <v>0</v>
      </c>
      <c r="F73" s="15">
        <f t="shared" si="82"/>
        <v>0</v>
      </c>
      <c r="G73" s="15">
        <f t="shared" si="82"/>
        <v>0</v>
      </c>
      <c r="H73" s="15">
        <f t="shared" si="82"/>
        <v>0</v>
      </c>
      <c r="I73" s="15">
        <f t="shared" si="82"/>
        <v>0</v>
      </c>
      <c r="J73" s="15">
        <f t="shared" si="82"/>
        <v>0</v>
      </c>
      <c r="K73" s="15">
        <f t="shared" si="82"/>
        <v>0</v>
      </c>
      <c r="L73" s="15">
        <f t="shared" si="82"/>
        <v>0</v>
      </c>
      <c r="M73" s="15">
        <f t="shared" si="82"/>
        <v>0</v>
      </c>
      <c r="N73" s="15">
        <f t="shared" si="82"/>
        <v>0</v>
      </c>
      <c r="O73" s="15">
        <f t="shared" si="82"/>
        <v>0</v>
      </c>
      <c r="P73" s="668">
        <f t="shared" si="82"/>
        <v>0</v>
      </c>
      <c r="Q73" s="16">
        <f t="shared" si="83"/>
        <v>0</v>
      </c>
      <c r="R73" s="565">
        <f t="shared" si="84"/>
        <v>0</v>
      </c>
      <c r="S73" s="15">
        <f t="shared" si="85"/>
        <v>0</v>
      </c>
      <c r="T73" s="15">
        <f t="shared" si="86"/>
        <v>0</v>
      </c>
      <c r="U73" s="668">
        <f t="shared" si="87"/>
        <v>0</v>
      </c>
      <c r="V73" s="16">
        <f t="shared" si="88"/>
        <v>0</v>
      </c>
      <c r="W73" s="16">
        <f t="shared" si="89"/>
        <v>0</v>
      </c>
      <c r="X73" s="17">
        <f t="shared" si="89"/>
        <v>0</v>
      </c>
      <c r="Z73" s="575">
        <f t="shared" si="90"/>
        <v>0</v>
      </c>
    </row>
    <row r="74" spans="1:26" ht="7.5" customHeight="1" thickTop="1" thickBot="1" x14ac:dyDescent="0.3">
      <c r="A74" s="101"/>
      <c r="B74" s="102"/>
      <c r="C74" s="103"/>
      <c r="D74" s="104"/>
      <c r="E74" s="27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9"/>
      <c r="Q74" s="33"/>
      <c r="R74" s="31"/>
      <c r="S74" s="28"/>
      <c r="T74" s="28"/>
      <c r="U74" s="29"/>
      <c r="V74" s="33"/>
      <c r="W74" s="33"/>
      <c r="X74" s="34"/>
      <c r="Z74" s="571"/>
    </row>
    <row r="75" spans="1:26" s="625" customFormat="1" ht="18.75" customHeight="1" thickBot="1" x14ac:dyDescent="0.3">
      <c r="A75" s="572" t="s">
        <v>50</v>
      </c>
      <c r="B75" s="573">
        <f>Z75</f>
        <v>2200</v>
      </c>
      <c r="D75" s="626"/>
      <c r="E75" s="627">
        <f t="shared" ref="E75:X75" si="91">SUM(E71:E74)</f>
        <v>2200</v>
      </c>
      <c r="F75" s="549">
        <f t="shared" si="91"/>
        <v>2200</v>
      </c>
      <c r="G75" s="549">
        <f t="shared" si="91"/>
        <v>2200</v>
      </c>
      <c r="H75" s="549">
        <f t="shared" si="91"/>
        <v>2200</v>
      </c>
      <c r="I75" s="549">
        <f t="shared" si="91"/>
        <v>2200</v>
      </c>
      <c r="J75" s="549">
        <f t="shared" si="91"/>
        <v>2200</v>
      </c>
      <c r="K75" s="549">
        <f t="shared" si="91"/>
        <v>2200</v>
      </c>
      <c r="L75" s="549">
        <f t="shared" si="91"/>
        <v>2200</v>
      </c>
      <c r="M75" s="549">
        <f t="shared" si="91"/>
        <v>2200</v>
      </c>
      <c r="N75" s="549">
        <f t="shared" si="91"/>
        <v>2200</v>
      </c>
      <c r="O75" s="549">
        <f t="shared" si="91"/>
        <v>2200</v>
      </c>
      <c r="P75" s="36">
        <f t="shared" si="91"/>
        <v>2200</v>
      </c>
      <c r="Q75" s="37">
        <f t="shared" si="91"/>
        <v>26400</v>
      </c>
      <c r="R75" s="548">
        <f t="shared" si="91"/>
        <v>6600</v>
      </c>
      <c r="S75" s="549">
        <f t="shared" si="91"/>
        <v>6600</v>
      </c>
      <c r="T75" s="549">
        <f t="shared" si="91"/>
        <v>6600</v>
      </c>
      <c r="U75" s="36">
        <f t="shared" si="91"/>
        <v>6600</v>
      </c>
      <c r="V75" s="37">
        <f t="shared" si="91"/>
        <v>26400</v>
      </c>
      <c r="W75" s="37">
        <f t="shared" si="91"/>
        <v>26400</v>
      </c>
      <c r="X75" s="38">
        <f t="shared" si="91"/>
        <v>26400</v>
      </c>
      <c r="Z75" s="574">
        <f>SUM(Z71:Z73)</f>
        <v>2200</v>
      </c>
    </row>
    <row r="76" spans="1:26" ht="15.75" thickBot="1" x14ac:dyDescent="0.3"/>
    <row r="77" spans="1:26" ht="15" customHeight="1" x14ac:dyDescent="0.25">
      <c r="A77" s="761" t="s">
        <v>73</v>
      </c>
      <c r="B77" s="763" t="s">
        <v>19</v>
      </c>
      <c r="C77" s="763" t="s">
        <v>44</v>
      </c>
      <c r="D77" s="765" t="s">
        <v>245</v>
      </c>
      <c r="E77" s="744" t="s">
        <v>20</v>
      </c>
      <c r="F77" s="743"/>
      <c r="G77" s="743"/>
      <c r="H77" s="743"/>
      <c r="I77" s="743"/>
      <c r="J77" s="743"/>
      <c r="K77" s="743"/>
      <c r="L77" s="743"/>
      <c r="M77" s="743"/>
      <c r="N77" s="743"/>
      <c r="O77" s="743"/>
      <c r="P77" s="743"/>
      <c r="Q77" s="740" t="s">
        <v>20</v>
      </c>
      <c r="R77" s="742" t="s">
        <v>25</v>
      </c>
      <c r="S77" s="743"/>
      <c r="T77" s="743"/>
      <c r="U77" s="743"/>
      <c r="V77" s="740" t="s">
        <v>25</v>
      </c>
      <c r="W77" s="740" t="s">
        <v>26</v>
      </c>
      <c r="X77" s="751" t="s">
        <v>27</v>
      </c>
      <c r="Z77" s="759" t="s">
        <v>49</v>
      </c>
    </row>
    <row r="78" spans="1:26" ht="15.75" thickBot="1" x14ac:dyDescent="0.3">
      <c r="A78" s="762"/>
      <c r="B78" s="764"/>
      <c r="C78" s="764"/>
      <c r="D78" s="766"/>
      <c r="E78" s="1">
        <v>1</v>
      </c>
      <c r="F78" s="2">
        <v>2</v>
      </c>
      <c r="G78" s="2">
        <v>3</v>
      </c>
      <c r="H78" s="2">
        <v>4</v>
      </c>
      <c r="I78" s="2">
        <v>5</v>
      </c>
      <c r="J78" s="2">
        <v>6</v>
      </c>
      <c r="K78" s="2">
        <v>7</v>
      </c>
      <c r="L78" s="2">
        <v>8</v>
      </c>
      <c r="M78" s="2">
        <v>9</v>
      </c>
      <c r="N78" s="2">
        <v>10</v>
      </c>
      <c r="O78" s="2">
        <v>11</v>
      </c>
      <c r="P78" s="3">
        <v>12</v>
      </c>
      <c r="Q78" s="741"/>
      <c r="R78" s="4" t="s">
        <v>21</v>
      </c>
      <c r="S78" s="2" t="s">
        <v>22</v>
      </c>
      <c r="T78" s="2" t="s">
        <v>23</v>
      </c>
      <c r="U78" s="3" t="s">
        <v>24</v>
      </c>
      <c r="V78" s="741"/>
      <c r="W78" s="741"/>
      <c r="X78" s="752"/>
      <c r="Z78" s="760"/>
    </row>
    <row r="79" spans="1:26" ht="18.75" customHeight="1" thickTop="1" x14ac:dyDescent="0.25">
      <c r="A79" s="92" t="s">
        <v>74</v>
      </c>
      <c r="B79" s="18">
        <v>88</v>
      </c>
      <c r="C79" s="19" t="s">
        <v>45</v>
      </c>
      <c r="D79" s="20" t="s">
        <v>48</v>
      </c>
      <c r="E79" s="6">
        <f t="shared" ref="E79:P81" si="92">IF(AND($C79="j",$D79=E$32),$B79,IF($C79="h",$B79*IF($D79=IF(MOD(E$32,6)=0,6,MOD(E$32,6)),1,0),IF($C79="q",$B79*IF($D79=IF(MOD(E$32,3)=0,3,MOD(E$32,3)),1,0),IF($C79="z",$B79*IF($D79=IF(MOD(E$32,2)=0,2,MOD(E$32,2)),1,0),IF($C79="m",$B79,0)))))</f>
        <v>88</v>
      </c>
      <c r="F79" s="7">
        <f t="shared" si="92"/>
        <v>88</v>
      </c>
      <c r="G79" s="7">
        <f t="shared" si="92"/>
        <v>88</v>
      </c>
      <c r="H79" s="7">
        <f t="shared" si="92"/>
        <v>88</v>
      </c>
      <c r="I79" s="7">
        <f t="shared" si="92"/>
        <v>88</v>
      </c>
      <c r="J79" s="7">
        <f t="shared" si="92"/>
        <v>88</v>
      </c>
      <c r="K79" s="7">
        <f t="shared" si="92"/>
        <v>88</v>
      </c>
      <c r="L79" s="7">
        <f t="shared" si="92"/>
        <v>88</v>
      </c>
      <c r="M79" s="7">
        <f t="shared" si="92"/>
        <v>88</v>
      </c>
      <c r="N79" s="7">
        <f t="shared" si="92"/>
        <v>88</v>
      </c>
      <c r="O79" s="7">
        <f t="shared" si="92"/>
        <v>88</v>
      </c>
      <c r="P79" s="180">
        <f t="shared" si="92"/>
        <v>88</v>
      </c>
      <c r="Q79" s="8">
        <f>SUM(E79:P79)</f>
        <v>1056</v>
      </c>
      <c r="R79" s="307">
        <f>IF(AND($C79="j",$D79&gt;=1,$D79&lt;=3),$B79,IF(AND($C79="h",$D79&gt;=1,$D79&lt;=3),$B79,IF(AND($C79="q",$D79&gt;=1,$D79&lt;=3),$B79,IF($C79="z",IF($D79=1,2*$B79,$B79),IF($C79="m",3*$B79,0)))))</f>
        <v>264</v>
      </c>
      <c r="S79" s="7">
        <f>IF(AND($C79="j",$D79&gt;=4,$D79&lt;=6),$B79,IF(AND($C79="h",$D79&gt;=4,$D79&lt;=6),$B79,IF(AND($C79="q",$D79&gt;=1,$D79&lt;=3),$B79,IF($C79="z",IF($D79=2,2*$B79,$B79),IF($C79="m",3*$B79,0)))))</f>
        <v>264</v>
      </c>
      <c r="T79" s="7">
        <f>IF(AND($C79="j",$D79&gt;=7,$D79&lt;=9),$B79,IF(AND($C79="h",$D79&gt;=1,$D79&lt;=3),$B79,IF(AND($C79="q",$D79&gt;=1,$D79&lt;=3),$B79,IF($C79="z",IF($D79=1,2*$B79,$B79),IF($C79="m",3*$B79,0)))))</f>
        <v>264</v>
      </c>
      <c r="U79" s="180">
        <f>IF(AND($C79="j",$D79&gt;=10,$D79&lt;=12),$B79,IF(AND($C79="h",$D79&gt;=4,$D79&lt;=6),$B79,IF(AND($C79="q",$D79&gt;=1,$D79&lt;=3),$B79,IF($C79="z",IF($D79=2,2*$B79,$B79),IF($C79="m",3*$B79,0)))))</f>
        <v>264</v>
      </c>
      <c r="V79" s="8">
        <f>SUM(R79:U79)</f>
        <v>1056</v>
      </c>
      <c r="W79" s="8">
        <f>IF($C79="j",$B79,IF($C79="h",2*$B79,IF($C79="q",4*$B79,IF($C79="z",6*$B79,12*$B79))))</f>
        <v>1056</v>
      </c>
      <c r="X79" s="9">
        <f>IF($C79="j",$B79,IF($C79="h",2*$B79,IF($C79="q",4*$B79,IF($C79="z",6*$B79,12*$B79))))</f>
        <v>1056</v>
      </c>
      <c r="Z79" s="569">
        <f>Q79/12</f>
        <v>88</v>
      </c>
    </row>
    <row r="80" spans="1:26" ht="18.75" customHeight="1" x14ac:dyDescent="0.25">
      <c r="A80" s="93" t="s">
        <v>75</v>
      </c>
      <c r="B80" s="94">
        <v>300</v>
      </c>
      <c r="C80" s="95" t="s">
        <v>45</v>
      </c>
      <c r="D80" s="96" t="s">
        <v>48</v>
      </c>
      <c r="E80" s="10">
        <f t="shared" si="92"/>
        <v>300</v>
      </c>
      <c r="F80" s="11">
        <f t="shared" si="92"/>
        <v>300</v>
      </c>
      <c r="G80" s="11">
        <f t="shared" si="92"/>
        <v>300</v>
      </c>
      <c r="H80" s="11">
        <f t="shared" si="92"/>
        <v>300</v>
      </c>
      <c r="I80" s="11">
        <f t="shared" si="92"/>
        <v>300</v>
      </c>
      <c r="J80" s="11">
        <f t="shared" si="92"/>
        <v>300</v>
      </c>
      <c r="K80" s="11">
        <f t="shared" si="92"/>
        <v>300</v>
      </c>
      <c r="L80" s="11">
        <f t="shared" si="92"/>
        <v>300</v>
      </c>
      <c r="M80" s="11">
        <f t="shared" si="92"/>
        <v>300</v>
      </c>
      <c r="N80" s="11">
        <f t="shared" si="92"/>
        <v>300</v>
      </c>
      <c r="O80" s="11">
        <f t="shared" si="92"/>
        <v>300</v>
      </c>
      <c r="P80" s="185">
        <f t="shared" si="92"/>
        <v>300</v>
      </c>
      <c r="Q80" s="12">
        <f t="shared" ref="Q80:Q81" si="93">SUM(E80:P80)</f>
        <v>3600</v>
      </c>
      <c r="R80" s="308">
        <f t="shared" ref="R80:R81" si="94">IF(AND($C80="j",$D80&gt;=1,$D80&lt;=3),$B80,IF(AND($C80="h",$D80&gt;=1,$D80&lt;=3),$B80,IF(AND($C80="q",$D80&gt;=1,$D80&lt;=3),$B80,IF($C80="z",IF($D80=1,2*$B80,$B80),IF($C80="m",3*$B80,0)))))</f>
        <v>900</v>
      </c>
      <c r="S80" s="11">
        <f t="shared" ref="S80:S81" si="95">IF(AND($C80="j",$D80&gt;=4,$D80&lt;=6),$B80,IF(AND($C80="h",$D80&gt;=4,$D80&lt;=6),$B80,IF(AND($C80="q",$D80&gt;=1,$D80&lt;=3),$B80,IF($C80="z",IF($D80=2,2*$B80,$B80),IF($C80="m",3*$B80,0)))))</f>
        <v>900</v>
      </c>
      <c r="T80" s="11">
        <f t="shared" ref="T80:T81" si="96">IF(AND($C80="j",$D80&gt;=7,$D80&lt;=9),$B80,IF(AND($C80="h",$D80&gt;=1,$D80&lt;=3),$B80,IF(AND($C80="q",$D80&gt;=1,$D80&lt;=3),$B80,IF($C80="z",IF($D80=1,2*$B80,$B80),IF($C80="m",3*$B80,0)))))</f>
        <v>900</v>
      </c>
      <c r="U80" s="185">
        <f t="shared" ref="U80:U81" si="97">IF(AND($C80="j",$D80&gt;=10,$D80&lt;=12),$B80,IF(AND($C80="h",$D80&gt;=4,$D80&lt;=6),$B80,IF(AND($C80="q",$D80&gt;=1,$D80&lt;=3),$B80,IF($C80="z",IF($D80=2,2*$B80,$B80),IF($C80="m",3*$B80,0)))))</f>
        <v>900</v>
      </c>
      <c r="V80" s="12">
        <f t="shared" ref="V80:V81" si="98">SUM(R80:U80)</f>
        <v>3600</v>
      </c>
      <c r="W80" s="12">
        <f t="shared" ref="W80:X81" si="99">IF($C80="j",$B80,IF($C80="h",2*$B80,IF($C80="q",4*$B80,IF($C80="z",6*$B80,12*$B80))))</f>
        <v>3600</v>
      </c>
      <c r="X80" s="13">
        <f t="shared" si="99"/>
        <v>3600</v>
      </c>
      <c r="Z80" s="570">
        <f t="shared" ref="Z80:Z81" si="100">Q80/12</f>
        <v>300</v>
      </c>
    </row>
    <row r="81" spans="1:26" ht="18.75" customHeight="1" thickBot="1" x14ac:dyDescent="0.3">
      <c r="A81" s="97"/>
      <c r="B81" s="98"/>
      <c r="C81" s="99"/>
      <c r="D81" s="100"/>
      <c r="E81" s="14">
        <f t="shared" si="92"/>
        <v>0</v>
      </c>
      <c r="F81" s="15">
        <f t="shared" si="92"/>
        <v>0</v>
      </c>
      <c r="G81" s="15">
        <f t="shared" si="92"/>
        <v>0</v>
      </c>
      <c r="H81" s="15">
        <f t="shared" si="92"/>
        <v>0</v>
      </c>
      <c r="I81" s="15">
        <f t="shared" si="92"/>
        <v>0</v>
      </c>
      <c r="J81" s="15">
        <f t="shared" si="92"/>
        <v>0</v>
      </c>
      <c r="K81" s="15">
        <f t="shared" si="92"/>
        <v>0</v>
      </c>
      <c r="L81" s="15">
        <f t="shared" si="92"/>
        <v>0</v>
      </c>
      <c r="M81" s="15">
        <f t="shared" si="92"/>
        <v>0</v>
      </c>
      <c r="N81" s="15">
        <f t="shared" si="92"/>
        <v>0</v>
      </c>
      <c r="O81" s="15">
        <f t="shared" si="92"/>
        <v>0</v>
      </c>
      <c r="P81" s="668">
        <f t="shared" si="92"/>
        <v>0</v>
      </c>
      <c r="Q81" s="16">
        <f t="shared" si="93"/>
        <v>0</v>
      </c>
      <c r="R81" s="565">
        <f t="shared" si="94"/>
        <v>0</v>
      </c>
      <c r="S81" s="15">
        <f t="shared" si="95"/>
        <v>0</v>
      </c>
      <c r="T81" s="15">
        <f t="shared" si="96"/>
        <v>0</v>
      </c>
      <c r="U81" s="668">
        <f t="shared" si="97"/>
        <v>0</v>
      </c>
      <c r="V81" s="16">
        <f t="shared" si="98"/>
        <v>0</v>
      </c>
      <c r="W81" s="16">
        <f t="shared" si="99"/>
        <v>0</v>
      </c>
      <c r="X81" s="17">
        <f t="shared" si="99"/>
        <v>0</v>
      </c>
      <c r="Z81" s="575">
        <f t="shared" si="100"/>
        <v>0</v>
      </c>
    </row>
    <row r="82" spans="1:26" ht="7.5" customHeight="1" thickTop="1" thickBot="1" x14ac:dyDescent="0.3">
      <c r="A82" s="101"/>
      <c r="B82" s="102"/>
      <c r="C82" s="103"/>
      <c r="D82" s="104"/>
      <c r="E82" s="27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9"/>
      <c r="Q82" s="33"/>
      <c r="R82" s="31"/>
      <c r="S82" s="28"/>
      <c r="T82" s="28"/>
      <c r="U82" s="29"/>
      <c r="V82" s="33"/>
      <c r="W82" s="33"/>
      <c r="X82" s="34"/>
      <c r="Z82" s="571"/>
    </row>
    <row r="83" spans="1:26" s="625" customFormat="1" ht="18.75" customHeight="1" thickBot="1" x14ac:dyDescent="0.3">
      <c r="A83" s="572" t="s">
        <v>50</v>
      </c>
      <c r="B83" s="573">
        <f>Z83</f>
        <v>388</v>
      </c>
      <c r="D83" s="626"/>
      <c r="E83" s="627">
        <f t="shared" ref="E83:X83" si="101">SUM(E79:E82)</f>
        <v>388</v>
      </c>
      <c r="F83" s="549">
        <f t="shared" si="101"/>
        <v>388</v>
      </c>
      <c r="G83" s="549">
        <f t="shared" si="101"/>
        <v>388</v>
      </c>
      <c r="H83" s="549">
        <f t="shared" si="101"/>
        <v>388</v>
      </c>
      <c r="I83" s="549">
        <f t="shared" si="101"/>
        <v>388</v>
      </c>
      <c r="J83" s="549">
        <f t="shared" si="101"/>
        <v>388</v>
      </c>
      <c r="K83" s="549">
        <f t="shared" si="101"/>
        <v>388</v>
      </c>
      <c r="L83" s="549">
        <f t="shared" si="101"/>
        <v>388</v>
      </c>
      <c r="M83" s="549">
        <f t="shared" si="101"/>
        <v>388</v>
      </c>
      <c r="N83" s="549">
        <f t="shared" si="101"/>
        <v>388</v>
      </c>
      <c r="O83" s="549">
        <f t="shared" si="101"/>
        <v>388</v>
      </c>
      <c r="P83" s="36">
        <f t="shared" si="101"/>
        <v>388</v>
      </c>
      <c r="Q83" s="37">
        <f t="shared" si="101"/>
        <v>4656</v>
      </c>
      <c r="R83" s="548">
        <f t="shared" si="101"/>
        <v>1164</v>
      </c>
      <c r="S83" s="549">
        <f t="shared" si="101"/>
        <v>1164</v>
      </c>
      <c r="T83" s="549">
        <f t="shared" si="101"/>
        <v>1164</v>
      </c>
      <c r="U83" s="36">
        <f t="shared" si="101"/>
        <v>1164</v>
      </c>
      <c r="V83" s="37">
        <f t="shared" si="101"/>
        <v>4656</v>
      </c>
      <c r="W83" s="37">
        <f t="shared" si="101"/>
        <v>4656</v>
      </c>
      <c r="X83" s="38">
        <f t="shared" si="101"/>
        <v>4656</v>
      </c>
      <c r="Z83" s="574">
        <f>SUM(Z79:Z81)</f>
        <v>388</v>
      </c>
    </row>
    <row r="84" spans="1:26" ht="15.75" thickBot="1" x14ac:dyDescent="0.3">
      <c r="V84" s="675"/>
    </row>
    <row r="85" spans="1:26" ht="15" customHeight="1" x14ac:dyDescent="0.25">
      <c r="A85" s="761" t="s">
        <v>76</v>
      </c>
      <c r="B85" s="763" t="s">
        <v>19</v>
      </c>
      <c r="C85" s="763" t="s">
        <v>44</v>
      </c>
      <c r="D85" s="765" t="s">
        <v>245</v>
      </c>
      <c r="E85" s="744" t="s">
        <v>20</v>
      </c>
      <c r="F85" s="743"/>
      <c r="G85" s="743"/>
      <c r="H85" s="743"/>
      <c r="I85" s="743"/>
      <c r="J85" s="743"/>
      <c r="K85" s="743"/>
      <c r="L85" s="743"/>
      <c r="M85" s="743"/>
      <c r="N85" s="743"/>
      <c r="O85" s="743"/>
      <c r="P85" s="743"/>
      <c r="Q85" s="740" t="s">
        <v>20</v>
      </c>
      <c r="R85" s="742" t="s">
        <v>25</v>
      </c>
      <c r="S85" s="743"/>
      <c r="T85" s="743"/>
      <c r="U85" s="743"/>
      <c r="V85" s="740" t="s">
        <v>25</v>
      </c>
      <c r="W85" s="740" t="s">
        <v>26</v>
      </c>
      <c r="X85" s="751" t="s">
        <v>27</v>
      </c>
      <c r="Z85" s="759" t="s">
        <v>49</v>
      </c>
    </row>
    <row r="86" spans="1:26" ht="15.75" thickBot="1" x14ac:dyDescent="0.3">
      <c r="A86" s="762"/>
      <c r="B86" s="764"/>
      <c r="C86" s="764"/>
      <c r="D86" s="766"/>
      <c r="E86" s="1">
        <v>1</v>
      </c>
      <c r="F86" s="2">
        <v>2</v>
      </c>
      <c r="G86" s="2">
        <v>3</v>
      </c>
      <c r="H86" s="2">
        <v>4</v>
      </c>
      <c r="I86" s="2">
        <v>5</v>
      </c>
      <c r="J86" s="2">
        <v>6</v>
      </c>
      <c r="K86" s="2">
        <v>7</v>
      </c>
      <c r="L86" s="2">
        <v>8</v>
      </c>
      <c r="M86" s="2">
        <v>9</v>
      </c>
      <c r="N86" s="2">
        <v>10</v>
      </c>
      <c r="O86" s="2">
        <v>11</v>
      </c>
      <c r="P86" s="3">
        <v>12</v>
      </c>
      <c r="Q86" s="741"/>
      <c r="R86" s="4" t="s">
        <v>21</v>
      </c>
      <c r="S86" s="2" t="s">
        <v>22</v>
      </c>
      <c r="T86" s="2" t="s">
        <v>23</v>
      </c>
      <c r="U86" s="3" t="s">
        <v>24</v>
      </c>
      <c r="V86" s="741"/>
      <c r="W86" s="741"/>
      <c r="X86" s="752"/>
      <c r="Z86" s="760"/>
    </row>
    <row r="87" spans="1:26" ht="18.75" customHeight="1" thickTop="1" x14ac:dyDescent="0.25">
      <c r="A87" s="117" t="s">
        <v>84</v>
      </c>
      <c r="B87" s="18">
        <v>2000</v>
      </c>
      <c r="C87" s="112" t="s">
        <v>47</v>
      </c>
      <c r="D87" s="113">
        <v>3</v>
      </c>
      <c r="E87" s="6">
        <f>IF(AND($C87="j",$D87=E$32),$B87,IF($C87="h",$B87*IF($D87=IF(MOD(E$32,6)=0,6,MOD(E$32,6)),1,0),IF($C87="q",$B87*IF($D87=IF(MOD(E$32,3)=0,3,MOD(E$32,3)),1,0),IF($C87="z",$B87*IF($D87=IF(MOD(E$32,2)=0,2,MOD(E$32,2)),1,0),IF($C87="m",$B87,0)))))</f>
        <v>0</v>
      </c>
      <c r="F87" s="7">
        <f t="shared" ref="F87:P90" si="102">IF(AND($C87="j",$D87=F$32),$B87,IF($C87="h",$B87*IF($D87=IF(MOD(F$32,6)=0,6,MOD(F$32,6)),1,0),IF($C87="q",$B87*IF($D87=IF(MOD(F$32,3)=0,3,MOD(F$32,3)),1,0),IF($C87="z",$B87*IF($D87=IF(MOD(F$32,2)=0,2,MOD(F$32,2)),1,0),IF($C87="m",$B87,0)))))</f>
        <v>0</v>
      </c>
      <c r="G87" s="7">
        <f t="shared" si="102"/>
        <v>2000</v>
      </c>
      <c r="H87" s="7">
        <f t="shared" si="102"/>
        <v>0</v>
      </c>
      <c r="I87" s="7">
        <f t="shared" si="102"/>
        <v>0</v>
      </c>
      <c r="J87" s="7">
        <f t="shared" si="102"/>
        <v>0</v>
      </c>
      <c r="K87" s="7">
        <f t="shared" si="102"/>
        <v>0</v>
      </c>
      <c r="L87" s="7">
        <f t="shared" si="102"/>
        <v>0</v>
      </c>
      <c r="M87" s="7">
        <f t="shared" si="102"/>
        <v>0</v>
      </c>
      <c r="N87" s="7">
        <f t="shared" si="102"/>
        <v>0</v>
      </c>
      <c r="O87" s="7">
        <f t="shared" si="102"/>
        <v>0</v>
      </c>
      <c r="P87" s="180">
        <f t="shared" si="102"/>
        <v>0</v>
      </c>
      <c r="Q87" s="8">
        <f>SUM(E87:P87)</f>
        <v>2000</v>
      </c>
      <c r="R87" s="307">
        <v>0</v>
      </c>
      <c r="S87" s="7">
        <v>0</v>
      </c>
      <c r="T87" s="7">
        <v>0</v>
      </c>
      <c r="U87" s="180">
        <v>0</v>
      </c>
      <c r="V87" s="8">
        <f>SUM(R87:U87)</f>
        <v>0</v>
      </c>
      <c r="W87" s="8">
        <v>0</v>
      </c>
      <c r="X87" s="9">
        <v>0</v>
      </c>
      <c r="Z87" s="569">
        <f>Q87/12</f>
        <v>166.66666666666666</v>
      </c>
    </row>
    <row r="88" spans="1:26" ht="18.75" customHeight="1" x14ac:dyDescent="0.25">
      <c r="A88" s="93" t="s">
        <v>85</v>
      </c>
      <c r="B88" s="94">
        <v>3000</v>
      </c>
      <c r="C88" s="95" t="s">
        <v>47</v>
      </c>
      <c r="D88" s="96">
        <v>10</v>
      </c>
      <c r="E88" s="10">
        <f t="shared" ref="E88:P90" si="103">IF(AND($C88="j",$D88=E$32),$B88,IF($C88="h",$B88*IF($D88=IF(MOD(E$32,6)=0,6,MOD(E$32,6)),1,0),IF($C88="q",$B88*IF($D88=IF(MOD(E$32,3)=0,3,MOD(E$32,3)),1,0),IF($C88="z",$B88*IF($D88=IF(MOD(E$32,2)=0,2,MOD(E$32,2)),1,0),IF($C88="m",$B88,0)))))</f>
        <v>0</v>
      </c>
      <c r="F88" s="11">
        <f t="shared" si="102"/>
        <v>0</v>
      </c>
      <c r="G88" s="11">
        <f t="shared" si="102"/>
        <v>0</v>
      </c>
      <c r="H88" s="11">
        <f t="shared" si="102"/>
        <v>0</v>
      </c>
      <c r="I88" s="11">
        <f t="shared" si="102"/>
        <v>0</v>
      </c>
      <c r="J88" s="11">
        <f t="shared" si="102"/>
        <v>0</v>
      </c>
      <c r="K88" s="11">
        <f t="shared" si="102"/>
        <v>0</v>
      </c>
      <c r="L88" s="11">
        <f t="shared" si="102"/>
        <v>0</v>
      </c>
      <c r="M88" s="11">
        <f t="shared" si="102"/>
        <v>0</v>
      </c>
      <c r="N88" s="11">
        <f t="shared" si="102"/>
        <v>3000</v>
      </c>
      <c r="O88" s="11">
        <f t="shared" si="102"/>
        <v>0</v>
      </c>
      <c r="P88" s="185">
        <f t="shared" si="102"/>
        <v>0</v>
      </c>
      <c r="Q88" s="12">
        <f t="shared" ref="Q88:Q90" si="104">SUM(E88:P88)</f>
        <v>3000</v>
      </c>
      <c r="R88" s="308">
        <f t="shared" ref="R88:R90" si="105">IF(AND($C88="j",$D88&gt;=1,$D88&lt;=3),$B88,IF(AND($C88="h",$D88&gt;=1,$D88&lt;=3),$B88,IF(AND($C88="q",$D88&gt;=1,$D88&lt;=3),$B88,IF($C88="z",IF($D88=1,2*$B88,$B88),IF($C88="m",3*$B88,0)))))</f>
        <v>0</v>
      </c>
      <c r="S88" s="11">
        <f t="shared" ref="S88:S90" si="106">IF(AND($C88="j",$D88&gt;=4,$D88&lt;=6),$B88,IF(AND($C88="h",$D88&gt;=4,$D88&lt;=6),$B88,IF(AND($C88="q",$D88&gt;=1,$D88&lt;=3),$B88,IF($C88="z",IF($D88=2,2*$B88,$B88),IF($C88="m",3*$B88,0)))))</f>
        <v>0</v>
      </c>
      <c r="T88" s="11">
        <f t="shared" ref="T88:T90" si="107">IF(AND($C88="j",$D88&gt;=7,$D88&lt;=9),$B88,IF(AND($C88="h",$D88&gt;=1,$D88&lt;=3),$B88,IF(AND($C88="q",$D88&gt;=1,$D88&lt;=3),$B88,IF($C88="z",IF($D88=1,2*$B88,$B88),IF($C88="m",3*$B88,0)))))</f>
        <v>0</v>
      </c>
      <c r="U88" s="185">
        <f t="shared" ref="U88:U90" si="108">IF(AND($C88="j",$D88&gt;=10,$D88&lt;=12),$B88,IF(AND($C88="h",$D88&gt;=4,$D88&lt;=6),$B88,IF(AND($C88="q",$D88&gt;=1,$D88&lt;=3),$B88,IF($C88="z",IF($D88=2,2*$B88,$B88),IF($C88="m",3*$B88,0)))))</f>
        <v>3000</v>
      </c>
      <c r="V88" s="12">
        <f t="shared" ref="V88:V90" si="109">SUM(R88:U88)</f>
        <v>3000</v>
      </c>
      <c r="W88" s="12">
        <f t="shared" ref="W88:X90" si="110">IF($C88="j",$B88,IF($C88="h",2*$B88,IF($C88="q",4*$B88,IF($C88="z",6*$B88,12*$B88))))</f>
        <v>3000</v>
      </c>
      <c r="X88" s="13">
        <f t="shared" si="110"/>
        <v>3000</v>
      </c>
      <c r="Z88" s="570">
        <f t="shared" ref="Z88:Z90" si="111">Q88/12</f>
        <v>250</v>
      </c>
    </row>
    <row r="89" spans="1:26" ht="18.75" customHeight="1" x14ac:dyDescent="0.25">
      <c r="A89" s="97" t="s">
        <v>90</v>
      </c>
      <c r="B89" s="98">
        <v>300</v>
      </c>
      <c r="C89" s="99" t="s">
        <v>45</v>
      </c>
      <c r="D89" s="100" t="s">
        <v>48</v>
      </c>
      <c r="E89" s="10">
        <f t="shared" si="103"/>
        <v>300</v>
      </c>
      <c r="F89" s="15">
        <f t="shared" si="103"/>
        <v>300</v>
      </c>
      <c r="G89" s="15">
        <f t="shared" si="103"/>
        <v>300</v>
      </c>
      <c r="H89" s="15">
        <f t="shared" si="103"/>
        <v>300</v>
      </c>
      <c r="I89" s="15">
        <f t="shared" si="103"/>
        <v>300</v>
      </c>
      <c r="J89" s="15">
        <f t="shared" si="103"/>
        <v>300</v>
      </c>
      <c r="K89" s="15">
        <f t="shared" si="103"/>
        <v>300</v>
      </c>
      <c r="L89" s="15">
        <f t="shared" si="103"/>
        <v>300</v>
      </c>
      <c r="M89" s="15">
        <f t="shared" si="103"/>
        <v>300</v>
      </c>
      <c r="N89" s="15">
        <f t="shared" si="103"/>
        <v>300</v>
      </c>
      <c r="O89" s="15">
        <f t="shared" si="103"/>
        <v>300</v>
      </c>
      <c r="P89" s="668">
        <f t="shared" si="103"/>
        <v>300</v>
      </c>
      <c r="Q89" s="12">
        <f t="shared" si="104"/>
        <v>3600</v>
      </c>
      <c r="R89" s="308">
        <f t="shared" si="105"/>
        <v>900</v>
      </c>
      <c r="S89" s="11">
        <f t="shared" si="106"/>
        <v>900</v>
      </c>
      <c r="T89" s="11">
        <f t="shared" si="107"/>
        <v>900</v>
      </c>
      <c r="U89" s="185">
        <f t="shared" si="108"/>
        <v>900</v>
      </c>
      <c r="V89" s="12">
        <f t="shared" si="109"/>
        <v>3600</v>
      </c>
      <c r="W89" s="12">
        <f t="shared" si="110"/>
        <v>3600</v>
      </c>
      <c r="X89" s="13">
        <f t="shared" si="110"/>
        <v>3600</v>
      </c>
      <c r="Z89" s="570">
        <f t="shared" si="111"/>
        <v>300</v>
      </c>
    </row>
    <row r="90" spans="1:26" ht="18.75" customHeight="1" thickBot="1" x14ac:dyDescent="0.3">
      <c r="A90" s="97"/>
      <c r="B90" s="98"/>
      <c r="C90" s="99"/>
      <c r="D90" s="100"/>
      <c r="E90" s="14">
        <f t="shared" si="103"/>
        <v>0</v>
      </c>
      <c r="F90" s="15">
        <f t="shared" si="102"/>
        <v>0</v>
      </c>
      <c r="G90" s="15">
        <f t="shared" si="102"/>
        <v>0</v>
      </c>
      <c r="H90" s="15">
        <f t="shared" si="102"/>
        <v>0</v>
      </c>
      <c r="I90" s="15">
        <f t="shared" si="102"/>
        <v>0</v>
      </c>
      <c r="J90" s="15">
        <f t="shared" si="102"/>
        <v>0</v>
      </c>
      <c r="K90" s="15">
        <f t="shared" si="102"/>
        <v>0</v>
      </c>
      <c r="L90" s="15">
        <f t="shared" si="102"/>
        <v>0</v>
      </c>
      <c r="M90" s="15">
        <f t="shared" si="102"/>
        <v>0</v>
      </c>
      <c r="N90" s="15">
        <f t="shared" si="102"/>
        <v>0</v>
      </c>
      <c r="O90" s="15">
        <f t="shared" si="102"/>
        <v>0</v>
      </c>
      <c r="P90" s="668">
        <f t="shared" si="102"/>
        <v>0</v>
      </c>
      <c r="Q90" s="16">
        <f t="shared" si="104"/>
        <v>0</v>
      </c>
      <c r="R90" s="565">
        <f t="shared" si="105"/>
        <v>0</v>
      </c>
      <c r="S90" s="15">
        <f t="shared" si="106"/>
        <v>0</v>
      </c>
      <c r="T90" s="15">
        <f t="shared" si="107"/>
        <v>0</v>
      </c>
      <c r="U90" s="668">
        <f t="shared" si="108"/>
        <v>0</v>
      </c>
      <c r="V90" s="16">
        <f t="shared" si="109"/>
        <v>0</v>
      </c>
      <c r="W90" s="16">
        <f t="shared" si="110"/>
        <v>0</v>
      </c>
      <c r="X90" s="17">
        <f t="shared" si="110"/>
        <v>0</v>
      </c>
      <c r="Z90" s="575">
        <f t="shared" si="111"/>
        <v>0</v>
      </c>
    </row>
    <row r="91" spans="1:26" ht="7.5" customHeight="1" thickTop="1" thickBot="1" x14ac:dyDescent="0.3">
      <c r="A91" s="101"/>
      <c r="B91" s="102"/>
      <c r="C91" s="103"/>
      <c r="D91" s="104"/>
      <c r="E91" s="27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9"/>
      <c r="Q91" s="33"/>
      <c r="R91" s="31"/>
      <c r="S91" s="28"/>
      <c r="T91" s="28"/>
      <c r="U91" s="29"/>
      <c r="V91" s="33"/>
      <c r="W91" s="33"/>
      <c r="X91" s="34"/>
      <c r="Z91" s="571"/>
    </row>
    <row r="92" spans="1:26" s="625" customFormat="1" ht="18.75" customHeight="1" thickBot="1" x14ac:dyDescent="0.3">
      <c r="A92" s="572" t="s">
        <v>50</v>
      </c>
      <c r="B92" s="573">
        <f>Z92</f>
        <v>716.66666666666663</v>
      </c>
      <c r="D92" s="626"/>
      <c r="E92" s="627">
        <f>SUM(E87:E91)</f>
        <v>300</v>
      </c>
      <c r="F92" s="549">
        <f t="shared" ref="F92:X92" si="112">SUM(F87:F91)</f>
        <v>300</v>
      </c>
      <c r="G92" s="549">
        <f t="shared" si="112"/>
        <v>2300</v>
      </c>
      <c r="H92" s="549">
        <f t="shared" si="112"/>
        <v>300</v>
      </c>
      <c r="I92" s="549">
        <f t="shared" si="112"/>
        <v>300</v>
      </c>
      <c r="J92" s="549">
        <f t="shared" si="112"/>
        <v>300</v>
      </c>
      <c r="K92" s="549">
        <f t="shared" si="112"/>
        <v>300</v>
      </c>
      <c r="L92" s="549">
        <f t="shared" si="112"/>
        <v>300</v>
      </c>
      <c r="M92" s="549">
        <f t="shared" si="112"/>
        <v>300</v>
      </c>
      <c r="N92" s="549">
        <f t="shared" si="112"/>
        <v>3300</v>
      </c>
      <c r="O92" s="549">
        <f t="shared" si="112"/>
        <v>300</v>
      </c>
      <c r="P92" s="36">
        <f t="shared" si="112"/>
        <v>300</v>
      </c>
      <c r="Q92" s="37">
        <f t="shared" si="112"/>
        <v>8600</v>
      </c>
      <c r="R92" s="548">
        <f t="shared" si="112"/>
        <v>900</v>
      </c>
      <c r="S92" s="549">
        <f t="shared" si="112"/>
        <v>900</v>
      </c>
      <c r="T92" s="549">
        <f t="shared" si="112"/>
        <v>900</v>
      </c>
      <c r="U92" s="36">
        <f t="shared" si="112"/>
        <v>3900</v>
      </c>
      <c r="V92" s="37">
        <f t="shared" si="112"/>
        <v>6600</v>
      </c>
      <c r="W92" s="37">
        <f t="shared" si="112"/>
        <v>6600</v>
      </c>
      <c r="X92" s="38">
        <f t="shared" si="112"/>
        <v>6600</v>
      </c>
      <c r="Z92" s="574">
        <f>SUM(Z87:Z90)</f>
        <v>716.66666666666663</v>
      </c>
    </row>
    <row r="93" spans="1:26" ht="15.75" thickBot="1" x14ac:dyDescent="0.3"/>
    <row r="94" spans="1:26" ht="15" customHeight="1" x14ac:dyDescent="0.25">
      <c r="A94" s="761" t="s">
        <v>78</v>
      </c>
      <c r="B94" s="763" t="s">
        <v>19</v>
      </c>
      <c r="C94" s="763" t="s">
        <v>44</v>
      </c>
      <c r="D94" s="765" t="s">
        <v>245</v>
      </c>
      <c r="E94" s="744" t="s">
        <v>20</v>
      </c>
      <c r="F94" s="743"/>
      <c r="G94" s="743"/>
      <c r="H94" s="743"/>
      <c r="I94" s="743"/>
      <c r="J94" s="743"/>
      <c r="K94" s="743"/>
      <c r="L94" s="743"/>
      <c r="M94" s="743"/>
      <c r="N94" s="743"/>
      <c r="O94" s="743"/>
      <c r="P94" s="743"/>
      <c r="Q94" s="740" t="s">
        <v>20</v>
      </c>
      <c r="R94" s="742" t="s">
        <v>25</v>
      </c>
      <c r="S94" s="743"/>
      <c r="T94" s="743"/>
      <c r="U94" s="743"/>
      <c r="V94" s="740" t="s">
        <v>25</v>
      </c>
      <c r="W94" s="740" t="s">
        <v>26</v>
      </c>
      <c r="X94" s="751" t="s">
        <v>27</v>
      </c>
      <c r="Z94" s="759" t="s">
        <v>49</v>
      </c>
    </row>
    <row r="95" spans="1:26" ht="15.75" thickBot="1" x14ac:dyDescent="0.3">
      <c r="A95" s="762"/>
      <c r="B95" s="764"/>
      <c r="C95" s="764"/>
      <c r="D95" s="766"/>
      <c r="E95" s="1">
        <v>1</v>
      </c>
      <c r="F95" s="2">
        <v>2</v>
      </c>
      <c r="G95" s="2">
        <v>3</v>
      </c>
      <c r="H95" s="2">
        <v>4</v>
      </c>
      <c r="I95" s="2">
        <v>5</v>
      </c>
      <c r="J95" s="2">
        <v>6</v>
      </c>
      <c r="K95" s="2">
        <v>7</v>
      </c>
      <c r="L95" s="2">
        <v>8</v>
      </c>
      <c r="M95" s="2">
        <v>9</v>
      </c>
      <c r="N95" s="2">
        <v>10</v>
      </c>
      <c r="O95" s="2">
        <v>11</v>
      </c>
      <c r="P95" s="3">
        <v>12</v>
      </c>
      <c r="Q95" s="741"/>
      <c r="R95" s="4" t="s">
        <v>21</v>
      </c>
      <c r="S95" s="2" t="s">
        <v>22</v>
      </c>
      <c r="T95" s="2" t="s">
        <v>23</v>
      </c>
      <c r="U95" s="3" t="s">
        <v>24</v>
      </c>
      <c r="V95" s="741"/>
      <c r="W95" s="741"/>
      <c r="X95" s="752"/>
      <c r="Z95" s="760"/>
    </row>
    <row r="96" spans="1:26" ht="18.75" customHeight="1" thickTop="1" x14ac:dyDescent="0.25">
      <c r="A96" s="92"/>
      <c r="B96" s="18"/>
      <c r="C96" s="19"/>
      <c r="D96" s="20"/>
      <c r="E96" s="6">
        <f t="shared" ref="E96:P97" si="113">IF(AND($C96="j",$D96=E$32),$B96,IF($C96="h",$B96*IF($D96=IF(MOD(E$32,6)=0,6,MOD(E$32,6)),1,0),IF($C96="q",$B96*IF($D96=IF(MOD(E$32,3)=0,3,MOD(E$32,3)),1,0),IF($C96="z",$B96*IF($D96=IF(MOD(E$32,2)=0,2,MOD(E$32,2)),1,0),IF($C96="m",$B96,0)))))</f>
        <v>0</v>
      </c>
      <c r="F96" s="7">
        <f t="shared" si="113"/>
        <v>0</v>
      </c>
      <c r="G96" s="7">
        <f t="shared" si="113"/>
        <v>0</v>
      </c>
      <c r="H96" s="7">
        <f t="shared" si="113"/>
        <v>0</v>
      </c>
      <c r="I96" s="7">
        <f t="shared" si="113"/>
        <v>0</v>
      </c>
      <c r="J96" s="7">
        <f t="shared" si="113"/>
        <v>0</v>
      </c>
      <c r="K96" s="7">
        <f t="shared" si="113"/>
        <v>0</v>
      </c>
      <c r="L96" s="7">
        <f t="shared" si="113"/>
        <v>0</v>
      </c>
      <c r="M96" s="7">
        <f t="shared" si="113"/>
        <v>0</v>
      </c>
      <c r="N96" s="7">
        <f t="shared" si="113"/>
        <v>0</v>
      </c>
      <c r="O96" s="7">
        <f t="shared" si="113"/>
        <v>0</v>
      </c>
      <c r="P96" s="180">
        <f t="shared" si="113"/>
        <v>0</v>
      </c>
      <c r="Q96" s="8">
        <f>SUM(E96:P96)</f>
        <v>0</v>
      </c>
      <c r="R96" s="307">
        <f>IF(AND($C96="j",$D96&gt;=1,$D96&lt;=3),$B96,IF(AND($C96="h",$D96&gt;=1,$D96&lt;=3),$B96,IF(AND($C96="q",$D96&gt;=1,$D96&lt;=3),$B96,IF($C96="z",IF($D96=1,2*$B96,$B96),IF($C96="m",3*$B96,0)))))</f>
        <v>0</v>
      </c>
      <c r="S96" s="7">
        <f>IF(AND($C96="j",$D96&gt;=4,$D96&lt;=6),$B96,IF(AND($C96="h",$D96&gt;=4,$D96&lt;=6),$B96,IF(AND($C96="q",$D96&gt;=1,$D96&lt;=3),$B96,IF($C96="z",IF($D96=2,2*$B96,$B96),IF($C96="m",3*$B96,0)))))</f>
        <v>0</v>
      </c>
      <c r="T96" s="7">
        <f>IF(AND($C96="j",$D96&gt;=7,$D96&lt;=9),$B96,IF(AND($C96="h",$D96&gt;=1,$D96&lt;=3),$B96,IF(AND($C96="q",$D96&gt;=1,$D96&lt;=3),$B96,IF($C96="z",IF($D96=1,2*$B96,$B96),IF($C96="m",3*$B96,0)))))</f>
        <v>0</v>
      </c>
      <c r="U96" s="180">
        <f>IF(AND($C96="j",$D96&gt;=10,$D96&lt;=12),$B96,IF(AND($C96="h",$D96&gt;=4,$D96&lt;=6),$B96,IF(AND($C96="q",$D96&gt;=1,$D96&lt;=3),$B96,IF($C96="z",IF($D96=2,2*$B96,$B96),IF($C96="m",3*$B96,0)))))</f>
        <v>0</v>
      </c>
      <c r="V96" s="8">
        <f>SUM(R96:U96)</f>
        <v>0</v>
      </c>
      <c r="W96" s="8">
        <f>IF($C96="j",$B96,IF($C96="h",2*$B96,IF($C96="q",4*$B96,IF($C96="z",6*$B96,12*$B96))))</f>
        <v>0</v>
      </c>
      <c r="X96" s="9">
        <f>IF($C96="j",$B96,IF($C96="h",2*$B96,IF($C96="q",4*$B96,IF($C96="z",6*$B96,12*$B96))))</f>
        <v>0</v>
      </c>
      <c r="Z96" s="569">
        <f>Q96/12</f>
        <v>0</v>
      </c>
    </row>
    <row r="97" spans="1:26" ht="18.75" customHeight="1" thickBot="1" x14ac:dyDescent="0.3">
      <c r="A97" s="97"/>
      <c r="B97" s="98"/>
      <c r="C97" s="99"/>
      <c r="D97" s="100"/>
      <c r="E97" s="14">
        <f t="shared" si="113"/>
        <v>0</v>
      </c>
      <c r="F97" s="15">
        <f t="shared" si="113"/>
        <v>0</v>
      </c>
      <c r="G97" s="15">
        <f t="shared" si="113"/>
        <v>0</v>
      </c>
      <c r="H97" s="15">
        <f t="shared" si="113"/>
        <v>0</v>
      </c>
      <c r="I97" s="15">
        <f t="shared" si="113"/>
        <v>0</v>
      </c>
      <c r="J97" s="15">
        <f t="shared" si="113"/>
        <v>0</v>
      </c>
      <c r="K97" s="15">
        <f t="shared" si="113"/>
        <v>0</v>
      </c>
      <c r="L97" s="15">
        <f t="shared" si="113"/>
        <v>0</v>
      </c>
      <c r="M97" s="15">
        <f t="shared" si="113"/>
        <v>0</v>
      </c>
      <c r="N97" s="15">
        <f t="shared" si="113"/>
        <v>0</v>
      </c>
      <c r="O97" s="15">
        <f t="shared" si="113"/>
        <v>0</v>
      </c>
      <c r="P97" s="668">
        <f t="shared" si="113"/>
        <v>0</v>
      </c>
      <c r="Q97" s="16">
        <f t="shared" ref="Q97" si="114">SUM(E97:P97)</f>
        <v>0</v>
      </c>
      <c r="R97" s="565">
        <f t="shared" ref="R97" si="115">IF(AND($C97="j",$D97&gt;=1,$D97&lt;=3),$B97,IF(AND($C97="h",$D97&gt;=1,$D97&lt;=3),$B97,IF(AND($C97="q",$D97&gt;=1,$D97&lt;=3),$B97,IF($C97="z",IF($D97=1,2*$B97,$B97),IF($C97="m",3*$B97,0)))))</f>
        <v>0</v>
      </c>
      <c r="S97" s="15">
        <f t="shared" ref="S97" si="116">IF(AND($C97="j",$D97&gt;=4,$D97&lt;=6),$B97,IF(AND($C97="h",$D97&gt;=4,$D97&lt;=6),$B97,IF(AND($C97="q",$D97&gt;=1,$D97&lt;=3),$B97,IF($C97="z",IF($D97=2,2*$B97,$B97),IF($C97="m",3*$B97,0)))))</f>
        <v>0</v>
      </c>
      <c r="T97" s="15">
        <f t="shared" ref="T97" si="117">IF(AND($C97="j",$D97&gt;=7,$D97&lt;=9),$B97,IF(AND($C97="h",$D97&gt;=1,$D97&lt;=3),$B97,IF(AND($C97="q",$D97&gt;=1,$D97&lt;=3),$B97,IF($C97="z",IF($D97=1,2*$B97,$B97),IF($C97="m",3*$B97,0)))))</f>
        <v>0</v>
      </c>
      <c r="U97" s="668">
        <f t="shared" ref="U97" si="118">IF(AND($C97="j",$D97&gt;=10,$D97&lt;=12),$B97,IF(AND($C97="h",$D97&gt;=4,$D97&lt;=6),$B97,IF(AND($C97="q",$D97&gt;=1,$D97&lt;=3),$B97,IF($C97="z",IF($D97=2,2*$B97,$B97),IF($C97="m",3*$B97,0)))))</f>
        <v>0</v>
      </c>
      <c r="V97" s="16">
        <f t="shared" ref="V97" si="119">SUM(R97:U97)</f>
        <v>0</v>
      </c>
      <c r="W97" s="16">
        <f t="shared" ref="W97:X97" si="120">IF($C97="j",$B97,IF($C97="h",2*$B97,IF($C97="q",4*$B97,IF($C97="z",6*$B97,12*$B97))))</f>
        <v>0</v>
      </c>
      <c r="X97" s="17">
        <f t="shared" si="120"/>
        <v>0</v>
      </c>
      <c r="Z97" s="575">
        <f t="shared" ref="Z97" si="121">Q97/12</f>
        <v>0</v>
      </c>
    </row>
    <row r="98" spans="1:26" ht="7.5" customHeight="1" thickTop="1" thickBot="1" x14ac:dyDescent="0.3">
      <c r="A98" s="101"/>
      <c r="B98" s="102"/>
      <c r="C98" s="103"/>
      <c r="D98" s="104"/>
      <c r="E98" s="27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9"/>
      <c r="Q98" s="33"/>
      <c r="R98" s="31"/>
      <c r="S98" s="28"/>
      <c r="T98" s="28"/>
      <c r="U98" s="29"/>
      <c r="V98" s="33"/>
      <c r="W98" s="33"/>
      <c r="X98" s="34"/>
      <c r="Z98" s="571"/>
    </row>
    <row r="99" spans="1:26" s="625" customFormat="1" ht="18.75" customHeight="1" thickBot="1" x14ac:dyDescent="0.3">
      <c r="A99" s="572" t="s">
        <v>50</v>
      </c>
      <c r="B99" s="573">
        <f>Z99</f>
        <v>0</v>
      </c>
      <c r="D99" s="626"/>
      <c r="E99" s="627">
        <f t="shared" ref="E99:X99" si="122">SUM(E96:E98)</f>
        <v>0</v>
      </c>
      <c r="F99" s="549">
        <f t="shared" si="122"/>
        <v>0</v>
      </c>
      <c r="G99" s="549">
        <f t="shared" si="122"/>
        <v>0</v>
      </c>
      <c r="H99" s="549">
        <f t="shared" si="122"/>
        <v>0</v>
      </c>
      <c r="I99" s="549">
        <f t="shared" si="122"/>
        <v>0</v>
      </c>
      <c r="J99" s="549">
        <f t="shared" si="122"/>
        <v>0</v>
      </c>
      <c r="K99" s="549">
        <f t="shared" si="122"/>
        <v>0</v>
      </c>
      <c r="L99" s="549">
        <f t="shared" si="122"/>
        <v>0</v>
      </c>
      <c r="M99" s="549">
        <f t="shared" si="122"/>
        <v>0</v>
      </c>
      <c r="N99" s="549">
        <f t="shared" si="122"/>
        <v>0</v>
      </c>
      <c r="O99" s="549">
        <f t="shared" si="122"/>
        <v>0</v>
      </c>
      <c r="P99" s="36">
        <f t="shared" si="122"/>
        <v>0</v>
      </c>
      <c r="Q99" s="37">
        <f t="shared" si="122"/>
        <v>0</v>
      </c>
      <c r="R99" s="548">
        <f t="shared" si="122"/>
        <v>0</v>
      </c>
      <c r="S99" s="549">
        <f t="shared" si="122"/>
        <v>0</v>
      </c>
      <c r="T99" s="549">
        <f t="shared" si="122"/>
        <v>0</v>
      </c>
      <c r="U99" s="36">
        <f t="shared" si="122"/>
        <v>0</v>
      </c>
      <c r="V99" s="37">
        <f t="shared" si="122"/>
        <v>0</v>
      </c>
      <c r="W99" s="37">
        <f t="shared" si="122"/>
        <v>0</v>
      </c>
      <c r="X99" s="38">
        <f t="shared" si="122"/>
        <v>0</v>
      </c>
      <c r="Z99" s="574">
        <f>SUM(Z96:Z97)</f>
        <v>0</v>
      </c>
    </row>
    <row r="100" spans="1:26" ht="15.75" thickBot="1" x14ac:dyDescent="0.3"/>
    <row r="101" spans="1:26" ht="15" customHeight="1" x14ac:dyDescent="0.25">
      <c r="A101" s="761" t="s">
        <v>79</v>
      </c>
      <c r="B101" s="763" t="s">
        <v>19</v>
      </c>
      <c r="C101" s="763" t="s">
        <v>44</v>
      </c>
      <c r="D101" s="765" t="s">
        <v>245</v>
      </c>
      <c r="E101" s="744" t="s">
        <v>20</v>
      </c>
      <c r="F101" s="743"/>
      <c r="G101" s="743"/>
      <c r="H101" s="743"/>
      <c r="I101" s="743"/>
      <c r="J101" s="743"/>
      <c r="K101" s="743"/>
      <c r="L101" s="743"/>
      <c r="M101" s="743"/>
      <c r="N101" s="743"/>
      <c r="O101" s="743"/>
      <c r="P101" s="743"/>
      <c r="Q101" s="740" t="s">
        <v>20</v>
      </c>
      <c r="R101" s="742" t="s">
        <v>25</v>
      </c>
      <c r="S101" s="743"/>
      <c r="T101" s="743"/>
      <c r="U101" s="743"/>
      <c r="V101" s="740" t="s">
        <v>25</v>
      </c>
      <c r="W101" s="740" t="s">
        <v>26</v>
      </c>
      <c r="X101" s="751" t="s">
        <v>27</v>
      </c>
      <c r="Z101" s="759" t="s">
        <v>49</v>
      </c>
    </row>
    <row r="102" spans="1:26" ht="15.75" thickBot="1" x14ac:dyDescent="0.3">
      <c r="A102" s="762"/>
      <c r="B102" s="764"/>
      <c r="C102" s="764"/>
      <c r="D102" s="766"/>
      <c r="E102" s="1">
        <v>1</v>
      </c>
      <c r="F102" s="2">
        <v>2</v>
      </c>
      <c r="G102" s="2">
        <v>3</v>
      </c>
      <c r="H102" s="2">
        <v>4</v>
      </c>
      <c r="I102" s="2">
        <v>5</v>
      </c>
      <c r="J102" s="2">
        <v>6</v>
      </c>
      <c r="K102" s="2">
        <v>7</v>
      </c>
      <c r="L102" s="2">
        <v>8</v>
      </c>
      <c r="M102" s="2">
        <v>9</v>
      </c>
      <c r="N102" s="2">
        <v>10</v>
      </c>
      <c r="O102" s="2">
        <v>11</v>
      </c>
      <c r="P102" s="3">
        <v>12</v>
      </c>
      <c r="Q102" s="741"/>
      <c r="R102" s="4" t="s">
        <v>21</v>
      </c>
      <c r="S102" s="2" t="s">
        <v>22</v>
      </c>
      <c r="T102" s="2" t="s">
        <v>23</v>
      </c>
      <c r="U102" s="3" t="s">
        <v>24</v>
      </c>
      <c r="V102" s="741"/>
      <c r="W102" s="741"/>
      <c r="X102" s="752"/>
      <c r="Z102" s="760"/>
    </row>
    <row r="103" spans="1:26" ht="18.75" customHeight="1" thickTop="1" x14ac:dyDescent="0.25">
      <c r="A103" s="92" t="s">
        <v>115</v>
      </c>
      <c r="B103" s="18">
        <v>200</v>
      </c>
      <c r="C103" s="19" t="s">
        <v>118</v>
      </c>
      <c r="D103" s="20">
        <v>2</v>
      </c>
      <c r="E103" s="6">
        <f>IF(AND($C103="j",$D103=E$32),$B103,IF($C103="h",$B103*IF($D103=IF(MOD(E$32,6)=0,6,MOD(E$32,6)),1,0),IF($C103="q",$B103*IF($D103=IF(MOD(E$32,3)=0,3,MOD(E$32,3)),1,0),IF($C103="z",$B103*IF($D103=IF(MOD(E$32,2)=0,2,MOD(E$32,2)),1,0),IF($C103="m",$B103,0)))))</f>
        <v>0</v>
      </c>
      <c r="F103" s="7">
        <f t="shared" ref="F103:P106" si="123">IF(AND($C103="j",$D103=F$32),$B103,IF($C103="h",$B103*IF($D103=IF(MOD(F$32,6)=0,6,MOD(F$32,6)),1,0),IF($C103="q",$B103*IF($D103=IF(MOD(F$32,3)=0,3,MOD(F$32,3)),1,0),IF($C103="z",$B103*IF($D103=IF(MOD(F$32,2)=0,2,MOD(F$32,2)),1,0),IF($C103="m",$B103,0)))))</f>
        <v>200</v>
      </c>
      <c r="G103" s="7">
        <f t="shared" si="123"/>
        <v>0</v>
      </c>
      <c r="H103" s="7">
        <f t="shared" si="123"/>
        <v>0</v>
      </c>
      <c r="I103" s="7">
        <f t="shared" si="123"/>
        <v>200</v>
      </c>
      <c r="J103" s="7">
        <f t="shared" si="123"/>
        <v>0</v>
      </c>
      <c r="K103" s="7">
        <f t="shared" si="123"/>
        <v>0</v>
      </c>
      <c r="L103" s="7">
        <f t="shared" si="123"/>
        <v>200</v>
      </c>
      <c r="M103" s="7">
        <f t="shared" si="123"/>
        <v>0</v>
      </c>
      <c r="N103" s="7">
        <f t="shared" si="123"/>
        <v>0</v>
      </c>
      <c r="O103" s="7">
        <f t="shared" si="123"/>
        <v>200</v>
      </c>
      <c r="P103" s="180">
        <f t="shared" si="123"/>
        <v>0</v>
      </c>
      <c r="Q103" s="8">
        <f>SUM(E103:P103)</f>
        <v>800</v>
      </c>
      <c r="R103" s="307">
        <f>IF(AND($C103="j",$D103&gt;=1,$D103&lt;=3),$B103,IF(AND($C103="h",$D103&gt;=1,$D103&lt;=3),$B103,IF(AND($C103="q",$D103&gt;=1,$D103&lt;=3),$B103,IF($C103="z",IF($D103=1,2*$B103,$B103),IF($C103="m",3*$B103,0)))))</f>
        <v>200</v>
      </c>
      <c r="S103" s="7">
        <f>IF(AND($C103="j",$D103&gt;=4,$D103&lt;=6),$B103,IF(AND($C103="h",$D103&gt;=4,$D103&lt;=6),$B103,IF(AND($C103="q",$D103&gt;=1,$D103&lt;=3),$B103,IF($C103="z",IF($D103=2,2*$B103,$B103),IF($C103="m",3*$B103,0)))))</f>
        <v>200</v>
      </c>
      <c r="T103" s="7">
        <f>IF(AND($C103="j",$D103&gt;=7,$D103&lt;=9),$B103,IF(AND($C103="h",$D103&gt;=1,$D103&lt;=3),$B103,IF(AND($C103="q",$D103&gt;=1,$D103&lt;=3),$B103,IF($C103="z",IF($D103=1,2*$B103,$B103),IF($C103="m",3*$B103,0)))))</f>
        <v>200</v>
      </c>
      <c r="U103" s="180">
        <f>IF(AND($C103="j",$D103&gt;=10,$D103&lt;=12),$B103,IF(AND($C103="h",$D103&gt;=4,$D103&lt;=6),$B103,IF(AND($C103="q",$D103&gt;=1,$D103&lt;=3),$B103,IF($C103="z",IF($D103=2,2*$B103,$B103),IF($C103="m",3*$B103,0)))))</f>
        <v>200</v>
      </c>
      <c r="V103" s="8">
        <f>SUM(R103:U103)</f>
        <v>800</v>
      </c>
      <c r="W103" s="8">
        <f>IF($C103="j",$B103,IF($C103="h",2*$B103,IF($C103="q",4*$B103,IF($C103="z",6*$B103,12*$B103))))</f>
        <v>800</v>
      </c>
      <c r="X103" s="9">
        <f>IF($C103="j",$B103,IF($C103="h",2*$B103,IF($C103="q",4*$B103,IF($C103="z",6*$B103,12*$B103))))</f>
        <v>800</v>
      </c>
      <c r="Z103" s="569">
        <f>Q103/12</f>
        <v>66.666666666666671</v>
      </c>
    </row>
    <row r="104" spans="1:26" ht="18.75" customHeight="1" x14ac:dyDescent="0.25">
      <c r="A104" s="93" t="s">
        <v>116</v>
      </c>
      <c r="B104" s="94">
        <f>B25*0.36%</f>
        <v>63.741783300000016</v>
      </c>
      <c r="C104" s="95" t="s">
        <v>45</v>
      </c>
      <c r="D104" s="96" t="s">
        <v>48</v>
      </c>
      <c r="E104" s="10">
        <f t="shared" ref="E104:E106" si="124">IF(AND($C104="j",$D104=E$32),$B104,IF($C104="h",$B104*IF($D104=IF(MOD(E$32,6)=0,6,MOD(E$32,6)),1,0),IF($C104="q",$B104*IF($D104=IF(MOD(E$32,3)=0,3,MOD(E$32,3)),1,0),IF($C104="z",$B104*IF($D104=IF(MOD(E$32,2)=0,2,MOD(E$32,2)),1,0),IF($C104="m",$B104,0)))))</f>
        <v>63.741783300000016</v>
      </c>
      <c r="F104" s="11">
        <f t="shared" si="123"/>
        <v>63.741783300000016</v>
      </c>
      <c r="G104" s="11">
        <f t="shared" si="123"/>
        <v>63.741783300000016</v>
      </c>
      <c r="H104" s="11">
        <f t="shared" si="123"/>
        <v>63.741783300000016</v>
      </c>
      <c r="I104" s="11">
        <f t="shared" si="123"/>
        <v>63.741783300000016</v>
      </c>
      <c r="J104" s="11">
        <f t="shared" si="123"/>
        <v>63.741783300000016</v>
      </c>
      <c r="K104" s="11">
        <f t="shared" si="123"/>
        <v>63.741783300000016</v>
      </c>
      <c r="L104" s="11">
        <f t="shared" si="123"/>
        <v>63.741783300000016</v>
      </c>
      <c r="M104" s="11">
        <f t="shared" si="123"/>
        <v>63.741783300000016</v>
      </c>
      <c r="N104" s="11">
        <f t="shared" si="123"/>
        <v>63.741783300000016</v>
      </c>
      <c r="O104" s="11">
        <f t="shared" si="123"/>
        <v>63.741783300000016</v>
      </c>
      <c r="P104" s="185">
        <f t="shared" si="123"/>
        <v>63.741783300000016</v>
      </c>
      <c r="Q104" s="12">
        <f t="shared" ref="Q104:Q106" si="125">SUM(E104:P104)</f>
        <v>764.90139960000033</v>
      </c>
      <c r="R104" s="308">
        <f t="shared" ref="R104:R106" si="126">IF(AND($C104="j",$D104&gt;=1,$D104&lt;=3),$B104,IF(AND($C104="h",$D104&gt;=1,$D104&lt;=3),$B104,IF(AND($C104="q",$D104&gt;=1,$D104&lt;=3),$B104,IF($C104="z",IF($D104=1,2*$B104,$B104),IF($C104="m",3*$B104,0)))))</f>
        <v>191.22534990000005</v>
      </c>
      <c r="S104" s="11">
        <f t="shared" ref="S104:S106" si="127">IF(AND($C104="j",$D104&gt;=4,$D104&lt;=6),$B104,IF(AND($C104="h",$D104&gt;=4,$D104&lt;=6),$B104,IF(AND($C104="q",$D104&gt;=1,$D104&lt;=3),$B104,IF($C104="z",IF($D104=2,2*$B104,$B104),IF($C104="m",3*$B104,0)))))</f>
        <v>191.22534990000005</v>
      </c>
      <c r="T104" s="11">
        <f t="shared" ref="T104:T106" si="128">IF(AND($C104="j",$D104&gt;=7,$D104&lt;=9),$B104,IF(AND($C104="h",$D104&gt;=1,$D104&lt;=3),$B104,IF(AND($C104="q",$D104&gt;=1,$D104&lt;=3),$B104,IF($C104="z",IF($D104=1,2*$B104,$B104),IF($C104="m",3*$B104,0)))))</f>
        <v>191.22534990000005</v>
      </c>
      <c r="U104" s="185">
        <f t="shared" ref="U104:U106" si="129">IF(AND($C104="j",$D104&gt;=10,$D104&lt;=12),$B104,IF(AND($C104="h",$D104&gt;=4,$D104&lt;=6),$B104,IF(AND($C104="q",$D104&gt;=1,$D104&lt;=3),$B104,IF($C104="z",IF($D104=2,2*$B104,$B104),IF($C104="m",3*$B104,0)))))</f>
        <v>191.22534990000005</v>
      </c>
      <c r="V104" s="12">
        <f t="shared" ref="V104:V106" si="130">SUM(R104:U104)</f>
        <v>764.90139960000022</v>
      </c>
      <c r="W104" s="12">
        <f t="shared" ref="W104:X106" si="131">IF($C104="j",$B104,IF($C104="h",2*$B104,IF($C104="q",4*$B104,IF($C104="z",6*$B104,12*$B104))))</f>
        <v>764.90139960000022</v>
      </c>
      <c r="X104" s="13">
        <f t="shared" si="131"/>
        <v>764.90139960000022</v>
      </c>
      <c r="Z104" s="570">
        <f t="shared" ref="Z104:Z106" si="132">Q104/12</f>
        <v>63.74178330000003</v>
      </c>
    </row>
    <row r="105" spans="1:26" ht="18.75" customHeight="1" x14ac:dyDescent="0.25">
      <c r="A105" s="93" t="s">
        <v>117</v>
      </c>
      <c r="B105" s="94">
        <f>B25*0.043%</f>
        <v>7.6136018941666679</v>
      </c>
      <c r="C105" s="95" t="s">
        <v>45</v>
      </c>
      <c r="D105" s="96" t="s">
        <v>48</v>
      </c>
      <c r="E105" s="10">
        <f t="shared" si="124"/>
        <v>7.6136018941666679</v>
      </c>
      <c r="F105" s="11">
        <f t="shared" si="123"/>
        <v>7.6136018941666679</v>
      </c>
      <c r="G105" s="11">
        <f t="shared" si="123"/>
        <v>7.6136018941666679</v>
      </c>
      <c r="H105" s="11">
        <f t="shared" si="123"/>
        <v>7.6136018941666679</v>
      </c>
      <c r="I105" s="11">
        <f t="shared" si="123"/>
        <v>7.6136018941666679</v>
      </c>
      <c r="J105" s="11">
        <f t="shared" si="123"/>
        <v>7.6136018941666679</v>
      </c>
      <c r="K105" s="11">
        <f t="shared" si="123"/>
        <v>7.6136018941666679</v>
      </c>
      <c r="L105" s="11">
        <f t="shared" si="123"/>
        <v>7.6136018941666679</v>
      </c>
      <c r="M105" s="11">
        <f t="shared" si="123"/>
        <v>7.6136018941666679</v>
      </c>
      <c r="N105" s="11">
        <f t="shared" si="123"/>
        <v>7.6136018941666679</v>
      </c>
      <c r="O105" s="11">
        <f t="shared" si="123"/>
        <v>7.6136018941666679</v>
      </c>
      <c r="P105" s="185">
        <f t="shared" si="123"/>
        <v>7.6136018941666679</v>
      </c>
      <c r="Q105" s="12">
        <f t="shared" si="125"/>
        <v>91.363222730000004</v>
      </c>
      <c r="R105" s="308">
        <f t="shared" si="126"/>
        <v>22.840805682500005</v>
      </c>
      <c r="S105" s="11">
        <f t="shared" si="127"/>
        <v>22.840805682500005</v>
      </c>
      <c r="T105" s="11">
        <f t="shared" si="128"/>
        <v>22.840805682500005</v>
      </c>
      <c r="U105" s="185">
        <f t="shared" si="129"/>
        <v>22.840805682500005</v>
      </c>
      <c r="V105" s="12">
        <f t="shared" si="130"/>
        <v>91.363222730000018</v>
      </c>
      <c r="W105" s="12">
        <f t="shared" si="131"/>
        <v>91.363222730000018</v>
      </c>
      <c r="X105" s="13">
        <f t="shared" si="131"/>
        <v>91.363222730000018</v>
      </c>
      <c r="Z105" s="570">
        <f t="shared" si="132"/>
        <v>7.613601894166667</v>
      </c>
    </row>
    <row r="106" spans="1:26" ht="18.75" customHeight="1" thickBot="1" x14ac:dyDescent="0.3">
      <c r="A106" s="97"/>
      <c r="B106" s="98"/>
      <c r="C106" s="99"/>
      <c r="D106" s="100"/>
      <c r="E106" s="14">
        <f t="shared" si="124"/>
        <v>0</v>
      </c>
      <c r="F106" s="15">
        <f t="shared" si="123"/>
        <v>0</v>
      </c>
      <c r="G106" s="15">
        <f t="shared" si="123"/>
        <v>0</v>
      </c>
      <c r="H106" s="15">
        <f t="shared" si="123"/>
        <v>0</v>
      </c>
      <c r="I106" s="15">
        <f t="shared" si="123"/>
        <v>0</v>
      </c>
      <c r="J106" s="15">
        <f t="shared" si="123"/>
        <v>0</v>
      </c>
      <c r="K106" s="15">
        <f t="shared" si="123"/>
        <v>0</v>
      </c>
      <c r="L106" s="15">
        <f t="shared" si="123"/>
        <v>0</v>
      </c>
      <c r="M106" s="15">
        <f t="shared" si="123"/>
        <v>0</v>
      </c>
      <c r="N106" s="15">
        <f t="shared" si="123"/>
        <v>0</v>
      </c>
      <c r="O106" s="15">
        <f t="shared" si="123"/>
        <v>0</v>
      </c>
      <c r="P106" s="668">
        <f t="shared" si="123"/>
        <v>0</v>
      </c>
      <c r="Q106" s="16">
        <f t="shared" si="125"/>
        <v>0</v>
      </c>
      <c r="R106" s="565">
        <f t="shared" si="126"/>
        <v>0</v>
      </c>
      <c r="S106" s="15">
        <f t="shared" si="127"/>
        <v>0</v>
      </c>
      <c r="T106" s="15">
        <f t="shared" si="128"/>
        <v>0</v>
      </c>
      <c r="U106" s="668">
        <f t="shared" si="129"/>
        <v>0</v>
      </c>
      <c r="V106" s="16">
        <f t="shared" si="130"/>
        <v>0</v>
      </c>
      <c r="W106" s="16">
        <f t="shared" si="131"/>
        <v>0</v>
      </c>
      <c r="X106" s="17">
        <f t="shared" si="131"/>
        <v>0</v>
      </c>
      <c r="Z106" s="575">
        <f t="shared" si="132"/>
        <v>0</v>
      </c>
    </row>
    <row r="107" spans="1:26" ht="7.5" customHeight="1" thickTop="1" thickBot="1" x14ac:dyDescent="0.3">
      <c r="A107" s="101"/>
      <c r="B107" s="102"/>
      <c r="C107" s="103"/>
      <c r="D107" s="104"/>
      <c r="E107" s="27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9"/>
      <c r="Q107" s="33"/>
      <c r="R107" s="31"/>
      <c r="S107" s="28"/>
      <c r="T107" s="28"/>
      <c r="U107" s="29"/>
      <c r="V107" s="33"/>
      <c r="W107" s="33"/>
      <c r="X107" s="34"/>
      <c r="Z107" s="571"/>
    </row>
    <row r="108" spans="1:26" s="625" customFormat="1" ht="18.75" customHeight="1" thickBot="1" x14ac:dyDescent="0.3">
      <c r="A108" s="572" t="s">
        <v>50</v>
      </c>
      <c r="B108" s="573">
        <f>Z108</f>
        <v>138.02205186083336</v>
      </c>
      <c r="D108" s="626"/>
      <c r="E108" s="627">
        <f>SUM(E103:E107)</f>
        <v>71.355385194166686</v>
      </c>
      <c r="F108" s="549">
        <f t="shared" ref="F108:X108" si="133">SUM(F103:F107)</f>
        <v>271.35538519416667</v>
      </c>
      <c r="G108" s="549">
        <f t="shared" si="133"/>
        <v>71.355385194166686</v>
      </c>
      <c r="H108" s="549">
        <f t="shared" si="133"/>
        <v>71.355385194166686</v>
      </c>
      <c r="I108" s="549">
        <f t="shared" si="133"/>
        <v>271.35538519416667</v>
      </c>
      <c r="J108" s="549">
        <f t="shared" si="133"/>
        <v>71.355385194166686</v>
      </c>
      <c r="K108" s="549">
        <f t="shared" si="133"/>
        <v>71.355385194166686</v>
      </c>
      <c r="L108" s="549">
        <f t="shared" si="133"/>
        <v>271.35538519416667</v>
      </c>
      <c r="M108" s="549">
        <f t="shared" si="133"/>
        <v>71.355385194166686</v>
      </c>
      <c r="N108" s="549">
        <f t="shared" si="133"/>
        <v>71.355385194166686</v>
      </c>
      <c r="O108" s="549">
        <f t="shared" si="133"/>
        <v>271.35538519416667</v>
      </c>
      <c r="P108" s="36">
        <f t="shared" si="133"/>
        <v>71.355385194166686</v>
      </c>
      <c r="Q108" s="37">
        <f t="shared" si="133"/>
        <v>1656.2646223300003</v>
      </c>
      <c r="R108" s="548">
        <f t="shared" si="133"/>
        <v>414.06615558250007</v>
      </c>
      <c r="S108" s="549">
        <f t="shared" si="133"/>
        <v>414.06615558250007</v>
      </c>
      <c r="T108" s="549">
        <f t="shared" si="133"/>
        <v>414.06615558250007</v>
      </c>
      <c r="U108" s="36">
        <f t="shared" si="133"/>
        <v>414.06615558250007</v>
      </c>
      <c r="V108" s="37">
        <f t="shared" si="133"/>
        <v>1656.2646223300003</v>
      </c>
      <c r="W108" s="37">
        <f t="shared" si="133"/>
        <v>1656.2646223300003</v>
      </c>
      <c r="X108" s="38">
        <f t="shared" si="133"/>
        <v>1656.2646223300003</v>
      </c>
      <c r="Z108" s="574">
        <f>SUM(Z103:Z106)</f>
        <v>138.02205186083336</v>
      </c>
    </row>
    <row r="109" spans="1:26" ht="15.75" thickBot="1" x14ac:dyDescent="0.3"/>
    <row r="110" spans="1:26" ht="15" customHeight="1" x14ac:dyDescent="0.25">
      <c r="A110" s="761" t="s">
        <v>80</v>
      </c>
      <c r="B110" s="763" t="s">
        <v>19</v>
      </c>
      <c r="C110" s="763" t="s">
        <v>44</v>
      </c>
      <c r="D110" s="765" t="s">
        <v>245</v>
      </c>
      <c r="E110" s="744" t="s">
        <v>20</v>
      </c>
      <c r="F110" s="743"/>
      <c r="G110" s="743"/>
      <c r="H110" s="743"/>
      <c r="I110" s="743"/>
      <c r="J110" s="743"/>
      <c r="K110" s="743"/>
      <c r="L110" s="743"/>
      <c r="M110" s="743"/>
      <c r="N110" s="743"/>
      <c r="O110" s="743"/>
      <c r="P110" s="743"/>
      <c r="Q110" s="740" t="s">
        <v>20</v>
      </c>
      <c r="R110" s="742" t="s">
        <v>25</v>
      </c>
      <c r="S110" s="743"/>
      <c r="T110" s="743"/>
      <c r="U110" s="743"/>
      <c r="V110" s="740" t="s">
        <v>25</v>
      </c>
      <c r="W110" s="740" t="s">
        <v>26</v>
      </c>
      <c r="X110" s="751" t="s">
        <v>27</v>
      </c>
      <c r="Z110" s="759" t="s">
        <v>49</v>
      </c>
    </row>
    <row r="111" spans="1:26" ht="15.75" thickBot="1" x14ac:dyDescent="0.3">
      <c r="A111" s="762"/>
      <c r="B111" s="764"/>
      <c r="C111" s="764"/>
      <c r="D111" s="766"/>
      <c r="E111" s="1">
        <v>1</v>
      </c>
      <c r="F111" s="2">
        <v>2</v>
      </c>
      <c r="G111" s="2">
        <v>3</v>
      </c>
      <c r="H111" s="2">
        <v>4</v>
      </c>
      <c r="I111" s="2">
        <v>5</v>
      </c>
      <c r="J111" s="2">
        <v>6</v>
      </c>
      <c r="K111" s="2">
        <v>7</v>
      </c>
      <c r="L111" s="2">
        <v>8</v>
      </c>
      <c r="M111" s="2">
        <v>9</v>
      </c>
      <c r="N111" s="2">
        <v>10</v>
      </c>
      <c r="O111" s="2">
        <v>11</v>
      </c>
      <c r="P111" s="3">
        <v>12</v>
      </c>
      <c r="Q111" s="741"/>
      <c r="R111" s="4" t="s">
        <v>21</v>
      </c>
      <c r="S111" s="2" t="s">
        <v>22</v>
      </c>
      <c r="T111" s="2" t="s">
        <v>23</v>
      </c>
      <c r="U111" s="3" t="s">
        <v>24</v>
      </c>
      <c r="V111" s="741"/>
      <c r="W111" s="741"/>
      <c r="X111" s="752"/>
      <c r="Z111" s="760"/>
    </row>
    <row r="112" spans="1:26" ht="18.75" customHeight="1" thickTop="1" x14ac:dyDescent="0.25">
      <c r="A112" s="92"/>
      <c r="B112" s="18"/>
      <c r="C112" s="19"/>
      <c r="D112" s="20"/>
      <c r="E112" s="6">
        <f t="shared" ref="E112:P113" si="134">IF(AND($C112="j",$D112=E$32),$B112,IF($C112="h",$B112*IF($D112=IF(MOD(E$32,6)=0,6,MOD(E$32,6)),1,0),IF($C112="q",$B112*IF($D112=IF(MOD(E$32,3)=0,3,MOD(E$32,3)),1,0),IF($C112="z",$B112*IF($D112=IF(MOD(E$32,2)=0,2,MOD(E$32,2)),1,0),IF($C112="m",$B112,0)))))</f>
        <v>0</v>
      </c>
      <c r="F112" s="7">
        <f t="shared" si="134"/>
        <v>0</v>
      </c>
      <c r="G112" s="7">
        <f t="shared" si="134"/>
        <v>0</v>
      </c>
      <c r="H112" s="7">
        <f t="shared" si="134"/>
        <v>0</v>
      </c>
      <c r="I112" s="7">
        <f t="shared" si="134"/>
        <v>0</v>
      </c>
      <c r="J112" s="7">
        <f t="shared" si="134"/>
        <v>0</v>
      </c>
      <c r="K112" s="7">
        <f t="shared" si="134"/>
        <v>0</v>
      </c>
      <c r="L112" s="7">
        <f t="shared" si="134"/>
        <v>0</v>
      </c>
      <c r="M112" s="7">
        <f t="shared" si="134"/>
        <v>0</v>
      </c>
      <c r="N112" s="7">
        <f t="shared" si="134"/>
        <v>0</v>
      </c>
      <c r="O112" s="7">
        <f t="shared" si="134"/>
        <v>0</v>
      </c>
      <c r="P112" s="180">
        <f t="shared" si="134"/>
        <v>0</v>
      </c>
      <c r="Q112" s="8">
        <f>SUM(E112:P112)</f>
        <v>0</v>
      </c>
      <c r="R112" s="307">
        <f>IF(AND($C112="j",$D112&gt;=1,$D112&lt;=3),$B112,IF(AND($C112="h",$D112&gt;=1,$D112&lt;=3),$B112,IF(AND($C112="q",$D112&gt;=1,$D112&lt;=3),$B112,IF($C112="z",IF($D112=1,2*$B112,$B112),IF($C112="m",3*$B112,0)))))</f>
        <v>0</v>
      </c>
      <c r="S112" s="7">
        <f>IF(AND($C112="j",$D112&gt;=4,$D112&lt;=6),$B112,IF(AND($C112="h",$D112&gt;=4,$D112&lt;=6),$B112,IF(AND($C112="q",$D112&gt;=1,$D112&lt;=3),$B112,IF($C112="z",IF($D112=2,2*$B112,$B112),IF($C112="m",3*$B112,0)))))</f>
        <v>0</v>
      </c>
      <c r="T112" s="7">
        <f>IF(AND($C112="j",$D112&gt;=7,$D112&lt;=9),$B112,IF(AND($C112="h",$D112&gt;=1,$D112&lt;=3),$B112,IF(AND($C112="q",$D112&gt;=1,$D112&lt;=3),$B112,IF($C112="z",IF($D112=1,2*$B112,$B112),IF($C112="m",3*$B112,0)))))</f>
        <v>0</v>
      </c>
      <c r="U112" s="180">
        <f>IF(AND($C112="j",$D112&gt;=10,$D112&lt;=12),$B112,IF(AND($C112="h",$D112&gt;=4,$D112&lt;=6),$B112,IF(AND($C112="q",$D112&gt;=1,$D112&lt;=3),$B112,IF($C112="z",IF($D112=2,2*$B112,$B112),IF($C112="m",3*$B112,0)))))</f>
        <v>0</v>
      </c>
      <c r="V112" s="8">
        <f>SUM(R112:U112)</f>
        <v>0</v>
      </c>
      <c r="W112" s="8">
        <f>IF($C112="j",$B112,IF($C112="h",2*$B112,IF($C112="q",4*$B112,IF($C112="z",6*$B112,12*$B112))))</f>
        <v>0</v>
      </c>
      <c r="X112" s="9">
        <f>IF($C112="j",$B112,IF($C112="h",2*$B112,IF($C112="q",4*$B112,IF($C112="z",6*$B112,12*$B112))))</f>
        <v>0</v>
      </c>
      <c r="Z112" s="569">
        <f>Q112/12</f>
        <v>0</v>
      </c>
    </row>
    <row r="113" spans="1:26" ht="18.75" customHeight="1" thickBot="1" x14ac:dyDescent="0.3">
      <c r="A113" s="97"/>
      <c r="B113" s="98"/>
      <c r="C113" s="99"/>
      <c r="D113" s="100"/>
      <c r="E113" s="14">
        <f t="shared" si="134"/>
        <v>0</v>
      </c>
      <c r="F113" s="15">
        <f t="shared" si="134"/>
        <v>0</v>
      </c>
      <c r="G113" s="15">
        <f t="shared" si="134"/>
        <v>0</v>
      </c>
      <c r="H113" s="15">
        <f t="shared" si="134"/>
        <v>0</v>
      </c>
      <c r="I113" s="15">
        <f t="shared" si="134"/>
        <v>0</v>
      </c>
      <c r="J113" s="15">
        <f t="shared" si="134"/>
        <v>0</v>
      </c>
      <c r="K113" s="15">
        <f t="shared" si="134"/>
        <v>0</v>
      </c>
      <c r="L113" s="15">
        <f t="shared" si="134"/>
        <v>0</v>
      </c>
      <c r="M113" s="15">
        <f t="shared" si="134"/>
        <v>0</v>
      </c>
      <c r="N113" s="15">
        <f t="shared" si="134"/>
        <v>0</v>
      </c>
      <c r="O113" s="15">
        <f t="shared" si="134"/>
        <v>0</v>
      </c>
      <c r="P113" s="668">
        <f t="shared" si="134"/>
        <v>0</v>
      </c>
      <c r="Q113" s="16">
        <f t="shared" ref="Q113" si="135">SUM(E113:P113)</f>
        <v>0</v>
      </c>
      <c r="R113" s="565">
        <f t="shared" ref="R113" si="136">IF(AND($C113="j",$D113&gt;=1,$D113&lt;=3),$B113,IF(AND($C113="h",$D113&gt;=1,$D113&lt;=3),$B113,IF(AND($C113="q",$D113&gt;=1,$D113&lt;=3),$B113,IF($C113="z",IF($D113=1,2*$B113,$B113),IF($C113="m",3*$B113,0)))))</f>
        <v>0</v>
      </c>
      <c r="S113" s="15">
        <f t="shared" ref="S113" si="137">IF(AND($C113="j",$D113&gt;=4,$D113&lt;=6),$B113,IF(AND($C113="h",$D113&gt;=4,$D113&lt;=6),$B113,IF(AND($C113="q",$D113&gt;=1,$D113&lt;=3),$B113,IF($C113="z",IF($D113=2,2*$B113,$B113),IF($C113="m",3*$B113,0)))))</f>
        <v>0</v>
      </c>
      <c r="T113" s="15">
        <f t="shared" ref="T113" si="138">IF(AND($C113="j",$D113&gt;=7,$D113&lt;=9),$B113,IF(AND($C113="h",$D113&gt;=1,$D113&lt;=3),$B113,IF(AND($C113="q",$D113&gt;=1,$D113&lt;=3),$B113,IF($C113="z",IF($D113=1,2*$B113,$B113),IF($C113="m",3*$B113,0)))))</f>
        <v>0</v>
      </c>
      <c r="U113" s="668">
        <f t="shared" ref="U113" si="139">IF(AND($C113="j",$D113&gt;=10,$D113&lt;=12),$B113,IF(AND($C113="h",$D113&gt;=4,$D113&lt;=6),$B113,IF(AND($C113="q",$D113&gt;=1,$D113&lt;=3),$B113,IF($C113="z",IF($D113=2,2*$B113,$B113),IF($C113="m",3*$B113,0)))))</f>
        <v>0</v>
      </c>
      <c r="V113" s="16">
        <f t="shared" ref="V113" si="140">SUM(R113:U113)</f>
        <v>0</v>
      </c>
      <c r="W113" s="16">
        <f t="shared" ref="W113:X113" si="141">IF($C113="j",$B113,IF($C113="h",2*$B113,IF($C113="q",4*$B113,IF($C113="z",6*$B113,12*$B113))))</f>
        <v>0</v>
      </c>
      <c r="X113" s="17">
        <f t="shared" si="141"/>
        <v>0</v>
      </c>
      <c r="Z113" s="575">
        <f t="shared" ref="Z113" si="142">Q113/12</f>
        <v>0</v>
      </c>
    </row>
    <row r="114" spans="1:26" ht="7.5" customHeight="1" thickTop="1" thickBot="1" x14ac:dyDescent="0.3">
      <c r="A114" s="101"/>
      <c r="B114" s="102"/>
      <c r="C114" s="103"/>
      <c r="D114" s="104"/>
      <c r="E114" s="27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9"/>
      <c r="Q114" s="33"/>
      <c r="R114" s="31"/>
      <c r="S114" s="28"/>
      <c r="T114" s="28"/>
      <c r="U114" s="29"/>
      <c r="V114" s="33"/>
      <c r="W114" s="33"/>
      <c r="X114" s="34"/>
      <c r="Z114" s="571"/>
    </row>
    <row r="115" spans="1:26" s="625" customFormat="1" ht="18.75" customHeight="1" thickBot="1" x14ac:dyDescent="0.3">
      <c r="A115" s="572" t="s">
        <v>50</v>
      </c>
      <c r="B115" s="573">
        <f>Z115</f>
        <v>0</v>
      </c>
      <c r="D115" s="626"/>
      <c r="E115" s="627">
        <f t="shared" ref="E115:X115" si="143">SUM(E112:E114)</f>
        <v>0</v>
      </c>
      <c r="F115" s="549">
        <f t="shared" si="143"/>
        <v>0</v>
      </c>
      <c r="G115" s="549">
        <f t="shared" si="143"/>
        <v>0</v>
      </c>
      <c r="H115" s="549">
        <f t="shared" si="143"/>
        <v>0</v>
      </c>
      <c r="I115" s="549">
        <f t="shared" si="143"/>
        <v>0</v>
      </c>
      <c r="J115" s="549">
        <f t="shared" si="143"/>
        <v>0</v>
      </c>
      <c r="K115" s="549">
        <f t="shared" si="143"/>
        <v>0</v>
      </c>
      <c r="L115" s="549">
        <f t="shared" si="143"/>
        <v>0</v>
      </c>
      <c r="M115" s="549">
        <f t="shared" si="143"/>
        <v>0</v>
      </c>
      <c r="N115" s="549">
        <f t="shared" si="143"/>
        <v>0</v>
      </c>
      <c r="O115" s="549">
        <f t="shared" si="143"/>
        <v>0</v>
      </c>
      <c r="P115" s="36">
        <f t="shared" si="143"/>
        <v>0</v>
      </c>
      <c r="Q115" s="37">
        <f t="shared" si="143"/>
        <v>0</v>
      </c>
      <c r="R115" s="548">
        <f t="shared" si="143"/>
        <v>0</v>
      </c>
      <c r="S115" s="549">
        <f t="shared" si="143"/>
        <v>0</v>
      </c>
      <c r="T115" s="549">
        <f t="shared" si="143"/>
        <v>0</v>
      </c>
      <c r="U115" s="36">
        <f t="shared" si="143"/>
        <v>0</v>
      </c>
      <c r="V115" s="37">
        <f t="shared" si="143"/>
        <v>0</v>
      </c>
      <c r="W115" s="37">
        <f t="shared" si="143"/>
        <v>0</v>
      </c>
      <c r="X115" s="38">
        <f t="shared" si="143"/>
        <v>0</v>
      </c>
      <c r="Z115" s="574">
        <f>SUM(Z112:Z113)</f>
        <v>0</v>
      </c>
    </row>
    <row r="116" spans="1:26" ht="15.75" thickBot="1" x14ac:dyDescent="0.3"/>
    <row r="117" spans="1:26" ht="15" customHeight="1" x14ac:dyDescent="0.25">
      <c r="A117" s="761" t="s">
        <v>81</v>
      </c>
      <c r="B117" s="763" t="s">
        <v>19</v>
      </c>
      <c r="C117" s="763" t="s">
        <v>44</v>
      </c>
      <c r="D117" s="765" t="s">
        <v>245</v>
      </c>
      <c r="E117" s="744" t="s">
        <v>20</v>
      </c>
      <c r="F117" s="743"/>
      <c r="G117" s="743"/>
      <c r="H117" s="743"/>
      <c r="I117" s="743"/>
      <c r="J117" s="743"/>
      <c r="K117" s="743"/>
      <c r="L117" s="743"/>
      <c r="M117" s="743"/>
      <c r="N117" s="743"/>
      <c r="O117" s="743"/>
      <c r="P117" s="743"/>
      <c r="Q117" s="740" t="s">
        <v>20</v>
      </c>
      <c r="R117" s="742" t="s">
        <v>25</v>
      </c>
      <c r="S117" s="743"/>
      <c r="T117" s="743"/>
      <c r="U117" s="743"/>
      <c r="V117" s="740" t="s">
        <v>25</v>
      </c>
      <c r="W117" s="740" t="s">
        <v>26</v>
      </c>
      <c r="X117" s="751" t="s">
        <v>27</v>
      </c>
      <c r="Z117" s="759" t="s">
        <v>49</v>
      </c>
    </row>
    <row r="118" spans="1:26" ht="15.75" thickBot="1" x14ac:dyDescent="0.3">
      <c r="A118" s="762"/>
      <c r="B118" s="764"/>
      <c r="C118" s="764"/>
      <c r="D118" s="766"/>
      <c r="E118" s="1">
        <v>1</v>
      </c>
      <c r="F118" s="2">
        <v>2</v>
      </c>
      <c r="G118" s="2">
        <v>3</v>
      </c>
      <c r="H118" s="2">
        <v>4</v>
      </c>
      <c r="I118" s="2">
        <v>5</v>
      </c>
      <c r="J118" s="2">
        <v>6</v>
      </c>
      <c r="K118" s="2">
        <v>7</v>
      </c>
      <c r="L118" s="2">
        <v>8</v>
      </c>
      <c r="M118" s="2">
        <v>9</v>
      </c>
      <c r="N118" s="2">
        <v>10</v>
      </c>
      <c r="O118" s="2">
        <v>11</v>
      </c>
      <c r="P118" s="3">
        <v>12</v>
      </c>
      <c r="Q118" s="741"/>
      <c r="R118" s="4" t="s">
        <v>21</v>
      </c>
      <c r="S118" s="2" t="s">
        <v>22</v>
      </c>
      <c r="T118" s="2" t="s">
        <v>23</v>
      </c>
      <c r="U118" s="3" t="s">
        <v>24</v>
      </c>
      <c r="V118" s="741"/>
      <c r="W118" s="741"/>
      <c r="X118" s="752"/>
      <c r="Z118" s="760"/>
    </row>
    <row r="119" spans="1:26" ht="18.75" customHeight="1" thickTop="1" x14ac:dyDescent="0.25">
      <c r="A119" s="92" t="s">
        <v>131</v>
      </c>
      <c r="B119" s="18">
        <v>1500</v>
      </c>
      <c r="C119" s="19" t="s">
        <v>45</v>
      </c>
      <c r="D119" s="20" t="s">
        <v>48</v>
      </c>
      <c r="E119" s="6">
        <f t="shared" ref="E119:P120" si="144">IF(AND($C119="j",$D119=E$32),$B119,IF($C119="h",$B119*IF($D119=IF(MOD(E$32,6)=0,6,MOD(E$32,6)),1,0),IF($C119="q",$B119*IF($D119=IF(MOD(E$32,3)=0,3,MOD(E$32,3)),1,0),IF($C119="z",$B119*IF($D119=IF(MOD(E$32,2)=0,2,MOD(E$32,2)),1,0),IF($C119="m",$B119,0)))))</f>
        <v>1500</v>
      </c>
      <c r="F119" s="7">
        <f t="shared" si="144"/>
        <v>1500</v>
      </c>
      <c r="G119" s="7">
        <f t="shared" si="144"/>
        <v>1500</v>
      </c>
      <c r="H119" s="7">
        <f t="shared" si="144"/>
        <v>1500</v>
      </c>
      <c r="I119" s="7">
        <f t="shared" si="144"/>
        <v>1500</v>
      </c>
      <c r="J119" s="7">
        <f t="shared" si="144"/>
        <v>1500</v>
      </c>
      <c r="K119" s="7">
        <f t="shared" si="144"/>
        <v>1500</v>
      </c>
      <c r="L119" s="7">
        <f t="shared" si="144"/>
        <v>1500</v>
      </c>
      <c r="M119" s="7">
        <f t="shared" si="144"/>
        <v>1500</v>
      </c>
      <c r="N119" s="7">
        <f t="shared" si="144"/>
        <v>1500</v>
      </c>
      <c r="O119" s="7">
        <f t="shared" si="144"/>
        <v>1500</v>
      </c>
      <c r="P119" s="180">
        <f t="shared" si="144"/>
        <v>1500</v>
      </c>
      <c r="Q119" s="8">
        <f>SUM(E119:P119)</f>
        <v>18000</v>
      </c>
      <c r="R119" s="307">
        <f>IF(AND($C119="j",$D119&gt;=1,$D119&lt;=3),$B119,IF(AND($C119="h",$D119&gt;=1,$D119&lt;=3),$B119,IF(AND($C119="q",$D119&gt;=1,$D119&lt;=3),$B119,IF($C119="z",IF($D119=1,2*$B119,$B119),IF($C119="m",3*$B119,0)))))</f>
        <v>4500</v>
      </c>
      <c r="S119" s="7">
        <f>IF(AND($C119="j",$D119&gt;=4,$D119&lt;=6),$B119,IF(AND($C119="h",$D119&gt;=4,$D119&lt;=6),$B119,IF(AND($C119="q",$D119&gt;=1,$D119&lt;=3),$B119,IF($C119="z",IF($D119=2,2*$B119,$B119),IF($C119="m",3*$B119,0)))))</f>
        <v>4500</v>
      </c>
      <c r="T119" s="7">
        <f>IF(AND($C119="j",$D119&gt;=7,$D119&lt;=9),$B119,IF(AND($C119="h",$D119&gt;=1,$D119&lt;=3),$B119,IF(AND($C119="q",$D119&gt;=1,$D119&lt;=3),$B119,IF($C119="z",IF($D119=1,2*$B119,$B119),IF($C119="m",3*$B119,0)))))</f>
        <v>4500</v>
      </c>
      <c r="U119" s="180">
        <f>IF(AND($C119="j",$D119&gt;=10,$D119&lt;=12),$B119,IF(AND($C119="h",$D119&gt;=4,$D119&lt;=6),$B119,IF(AND($C119="q",$D119&gt;=1,$D119&lt;=3),$B119,IF($C119="z",IF($D119=2,2*$B119,$B119),IF($C119="m",3*$B119,0)))))</f>
        <v>4500</v>
      </c>
      <c r="V119" s="8">
        <v>0</v>
      </c>
      <c r="W119" s="8">
        <v>0</v>
      </c>
      <c r="X119" s="9">
        <v>0</v>
      </c>
      <c r="Z119" s="569">
        <f>Q119/12</f>
        <v>1500</v>
      </c>
    </row>
    <row r="120" spans="1:26" ht="18.75" customHeight="1" thickBot="1" x14ac:dyDescent="0.3">
      <c r="A120" s="97"/>
      <c r="B120" s="98"/>
      <c r="C120" s="99"/>
      <c r="D120" s="100"/>
      <c r="E120" s="14">
        <f t="shared" si="144"/>
        <v>0</v>
      </c>
      <c r="F120" s="15">
        <f t="shared" si="144"/>
        <v>0</v>
      </c>
      <c r="G120" s="15">
        <f t="shared" si="144"/>
        <v>0</v>
      </c>
      <c r="H120" s="15">
        <f t="shared" si="144"/>
        <v>0</v>
      </c>
      <c r="I120" s="15">
        <f t="shared" si="144"/>
        <v>0</v>
      </c>
      <c r="J120" s="15">
        <f t="shared" si="144"/>
        <v>0</v>
      </c>
      <c r="K120" s="15">
        <f t="shared" si="144"/>
        <v>0</v>
      </c>
      <c r="L120" s="15">
        <f t="shared" si="144"/>
        <v>0</v>
      </c>
      <c r="M120" s="15">
        <f t="shared" si="144"/>
        <v>0</v>
      </c>
      <c r="N120" s="15">
        <f t="shared" si="144"/>
        <v>0</v>
      </c>
      <c r="O120" s="15">
        <f t="shared" si="144"/>
        <v>0</v>
      </c>
      <c r="P120" s="668">
        <f t="shared" si="144"/>
        <v>0</v>
      </c>
      <c r="Q120" s="16">
        <f t="shared" ref="Q120" si="145">SUM(E120:P120)</f>
        <v>0</v>
      </c>
      <c r="R120" s="565">
        <f t="shared" ref="R120" si="146">IF(AND($C120="j",$D120&gt;=1,$D120&lt;=3),$B120,IF(AND($C120="h",$D120&gt;=1,$D120&lt;=3),$B120,IF(AND($C120="q",$D120&gt;=1,$D120&lt;=3),$B120,IF($C120="z",IF($D120=1,2*$B120,$B120),IF($C120="m",3*$B120,0)))))</f>
        <v>0</v>
      </c>
      <c r="S120" s="15">
        <f t="shared" ref="S120" si="147">IF(AND($C120="j",$D120&gt;=4,$D120&lt;=6),$B120,IF(AND($C120="h",$D120&gt;=4,$D120&lt;=6),$B120,IF(AND($C120="q",$D120&gt;=1,$D120&lt;=3),$B120,IF($C120="z",IF($D120=2,2*$B120,$B120),IF($C120="m",3*$B120,0)))))</f>
        <v>0</v>
      </c>
      <c r="T120" s="15">
        <f t="shared" ref="T120" si="148">IF(AND($C120="j",$D120&gt;=7,$D120&lt;=9),$B120,IF(AND($C120="h",$D120&gt;=1,$D120&lt;=3),$B120,IF(AND($C120="q",$D120&gt;=1,$D120&lt;=3),$B120,IF($C120="z",IF($D120=1,2*$B120,$B120),IF($C120="m",3*$B120,0)))))</f>
        <v>0</v>
      </c>
      <c r="U120" s="668">
        <f t="shared" ref="U120" si="149">IF(AND($C120="j",$D120&gt;=10,$D120&lt;=12),$B120,IF(AND($C120="h",$D120&gt;=4,$D120&lt;=6),$B120,IF(AND($C120="q",$D120&gt;=1,$D120&lt;=3),$B120,IF($C120="z",IF($D120=2,2*$B120,$B120),IF($C120="m",3*$B120,0)))))</f>
        <v>0</v>
      </c>
      <c r="V120" s="16">
        <f t="shared" ref="V120" si="150">SUM(R120:U120)</f>
        <v>0</v>
      </c>
      <c r="W120" s="16">
        <f t="shared" ref="W120:X120" si="151">IF($C120="j",$B120,IF($C120="h",2*$B120,IF($C120="q",4*$B120,IF($C120="z",6*$B120,12*$B120))))</f>
        <v>0</v>
      </c>
      <c r="X120" s="17">
        <f t="shared" si="151"/>
        <v>0</v>
      </c>
      <c r="Z120" s="575">
        <f t="shared" ref="Z120" si="152">Q120/12</f>
        <v>0</v>
      </c>
    </row>
    <row r="121" spans="1:26" ht="7.5" customHeight="1" thickTop="1" thickBot="1" x14ac:dyDescent="0.3">
      <c r="A121" s="101"/>
      <c r="B121" s="102"/>
      <c r="C121" s="103"/>
      <c r="D121" s="104"/>
      <c r="E121" s="27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9"/>
      <c r="Q121" s="33"/>
      <c r="R121" s="31"/>
      <c r="S121" s="28"/>
      <c r="T121" s="28"/>
      <c r="U121" s="29"/>
      <c r="V121" s="33"/>
      <c r="W121" s="33"/>
      <c r="X121" s="34"/>
      <c r="Z121" s="571"/>
    </row>
    <row r="122" spans="1:26" s="625" customFormat="1" ht="18.75" customHeight="1" thickBot="1" x14ac:dyDescent="0.3">
      <c r="A122" s="572" t="s">
        <v>50</v>
      </c>
      <c r="B122" s="573">
        <f>Z122</f>
        <v>1500</v>
      </c>
      <c r="D122" s="626"/>
      <c r="E122" s="627">
        <f>SUM(E119:E121)</f>
        <v>1500</v>
      </c>
      <c r="F122" s="549">
        <f t="shared" ref="F122:X122" si="153">SUM(F119:F121)</f>
        <v>1500</v>
      </c>
      <c r="G122" s="549">
        <f t="shared" si="153"/>
        <v>1500</v>
      </c>
      <c r="H122" s="549">
        <f t="shared" si="153"/>
        <v>1500</v>
      </c>
      <c r="I122" s="549">
        <f t="shared" si="153"/>
        <v>1500</v>
      </c>
      <c r="J122" s="549">
        <f t="shared" si="153"/>
        <v>1500</v>
      </c>
      <c r="K122" s="549">
        <f t="shared" si="153"/>
        <v>1500</v>
      </c>
      <c r="L122" s="549">
        <f t="shared" si="153"/>
        <v>1500</v>
      </c>
      <c r="M122" s="549">
        <f t="shared" si="153"/>
        <v>1500</v>
      </c>
      <c r="N122" s="549">
        <f t="shared" si="153"/>
        <v>1500</v>
      </c>
      <c r="O122" s="549">
        <f t="shared" si="153"/>
        <v>1500</v>
      </c>
      <c r="P122" s="36">
        <f t="shared" si="153"/>
        <v>1500</v>
      </c>
      <c r="Q122" s="37">
        <f t="shared" si="153"/>
        <v>18000</v>
      </c>
      <c r="R122" s="548">
        <f t="shared" si="153"/>
        <v>4500</v>
      </c>
      <c r="S122" s="549">
        <f t="shared" si="153"/>
        <v>4500</v>
      </c>
      <c r="T122" s="549">
        <f t="shared" si="153"/>
        <v>4500</v>
      </c>
      <c r="U122" s="36">
        <f t="shared" si="153"/>
        <v>4500</v>
      </c>
      <c r="V122" s="37">
        <f t="shared" si="153"/>
        <v>0</v>
      </c>
      <c r="W122" s="37">
        <f t="shared" si="153"/>
        <v>0</v>
      </c>
      <c r="X122" s="38">
        <f t="shared" si="153"/>
        <v>0</v>
      </c>
      <c r="Z122" s="574">
        <f>SUM(Z119:Z120)</f>
        <v>1500</v>
      </c>
    </row>
    <row r="123" spans="1:26" ht="15.75" thickBot="1" x14ac:dyDescent="0.3"/>
    <row r="124" spans="1:26" ht="15" customHeight="1" x14ac:dyDescent="0.25">
      <c r="A124" s="761" t="s">
        <v>82</v>
      </c>
      <c r="B124" s="763" t="s">
        <v>19</v>
      </c>
      <c r="C124" s="763" t="s">
        <v>44</v>
      </c>
      <c r="D124" s="765" t="s">
        <v>245</v>
      </c>
      <c r="E124" s="744" t="s">
        <v>20</v>
      </c>
      <c r="F124" s="743"/>
      <c r="G124" s="743"/>
      <c r="H124" s="743"/>
      <c r="I124" s="743"/>
      <c r="J124" s="743"/>
      <c r="K124" s="743"/>
      <c r="L124" s="743"/>
      <c r="M124" s="743"/>
      <c r="N124" s="743"/>
      <c r="O124" s="743"/>
      <c r="P124" s="743"/>
      <c r="Q124" s="740" t="s">
        <v>20</v>
      </c>
      <c r="R124" s="742" t="s">
        <v>25</v>
      </c>
      <c r="S124" s="743"/>
      <c r="T124" s="743"/>
      <c r="U124" s="743"/>
      <c r="V124" s="740" t="s">
        <v>25</v>
      </c>
      <c r="W124" s="740" t="s">
        <v>26</v>
      </c>
      <c r="X124" s="751" t="s">
        <v>27</v>
      </c>
      <c r="Z124" s="759" t="s">
        <v>49</v>
      </c>
    </row>
    <row r="125" spans="1:26" ht="15.75" thickBot="1" x14ac:dyDescent="0.3">
      <c r="A125" s="762"/>
      <c r="B125" s="764"/>
      <c r="C125" s="764"/>
      <c r="D125" s="766"/>
      <c r="E125" s="1">
        <v>1</v>
      </c>
      <c r="F125" s="2">
        <v>2</v>
      </c>
      <c r="G125" s="2">
        <v>3</v>
      </c>
      <c r="H125" s="2">
        <v>4</v>
      </c>
      <c r="I125" s="2">
        <v>5</v>
      </c>
      <c r="J125" s="2">
        <v>6</v>
      </c>
      <c r="K125" s="2">
        <v>7</v>
      </c>
      <c r="L125" s="2">
        <v>8</v>
      </c>
      <c r="M125" s="2">
        <v>9</v>
      </c>
      <c r="N125" s="2">
        <v>10</v>
      </c>
      <c r="O125" s="2">
        <v>11</v>
      </c>
      <c r="P125" s="3">
        <v>12</v>
      </c>
      <c r="Q125" s="741"/>
      <c r="R125" s="4" t="s">
        <v>21</v>
      </c>
      <c r="S125" s="2" t="s">
        <v>22</v>
      </c>
      <c r="T125" s="2" t="s">
        <v>23</v>
      </c>
      <c r="U125" s="3" t="s">
        <v>24</v>
      </c>
      <c r="V125" s="741"/>
      <c r="W125" s="741"/>
      <c r="X125" s="752"/>
      <c r="Z125" s="760"/>
    </row>
    <row r="126" spans="1:26" ht="18.75" customHeight="1" thickTop="1" x14ac:dyDescent="0.25">
      <c r="A126" s="92" t="s">
        <v>143</v>
      </c>
      <c r="B126" s="18">
        <v>50</v>
      </c>
      <c r="C126" s="19" t="s">
        <v>118</v>
      </c>
      <c r="D126" s="20">
        <v>1</v>
      </c>
      <c r="E126" s="6">
        <f>IF(AND($C126="j",$D126=E$32),$B126,IF($C126="h",$B126*IF($D126=IF(MOD(E$32,6)=0,6,MOD(E$32,6)),1,0),IF($C126="q",$B126*IF($D126=IF(MOD(E$32,3)=0,3,MOD(E$32,3)),1,0),IF($C126="z",$B126*IF($D126=IF(MOD(E$32,2)=0,2,MOD(E$32,2)),1,0),IF($C126="m",$B126,0)))))</f>
        <v>50</v>
      </c>
      <c r="F126" s="7">
        <f t="shared" ref="F126:P127" si="154">IF(AND($C126="j",$D126=F$32),$B126,IF($C126="h",$B126*IF($D126=IF(MOD(F$32,6)=0,6,MOD(F$32,6)),1,0),IF($C126="q",$B126*IF($D126=IF(MOD(F$32,3)=0,3,MOD(F$32,3)),1,0),IF($C126="z",$B126*IF($D126=IF(MOD(F$32,2)=0,2,MOD(F$32,2)),1,0),IF($C126="m",$B126,0)))))</f>
        <v>0</v>
      </c>
      <c r="G126" s="7">
        <f t="shared" si="154"/>
        <v>0</v>
      </c>
      <c r="H126" s="7">
        <f t="shared" si="154"/>
        <v>50</v>
      </c>
      <c r="I126" s="7">
        <f t="shared" si="154"/>
        <v>0</v>
      </c>
      <c r="J126" s="7">
        <f t="shared" si="154"/>
        <v>0</v>
      </c>
      <c r="K126" s="7">
        <f t="shared" si="154"/>
        <v>50</v>
      </c>
      <c r="L126" s="7">
        <f t="shared" si="154"/>
        <v>0</v>
      </c>
      <c r="M126" s="7">
        <f t="shared" si="154"/>
        <v>0</v>
      </c>
      <c r="N126" s="7">
        <f t="shared" si="154"/>
        <v>50</v>
      </c>
      <c r="O126" s="7">
        <f t="shared" si="154"/>
        <v>0</v>
      </c>
      <c r="P126" s="180">
        <f t="shared" si="154"/>
        <v>0</v>
      </c>
      <c r="Q126" s="8">
        <f>SUM(E126:P126)</f>
        <v>200</v>
      </c>
      <c r="R126" s="307">
        <f>IF(AND($C126="j",$D126&gt;=1,$D126&lt;=3),$B126,IF(AND($C126="h",$D126&gt;=1,$D126&lt;=3),$B126,IF(AND($C126="q",$D126&gt;=1,$D126&lt;=3),$B126,IF($C126="z",IF($D126=1,2*$B126,$B126),IF($C126="m",3*$B126,0)))))</f>
        <v>50</v>
      </c>
      <c r="S126" s="7">
        <f>IF(AND($C126="j",$D126&gt;=4,$D126&lt;=6),$B126,IF(AND($C126="h",$D126&gt;=4,$D126&lt;=6),$B126,IF(AND($C126="q",$D126&gt;=1,$D126&lt;=3),$B126,IF($C126="z",IF($D126=2,2*$B126,$B126),IF($C126="m",3*$B126,0)))))</f>
        <v>50</v>
      </c>
      <c r="T126" s="7">
        <f>IF(AND($C126="j",$D126&gt;=7,$D126&lt;=9),$B126,IF(AND($C126="h",$D126&gt;=1,$D126&lt;=3),$B126,IF(AND($C126="q",$D126&gt;=1,$D126&lt;=3),$B126,IF($C126="z",IF($D126=1,2*$B126,$B126),IF($C126="m",3*$B126,0)))))</f>
        <v>50</v>
      </c>
      <c r="U126" s="180">
        <f>IF(AND($C126="j",$D126&gt;=10,$D126&lt;=12),$B126,IF(AND($C126="h",$D126&gt;=4,$D126&lt;=6),$B126,IF(AND($C126="q",$D126&gt;=1,$D126&lt;=3),$B126,IF($C126="z",IF($D126=2,2*$B126,$B126),IF($C126="m",3*$B126,0)))))</f>
        <v>50</v>
      </c>
      <c r="V126" s="8">
        <f>SUM(R126:U126)</f>
        <v>200</v>
      </c>
      <c r="W126" s="8">
        <f>IF($C126="j",$B126,IF($C126="h",2*$B126,IF($C126="q",4*$B126,IF($C126="z",6*$B126,12*$B126))))</f>
        <v>200</v>
      </c>
      <c r="X126" s="9">
        <f>IF($C126="j",$B126,IF($C126="h",2*$B126,IF($C126="q",4*$B126,IF($C126="z",6*$B126,12*$B126))))</f>
        <v>200</v>
      </c>
      <c r="Z126" s="569">
        <f>Q126/12</f>
        <v>16.666666666666668</v>
      </c>
    </row>
    <row r="127" spans="1:26" ht="18.75" customHeight="1" thickBot="1" x14ac:dyDescent="0.3">
      <c r="A127" s="97"/>
      <c r="B127" s="98"/>
      <c r="C127" s="99"/>
      <c r="D127" s="100"/>
      <c r="E127" s="14">
        <f t="shared" ref="E127" si="155">IF(AND($C127="j",$D127=E$32),$B127,IF($C127="h",$B127*IF($D127=IF(MOD(E$32,6)=0,6,MOD(E$32,6)),1,0),IF($C127="q",$B127*IF($D127=IF(MOD(E$32,3)=0,3,MOD(E$32,3)),1,0),IF($C127="z",$B127*IF($D127=IF(MOD(E$32,2)=0,2,MOD(E$32,2)),1,0),IF($C127="m",$B127,0)))))</f>
        <v>0</v>
      </c>
      <c r="F127" s="15">
        <f t="shared" si="154"/>
        <v>0</v>
      </c>
      <c r="G127" s="15">
        <f t="shared" si="154"/>
        <v>0</v>
      </c>
      <c r="H127" s="15">
        <f t="shared" si="154"/>
        <v>0</v>
      </c>
      <c r="I127" s="15">
        <f t="shared" si="154"/>
        <v>0</v>
      </c>
      <c r="J127" s="15">
        <f t="shared" si="154"/>
        <v>0</v>
      </c>
      <c r="K127" s="15">
        <f t="shared" si="154"/>
        <v>0</v>
      </c>
      <c r="L127" s="15">
        <f t="shared" si="154"/>
        <v>0</v>
      </c>
      <c r="M127" s="15">
        <f t="shared" si="154"/>
        <v>0</v>
      </c>
      <c r="N127" s="15">
        <f t="shared" si="154"/>
        <v>0</v>
      </c>
      <c r="O127" s="15">
        <f t="shared" si="154"/>
        <v>0</v>
      </c>
      <c r="P127" s="668">
        <f t="shared" si="154"/>
        <v>0</v>
      </c>
      <c r="Q127" s="16">
        <f t="shared" ref="Q127" si="156">SUM(E127:P127)</f>
        <v>0</v>
      </c>
      <c r="R127" s="565">
        <f t="shared" ref="R127" si="157">IF(AND($C127="j",$D127&gt;=1,$D127&lt;=3),$B127,IF(AND($C127="h",$D127&gt;=1,$D127&lt;=3),$B127,IF(AND($C127="q",$D127&gt;=1,$D127&lt;=3),$B127,IF($C127="z",IF($D127=1,2*$B127,$B127),IF($C127="m",3*$B127,0)))))</f>
        <v>0</v>
      </c>
      <c r="S127" s="15">
        <f t="shared" ref="S127" si="158">IF(AND($C127="j",$D127&gt;=4,$D127&lt;=6),$B127,IF(AND($C127="h",$D127&gt;=4,$D127&lt;=6),$B127,IF(AND($C127="q",$D127&gt;=1,$D127&lt;=3),$B127,IF($C127="z",IF($D127=2,2*$B127,$B127),IF($C127="m",3*$B127,0)))))</f>
        <v>0</v>
      </c>
      <c r="T127" s="15">
        <f t="shared" ref="T127" si="159">IF(AND($C127="j",$D127&gt;=7,$D127&lt;=9),$B127,IF(AND($C127="h",$D127&gt;=1,$D127&lt;=3),$B127,IF(AND($C127="q",$D127&gt;=1,$D127&lt;=3),$B127,IF($C127="z",IF($D127=1,2*$B127,$B127),IF($C127="m",3*$B127,0)))))</f>
        <v>0</v>
      </c>
      <c r="U127" s="668">
        <f t="shared" ref="U127" si="160">IF(AND($C127="j",$D127&gt;=10,$D127&lt;=12),$B127,IF(AND($C127="h",$D127&gt;=4,$D127&lt;=6),$B127,IF(AND($C127="q",$D127&gt;=1,$D127&lt;=3),$B127,IF($C127="z",IF($D127=2,2*$B127,$B127),IF($C127="m",3*$B127,0)))))</f>
        <v>0</v>
      </c>
      <c r="V127" s="16">
        <f t="shared" ref="V127" si="161">SUM(R127:U127)</f>
        <v>0</v>
      </c>
      <c r="W127" s="16">
        <f t="shared" ref="W127:X127" si="162">IF($C127="j",$B127,IF($C127="h",2*$B127,IF($C127="q",4*$B127,IF($C127="z",6*$B127,12*$B127))))</f>
        <v>0</v>
      </c>
      <c r="X127" s="17">
        <f t="shared" si="162"/>
        <v>0</v>
      </c>
      <c r="Z127" s="575">
        <f t="shared" ref="Z127" si="163">Q127/12</f>
        <v>0</v>
      </c>
    </row>
    <row r="128" spans="1:26" ht="7.5" customHeight="1" thickTop="1" thickBot="1" x14ac:dyDescent="0.3">
      <c r="A128" s="101"/>
      <c r="B128" s="102"/>
      <c r="C128" s="103"/>
      <c r="D128" s="104"/>
      <c r="E128" s="27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9"/>
      <c r="Q128" s="33"/>
      <c r="R128" s="31"/>
      <c r="S128" s="28"/>
      <c r="T128" s="28"/>
      <c r="U128" s="29"/>
      <c r="V128" s="33"/>
      <c r="W128" s="33"/>
      <c r="X128" s="34"/>
      <c r="Z128" s="571"/>
    </row>
    <row r="129" spans="1:26" s="625" customFormat="1" ht="18.75" customHeight="1" thickBot="1" x14ac:dyDescent="0.3">
      <c r="A129" s="572" t="s">
        <v>50</v>
      </c>
      <c r="B129" s="573">
        <f>Z129</f>
        <v>16.666666666666668</v>
      </c>
      <c r="D129" s="626"/>
      <c r="E129" s="627">
        <f>SUM(E126:E128)</f>
        <v>50</v>
      </c>
      <c r="F129" s="549">
        <f t="shared" ref="F129:X129" si="164">SUM(F126:F128)</f>
        <v>0</v>
      </c>
      <c r="G129" s="549">
        <f t="shared" si="164"/>
        <v>0</v>
      </c>
      <c r="H129" s="549">
        <f t="shared" si="164"/>
        <v>50</v>
      </c>
      <c r="I129" s="549">
        <f t="shared" si="164"/>
        <v>0</v>
      </c>
      <c r="J129" s="549">
        <f t="shared" si="164"/>
        <v>0</v>
      </c>
      <c r="K129" s="549">
        <f t="shared" si="164"/>
        <v>50</v>
      </c>
      <c r="L129" s="549">
        <f t="shared" si="164"/>
        <v>0</v>
      </c>
      <c r="M129" s="549">
        <f t="shared" si="164"/>
        <v>0</v>
      </c>
      <c r="N129" s="549">
        <f t="shared" si="164"/>
        <v>50</v>
      </c>
      <c r="O129" s="549">
        <f t="shared" si="164"/>
        <v>0</v>
      </c>
      <c r="P129" s="36">
        <f t="shared" si="164"/>
        <v>0</v>
      </c>
      <c r="Q129" s="37">
        <f t="shared" si="164"/>
        <v>200</v>
      </c>
      <c r="R129" s="548">
        <f t="shared" si="164"/>
        <v>50</v>
      </c>
      <c r="S129" s="549">
        <f t="shared" si="164"/>
        <v>50</v>
      </c>
      <c r="T129" s="549">
        <f t="shared" si="164"/>
        <v>50</v>
      </c>
      <c r="U129" s="36">
        <f t="shared" si="164"/>
        <v>50</v>
      </c>
      <c r="V129" s="37">
        <f t="shared" si="164"/>
        <v>200</v>
      </c>
      <c r="W129" s="37">
        <f t="shared" si="164"/>
        <v>200</v>
      </c>
      <c r="X129" s="38">
        <f t="shared" si="164"/>
        <v>200</v>
      </c>
      <c r="Z129" s="574">
        <f>SUM(Z126:Z127)</f>
        <v>16.666666666666668</v>
      </c>
    </row>
    <row r="130" spans="1:26" ht="15.75" thickBot="1" x14ac:dyDescent="0.3"/>
    <row r="131" spans="1:26" ht="15" customHeight="1" x14ac:dyDescent="0.25">
      <c r="A131" s="761" t="s">
        <v>83</v>
      </c>
      <c r="B131" s="763" t="s">
        <v>19</v>
      </c>
      <c r="C131" s="763" t="s">
        <v>44</v>
      </c>
      <c r="D131" s="765" t="s">
        <v>245</v>
      </c>
      <c r="E131" s="744" t="s">
        <v>20</v>
      </c>
      <c r="F131" s="743"/>
      <c r="G131" s="743"/>
      <c r="H131" s="743"/>
      <c r="I131" s="743"/>
      <c r="J131" s="743"/>
      <c r="K131" s="743"/>
      <c r="L131" s="743"/>
      <c r="M131" s="743"/>
      <c r="N131" s="743"/>
      <c r="O131" s="743"/>
      <c r="P131" s="743"/>
      <c r="Q131" s="740" t="s">
        <v>20</v>
      </c>
      <c r="R131" s="742" t="s">
        <v>25</v>
      </c>
      <c r="S131" s="743"/>
      <c r="T131" s="743"/>
      <c r="U131" s="743"/>
      <c r="V131" s="740" t="s">
        <v>25</v>
      </c>
      <c r="W131" s="740" t="s">
        <v>26</v>
      </c>
      <c r="X131" s="751" t="s">
        <v>27</v>
      </c>
      <c r="Z131" s="759" t="s">
        <v>49</v>
      </c>
    </row>
    <row r="132" spans="1:26" ht="15.75" thickBot="1" x14ac:dyDescent="0.3">
      <c r="A132" s="762"/>
      <c r="B132" s="764"/>
      <c r="C132" s="764"/>
      <c r="D132" s="766"/>
      <c r="E132" s="1">
        <v>1</v>
      </c>
      <c r="F132" s="2">
        <v>2</v>
      </c>
      <c r="G132" s="2">
        <v>3</v>
      </c>
      <c r="H132" s="2">
        <v>4</v>
      </c>
      <c r="I132" s="2">
        <v>5</v>
      </c>
      <c r="J132" s="2">
        <v>6</v>
      </c>
      <c r="K132" s="2">
        <v>7</v>
      </c>
      <c r="L132" s="2">
        <v>8</v>
      </c>
      <c r="M132" s="2">
        <v>9</v>
      </c>
      <c r="N132" s="2">
        <v>10</v>
      </c>
      <c r="O132" s="2">
        <v>11</v>
      </c>
      <c r="P132" s="3">
        <v>12</v>
      </c>
      <c r="Q132" s="741"/>
      <c r="R132" s="4" t="s">
        <v>21</v>
      </c>
      <c r="S132" s="2" t="s">
        <v>22</v>
      </c>
      <c r="T132" s="2" t="s">
        <v>23</v>
      </c>
      <c r="U132" s="3" t="s">
        <v>24</v>
      </c>
      <c r="V132" s="741"/>
      <c r="W132" s="741"/>
      <c r="X132" s="752"/>
      <c r="Z132" s="760"/>
    </row>
    <row r="133" spans="1:26" ht="18.75" customHeight="1" thickTop="1" x14ac:dyDescent="0.25">
      <c r="A133" s="92" t="s">
        <v>136</v>
      </c>
      <c r="B133" s="18">
        <v>5000</v>
      </c>
      <c r="C133" s="19" t="s">
        <v>47</v>
      </c>
      <c r="D133" s="20">
        <v>5</v>
      </c>
      <c r="E133" s="6">
        <f>IF(AND($C133="j",$D133=E$32),$B133,IF($C133="h",$B133*IF($D133=IF(MOD(E$32,6)=0,6,MOD(E$32,6)),1,0),IF($C133="q",$B133*IF($D133=IF(MOD(E$32,3)=0,3,MOD(E$32,3)),1,0),IF($C133="z",$B133*IF($D133=IF(MOD(E$32,2)=0,2,MOD(E$32,2)),1,0),IF($C133="m",$B133,0)))))</f>
        <v>0</v>
      </c>
      <c r="F133" s="7">
        <f t="shared" ref="F133:P135" si="165">IF(AND($C133="j",$D133=F$32),$B133,IF($C133="h",$B133*IF($D133=IF(MOD(F$32,6)=0,6,MOD(F$32,6)),1,0),IF($C133="q",$B133*IF($D133=IF(MOD(F$32,3)=0,3,MOD(F$32,3)),1,0),IF($C133="z",$B133*IF($D133=IF(MOD(F$32,2)=0,2,MOD(F$32,2)),1,0),IF($C133="m",$B133,0)))))</f>
        <v>0</v>
      </c>
      <c r="G133" s="7">
        <f t="shared" si="165"/>
        <v>0</v>
      </c>
      <c r="H133" s="7">
        <f t="shared" si="165"/>
        <v>0</v>
      </c>
      <c r="I133" s="7">
        <f t="shared" si="165"/>
        <v>5000</v>
      </c>
      <c r="J133" s="7">
        <f t="shared" si="165"/>
        <v>0</v>
      </c>
      <c r="K133" s="7">
        <f t="shared" si="165"/>
        <v>0</v>
      </c>
      <c r="L133" s="7">
        <f t="shared" si="165"/>
        <v>0</v>
      </c>
      <c r="M133" s="7">
        <f t="shared" si="165"/>
        <v>0</v>
      </c>
      <c r="N133" s="7">
        <f t="shared" si="165"/>
        <v>0</v>
      </c>
      <c r="O133" s="7">
        <f t="shared" si="165"/>
        <v>0</v>
      </c>
      <c r="P133" s="180">
        <f t="shared" si="165"/>
        <v>0</v>
      </c>
      <c r="Q133" s="8">
        <f>SUM(E133:P133)</f>
        <v>5000</v>
      </c>
      <c r="R133" s="307">
        <f>IF(AND($C133="j",$D133&gt;=1,$D133&lt;=3),$B133,IF(AND($C133="h",$D133&gt;=1,$D133&lt;=3),$B133,IF(AND($C133="q",$D133&gt;=1,$D133&lt;=3),$B133,IF($C133="z",IF($D133=1,2*$B133,$B133),IF($C133="m",3*$B133,0)))))</f>
        <v>0</v>
      </c>
      <c r="S133" s="7">
        <f>IF(AND($C133="j",$D133&gt;=4,$D133&lt;=6),$B133,IF(AND($C133="h",$D133&gt;=4,$D133&lt;=6),$B133,IF(AND($C133="q",$D133&gt;=1,$D133&lt;=3),$B133,IF($C133="z",IF($D133=2,2*$B133,$B133),IF($C133="m",3*$B133,0)))))</f>
        <v>5000</v>
      </c>
      <c r="T133" s="7">
        <f>IF(AND($C133="j",$D133&gt;=7,$D133&lt;=9),$B133,IF(AND($C133="h",$D133&gt;=1,$D133&lt;=3),$B133,IF(AND($C133="q",$D133&gt;=1,$D133&lt;=3),$B133,IF($C133="z",IF($D133=1,2*$B133,$B133),IF($C133="m",3*$B133,0)))))</f>
        <v>0</v>
      </c>
      <c r="U133" s="180">
        <f>IF(AND($C133="j",$D133&gt;=10,$D133&lt;=12),$B133,IF(AND($C133="h",$D133&gt;=4,$D133&lt;=6),$B133,IF(AND($C133="q",$D133&gt;=1,$D133&lt;=3),$B133,IF($C133="z",IF($D133=2,2*$B133,$B133),IF($C133="m",3*$B133,0)))))</f>
        <v>0</v>
      </c>
      <c r="V133" s="8">
        <f>SUM(R133:U133)</f>
        <v>5000</v>
      </c>
      <c r="W133" s="8">
        <f>IF($C133="j",$B133,IF($C133="h",2*$B133,IF($C133="q",4*$B133,IF($C133="z",6*$B133,12*$B133))))</f>
        <v>5000</v>
      </c>
      <c r="X133" s="9">
        <f>IF($C133="j",$B133,IF($C133="h",2*$B133,IF($C133="q",4*$B133,IF($C133="z",6*$B133,12*$B133))))</f>
        <v>5000</v>
      </c>
      <c r="Z133" s="569">
        <f>Q133/12</f>
        <v>416.66666666666669</v>
      </c>
    </row>
    <row r="134" spans="1:26" ht="18.75" customHeight="1" x14ac:dyDescent="0.25">
      <c r="A134" s="93" t="s">
        <v>137</v>
      </c>
      <c r="B134" s="94">
        <v>10000</v>
      </c>
      <c r="C134" s="95" t="s">
        <v>47</v>
      </c>
      <c r="D134" s="96">
        <v>5</v>
      </c>
      <c r="E134" s="10">
        <f t="shared" ref="E134:E135" si="166">IF(AND($C134="j",$D134=E$32),$B134,IF($C134="h",$B134*IF($D134=IF(MOD(E$32,6)=0,6,MOD(E$32,6)),1,0),IF($C134="q",$B134*IF($D134=IF(MOD(E$32,3)=0,3,MOD(E$32,3)),1,0),IF($C134="z",$B134*IF($D134=IF(MOD(E$32,2)=0,2,MOD(E$32,2)),1,0),IF($C134="m",$B134,0)))))</f>
        <v>0</v>
      </c>
      <c r="F134" s="11">
        <f t="shared" si="165"/>
        <v>0</v>
      </c>
      <c r="G134" s="11">
        <f t="shared" si="165"/>
        <v>0</v>
      </c>
      <c r="H134" s="11">
        <f t="shared" si="165"/>
        <v>0</v>
      </c>
      <c r="I134" s="11">
        <f t="shared" si="165"/>
        <v>10000</v>
      </c>
      <c r="J134" s="11">
        <f t="shared" si="165"/>
        <v>0</v>
      </c>
      <c r="K134" s="11">
        <f t="shared" si="165"/>
        <v>0</v>
      </c>
      <c r="L134" s="11">
        <f t="shared" si="165"/>
        <v>0</v>
      </c>
      <c r="M134" s="11">
        <f t="shared" si="165"/>
        <v>0</v>
      </c>
      <c r="N134" s="11">
        <f t="shared" si="165"/>
        <v>0</v>
      </c>
      <c r="O134" s="11">
        <f t="shared" si="165"/>
        <v>0</v>
      </c>
      <c r="P134" s="185">
        <f t="shared" si="165"/>
        <v>0</v>
      </c>
      <c r="Q134" s="12">
        <f t="shared" ref="Q134:Q135" si="167">SUM(E134:P134)</f>
        <v>10000</v>
      </c>
      <c r="R134" s="308">
        <f t="shared" ref="R134:R135" si="168">IF(AND($C134="j",$D134&gt;=1,$D134&lt;=3),$B134,IF(AND($C134="h",$D134&gt;=1,$D134&lt;=3),$B134,IF(AND($C134="q",$D134&gt;=1,$D134&lt;=3),$B134,IF($C134="z",IF($D134=1,2*$B134,$B134),IF($C134="m",3*$B134,0)))))</f>
        <v>0</v>
      </c>
      <c r="S134" s="11">
        <f t="shared" ref="S134:S135" si="169">IF(AND($C134="j",$D134&gt;=4,$D134&lt;=6),$B134,IF(AND($C134="h",$D134&gt;=4,$D134&lt;=6),$B134,IF(AND($C134="q",$D134&gt;=1,$D134&lt;=3),$B134,IF($C134="z",IF($D134=2,2*$B134,$B134),IF($C134="m",3*$B134,0)))))</f>
        <v>10000</v>
      </c>
      <c r="T134" s="11">
        <f t="shared" ref="T134:T135" si="170">IF(AND($C134="j",$D134&gt;=7,$D134&lt;=9),$B134,IF(AND($C134="h",$D134&gt;=1,$D134&lt;=3),$B134,IF(AND($C134="q",$D134&gt;=1,$D134&lt;=3),$B134,IF($C134="z",IF($D134=1,2*$B134,$B134),IF($C134="m",3*$B134,0)))))</f>
        <v>0</v>
      </c>
      <c r="U134" s="185">
        <f t="shared" ref="U134:U135" si="171">IF(AND($C134="j",$D134&gt;=10,$D134&lt;=12),$B134,IF(AND($C134="h",$D134&gt;=4,$D134&lt;=6),$B134,IF(AND($C134="q",$D134&gt;=1,$D134&lt;=3),$B134,IF($C134="z",IF($D134=2,2*$B134,$B134),IF($C134="m",3*$B134,0)))))</f>
        <v>0</v>
      </c>
      <c r="V134" s="12">
        <f t="shared" ref="V134:V135" si="172">SUM(R134:U134)</f>
        <v>10000</v>
      </c>
      <c r="W134" s="12">
        <f t="shared" ref="W134:X135" si="173">IF($C134="j",$B134,IF($C134="h",2*$B134,IF($C134="q",4*$B134,IF($C134="z",6*$B134,12*$B134))))</f>
        <v>10000</v>
      </c>
      <c r="X134" s="13">
        <f t="shared" si="173"/>
        <v>10000</v>
      </c>
      <c r="Z134" s="570">
        <f t="shared" ref="Z134:Z135" si="174">Q134/12</f>
        <v>833.33333333333337</v>
      </c>
    </row>
    <row r="135" spans="1:26" ht="18.75" customHeight="1" thickBot="1" x14ac:dyDescent="0.3">
      <c r="A135" s="97"/>
      <c r="B135" s="98"/>
      <c r="C135" s="99"/>
      <c r="D135" s="100"/>
      <c r="E135" s="14">
        <f t="shared" si="166"/>
        <v>0</v>
      </c>
      <c r="F135" s="15">
        <f t="shared" si="165"/>
        <v>0</v>
      </c>
      <c r="G135" s="15">
        <f t="shared" si="165"/>
        <v>0</v>
      </c>
      <c r="H135" s="15">
        <f t="shared" si="165"/>
        <v>0</v>
      </c>
      <c r="I135" s="15">
        <f t="shared" si="165"/>
        <v>0</v>
      </c>
      <c r="J135" s="15">
        <f t="shared" si="165"/>
        <v>0</v>
      </c>
      <c r="K135" s="15">
        <f t="shared" si="165"/>
        <v>0</v>
      </c>
      <c r="L135" s="15">
        <f t="shared" si="165"/>
        <v>0</v>
      </c>
      <c r="M135" s="15">
        <f t="shared" si="165"/>
        <v>0</v>
      </c>
      <c r="N135" s="15">
        <f t="shared" si="165"/>
        <v>0</v>
      </c>
      <c r="O135" s="15">
        <f t="shared" si="165"/>
        <v>0</v>
      </c>
      <c r="P135" s="668">
        <f t="shared" si="165"/>
        <v>0</v>
      </c>
      <c r="Q135" s="16">
        <f t="shared" si="167"/>
        <v>0</v>
      </c>
      <c r="R135" s="565">
        <f t="shared" si="168"/>
        <v>0</v>
      </c>
      <c r="S135" s="15">
        <f t="shared" si="169"/>
        <v>0</v>
      </c>
      <c r="T135" s="15">
        <f t="shared" si="170"/>
        <v>0</v>
      </c>
      <c r="U135" s="668">
        <f t="shared" si="171"/>
        <v>0</v>
      </c>
      <c r="V135" s="16">
        <f t="shared" si="172"/>
        <v>0</v>
      </c>
      <c r="W135" s="16">
        <f t="shared" si="173"/>
        <v>0</v>
      </c>
      <c r="X135" s="17">
        <f t="shared" si="173"/>
        <v>0</v>
      </c>
      <c r="Z135" s="575">
        <f t="shared" si="174"/>
        <v>0</v>
      </c>
    </row>
    <row r="136" spans="1:26" ht="7.5" customHeight="1" thickTop="1" thickBot="1" x14ac:dyDescent="0.3">
      <c r="A136" s="101"/>
      <c r="B136" s="102"/>
      <c r="C136" s="103"/>
      <c r="D136" s="104"/>
      <c r="E136" s="27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9"/>
      <c r="Q136" s="33"/>
      <c r="R136" s="31"/>
      <c r="S136" s="28"/>
      <c r="T136" s="28"/>
      <c r="U136" s="29"/>
      <c r="V136" s="33"/>
      <c r="W136" s="33"/>
      <c r="X136" s="34"/>
      <c r="Z136" s="571"/>
    </row>
    <row r="137" spans="1:26" ht="18.75" customHeight="1" thickBot="1" x14ac:dyDescent="0.3">
      <c r="A137" s="572" t="s">
        <v>50</v>
      </c>
      <c r="B137" s="573">
        <f>Z137</f>
        <v>1250</v>
      </c>
      <c r="C137" s="625"/>
      <c r="D137" s="626"/>
      <c r="E137" s="627">
        <f>SUM(E133:E136)</f>
        <v>0</v>
      </c>
      <c r="F137" s="549">
        <f t="shared" ref="F137:L137" si="175">SUM(F133:F136)</f>
        <v>0</v>
      </c>
      <c r="G137" s="549">
        <f>SUM(G133:G136)</f>
        <v>0</v>
      </c>
      <c r="H137" s="549">
        <f t="shared" si="175"/>
        <v>0</v>
      </c>
      <c r="I137" s="549">
        <f t="shared" si="175"/>
        <v>15000</v>
      </c>
      <c r="J137" s="549">
        <f t="shared" si="175"/>
        <v>0</v>
      </c>
      <c r="K137" s="549">
        <f t="shared" si="175"/>
        <v>0</v>
      </c>
      <c r="L137" s="549">
        <f t="shared" si="175"/>
        <v>0</v>
      </c>
      <c r="M137" s="549">
        <f t="shared" ref="M137" si="176">SUM(M133:M136)</f>
        <v>0</v>
      </c>
      <c r="N137" s="549">
        <f t="shared" ref="N137" si="177">SUM(N133:N136)</f>
        <v>0</v>
      </c>
      <c r="O137" s="549">
        <f t="shared" ref="O137" si="178">SUM(O133:O136)</f>
        <v>0</v>
      </c>
      <c r="P137" s="36">
        <f t="shared" ref="P137" si="179">SUM(P133:P136)</f>
        <v>0</v>
      </c>
      <c r="Q137" s="37">
        <f t="shared" ref="Q137" si="180">SUM(Q133:Q136)</f>
        <v>15000</v>
      </c>
      <c r="R137" s="548">
        <f t="shared" ref="R137" si="181">SUM(R133:R136)</f>
        <v>0</v>
      </c>
      <c r="S137" s="549">
        <f t="shared" ref="S137" si="182">SUM(S133:S136)</f>
        <v>15000</v>
      </c>
      <c r="T137" s="549">
        <f t="shared" ref="T137" si="183">SUM(T133:T136)</f>
        <v>0</v>
      </c>
      <c r="U137" s="36">
        <f t="shared" ref="U137" si="184">SUM(U133:U136)</f>
        <v>0</v>
      </c>
      <c r="V137" s="37">
        <f t="shared" ref="V137" si="185">SUM(V133:V136)</f>
        <v>15000</v>
      </c>
      <c r="W137" s="37">
        <f t="shared" ref="W137" si="186">SUM(W133:W136)</f>
        <v>15000</v>
      </c>
      <c r="X137" s="38">
        <f t="shared" ref="X137" si="187">SUM(X133:X136)</f>
        <v>15000</v>
      </c>
      <c r="Z137" s="574">
        <f>SUM(Z133:Z135)</f>
        <v>1250</v>
      </c>
    </row>
  </sheetData>
  <mergeCells count="187">
    <mergeCell ref="E6:P6"/>
    <mergeCell ref="Q6:Q7"/>
    <mergeCell ref="R6:U6"/>
    <mergeCell ref="V6:V7"/>
    <mergeCell ref="W6:W7"/>
    <mergeCell ref="X6:X7"/>
    <mergeCell ref="A14:X14"/>
    <mergeCell ref="A20:X20"/>
    <mergeCell ref="B18:C18"/>
    <mergeCell ref="B19:C19"/>
    <mergeCell ref="B17:C17"/>
    <mergeCell ref="B12:C12"/>
    <mergeCell ref="D6:D7"/>
    <mergeCell ref="B21:C21"/>
    <mergeCell ref="B23:B24"/>
    <mergeCell ref="C23:C24"/>
    <mergeCell ref="W31:W32"/>
    <mergeCell ref="X31:X32"/>
    <mergeCell ref="A1:X1"/>
    <mergeCell ref="A31:A32"/>
    <mergeCell ref="B31:B32"/>
    <mergeCell ref="C31:C32"/>
    <mergeCell ref="D31:D32"/>
    <mergeCell ref="E31:P31"/>
    <mergeCell ref="Q31:Q32"/>
    <mergeCell ref="R31:U31"/>
    <mergeCell ref="V31:V32"/>
    <mergeCell ref="A23:A24"/>
    <mergeCell ref="D23:D24"/>
    <mergeCell ref="E23:P23"/>
    <mergeCell ref="B6:C7"/>
    <mergeCell ref="B13:C13"/>
    <mergeCell ref="B11:C11"/>
    <mergeCell ref="B10:C10"/>
    <mergeCell ref="B9:C9"/>
    <mergeCell ref="B8:C8"/>
    <mergeCell ref="B16:C16"/>
    <mergeCell ref="Z23:Z24"/>
    <mergeCell ref="A38:A39"/>
    <mergeCell ref="B38:B39"/>
    <mergeCell ref="C38:C39"/>
    <mergeCell ref="D38:D39"/>
    <mergeCell ref="E38:P38"/>
    <mergeCell ref="Q38:Q39"/>
    <mergeCell ref="R38:U38"/>
    <mergeCell ref="V38:V39"/>
    <mergeCell ref="W38:W39"/>
    <mergeCell ref="X38:X39"/>
    <mergeCell ref="Z38:Z39"/>
    <mergeCell ref="Q23:Q24"/>
    <mergeCell ref="R23:U23"/>
    <mergeCell ref="V23:V24"/>
    <mergeCell ref="W23:W24"/>
    <mergeCell ref="X23:X24"/>
    <mergeCell ref="Z31:Z32"/>
    <mergeCell ref="Z45:Z46"/>
    <mergeCell ref="A54:A55"/>
    <mergeCell ref="B54:B55"/>
    <mergeCell ref="C54:C55"/>
    <mergeCell ref="D54:D55"/>
    <mergeCell ref="E54:P54"/>
    <mergeCell ref="Q54:Q55"/>
    <mergeCell ref="R54:U54"/>
    <mergeCell ref="V54:V55"/>
    <mergeCell ref="W54:W55"/>
    <mergeCell ref="X54:X55"/>
    <mergeCell ref="Z54:Z55"/>
    <mergeCell ref="Q45:Q46"/>
    <mergeCell ref="R45:U45"/>
    <mergeCell ref="V45:V46"/>
    <mergeCell ref="W45:W46"/>
    <mergeCell ref="X45:X46"/>
    <mergeCell ref="A45:A46"/>
    <mergeCell ref="B45:B46"/>
    <mergeCell ref="C45:C46"/>
    <mergeCell ref="D45:D46"/>
    <mergeCell ref="E45:P45"/>
    <mergeCell ref="Z61:Z62"/>
    <mergeCell ref="A69:A70"/>
    <mergeCell ref="B69:B70"/>
    <mergeCell ref="C69:C70"/>
    <mergeCell ref="D69:D70"/>
    <mergeCell ref="E69:P69"/>
    <mergeCell ref="Q69:Q70"/>
    <mergeCell ref="R69:U69"/>
    <mergeCell ref="V69:V70"/>
    <mergeCell ref="W69:W70"/>
    <mergeCell ref="X69:X70"/>
    <mergeCell ref="Z69:Z70"/>
    <mergeCell ref="Q61:Q62"/>
    <mergeCell ref="R61:U61"/>
    <mergeCell ref="V61:V62"/>
    <mergeCell ref="W61:W62"/>
    <mergeCell ref="X61:X62"/>
    <mergeCell ref="A61:A62"/>
    <mergeCell ref="B61:B62"/>
    <mergeCell ref="C61:C62"/>
    <mergeCell ref="D61:D62"/>
    <mergeCell ref="E61:P61"/>
    <mergeCell ref="Z77:Z78"/>
    <mergeCell ref="A85:A86"/>
    <mergeCell ref="B85:B86"/>
    <mergeCell ref="C85:C86"/>
    <mergeCell ref="D85:D86"/>
    <mergeCell ref="E85:P85"/>
    <mergeCell ref="Q85:Q86"/>
    <mergeCell ref="R85:U85"/>
    <mergeCell ref="V85:V86"/>
    <mergeCell ref="W85:W86"/>
    <mergeCell ref="X85:X86"/>
    <mergeCell ref="Z85:Z86"/>
    <mergeCell ref="E77:P77"/>
    <mergeCell ref="Q77:Q78"/>
    <mergeCell ref="R77:U77"/>
    <mergeCell ref="V77:V78"/>
    <mergeCell ref="W77:W78"/>
    <mergeCell ref="A77:A78"/>
    <mergeCell ref="B77:B78"/>
    <mergeCell ref="C77:C78"/>
    <mergeCell ref="D77:D78"/>
    <mergeCell ref="X77:X78"/>
    <mergeCell ref="Z94:Z95"/>
    <mergeCell ref="A101:A102"/>
    <mergeCell ref="B101:B102"/>
    <mergeCell ref="C101:C102"/>
    <mergeCell ref="D101:D102"/>
    <mergeCell ref="E101:P101"/>
    <mergeCell ref="Q101:Q102"/>
    <mergeCell ref="R101:U101"/>
    <mergeCell ref="V101:V102"/>
    <mergeCell ref="W101:W102"/>
    <mergeCell ref="X101:X102"/>
    <mergeCell ref="Z101:Z102"/>
    <mergeCell ref="Q94:Q95"/>
    <mergeCell ref="R94:U94"/>
    <mergeCell ref="V94:V95"/>
    <mergeCell ref="W94:W95"/>
    <mergeCell ref="X94:X95"/>
    <mergeCell ref="A94:A95"/>
    <mergeCell ref="B94:B95"/>
    <mergeCell ref="C94:C95"/>
    <mergeCell ref="D94:D95"/>
    <mergeCell ref="E94:P94"/>
    <mergeCell ref="X117:X118"/>
    <mergeCell ref="Z117:Z118"/>
    <mergeCell ref="Q110:Q111"/>
    <mergeCell ref="R110:U110"/>
    <mergeCell ref="V110:V111"/>
    <mergeCell ref="W110:W111"/>
    <mergeCell ref="X110:X111"/>
    <mergeCell ref="A110:A111"/>
    <mergeCell ref="B110:B111"/>
    <mergeCell ref="C110:C111"/>
    <mergeCell ref="D110:D111"/>
    <mergeCell ref="E110:P110"/>
    <mergeCell ref="A117:A118"/>
    <mergeCell ref="B117:B118"/>
    <mergeCell ref="C117:C118"/>
    <mergeCell ref="D117:D118"/>
    <mergeCell ref="E117:P117"/>
    <mergeCell ref="Q117:Q118"/>
    <mergeCell ref="R117:U117"/>
    <mergeCell ref="V117:V118"/>
    <mergeCell ref="W117:W118"/>
    <mergeCell ref="Z110:Z111"/>
    <mergeCell ref="Z124:Z125"/>
    <mergeCell ref="A131:A132"/>
    <mergeCell ref="B131:B132"/>
    <mergeCell ref="C131:C132"/>
    <mergeCell ref="D131:D132"/>
    <mergeCell ref="E131:P131"/>
    <mergeCell ref="Q131:Q132"/>
    <mergeCell ref="R131:U131"/>
    <mergeCell ref="V131:V132"/>
    <mergeCell ref="W131:W132"/>
    <mergeCell ref="X131:X132"/>
    <mergeCell ref="Z131:Z132"/>
    <mergeCell ref="Q124:Q125"/>
    <mergeCell ref="R124:U124"/>
    <mergeCell ref="V124:V125"/>
    <mergeCell ref="W124:W125"/>
    <mergeCell ref="X124:X125"/>
    <mergeCell ref="A124:A125"/>
    <mergeCell ref="B124:B125"/>
    <mergeCell ref="C124:C125"/>
    <mergeCell ref="D124:D125"/>
    <mergeCell ref="E124:P124"/>
  </mergeCells>
  <dataValidations disablePrompts="1" count="3">
    <dataValidation type="list" allowBlank="1" showInputMessage="1" showErrorMessage="1" sqref="C25:C27 C47:C50 C103:C106 C87:C90 C126:C127 C133:C135 C33:C34 C40:C41 C56:C57 C112:C113 C119:C120 C96:C97 C79:C81 C71:C73 C63:C65">
      <formula1>"j,h,q,z,m"</formula1>
    </dataValidation>
    <dataValidation type="list" allowBlank="1" showInputMessage="1" showErrorMessage="1" sqref="D25:D27 D47:D50 D103:D106 D87:D90 D126:D127 D133:D135 D33:D34 D40:D41 D56:D57 D112:D113 D119:D120 D96:D97 D79:D81 D71:D73 D63:D65">
      <formula1>IF($C25="j",Anually,IF($C25="h",SemiAnually,IF($C25="q",Quaterly,IF($C25="z",Bimonthly,Monthly))))</formula1>
    </dataValidation>
    <dataValidation type="whole" allowBlank="1" showInputMessage="1" showErrorMessage="1" sqref="D8:D12 D16:D18">
      <formula1>1</formula1>
      <formula2>48</formula2>
    </dataValidation>
  </dataValidations>
  <pageMargins left="0.7" right="0.7" top="0.78740157499999996" bottom="0.78740157499999996" header="0.3" footer="0.3"/>
  <pageSetup paperSize="8" scale="62" fitToHeight="0" orientation="landscape" horizontalDpi="0" verticalDpi="0" r:id="rId1"/>
  <rowBreaks count="2" manualBreakCount="2">
    <brk id="53" max="23" man="1"/>
    <brk id="109" max="2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pageSetUpPr fitToPage="1"/>
  </sheetPr>
  <dimension ref="A1:M34"/>
  <sheetViews>
    <sheetView showGridLines="0" view="pageBreakPreview"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27" sqref="A27"/>
    </sheetView>
  </sheetViews>
  <sheetFormatPr baseColWidth="10" defaultRowHeight="15" outlineLevelRow="2" x14ac:dyDescent="0.25"/>
  <cols>
    <col min="1" max="1" width="35.140625" style="39" bestFit="1" customWidth="1"/>
    <col min="2" max="2" width="12.140625" style="39" bestFit="1" customWidth="1"/>
    <col min="3" max="3" width="6.28515625" style="39" bestFit="1" customWidth="1"/>
    <col min="4" max="4" width="9" style="39" bestFit="1" customWidth="1"/>
    <col min="5" max="5" width="6.7109375" style="39" bestFit="1" customWidth="1"/>
    <col min="6" max="6" width="11.85546875" style="39" bestFit="1" customWidth="1"/>
    <col min="7" max="7" width="13" style="39" bestFit="1" customWidth="1"/>
    <col min="8" max="8" width="11.85546875" style="39" bestFit="1" customWidth="1"/>
    <col min="9" max="9" width="13" style="39" bestFit="1" customWidth="1"/>
    <col min="10" max="10" width="11.85546875" style="39" bestFit="1" customWidth="1"/>
    <col min="11" max="11" width="13" style="39" bestFit="1" customWidth="1"/>
    <col min="12" max="13" width="11.85546875" style="39" bestFit="1" customWidth="1"/>
    <col min="14" max="16384" width="11.42578125" style="39"/>
  </cols>
  <sheetData>
    <row r="1" spans="1:13" ht="27" thickBot="1" x14ac:dyDescent="0.3">
      <c r="A1" s="737" t="s">
        <v>132</v>
      </c>
      <c r="B1" s="738"/>
      <c r="C1" s="738"/>
      <c r="D1" s="738"/>
      <c r="E1" s="738"/>
      <c r="F1" s="738"/>
      <c r="G1" s="738"/>
      <c r="H1" s="738"/>
      <c r="I1" s="738"/>
      <c r="J1" s="738"/>
      <c r="K1" s="738"/>
      <c r="L1" s="738"/>
      <c r="M1" s="739"/>
    </row>
    <row r="2" spans="1:13" ht="7.5" customHeight="1" thickBot="1" x14ac:dyDescent="0.3"/>
    <row r="3" spans="1:13" ht="15" customHeight="1" x14ac:dyDescent="0.25">
      <c r="A3" s="753" t="s">
        <v>179</v>
      </c>
      <c r="B3" s="757" t="s">
        <v>181</v>
      </c>
      <c r="C3" s="757" t="s">
        <v>31</v>
      </c>
      <c r="D3" s="757" t="s">
        <v>30</v>
      </c>
      <c r="E3" s="755" t="s">
        <v>180</v>
      </c>
      <c r="F3" s="788" t="s">
        <v>20</v>
      </c>
      <c r="G3" s="789"/>
      <c r="H3" s="742" t="s">
        <v>25</v>
      </c>
      <c r="I3" s="790"/>
      <c r="J3" s="742" t="s">
        <v>26</v>
      </c>
      <c r="K3" s="790"/>
      <c r="L3" s="742" t="s">
        <v>27</v>
      </c>
      <c r="M3" s="784"/>
    </row>
    <row r="4" spans="1:13" s="5" customFormat="1" ht="15" customHeight="1" thickBot="1" x14ac:dyDescent="0.3">
      <c r="A4" s="754"/>
      <c r="B4" s="758"/>
      <c r="C4" s="758"/>
      <c r="D4" s="758"/>
      <c r="E4" s="756"/>
      <c r="F4" s="260" t="s">
        <v>133</v>
      </c>
      <c r="G4" s="261" t="s">
        <v>134</v>
      </c>
      <c r="H4" s="262" t="s">
        <v>133</v>
      </c>
      <c r="I4" s="269" t="s">
        <v>134</v>
      </c>
      <c r="J4" s="262" t="s">
        <v>133</v>
      </c>
      <c r="K4" s="269" t="s">
        <v>134</v>
      </c>
      <c r="L4" s="262" t="s">
        <v>133</v>
      </c>
      <c r="M4" s="383" t="s">
        <v>134</v>
      </c>
    </row>
    <row r="5" spans="1:13" ht="18.75" customHeight="1" outlineLevel="2" thickTop="1" x14ac:dyDescent="0.25">
      <c r="A5" s="485" t="str">
        <f t="array" ref="A5:D14">IF(Investitionsplan!A5:D13="","",Investitionsplan!A5:D13)</f>
        <v>Büroeinrichtung</v>
      </c>
      <c r="B5" s="250">
        <v>25000</v>
      </c>
      <c r="C5" s="112">
        <v>10</v>
      </c>
      <c r="D5" s="112">
        <v>1</v>
      </c>
      <c r="E5" s="113">
        <f>IF($D5="","",IF(OR($D5&lt;=6,AND($D5&gt;12,$D5&lt;=18),AND($D5&gt;24,$D5&lt;=30),AND($D5&gt;36,$D5&lt;=42)),1,2))</f>
        <v>1</v>
      </c>
      <c r="F5" s="6">
        <f>IF($D5&lt;=12,$B5/$C5/$E5,0)</f>
        <v>2500</v>
      </c>
      <c r="G5" s="70">
        <f>IF($D5&lt;=12,$B5-$F5,0)</f>
        <v>22500</v>
      </c>
      <c r="H5" s="71">
        <f>IF($D5&lt;=24,IF($D5&lt;=12,$B5/$C5,$B5/$C5/$E5),0)</f>
        <v>2500</v>
      </c>
      <c r="I5" s="73">
        <f>IF($D5&lt;=24,IF($D5&lt;=12,G5-H5,$B5-H5),0)</f>
        <v>20000</v>
      </c>
      <c r="J5" s="71">
        <f>IF($D5&lt;=36,IF($D5&lt;=24,$B5/$C5,$B5/$C5/$E5),0)</f>
        <v>2500</v>
      </c>
      <c r="K5" s="73">
        <f>IF($D5&lt;=36,IF($D5&lt;=24,I5-J5,$B5-J5),0)</f>
        <v>17500</v>
      </c>
      <c r="L5" s="71">
        <f t="shared" ref="L5:L6" si="0">IFERROR(IF($C5*12+$D5-1&lt;=36,0,IF(IF($D5&lt;=48,IF($D5&lt;=36,$B5/$C5,$B5/$C5/$E5),0)&gt;$K5,$K5,IF($D5&lt;=48,IF($D5&lt;=36,$B5/$C5,$B5/$C5/$E5),0))),0)</f>
        <v>2500</v>
      </c>
      <c r="M5" s="384">
        <f>IF($D5&lt;=48,IF($D5&lt;=36,K5-L5,$B5-L5),0)</f>
        <v>15000</v>
      </c>
    </row>
    <row r="6" spans="1:13" ht="18.75" customHeight="1" outlineLevel="2" x14ac:dyDescent="0.25">
      <c r="A6" s="484" t="str">
        <v>Küchenausstattung</v>
      </c>
      <c r="B6" s="251">
        <v>3000</v>
      </c>
      <c r="C6" s="114">
        <v>5</v>
      </c>
      <c r="D6" s="114">
        <v>1</v>
      </c>
      <c r="E6" s="252">
        <f t="shared" ref="E6:E14" si="1">IF($D6="","",IF(OR($D6&lt;=6,AND($D6&gt;12,$D6&lt;=18),AND($D6&gt;24,$D6&lt;=30),AND($D6&gt;36,$D6&lt;=42)),1,2))</f>
        <v>1</v>
      </c>
      <c r="F6" s="10">
        <f t="shared" ref="F6:F13" si="2">IF($D6&lt;=12,$B6/$C6/$E6,0)</f>
        <v>600</v>
      </c>
      <c r="G6" s="74">
        <f t="shared" ref="G6:G13" si="3">IF($D6&lt;=12,$B6-$F6,0)</f>
        <v>2400</v>
      </c>
      <c r="H6" s="75">
        <f t="shared" ref="H6:H13" si="4">IF($D6&lt;=24,IF($D6&lt;=12,$B6/$C6,$B6/$C6/$E6),0)</f>
        <v>600</v>
      </c>
      <c r="I6" s="77">
        <f t="shared" ref="I6:I13" si="5">IF($D6&lt;=24,IF($D6&lt;=12,G6-H6,$B6-H6),0)</f>
        <v>1800</v>
      </c>
      <c r="J6" s="75">
        <f t="shared" ref="J6:J13" si="6">IF($D6&lt;=36,IF($D6&lt;=24,$B6/$C6,$B6/$C6/$E6),0)</f>
        <v>600</v>
      </c>
      <c r="K6" s="77">
        <f t="shared" ref="K6:K13" si="7">IF($D6&lt;=36,IF($D6&lt;=24,I6-J6,$B6-J6),0)</f>
        <v>1200</v>
      </c>
      <c r="L6" s="75">
        <f t="shared" si="0"/>
        <v>600</v>
      </c>
      <c r="M6" s="385">
        <f t="shared" ref="M6:M13" si="8">IF($D6&lt;=48,IF($D6&lt;=36,K6-L6,$B6-L6),0)</f>
        <v>600</v>
      </c>
    </row>
    <row r="7" spans="1:13" ht="18.75" customHeight="1" outlineLevel="2" x14ac:dyDescent="0.25">
      <c r="A7" s="484" t="str">
        <v>EDV - Ausstattung (allgemein)</v>
      </c>
      <c r="B7" s="251">
        <v>10000</v>
      </c>
      <c r="C7" s="114">
        <v>4</v>
      </c>
      <c r="D7" s="114">
        <v>1</v>
      </c>
      <c r="E7" s="252">
        <f t="shared" si="1"/>
        <v>1</v>
      </c>
      <c r="F7" s="10">
        <f t="shared" si="2"/>
        <v>2500</v>
      </c>
      <c r="G7" s="74">
        <f t="shared" si="3"/>
        <v>7500</v>
      </c>
      <c r="H7" s="75">
        <f t="shared" si="4"/>
        <v>2500</v>
      </c>
      <c r="I7" s="77">
        <f t="shared" si="5"/>
        <v>5000</v>
      </c>
      <c r="J7" s="75">
        <f t="shared" si="6"/>
        <v>2500</v>
      </c>
      <c r="K7" s="77">
        <f t="shared" si="7"/>
        <v>2500</v>
      </c>
      <c r="L7" s="75">
        <f>IFERROR(IF($C7*12+$D7-1&lt;=36,0,IF(IF($D7&lt;=48,IF($D7&lt;=36,$B7/$C7,$B7/$C7/$E7),0)&gt;$K7,$K7,IF($D7&lt;=48,IF($D7&lt;=36,$B7/$C7,$B7/$C7/$E7),0))),0)</f>
        <v>2500</v>
      </c>
      <c r="M7" s="385">
        <f t="shared" si="8"/>
        <v>0</v>
      </c>
    </row>
    <row r="8" spans="1:13" ht="18.75" customHeight="1" outlineLevel="2" x14ac:dyDescent="0.25">
      <c r="A8" s="484" t="str">
        <v>EDV - Ausstattung (Gründer)</v>
      </c>
      <c r="B8" s="251">
        <v>12000</v>
      </c>
      <c r="C8" s="114">
        <v>4</v>
      </c>
      <c r="D8" s="114">
        <v>1</v>
      </c>
      <c r="E8" s="252">
        <f t="shared" si="1"/>
        <v>1</v>
      </c>
      <c r="F8" s="10">
        <f t="shared" si="2"/>
        <v>3000</v>
      </c>
      <c r="G8" s="74">
        <f t="shared" si="3"/>
        <v>9000</v>
      </c>
      <c r="H8" s="75">
        <f t="shared" si="4"/>
        <v>3000</v>
      </c>
      <c r="I8" s="77">
        <f t="shared" si="5"/>
        <v>6000</v>
      </c>
      <c r="J8" s="75">
        <f t="shared" si="6"/>
        <v>3000</v>
      </c>
      <c r="K8" s="77">
        <f t="shared" si="7"/>
        <v>3000</v>
      </c>
      <c r="L8" s="75">
        <f t="shared" ref="L8:L13" si="9">IFERROR(IF($C8*12+$D8-1&lt;=36,0,IF(IF($D8&lt;=48,IF($D8&lt;=36,$B8/$C8,$B8/$C8/$E8),0)&gt;$K8,$K8,IF($D8&lt;=48,IF($D8&lt;=36,$B8/$C8,$B8/$C8/$E8),0))),0)</f>
        <v>3000</v>
      </c>
      <c r="M8" s="385">
        <f t="shared" si="8"/>
        <v>0</v>
      </c>
    </row>
    <row r="9" spans="1:13" ht="18.75" customHeight="1" outlineLevel="2" x14ac:dyDescent="0.25">
      <c r="A9" s="484" t="str">
        <v>EDV - Ausstattung (Mitarbeiter)</v>
      </c>
      <c r="B9" s="251">
        <v>3500</v>
      </c>
      <c r="C9" s="114">
        <v>4</v>
      </c>
      <c r="D9" s="114">
        <v>1</v>
      </c>
      <c r="E9" s="252">
        <f t="shared" si="1"/>
        <v>1</v>
      </c>
      <c r="F9" s="10">
        <f t="shared" si="2"/>
        <v>875</v>
      </c>
      <c r="G9" s="74">
        <f t="shared" si="3"/>
        <v>2625</v>
      </c>
      <c r="H9" s="75">
        <f t="shared" si="4"/>
        <v>875</v>
      </c>
      <c r="I9" s="77">
        <f t="shared" si="5"/>
        <v>1750</v>
      </c>
      <c r="J9" s="75">
        <f t="shared" si="6"/>
        <v>875</v>
      </c>
      <c r="K9" s="77">
        <f t="shared" si="7"/>
        <v>875</v>
      </c>
      <c r="L9" s="75">
        <f t="shared" si="9"/>
        <v>875</v>
      </c>
      <c r="M9" s="385">
        <f t="shared" si="8"/>
        <v>0</v>
      </c>
    </row>
    <row r="10" spans="1:13" ht="18.75" customHeight="1" outlineLevel="2" x14ac:dyDescent="0.25">
      <c r="A10" s="484" t="str">
        <v>Server</v>
      </c>
      <c r="B10" s="251">
        <v>10000</v>
      </c>
      <c r="C10" s="114">
        <v>4</v>
      </c>
      <c r="D10" s="114">
        <v>2</v>
      </c>
      <c r="E10" s="252">
        <f t="shared" si="1"/>
        <v>1</v>
      </c>
      <c r="F10" s="10">
        <f t="shared" si="2"/>
        <v>2500</v>
      </c>
      <c r="G10" s="74">
        <f t="shared" si="3"/>
        <v>7500</v>
      </c>
      <c r="H10" s="75">
        <f t="shared" si="4"/>
        <v>2500</v>
      </c>
      <c r="I10" s="77">
        <f t="shared" si="5"/>
        <v>5000</v>
      </c>
      <c r="J10" s="75">
        <f t="shared" si="6"/>
        <v>2500</v>
      </c>
      <c r="K10" s="77">
        <f t="shared" si="7"/>
        <v>2500</v>
      </c>
      <c r="L10" s="75">
        <f t="shared" si="9"/>
        <v>2500</v>
      </c>
      <c r="M10" s="385">
        <f t="shared" si="8"/>
        <v>0</v>
      </c>
    </row>
    <row r="11" spans="1:13" ht="18.75" customHeight="1" outlineLevel="2" x14ac:dyDescent="0.25">
      <c r="A11" s="253" t="str">
        <v>Messaufbau</v>
      </c>
      <c r="B11" s="254">
        <v>10000</v>
      </c>
      <c r="C11" s="255">
        <v>5</v>
      </c>
      <c r="D11" s="255">
        <v>5</v>
      </c>
      <c r="E11" s="256">
        <f t="shared" si="1"/>
        <v>1</v>
      </c>
      <c r="F11" s="14">
        <f t="shared" si="2"/>
        <v>2000</v>
      </c>
      <c r="G11" s="78">
        <f t="shared" si="3"/>
        <v>8000</v>
      </c>
      <c r="H11" s="79">
        <f t="shared" si="4"/>
        <v>2000</v>
      </c>
      <c r="I11" s="81">
        <f t="shared" si="5"/>
        <v>6000</v>
      </c>
      <c r="J11" s="79">
        <f t="shared" si="6"/>
        <v>2000</v>
      </c>
      <c r="K11" s="81">
        <f t="shared" si="7"/>
        <v>4000</v>
      </c>
      <c r="L11" s="75">
        <f t="shared" si="9"/>
        <v>2000</v>
      </c>
      <c r="M11" s="386">
        <f t="shared" si="8"/>
        <v>2000</v>
      </c>
    </row>
    <row r="12" spans="1:13" ht="18.75" customHeight="1" outlineLevel="2" x14ac:dyDescent="0.25">
      <c r="A12" s="253" t="str">
        <v/>
      </c>
      <c r="B12" s="254" t="str">
        <v/>
      </c>
      <c r="C12" s="255" t="str">
        <v/>
      </c>
      <c r="D12" s="255" t="str">
        <v/>
      </c>
      <c r="E12" s="256" t="str">
        <f t="shared" si="1"/>
        <v/>
      </c>
      <c r="F12" s="14">
        <f t="shared" si="2"/>
        <v>0</v>
      </c>
      <c r="G12" s="78">
        <f t="shared" si="3"/>
        <v>0</v>
      </c>
      <c r="H12" s="79">
        <f t="shared" si="4"/>
        <v>0</v>
      </c>
      <c r="I12" s="81">
        <f t="shared" si="5"/>
        <v>0</v>
      </c>
      <c r="J12" s="79">
        <f t="shared" si="6"/>
        <v>0</v>
      </c>
      <c r="K12" s="81">
        <f t="shared" si="7"/>
        <v>0</v>
      </c>
      <c r="L12" s="75">
        <f t="shared" si="9"/>
        <v>0</v>
      </c>
      <c r="M12" s="386">
        <f t="shared" si="8"/>
        <v>0</v>
      </c>
    </row>
    <row r="13" spans="1:13" ht="18.75" customHeight="1" outlineLevel="2" thickBot="1" x14ac:dyDescent="0.3">
      <c r="A13" s="253" t="str">
        <v/>
      </c>
      <c r="B13" s="254" t="str">
        <v/>
      </c>
      <c r="C13" s="255" t="str">
        <v/>
      </c>
      <c r="D13" s="255" t="str">
        <v/>
      </c>
      <c r="E13" s="256" t="str">
        <f t="shared" si="1"/>
        <v/>
      </c>
      <c r="F13" s="14">
        <f t="shared" si="2"/>
        <v>0</v>
      </c>
      <c r="G13" s="78">
        <f t="shared" si="3"/>
        <v>0</v>
      </c>
      <c r="H13" s="79">
        <f t="shared" si="4"/>
        <v>0</v>
      </c>
      <c r="I13" s="81">
        <f t="shared" si="5"/>
        <v>0</v>
      </c>
      <c r="J13" s="79">
        <f t="shared" si="6"/>
        <v>0</v>
      </c>
      <c r="K13" s="81">
        <f t="shared" si="7"/>
        <v>0</v>
      </c>
      <c r="L13" s="79">
        <f t="shared" si="9"/>
        <v>0</v>
      </c>
      <c r="M13" s="386">
        <f t="shared" si="8"/>
        <v>0</v>
      </c>
    </row>
    <row r="14" spans="1:13" ht="7.5" customHeight="1" outlineLevel="2" thickTop="1" thickBot="1" x14ac:dyDescent="0.3">
      <c r="A14" s="257" t="e">
        <v>#N/A</v>
      </c>
      <c r="B14" s="258" t="e">
        <v>#N/A</v>
      </c>
      <c r="C14" s="258" t="e">
        <v>#N/A</v>
      </c>
      <c r="D14" s="258" t="e">
        <v>#N/A</v>
      </c>
      <c r="E14" s="259" t="e">
        <f t="shared" si="1"/>
        <v>#N/A</v>
      </c>
      <c r="F14" s="27"/>
      <c r="G14" s="30"/>
      <c r="H14" s="31"/>
      <c r="I14" s="32"/>
      <c r="J14" s="31"/>
      <c r="K14" s="32"/>
      <c r="L14" s="31"/>
      <c r="M14" s="387"/>
    </row>
    <row r="15" spans="1:13" ht="18.75" customHeight="1" outlineLevel="1" thickBot="1" x14ac:dyDescent="0.3">
      <c r="A15" s="35" t="s">
        <v>28</v>
      </c>
      <c r="B15" s="537" t="e">
        <f>SUM(B5:B14)</f>
        <v>#N/A</v>
      </c>
      <c r="C15" s="40"/>
      <c r="D15" s="41"/>
      <c r="E15" s="42"/>
      <c r="F15" s="455">
        <f t="shared" ref="F15:M15" si="10">SUM(F5:F14)</f>
        <v>13975</v>
      </c>
      <c r="G15" s="539">
        <f t="shared" si="10"/>
        <v>59525</v>
      </c>
      <c r="H15" s="457">
        <f t="shared" si="10"/>
        <v>13975</v>
      </c>
      <c r="I15" s="540">
        <f t="shared" si="10"/>
        <v>45550</v>
      </c>
      <c r="J15" s="457">
        <f t="shared" si="10"/>
        <v>13975</v>
      </c>
      <c r="K15" s="539">
        <f t="shared" si="10"/>
        <v>31575</v>
      </c>
      <c r="L15" s="457">
        <f t="shared" si="10"/>
        <v>13975</v>
      </c>
      <c r="M15" s="585">
        <f t="shared" si="10"/>
        <v>17600</v>
      </c>
    </row>
    <row r="16" spans="1:13" ht="7.5" customHeight="1" outlineLevel="1" x14ac:dyDescent="0.25">
      <c r="A16" s="745"/>
      <c r="B16" s="746"/>
      <c r="C16" s="746"/>
      <c r="D16" s="746"/>
      <c r="E16" s="746"/>
      <c r="F16" s="746"/>
      <c r="G16" s="746"/>
      <c r="H16" s="746"/>
      <c r="I16" s="746"/>
      <c r="J16" s="746"/>
      <c r="K16" s="746"/>
      <c r="L16" s="746"/>
      <c r="M16" s="747"/>
    </row>
    <row r="17" spans="1:13" ht="18.75" customHeight="1" outlineLevel="1" thickBot="1" x14ac:dyDescent="0.3">
      <c r="A17" s="43" t="s">
        <v>29</v>
      </c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5"/>
    </row>
    <row r="18" spans="1:13" ht="18.75" customHeight="1" outlineLevel="2" thickTop="1" x14ac:dyDescent="0.25">
      <c r="A18" s="485" t="str">
        <f t="array" ref="A18:D20">IF(Investitionsplan!A17:D19="","",Investitionsplan!A17:D19)</f>
        <v>Patentanträge</v>
      </c>
      <c r="B18" s="72">
        <v>20000</v>
      </c>
      <c r="C18" s="112">
        <v>20</v>
      </c>
      <c r="D18" s="112">
        <v>1</v>
      </c>
      <c r="E18" s="633"/>
      <c r="F18" s="276"/>
      <c r="G18" s="70">
        <f>$B18</f>
        <v>20000</v>
      </c>
      <c r="H18" s="278"/>
      <c r="I18" s="73">
        <f>$B18</f>
        <v>20000</v>
      </c>
      <c r="J18" s="278"/>
      <c r="K18" s="270">
        <f>$B18</f>
        <v>20000</v>
      </c>
      <c r="L18" s="278"/>
      <c r="M18" s="272">
        <f>$B18</f>
        <v>20000</v>
      </c>
    </row>
    <row r="19" spans="1:13" ht="18.75" customHeight="1" outlineLevel="2" thickBot="1" x14ac:dyDescent="0.3">
      <c r="A19" s="253" t="str">
        <v/>
      </c>
      <c r="B19" s="586" t="str">
        <v/>
      </c>
      <c r="C19" s="586" t="str">
        <v/>
      </c>
      <c r="D19" s="586" t="str">
        <v/>
      </c>
      <c r="E19" s="634"/>
      <c r="F19" s="277"/>
      <c r="G19" s="78" t="str">
        <f t="shared" ref="G19:M19" si="11">$B19</f>
        <v/>
      </c>
      <c r="H19" s="279"/>
      <c r="I19" s="81" t="str">
        <f t="shared" si="11"/>
        <v/>
      </c>
      <c r="J19" s="279"/>
      <c r="K19" s="271" t="str">
        <f t="shared" si="11"/>
        <v/>
      </c>
      <c r="L19" s="279"/>
      <c r="M19" s="273" t="str">
        <f t="shared" si="11"/>
        <v/>
      </c>
    </row>
    <row r="20" spans="1:13" ht="7.5" customHeight="1" outlineLevel="2" thickTop="1" thickBot="1" x14ac:dyDescent="0.3">
      <c r="A20" s="257" t="str">
        <v/>
      </c>
      <c r="B20" s="258" t="str">
        <v/>
      </c>
      <c r="C20" s="258" t="str">
        <v/>
      </c>
      <c r="D20" s="258" t="str">
        <v/>
      </c>
      <c r="E20" s="635"/>
      <c r="F20" s="636"/>
      <c r="G20" s="30"/>
      <c r="H20" s="637"/>
      <c r="I20" s="32"/>
      <c r="J20" s="637"/>
      <c r="K20" s="30"/>
      <c r="L20" s="637"/>
      <c r="M20" s="274"/>
    </row>
    <row r="21" spans="1:13" ht="18.75" customHeight="1" outlineLevel="1" thickBot="1" x14ac:dyDescent="0.3">
      <c r="A21" s="35" t="s">
        <v>28</v>
      </c>
      <c r="B21" s="537">
        <f>SUM(B16:B20)</f>
        <v>20000</v>
      </c>
      <c r="C21" s="40"/>
      <c r="D21" s="41"/>
      <c r="E21" s="42"/>
      <c r="F21" s="285"/>
      <c r="G21" s="539">
        <f>SUM(G16:G20)</f>
        <v>20000</v>
      </c>
      <c r="H21" s="282"/>
      <c r="I21" s="540">
        <f>SUM(I16:I20)</f>
        <v>20000</v>
      </c>
      <c r="J21" s="282"/>
      <c r="K21" s="539">
        <f>SUM(K16:K20)</f>
        <v>20000</v>
      </c>
      <c r="L21" s="282"/>
      <c r="M21" s="585">
        <f>SUM(M16:M20)</f>
        <v>20000</v>
      </c>
    </row>
    <row r="22" spans="1:13" ht="7.5" customHeight="1" outlineLevel="1" thickBot="1" x14ac:dyDescent="0.3">
      <c r="A22" s="46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5"/>
    </row>
    <row r="23" spans="1:13" s="47" customFormat="1" ht="18.75" customHeight="1" thickBot="1" x14ac:dyDescent="0.3">
      <c r="A23" s="48" t="s">
        <v>32</v>
      </c>
      <c r="B23" s="49" t="e">
        <f>B21+B15</f>
        <v>#N/A</v>
      </c>
      <c r="C23" s="50"/>
      <c r="D23" s="50"/>
      <c r="E23" s="124"/>
      <c r="F23" s="284"/>
      <c r="G23" s="51">
        <f>G21+G15</f>
        <v>79525</v>
      </c>
      <c r="H23" s="283"/>
      <c r="I23" s="51">
        <f>I21+I15</f>
        <v>65550</v>
      </c>
      <c r="J23" s="286"/>
      <c r="K23" s="52">
        <f>K21+K15</f>
        <v>51575</v>
      </c>
      <c r="L23" s="287"/>
      <c r="M23" s="53">
        <f>M21+M15</f>
        <v>37600</v>
      </c>
    </row>
    <row r="24" spans="1:13" ht="7.5" customHeight="1" thickBot="1" x14ac:dyDescent="0.3">
      <c r="A24" s="748"/>
      <c r="B24" s="749"/>
      <c r="C24" s="749"/>
      <c r="D24" s="749"/>
      <c r="E24" s="749"/>
      <c r="F24" s="749"/>
      <c r="G24" s="749"/>
      <c r="H24" s="749"/>
      <c r="I24" s="749"/>
      <c r="J24" s="749"/>
      <c r="K24" s="749"/>
      <c r="L24" s="749"/>
      <c r="M24" s="750"/>
    </row>
    <row r="25" spans="1:13" ht="15" customHeight="1" x14ac:dyDescent="0.25">
      <c r="A25" s="753" t="s">
        <v>249</v>
      </c>
      <c r="B25" s="757" t="s">
        <v>181</v>
      </c>
      <c r="C25" s="757" t="s">
        <v>31</v>
      </c>
      <c r="D25" s="757" t="s">
        <v>30</v>
      </c>
      <c r="E25" s="755" t="s">
        <v>180</v>
      </c>
      <c r="F25" s="788" t="s">
        <v>20</v>
      </c>
      <c r="G25" s="789"/>
      <c r="H25" s="742" t="s">
        <v>25</v>
      </c>
      <c r="I25" s="790"/>
      <c r="J25" s="742" t="s">
        <v>26</v>
      </c>
      <c r="K25" s="790"/>
      <c r="L25" s="742" t="s">
        <v>27</v>
      </c>
      <c r="M25" s="784"/>
    </row>
    <row r="26" spans="1:13" ht="15" customHeight="1" thickBot="1" x14ac:dyDescent="0.3">
      <c r="A26" s="754"/>
      <c r="B26" s="758"/>
      <c r="C26" s="758"/>
      <c r="D26" s="758"/>
      <c r="E26" s="756"/>
      <c r="F26" s="260" t="s">
        <v>133</v>
      </c>
      <c r="G26" s="261" t="s">
        <v>134</v>
      </c>
      <c r="H26" s="262" t="s">
        <v>133</v>
      </c>
      <c r="I26" s="269" t="s">
        <v>134</v>
      </c>
      <c r="J26" s="262" t="s">
        <v>133</v>
      </c>
      <c r="K26" s="269" t="s">
        <v>134</v>
      </c>
      <c r="L26" s="262" t="s">
        <v>133</v>
      </c>
      <c r="M26" s="383" t="s">
        <v>134</v>
      </c>
    </row>
    <row r="27" spans="1:13" ht="18.75" customHeight="1" outlineLevel="1" thickTop="1" x14ac:dyDescent="0.25">
      <c r="A27" s="485" t="str">
        <f t="array" ref="A27:D31">IF(Investitionsplan!A26:D29="","",Investitionsplan!A26:D29)</f>
        <v>Vertriebsauto</v>
      </c>
      <c r="B27" s="72">
        <v>35000</v>
      </c>
      <c r="C27" s="112">
        <v>4</v>
      </c>
      <c r="D27" s="112">
        <v>2</v>
      </c>
      <c r="E27" s="113">
        <f>IF($D27="","",IF(OR($D27&lt;=6,AND($D27&gt;12,$D27&lt;=18),AND($D27&gt;24,$D27&lt;=30),AND($D27&gt;36,$D27&lt;=42)),1,2))</f>
        <v>1</v>
      </c>
      <c r="F27" s="6">
        <f>IF($D27&lt;=12,$B27/$C27/$E27,0)</f>
        <v>8750</v>
      </c>
      <c r="G27" s="70">
        <f>IF($D27&lt;=12,$B27-$F27,0)</f>
        <v>26250</v>
      </c>
      <c r="H27" s="71">
        <f>IF($D27&lt;=24,IF($D27&lt;=12,$B27/$C27,$B27/$C27/$E27),0)</f>
        <v>8750</v>
      </c>
      <c r="I27" s="73">
        <f>IF($D27&lt;=24,IF($D27&lt;=12,G27-H27,$B27-H27),0)</f>
        <v>17500</v>
      </c>
      <c r="J27" s="73">
        <f>IF($D27&lt;=36,IF($D27&lt;=24,$B27/$C27,$B27/$C27/$E27),0)</f>
        <v>8750</v>
      </c>
      <c r="K27" s="8">
        <f>IF($D27&lt;=36,IF($D27&lt;=24,I27-J27,$B27-J27),0)</f>
        <v>8750</v>
      </c>
      <c r="L27" s="264">
        <f t="shared" ref="L27:L30" si="12">IFERROR(IF($C27*12+$D27-1&lt;=36,0,IF(IF($D27&lt;=48,IF($D27&lt;=36,$B27/$C27,$B27/$C27/$E27),0)&gt;$K27,$K27,IF($D27&lt;=48,IF($D27&lt;=36,$B27/$C27,$B27/$C27/$E27),0))),0)</f>
        <v>8750</v>
      </c>
      <c r="M27" s="9">
        <f>IF($D27&lt;=48,IF($D27&lt;=36,K27-L27,$B27-L27),0)</f>
        <v>0</v>
      </c>
    </row>
    <row r="28" spans="1:13" ht="18.75" customHeight="1" outlineLevel="1" x14ac:dyDescent="0.25">
      <c r="A28" s="484" t="str">
        <v>Vertriebsauto</v>
      </c>
      <c r="B28" s="76">
        <v>35000</v>
      </c>
      <c r="C28" s="114">
        <v>4</v>
      </c>
      <c r="D28" s="114">
        <v>13</v>
      </c>
      <c r="E28" s="252">
        <f t="shared" ref="E28:E30" si="13">IF($D28="","",IF(OR($D28&lt;=6,AND($D28&gt;12,$D28&lt;=18),AND($D28&gt;24,$D28&lt;=30),AND($D28&gt;36,$D28&lt;=42)),1,2))</f>
        <v>1</v>
      </c>
      <c r="F28" s="10">
        <f t="shared" ref="F28:F30" si="14">IF($D28&lt;=12,$B28/$C28/$E28,0)</f>
        <v>0</v>
      </c>
      <c r="G28" s="74">
        <f t="shared" ref="G28:G30" si="15">IF($D28&lt;=12,$B28-$F28,0)</f>
        <v>0</v>
      </c>
      <c r="H28" s="75">
        <f t="shared" ref="H28:H30" si="16">IF($D28&lt;=24,IF($D28&lt;=12,$B28/$C28,$B28/$C28/$E28),0)</f>
        <v>8750</v>
      </c>
      <c r="I28" s="77">
        <f t="shared" ref="I28:I30" si="17">IF($D28&lt;=24,IF($D28&lt;=12,G28-H28,$B28-H28),0)</f>
        <v>26250</v>
      </c>
      <c r="J28" s="77">
        <f t="shared" ref="J28:J30" si="18">IF($D28&lt;=36,IF($D28&lt;=24,$B28/$C28,$B28/$C28/$E28),0)</f>
        <v>8750</v>
      </c>
      <c r="K28" s="12">
        <f t="shared" ref="K28:K30" si="19">IF($D28&lt;=36,IF($D28&lt;=24,I28-J28,$B28-J28),0)</f>
        <v>17500</v>
      </c>
      <c r="L28" s="238">
        <f t="shared" si="12"/>
        <v>8750</v>
      </c>
      <c r="M28" s="13">
        <f t="shared" ref="M28:M30" si="20">IF($D28&lt;=48,IF($D28&lt;=36,K28-L28,$B28-L28),0)</f>
        <v>8750</v>
      </c>
    </row>
    <row r="29" spans="1:13" ht="18.75" customHeight="1" outlineLevel="1" x14ac:dyDescent="0.25">
      <c r="A29" s="484" t="str">
        <v/>
      </c>
      <c r="B29" s="76" t="str">
        <v/>
      </c>
      <c r="C29" s="114" t="str">
        <v/>
      </c>
      <c r="D29" s="114" t="str">
        <v/>
      </c>
      <c r="E29" s="252" t="str">
        <f t="shared" si="13"/>
        <v/>
      </c>
      <c r="F29" s="10">
        <f t="shared" si="14"/>
        <v>0</v>
      </c>
      <c r="G29" s="74">
        <f t="shared" si="15"/>
        <v>0</v>
      </c>
      <c r="H29" s="75">
        <f t="shared" si="16"/>
        <v>0</v>
      </c>
      <c r="I29" s="77">
        <f t="shared" si="17"/>
        <v>0</v>
      </c>
      <c r="J29" s="77">
        <f t="shared" si="18"/>
        <v>0</v>
      </c>
      <c r="K29" s="12">
        <f t="shared" si="19"/>
        <v>0</v>
      </c>
      <c r="L29" s="238">
        <f t="shared" si="12"/>
        <v>0</v>
      </c>
      <c r="M29" s="13">
        <f t="shared" si="20"/>
        <v>0</v>
      </c>
    </row>
    <row r="30" spans="1:13" ht="18.75" customHeight="1" outlineLevel="1" thickBot="1" x14ac:dyDescent="0.3">
      <c r="A30" s="494" t="str">
        <v/>
      </c>
      <c r="B30" s="587" t="str">
        <v/>
      </c>
      <c r="C30" s="587" t="str">
        <v/>
      </c>
      <c r="D30" s="587" t="str">
        <v/>
      </c>
      <c r="E30" s="588" t="str">
        <f t="shared" si="13"/>
        <v/>
      </c>
      <c r="F30" s="128">
        <f t="shared" si="14"/>
        <v>0</v>
      </c>
      <c r="G30" s="130">
        <f t="shared" si="15"/>
        <v>0</v>
      </c>
      <c r="H30" s="131">
        <f t="shared" si="16"/>
        <v>0</v>
      </c>
      <c r="I30" s="133">
        <f t="shared" si="17"/>
        <v>0</v>
      </c>
      <c r="J30" s="133">
        <f t="shared" si="18"/>
        <v>0</v>
      </c>
      <c r="K30" s="134">
        <f t="shared" si="19"/>
        <v>0</v>
      </c>
      <c r="L30" s="266">
        <f t="shared" si="12"/>
        <v>0</v>
      </c>
      <c r="M30" s="135">
        <f t="shared" si="20"/>
        <v>0</v>
      </c>
    </row>
    <row r="31" spans="1:13" ht="7.5" customHeight="1" outlineLevel="1" thickTop="1" thickBot="1" x14ac:dyDescent="0.3">
      <c r="A31" s="257" t="e">
        <v>#N/A</v>
      </c>
      <c r="B31" s="258" t="e">
        <v>#N/A</v>
      </c>
      <c r="C31" s="258" t="e">
        <v>#N/A</v>
      </c>
      <c r="D31" s="258" t="e">
        <v>#N/A</v>
      </c>
      <c r="E31" s="259"/>
      <c r="F31" s="27"/>
      <c r="G31" s="30"/>
      <c r="H31" s="31"/>
      <c r="I31" s="32"/>
      <c r="J31" s="32"/>
      <c r="K31" s="33"/>
      <c r="L31" s="265"/>
      <c r="M31" s="34"/>
    </row>
    <row r="32" spans="1:13" ht="18.75" customHeight="1" thickBot="1" x14ac:dyDescent="0.3">
      <c r="A32" s="483" t="s">
        <v>33</v>
      </c>
      <c r="B32" s="65" t="e">
        <f>SUM(B27:B31)</f>
        <v>#N/A</v>
      </c>
      <c r="C32" s="62"/>
      <c r="D32" s="63"/>
      <c r="E32" s="64"/>
      <c r="F32" s="280">
        <f t="shared" ref="F32:M32" si="21">SUM(F27:F31)</f>
        <v>8750</v>
      </c>
      <c r="G32" s="66">
        <f t="shared" si="21"/>
        <v>26250</v>
      </c>
      <c r="H32" s="281">
        <f t="shared" si="21"/>
        <v>17500</v>
      </c>
      <c r="I32" s="67">
        <f t="shared" si="21"/>
        <v>43750</v>
      </c>
      <c r="J32" s="67">
        <f t="shared" si="21"/>
        <v>17500</v>
      </c>
      <c r="K32" s="68">
        <f t="shared" si="21"/>
        <v>26250</v>
      </c>
      <c r="L32" s="267">
        <f t="shared" si="21"/>
        <v>17500</v>
      </c>
      <c r="M32" s="69">
        <f t="shared" si="21"/>
        <v>8750</v>
      </c>
    </row>
    <row r="33" spans="1:13" ht="7.5" customHeight="1" thickBot="1" x14ac:dyDescent="0.3">
      <c r="A33" s="745"/>
      <c r="B33" s="746"/>
      <c r="C33" s="746"/>
      <c r="D33" s="746"/>
      <c r="E33" s="746"/>
      <c r="F33" s="746"/>
      <c r="G33" s="746"/>
      <c r="H33" s="746"/>
      <c r="I33" s="746"/>
      <c r="J33" s="746"/>
      <c r="K33" s="746"/>
      <c r="L33" s="746"/>
      <c r="M33" s="747"/>
    </row>
    <row r="34" spans="1:13" ht="22.5" customHeight="1" thickBot="1" x14ac:dyDescent="0.3">
      <c r="A34" s="275"/>
      <c r="B34" s="785" t="s">
        <v>135</v>
      </c>
      <c r="C34" s="786"/>
      <c r="D34" s="786"/>
      <c r="E34" s="787"/>
      <c r="F34" s="54">
        <f>F32+F15</f>
        <v>22725</v>
      </c>
      <c r="G34" s="56">
        <f>G32+G23</f>
        <v>105775</v>
      </c>
      <c r="H34" s="57">
        <f>H32+H15</f>
        <v>31475</v>
      </c>
      <c r="I34" s="56">
        <f>I32+I23</f>
        <v>109300</v>
      </c>
      <c r="J34" s="263">
        <f>J32+J15</f>
        <v>31475</v>
      </c>
      <c r="K34" s="58">
        <f>K32+K23</f>
        <v>77825</v>
      </c>
      <c r="L34" s="268">
        <f>L32+L15</f>
        <v>31475</v>
      </c>
      <c r="M34" s="59">
        <f>M32+M23</f>
        <v>46350</v>
      </c>
    </row>
  </sheetData>
  <sheetProtection algorithmName="SHA-512" hashValue="9iD6dtYBTIaKPfnEBi1xgs+hI3ILKku1XKXnkx6XyZ2RlWDS8eLPWe//sJ61OEo3N8hxICpDfEiiJdUYdiVKNA==" saltValue="MLTLzrTGwOe292IOSfq2Pg==" spinCount="100000" sheet="1" objects="1" scenarios="1" selectLockedCells="1"/>
  <mergeCells count="23">
    <mergeCell ref="B34:E34"/>
    <mergeCell ref="A16:M16"/>
    <mergeCell ref="A24:M24"/>
    <mergeCell ref="A33:M33"/>
    <mergeCell ref="F3:G3"/>
    <mergeCell ref="H3:I3"/>
    <mergeCell ref="J3:K3"/>
    <mergeCell ref="A25:A26"/>
    <mergeCell ref="B25:B26"/>
    <mergeCell ref="C25:C26"/>
    <mergeCell ref="D25:D26"/>
    <mergeCell ref="E25:E26"/>
    <mergeCell ref="F25:G25"/>
    <mergeCell ref="H25:I25"/>
    <mergeCell ref="J25:K25"/>
    <mergeCell ref="L25:M25"/>
    <mergeCell ref="A1:M1"/>
    <mergeCell ref="A3:A4"/>
    <mergeCell ref="B3:B4"/>
    <mergeCell ref="C3:C4"/>
    <mergeCell ref="D3:D4"/>
    <mergeCell ref="E3:E4"/>
    <mergeCell ref="L3:M3"/>
  </mergeCells>
  <dataValidations count="1">
    <dataValidation type="whole" allowBlank="1" showInputMessage="1" showErrorMessage="1" sqref="D5:E14 D18:E20 D27:E31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pageSetUpPr fitToPage="1"/>
  </sheetPr>
  <dimension ref="A1:X61"/>
  <sheetViews>
    <sheetView showGridLines="0" view="pageBreakPreview" zoomScale="85" zoomScaleNormal="85" zoomScaleSheetLayoutView="85" workbookViewId="0">
      <pane xSplit="4" ySplit="8" topLeftCell="N9" activePane="bottomRight" state="frozen"/>
      <selection pane="topRight" activeCell="D1" sqref="D1"/>
      <selection pane="bottomLeft" activeCell="A9" sqref="A9"/>
      <selection pane="bottomRight" activeCell="X10" sqref="X10"/>
    </sheetView>
  </sheetViews>
  <sheetFormatPr baseColWidth="10" defaultRowHeight="15" outlineLevelRow="1" outlineLevelCol="1" x14ac:dyDescent="0.25"/>
  <cols>
    <col min="1" max="2" width="3.5703125" style="39" customWidth="1"/>
    <col min="3" max="3" width="28.5703125" style="39" customWidth="1"/>
    <col min="4" max="4" width="4.7109375" style="39" bestFit="1" customWidth="1"/>
    <col min="5" max="16" width="14.28515625" style="39" customWidth="1" outlineLevel="1"/>
    <col min="17" max="17" width="14.28515625" style="39" customWidth="1"/>
    <col min="18" max="21" width="14.28515625" style="39" customWidth="1" outlineLevel="1"/>
    <col min="22" max="24" width="14.28515625" style="39" customWidth="1"/>
    <col min="25" max="16384" width="11.42578125" style="39"/>
  </cols>
  <sheetData>
    <row r="1" spans="1:24" ht="27" thickBot="1" x14ac:dyDescent="0.3">
      <c r="A1" s="737" t="s">
        <v>93</v>
      </c>
      <c r="B1" s="738"/>
      <c r="C1" s="738"/>
      <c r="D1" s="738"/>
      <c r="E1" s="738"/>
      <c r="F1" s="738"/>
      <c r="G1" s="738"/>
      <c r="H1" s="738"/>
      <c r="I1" s="738"/>
      <c r="J1" s="738"/>
      <c r="K1" s="738"/>
      <c r="L1" s="738"/>
      <c r="M1" s="738"/>
      <c r="N1" s="738"/>
      <c r="O1" s="738"/>
      <c r="P1" s="738"/>
      <c r="Q1" s="738"/>
      <c r="R1" s="738"/>
      <c r="S1" s="738"/>
      <c r="T1" s="738"/>
      <c r="U1" s="738"/>
      <c r="V1" s="738"/>
      <c r="W1" s="738"/>
      <c r="X1" s="739"/>
    </row>
    <row r="2" spans="1:24" ht="15.75" thickBot="1" x14ac:dyDescent="0.3"/>
    <row r="3" spans="1:24" x14ac:dyDescent="0.25">
      <c r="A3" s="793" t="s">
        <v>103</v>
      </c>
      <c r="B3" s="794"/>
      <c r="C3" s="795"/>
      <c r="D3" s="148">
        <v>0</v>
      </c>
      <c r="E3" s="155"/>
    </row>
    <row r="4" spans="1:24" x14ac:dyDescent="0.25">
      <c r="A4" s="796" t="s">
        <v>104</v>
      </c>
      <c r="B4" s="797"/>
      <c r="C4" s="798"/>
      <c r="D4" s="149">
        <v>0.03</v>
      </c>
      <c r="E4" s="155"/>
    </row>
    <row r="5" spans="1:24" x14ac:dyDescent="0.25">
      <c r="A5" s="796" t="s">
        <v>127</v>
      </c>
      <c r="B5" s="797"/>
      <c r="C5" s="797"/>
      <c r="D5" s="151">
        <v>0.25</v>
      </c>
      <c r="E5" s="155"/>
    </row>
    <row r="6" spans="1:24" ht="15.75" thickBot="1" x14ac:dyDescent="0.3">
      <c r="A6" s="799" t="s">
        <v>100</v>
      </c>
      <c r="B6" s="800"/>
      <c r="C6" s="801"/>
      <c r="D6" s="150">
        <v>0.2</v>
      </c>
      <c r="E6" s="156"/>
    </row>
    <row r="7" spans="1:24" ht="18.75" customHeight="1" x14ac:dyDescent="0.25">
      <c r="A7" s="820" t="s">
        <v>94</v>
      </c>
      <c r="B7" s="821"/>
      <c r="C7" s="821"/>
      <c r="D7" s="822"/>
      <c r="E7" s="743" t="s">
        <v>20</v>
      </c>
      <c r="F7" s="743"/>
      <c r="G7" s="743"/>
      <c r="H7" s="743"/>
      <c r="I7" s="743"/>
      <c r="J7" s="743"/>
      <c r="K7" s="743"/>
      <c r="L7" s="743"/>
      <c r="M7" s="743"/>
      <c r="N7" s="743"/>
      <c r="O7" s="743"/>
      <c r="P7" s="743"/>
      <c r="Q7" s="740" t="s">
        <v>20</v>
      </c>
      <c r="R7" s="742" t="s">
        <v>25</v>
      </c>
      <c r="S7" s="743"/>
      <c r="T7" s="743"/>
      <c r="U7" s="743"/>
      <c r="V7" s="740" t="s">
        <v>25</v>
      </c>
      <c r="W7" s="740" t="s">
        <v>26</v>
      </c>
      <c r="X7" s="751" t="s">
        <v>27</v>
      </c>
    </row>
    <row r="8" spans="1:24" ht="18.75" customHeight="1" thickBot="1" x14ac:dyDescent="0.3">
      <c r="A8" s="823"/>
      <c r="B8" s="824"/>
      <c r="C8" s="824"/>
      <c r="D8" s="825"/>
      <c r="E8" s="111">
        <v>1</v>
      </c>
      <c r="F8" s="2">
        <v>2</v>
      </c>
      <c r="G8" s="2">
        <v>3</v>
      </c>
      <c r="H8" s="2">
        <v>4</v>
      </c>
      <c r="I8" s="2">
        <v>5</v>
      </c>
      <c r="J8" s="2">
        <v>6</v>
      </c>
      <c r="K8" s="2">
        <v>7</v>
      </c>
      <c r="L8" s="2">
        <v>8</v>
      </c>
      <c r="M8" s="2">
        <v>9</v>
      </c>
      <c r="N8" s="2">
        <v>10</v>
      </c>
      <c r="O8" s="2">
        <v>11</v>
      </c>
      <c r="P8" s="3">
        <v>12</v>
      </c>
      <c r="Q8" s="741"/>
      <c r="R8" s="4" t="s">
        <v>21</v>
      </c>
      <c r="S8" s="2" t="s">
        <v>22</v>
      </c>
      <c r="T8" s="2" t="s">
        <v>23</v>
      </c>
      <c r="U8" s="3" t="s">
        <v>24</v>
      </c>
      <c r="V8" s="741"/>
      <c r="W8" s="741"/>
      <c r="X8" s="752"/>
    </row>
    <row r="9" spans="1:24" ht="18.75" customHeight="1" thickTop="1" x14ac:dyDescent="0.25">
      <c r="A9" s="157" t="s">
        <v>108</v>
      </c>
      <c r="B9" s="809" t="s">
        <v>95</v>
      </c>
      <c r="C9" s="809"/>
      <c r="D9" s="810"/>
      <c r="E9" s="147">
        <v>0</v>
      </c>
      <c r="F9" s="18">
        <v>0</v>
      </c>
      <c r="G9" s="18">
        <v>0</v>
      </c>
      <c r="H9" s="18">
        <v>0</v>
      </c>
      <c r="I9" s="18">
        <v>0</v>
      </c>
      <c r="J9" s="18">
        <v>0</v>
      </c>
      <c r="K9" s="18">
        <v>0</v>
      </c>
      <c r="L9" s="18">
        <v>0</v>
      </c>
      <c r="M9" s="18">
        <v>0</v>
      </c>
      <c r="N9" s="18">
        <v>0</v>
      </c>
      <c r="O9" s="18">
        <v>100000</v>
      </c>
      <c r="P9" s="152">
        <v>2400</v>
      </c>
      <c r="Q9" s="8">
        <f>SUM(E9:P9)</f>
        <v>102400</v>
      </c>
      <c r="R9" s="146">
        <v>16000</v>
      </c>
      <c r="S9" s="18">
        <v>116000</v>
      </c>
      <c r="T9" s="18">
        <v>19000</v>
      </c>
      <c r="U9" s="152">
        <v>116000</v>
      </c>
      <c r="V9" s="8">
        <f>SUM(R9:U9)</f>
        <v>267000</v>
      </c>
      <c r="W9" s="144">
        <v>788600</v>
      </c>
      <c r="X9" s="145">
        <v>1091000</v>
      </c>
    </row>
    <row r="10" spans="1:24" ht="18.75" customHeight="1" thickBot="1" x14ac:dyDescent="0.3">
      <c r="A10" s="158" t="s">
        <v>107</v>
      </c>
      <c r="B10" s="811" t="s">
        <v>96</v>
      </c>
      <c r="C10" s="811"/>
      <c r="D10" s="812"/>
      <c r="E10" s="128">
        <f>-(E9*$D$6)</f>
        <v>0</v>
      </c>
      <c r="F10" s="129">
        <f t="shared" ref="F10:P10" si="0">-(F9*$D$6)</f>
        <v>0</v>
      </c>
      <c r="G10" s="129">
        <f t="shared" si="0"/>
        <v>0</v>
      </c>
      <c r="H10" s="129">
        <f t="shared" si="0"/>
        <v>0</v>
      </c>
      <c r="I10" s="129">
        <f t="shared" si="0"/>
        <v>0</v>
      </c>
      <c r="J10" s="129">
        <f t="shared" si="0"/>
        <v>0</v>
      </c>
      <c r="K10" s="129">
        <f t="shared" si="0"/>
        <v>0</v>
      </c>
      <c r="L10" s="129">
        <f t="shared" si="0"/>
        <v>0</v>
      </c>
      <c r="M10" s="129">
        <f t="shared" si="0"/>
        <v>0</v>
      </c>
      <c r="N10" s="129">
        <f t="shared" si="0"/>
        <v>0</v>
      </c>
      <c r="O10" s="129">
        <f t="shared" si="0"/>
        <v>-20000</v>
      </c>
      <c r="P10" s="159">
        <f t="shared" si="0"/>
        <v>-480</v>
      </c>
      <c r="Q10" s="134">
        <f t="shared" ref="Q10:Q40" si="1">SUM(E10:P10)</f>
        <v>-20480</v>
      </c>
      <c r="R10" s="160">
        <f>-(R9*$D$6)</f>
        <v>-3200</v>
      </c>
      <c r="S10" s="129">
        <f t="shared" ref="S10:U10" si="2">-(S9*$D$6)</f>
        <v>-23200</v>
      </c>
      <c r="T10" s="129">
        <f t="shared" si="2"/>
        <v>-3800</v>
      </c>
      <c r="U10" s="159">
        <f t="shared" si="2"/>
        <v>-23200</v>
      </c>
      <c r="V10" s="134">
        <f t="shared" ref="V10:V40" si="3">SUM(R10:U10)</f>
        <v>-53400</v>
      </c>
      <c r="W10" s="134">
        <f>-(W9*$D$6)</f>
        <v>-157720</v>
      </c>
      <c r="X10" s="135">
        <f>-(X9*$D$6)</f>
        <v>-218200</v>
      </c>
    </row>
    <row r="11" spans="1:24" s="171" customFormat="1" ht="7.5" customHeight="1" thickTop="1" x14ac:dyDescent="0.25">
      <c r="A11" s="161"/>
      <c r="B11" s="162"/>
      <c r="C11" s="162"/>
      <c r="D11" s="163"/>
      <c r="E11" s="164"/>
      <c r="F11" s="165"/>
      <c r="G11" s="165"/>
      <c r="H11" s="165"/>
      <c r="I11" s="165"/>
      <c r="J11" s="165"/>
      <c r="K11" s="165"/>
      <c r="L11" s="165"/>
      <c r="M11" s="165"/>
      <c r="N11" s="165"/>
      <c r="O11" s="165"/>
      <c r="P11" s="166"/>
      <c r="Q11" s="167"/>
      <c r="R11" s="168"/>
      <c r="S11" s="165"/>
      <c r="T11" s="165"/>
      <c r="U11" s="166"/>
      <c r="V11" s="167"/>
      <c r="W11" s="169"/>
      <c r="X11" s="170"/>
    </row>
    <row r="12" spans="1:24" ht="18.75" customHeight="1" thickBot="1" x14ac:dyDescent="0.3">
      <c r="A12" s="804" t="s">
        <v>97</v>
      </c>
      <c r="B12" s="805"/>
      <c r="C12" s="805"/>
      <c r="D12" s="806"/>
      <c r="E12" s="172">
        <f t="shared" ref="E12:P12" si="4">E9+E10</f>
        <v>0</v>
      </c>
      <c r="F12" s="173">
        <f t="shared" si="4"/>
        <v>0</v>
      </c>
      <c r="G12" s="173">
        <f t="shared" si="4"/>
        <v>0</v>
      </c>
      <c r="H12" s="173">
        <f t="shared" si="4"/>
        <v>0</v>
      </c>
      <c r="I12" s="173">
        <f t="shared" si="4"/>
        <v>0</v>
      </c>
      <c r="J12" s="173">
        <f t="shared" si="4"/>
        <v>0</v>
      </c>
      <c r="K12" s="173">
        <f t="shared" si="4"/>
        <v>0</v>
      </c>
      <c r="L12" s="173">
        <f t="shared" si="4"/>
        <v>0</v>
      </c>
      <c r="M12" s="173">
        <f t="shared" si="4"/>
        <v>0</v>
      </c>
      <c r="N12" s="173">
        <f t="shared" si="4"/>
        <v>0</v>
      </c>
      <c r="O12" s="173">
        <f t="shared" si="4"/>
        <v>80000</v>
      </c>
      <c r="P12" s="174">
        <f t="shared" si="4"/>
        <v>1920</v>
      </c>
      <c r="Q12" s="175">
        <f t="shared" si="1"/>
        <v>81920</v>
      </c>
      <c r="R12" s="176">
        <f t="shared" ref="R12:X12" si="5">R9+R10</f>
        <v>12800</v>
      </c>
      <c r="S12" s="173">
        <f t="shared" si="5"/>
        <v>92800</v>
      </c>
      <c r="T12" s="173">
        <f t="shared" si="5"/>
        <v>15200</v>
      </c>
      <c r="U12" s="174">
        <f t="shared" si="5"/>
        <v>92800</v>
      </c>
      <c r="V12" s="175">
        <f t="shared" si="5"/>
        <v>213600</v>
      </c>
      <c r="W12" s="177">
        <f t="shared" si="5"/>
        <v>630880</v>
      </c>
      <c r="X12" s="178">
        <f t="shared" si="5"/>
        <v>872800</v>
      </c>
    </row>
    <row r="13" spans="1:24" ht="18.75" customHeight="1" outlineLevel="1" thickTop="1" x14ac:dyDescent="0.25">
      <c r="A13" s="157" t="s">
        <v>107</v>
      </c>
      <c r="B13" s="809" t="s">
        <v>98</v>
      </c>
      <c r="C13" s="809"/>
      <c r="D13" s="810"/>
      <c r="E13" s="179">
        <f>-(E12*$D$3)</f>
        <v>0</v>
      </c>
      <c r="F13" s="7">
        <f t="shared" ref="F13:P13" si="6">-(F12*$D$3)</f>
        <v>0</v>
      </c>
      <c r="G13" s="7">
        <f t="shared" si="6"/>
        <v>0</v>
      </c>
      <c r="H13" s="7">
        <f t="shared" si="6"/>
        <v>0</v>
      </c>
      <c r="I13" s="7">
        <f t="shared" si="6"/>
        <v>0</v>
      </c>
      <c r="J13" s="7">
        <f t="shared" si="6"/>
        <v>0</v>
      </c>
      <c r="K13" s="7">
        <f t="shared" si="6"/>
        <v>0</v>
      </c>
      <c r="L13" s="7">
        <f t="shared" si="6"/>
        <v>0</v>
      </c>
      <c r="M13" s="7">
        <f t="shared" si="6"/>
        <v>0</v>
      </c>
      <c r="N13" s="7">
        <f t="shared" si="6"/>
        <v>0</v>
      </c>
      <c r="O13" s="7">
        <f t="shared" si="6"/>
        <v>0</v>
      </c>
      <c r="P13" s="180">
        <f t="shared" si="6"/>
        <v>0</v>
      </c>
      <c r="Q13" s="8">
        <f t="shared" si="1"/>
        <v>0</v>
      </c>
      <c r="R13" s="179">
        <f>-(R12*$D$3)</f>
        <v>0</v>
      </c>
      <c r="S13" s="7">
        <f t="shared" ref="S13:U13" si="7">-(S12*$D$3)</f>
        <v>0</v>
      </c>
      <c r="T13" s="7">
        <f t="shared" si="7"/>
        <v>0</v>
      </c>
      <c r="U13" s="180">
        <f t="shared" si="7"/>
        <v>0</v>
      </c>
      <c r="V13" s="8">
        <f t="shared" si="3"/>
        <v>0</v>
      </c>
      <c r="W13" s="181">
        <f>-(W12*$D$3)</f>
        <v>0</v>
      </c>
      <c r="X13" s="182">
        <f>-(X12*$D$3)</f>
        <v>0</v>
      </c>
    </row>
    <row r="14" spans="1:24" ht="18.75" customHeight="1" outlineLevel="1" x14ac:dyDescent="0.25">
      <c r="A14" s="183" t="s">
        <v>107</v>
      </c>
      <c r="B14" s="807" t="s">
        <v>99</v>
      </c>
      <c r="C14" s="807"/>
      <c r="D14" s="808"/>
      <c r="E14" s="184">
        <f>-(E12*$D$4)</f>
        <v>0</v>
      </c>
      <c r="F14" s="11">
        <f t="shared" ref="F14:P14" si="8">-(F12*$D$4)</f>
        <v>0</v>
      </c>
      <c r="G14" s="11">
        <f t="shared" si="8"/>
        <v>0</v>
      </c>
      <c r="H14" s="11">
        <f t="shared" si="8"/>
        <v>0</v>
      </c>
      <c r="I14" s="11">
        <f t="shared" si="8"/>
        <v>0</v>
      </c>
      <c r="J14" s="11">
        <f t="shared" si="8"/>
        <v>0</v>
      </c>
      <c r="K14" s="11">
        <f t="shared" si="8"/>
        <v>0</v>
      </c>
      <c r="L14" s="11">
        <f t="shared" si="8"/>
        <v>0</v>
      </c>
      <c r="M14" s="11">
        <f t="shared" si="8"/>
        <v>0</v>
      </c>
      <c r="N14" s="11">
        <f t="shared" si="8"/>
        <v>0</v>
      </c>
      <c r="O14" s="11">
        <f t="shared" si="8"/>
        <v>-2400</v>
      </c>
      <c r="P14" s="185">
        <f t="shared" si="8"/>
        <v>-57.599999999999994</v>
      </c>
      <c r="Q14" s="12">
        <f t="shared" si="1"/>
        <v>-2457.6</v>
      </c>
      <c r="R14" s="184">
        <f>-(R12*$D$4)</f>
        <v>-384</v>
      </c>
      <c r="S14" s="11">
        <f t="shared" ref="S14:U14" si="9">-(S12*$D$4)</f>
        <v>-2784</v>
      </c>
      <c r="T14" s="11">
        <f t="shared" si="9"/>
        <v>-456</v>
      </c>
      <c r="U14" s="185">
        <f t="shared" si="9"/>
        <v>-2784</v>
      </c>
      <c r="V14" s="12">
        <f t="shared" si="3"/>
        <v>-6408</v>
      </c>
      <c r="W14" s="186">
        <f>-(W12*$D$4)</f>
        <v>-18926.399999999998</v>
      </c>
      <c r="X14" s="187">
        <f>-(X12*$D$4)</f>
        <v>-26184</v>
      </c>
    </row>
    <row r="15" spans="1:24" ht="18.75" customHeight="1" outlineLevel="1" x14ac:dyDescent="0.25">
      <c r="A15" s="183" t="s">
        <v>108</v>
      </c>
      <c r="B15" s="807" t="s">
        <v>101</v>
      </c>
      <c r="C15" s="807"/>
      <c r="D15" s="808"/>
      <c r="E15" s="137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153"/>
      <c r="Q15" s="12">
        <f t="shared" si="1"/>
        <v>0</v>
      </c>
      <c r="R15" s="137"/>
      <c r="S15" s="94"/>
      <c r="T15" s="94"/>
      <c r="U15" s="153"/>
      <c r="V15" s="12">
        <f t="shared" si="3"/>
        <v>0</v>
      </c>
      <c r="W15" s="140"/>
      <c r="X15" s="141"/>
    </row>
    <row r="16" spans="1:24" ht="18.75" customHeight="1" outlineLevel="1" thickBot="1" x14ac:dyDescent="0.3">
      <c r="A16" s="158" t="s">
        <v>108</v>
      </c>
      <c r="B16" s="811" t="s">
        <v>102</v>
      </c>
      <c r="C16" s="811"/>
      <c r="D16" s="812"/>
      <c r="E16" s="138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54"/>
      <c r="Q16" s="134">
        <f t="shared" si="1"/>
        <v>0</v>
      </c>
      <c r="R16" s="138"/>
      <c r="S16" s="139"/>
      <c r="T16" s="139"/>
      <c r="U16" s="154"/>
      <c r="V16" s="134">
        <f t="shared" si="3"/>
        <v>0</v>
      </c>
      <c r="W16" s="142"/>
      <c r="X16" s="143"/>
    </row>
    <row r="17" spans="1:24" s="194" customFormat="1" ht="7.5" customHeight="1" outlineLevel="1" thickTop="1" x14ac:dyDescent="0.25">
      <c r="A17" s="161"/>
      <c r="B17" s="162"/>
      <c r="C17" s="162"/>
      <c r="D17" s="163"/>
      <c r="E17" s="188"/>
      <c r="F17" s="189"/>
      <c r="G17" s="189"/>
      <c r="H17" s="189"/>
      <c r="I17" s="189"/>
      <c r="J17" s="189"/>
      <c r="K17" s="189"/>
      <c r="L17" s="189"/>
      <c r="M17" s="189"/>
      <c r="N17" s="189"/>
      <c r="O17" s="189"/>
      <c r="P17" s="190"/>
      <c r="Q17" s="191"/>
      <c r="R17" s="188"/>
      <c r="S17" s="189"/>
      <c r="T17" s="189"/>
      <c r="U17" s="190"/>
      <c r="V17" s="191"/>
      <c r="W17" s="192"/>
      <c r="X17" s="193"/>
    </row>
    <row r="18" spans="1:24" ht="18.75" customHeight="1" thickBot="1" x14ac:dyDescent="0.3">
      <c r="A18" s="804" t="s">
        <v>105</v>
      </c>
      <c r="B18" s="805"/>
      <c r="C18" s="805"/>
      <c r="D18" s="806"/>
      <c r="E18" s="176">
        <f>SUM(E12:E16)</f>
        <v>0</v>
      </c>
      <c r="F18" s="173">
        <f t="shared" ref="F18:R18" si="10">SUM(F12:F16)</f>
        <v>0</v>
      </c>
      <c r="G18" s="173">
        <f t="shared" si="10"/>
        <v>0</v>
      </c>
      <c r="H18" s="173">
        <f t="shared" si="10"/>
        <v>0</v>
      </c>
      <c r="I18" s="173">
        <f t="shared" si="10"/>
        <v>0</v>
      </c>
      <c r="J18" s="173">
        <f t="shared" si="10"/>
        <v>0</v>
      </c>
      <c r="K18" s="173">
        <f t="shared" si="10"/>
        <v>0</v>
      </c>
      <c r="L18" s="173">
        <f t="shared" si="10"/>
        <v>0</v>
      </c>
      <c r="M18" s="173">
        <f t="shared" si="10"/>
        <v>0</v>
      </c>
      <c r="N18" s="173">
        <f t="shared" si="10"/>
        <v>0</v>
      </c>
      <c r="O18" s="173">
        <f t="shared" si="10"/>
        <v>77600</v>
      </c>
      <c r="P18" s="174">
        <f t="shared" si="10"/>
        <v>1862.4</v>
      </c>
      <c r="Q18" s="175">
        <f t="shared" si="1"/>
        <v>79462.399999999994</v>
      </c>
      <c r="R18" s="176">
        <f t="shared" si="10"/>
        <v>12416</v>
      </c>
      <c r="S18" s="173">
        <f t="shared" ref="S18" si="11">SUM(S12:S16)</f>
        <v>90016</v>
      </c>
      <c r="T18" s="173">
        <f t="shared" ref="T18" si="12">SUM(T12:T16)</f>
        <v>14744</v>
      </c>
      <c r="U18" s="174">
        <f t="shared" ref="U18:X18" si="13">SUM(U12:U16)</f>
        <v>90016</v>
      </c>
      <c r="V18" s="175">
        <f t="shared" si="13"/>
        <v>207192</v>
      </c>
      <c r="W18" s="177">
        <f t="shared" si="13"/>
        <v>611953.6</v>
      </c>
      <c r="X18" s="195">
        <f t="shared" si="13"/>
        <v>846616</v>
      </c>
    </row>
    <row r="19" spans="1:24" ht="18.75" customHeight="1" outlineLevel="1" thickTop="1" x14ac:dyDescent="0.25">
      <c r="A19" s="157" t="s">
        <v>107</v>
      </c>
      <c r="B19" s="809" t="str">
        <f>Plankosten!A31</f>
        <v>Materialeinsatz</v>
      </c>
      <c r="C19" s="809"/>
      <c r="D19" s="810"/>
      <c r="E19" s="179">
        <f>-Plankosten!E36</f>
        <v>0</v>
      </c>
      <c r="F19" s="7">
        <f>-Plankosten!F36</f>
        <v>0</v>
      </c>
      <c r="G19" s="7">
        <f>-Plankosten!G36</f>
        <v>0</v>
      </c>
      <c r="H19" s="7">
        <f>-Plankosten!H36</f>
        <v>0</v>
      </c>
      <c r="I19" s="7">
        <f>-Plankosten!I36</f>
        <v>0</v>
      </c>
      <c r="J19" s="7">
        <f>-Plankosten!J36</f>
        <v>0</v>
      </c>
      <c r="K19" s="7">
        <f>-Plankosten!K36</f>
        <v>0</v>
      </c>
      <c r="L19" s="7">
        <f>-Plankosten!L36</f>
        <v>0</v>
      </c>
      <c r="M19" s="7">
        <f>-Plankosten!M36</f>
        <v>0</v>
      </c>
      <c r="N19" s="7">
        <f>-Plankosten!N36</f>
        <v>0</v>
      </c>
      <c r="O19" s="7">
        <f>-Plankosten!O36</f>
        <v>0</v>
      </c>
      <c r="P19" s="180">
        <f>-Plankosten!P36</f>
        <v>0</v>
      </c>
      <c r="Q19" s="8">
        <f t="shared" si="1"/>
        <v>0</v>
      </c>
      <c r="R19" s="179">
        <f>-Plankosten!R36</f>
        <v>0</v>
      </c>
      <c r="S19" s="7">
        <f>-Plankosten!S36</f>
        <v>0</v>
      </c>
      <c r="T19" s="7">
        <f>-Plankosten!T36</f>
        <v>0</v>
      </c>
      <c r="U19" s="180">
        <f>-Plankosten!U36</f>
        <v>0</v>
      </c>
      <c r="V19" s="8">
        <f t="shared" si="3"/>
        <v>0</v>
      </c>
      <c r="W19" s="181">
        <f>-Plankosten!W36</f>
        <v>0</v>
      </c>
      <c r="X19" s="182">
        <f>-Plankosten!X36</f>
        <v>0</v>
      </c>
    </row>
    <row r="20" spans="1:24" ht="18.75" customHeight="1" outlineLevel="1" thickBot="1" x14ac:dyDescent="0.3">
      <c r="A20" s="158" t="s">
        <v>107</v>
      </c>
      <c r="B20" s="811" t="str">
        <f>Plankosten!A38</f>
        <v>Roh-, Betriebs- uns Hilfsstoffe</v>
      </c>
      <c r="C20" s="811"/>
      <c r="D20" s="812"/>
      <c r="E20" s="196">
        <f>-Plankosten!E43</f>
        <v>0</v>
      </c>
      <c r="F20" s="129">
        <f>-Plankosten!F43</f>
        <v>0</v>
      </c>
      <c r="G20" s="129">
        <f>-Plankosten!G43</f>
        <v>0</v>
      </c>
      <c r="H20" s="129">
        <f>-Plankosten!H43</f>
        <v>0</v>
      </c>
      <c r="I20" s="129">
        <f>-Plankosten!I43</f>
        <v>0</v>
      </c>
      <c r="J20" s="129">
        <f>-Plankosten!J43</f>
        <v>0</v>
      </c>
      <c r="K20" s="129">
        <f>-Plankosten!K43</f>
        <v>0</v>
      </c>
      <c r="L20" s="129">
        <f>-Plankosten!L43</f>
        <v>0</v>
      </c>
      <c r="M20" s="129">
        <f>-Plankosten!M43</f>
        <v>0</v>
      </c>
      <c r="N20" s="129">
        <f>-Plankosten!N43</f>
        <v>0</v>
      </c>
      <c r="O20" s="129">
        <f>-Plankosten!O43</f>
        <v>0</v>
      </c>
      <c r="P20" s="159">
        <f>-Plankosten!P43</f>
        <v>0</v>
      </c>
      <c r="Q20" s="134">
        <f t="shared" si="1"/>
        <v>0</v>
      </c>
      <c r="R20" s="196">
        <f>-Plankosten!R43</f>
        <v>0</v>
      </c>
      <c r="S20" s="129">
        <f>-Plankosten!S43</f>
        <v>0</v>
      </c>
      <c r="T20" s="129">
        <f>-Plankosten!T43</f>
        <v>0</v>
      </c>
      <c r="U20" s="159">
        <f>-Plankosten!U43</f>
        <v>0</v>
      </c>
      <c r="V20" s="134">
        <f t="shared" si="3"/>
        <v>0</v>
      </c>
      <c r="W20" s="197">
        <f>-Plankosten!W43</f>
        <v>0</v>
      </c>
      <c r="X20" s="198">
        <f>-Plankosten!X43</f>
        <v>0</v>
      </c>
    </row>
    <row r="21" spans="1:24" s="194" customFormat="1" ht="7.5" customHeight="1" outlineLevel="1" thickTop="1" x14ac:dyDescent="0.25">
      <c r="A21" s="161"/>
      <c r="B21" s="162"/>
      <c r="C21" s="162"/>
      <c r="D21" s="163"/>
      <c r="E21" s="188"/>
      <c r="F21" s="189"/>
      <c r="G21" s="189"/>
      <c r="H21" s="189"/>
      <c r="I21" s="189"/>
      <c r="J21" s="189"/>
      <c r="K21" s="189"/>
      <c r="L21" s="189"/>
      <c r="M21" s="189"/>
      <c r="N21" s="189"/>
      <c r="O21" s="189"/>
      <c r="P21" s="190"/>
      <c r="Q21" s="191"/>
      <c r="R21" s="188"/>
      <c r="S21" s="189"/>
      <c r="T21" s="189"/>
      <c r="U21" s="190"/>
      <c r="V21" s="191"/>
      <c r="W21" s="192"/>
      <c r="X21" s="193"/>
    </row>
    <row r="22" spans="1:24" ht="18.75" customHeight="1" thickBot="1" x14ac:dyDescent="0.3">
      <c r="A22" s="804" t="s">
        <v>106</v>
      </c>
      <c r="B22" s="805"/>
      <c r="C22" s="805"/>
      <c r="D22" s="806"/>
      <c r="E22" s="176">
        <f>SUM(E18:E20)</f>
        <v>0</v>
      </c>
      <c r="F22" s="173">
        <f t="shared" ref="F22:X22" si="14">SUM(F18:F20)</f>
        <v>0</v>
      </c>
      <c r="G22" s="173">
        <f t="shared" si="14"/>
        <v>0</v>
      </c>
      <c r="H22" s="173">
        <f t="shared" si="14"/>
        <v>0</v>
      </c>
      <c r="I22" s="173">
        <f t="shared" si="14"/>
        <v>0</v>
      </c>
      <c r="J22" s="173">
        <f t="shared" si="14"/>
        <v>0</v>
      </c>
      <c r="K22" s="173">
        <f t="shared" si="14"/>
        <v>0</v>
      </c>
      <c r="L22" s="173">
        <f t="shared" si="14"/>
        <v>0</v>
      </c>
      <c r="M22" s="173">
        <f t="shared" si="14"/>
        <v>0</v>
      </c>
      <c r="N22" s="173">
        <f t="shared" si="14"/>
        <v>0</v>
      </c>
      <c r="O22" s="173">
        <f t="shared" si="14"/>
        <v>77600</v>
      </c>
      <c r="P22" s="174">
        <f t="shared" si="14"/>
        <v>1862.4</v>
      </c>
      <c r="Q22" s="175">
        <f t="shared" si="1"/>
        <v>79462.399999999994</v>
      </c>
      <c r="R22" s="176">
        <f t="shared" si="14"/>
        <v>12416</v>
      </c>
      <c r="S22" s="173">
        <f t="shared" si="14"/>
        <v>90016</v>
      </c>
      <c r="T22" s="173">
        <f t="shared" si="14"/>
        <v>14744</v>
      </c>
      <c r="U22" s="174">
        <f t="shared" si="14"/>
        <v>90016</v>
      </c>
      <c r="V22" s="175">
        <f t="shared" si="14"/>
        <v>207192</v>
      </c>
      <c r="W22" s="177">
        <f t="shared" si="14"/>
        <v>611953.6</v>
      </c>
      <c r="X22" s="195">
        <f t="shared" si="14"/>
        <v>846616</v>
      </c>
    </row>
    <row r="23" spans="1:24" ht="18.75" customHeight="1" outlineLevel="1" thickTop="1" x14ac:dyDescent="0.25">
      <c r="A23" s="157" t="s">
        <v>107</v>
      </c>
      <c r="B23" s="809" t="str">
        <f>Plankosten!A23</f>
        <v>Personalkosten</v>
      </c>
      <c r="C23" s="809"/>
      <c r="D23" s="810"/>
      <c r="E23" s="179">
        <f>-Plankosten!E29</f>
        <v>-10840</v>
      </c>
      <c r="F23" s="7">
        <f>-Plankosten!F29</f>
        <v>-13148</v>
      </c>
      <c r="G23" s="7">
        <f>-Plankosten!G29</f>
        <v>-16796</v>
      </c>
      <c r="H23" s="7">
        <f>-Plankosten!H29</f>
        <v>-16796</v>
      </c>
      <c r="I23" s="7">
        <f>-Plankosten!I29</f>
        <v>-32619.166666666664</v>
      </c>
      <c r="J23" s="7">
        <f>-Plankosten!J29</f>
        <v>-16796</v>
      </c>
      <c r="K23" s="7">
        <f>-Plankosten!K29</f>
        <v>-16796</v>
      </c>
      <c r="L23" s="7">
        <f>-Plankosten!L29</f>
        <v>-16796</v>
      </c>
      <c r="M23" s="7">
        <f>-Plankosten!M29</f>
        <v>-16796</v>
      </c>
      <c r="N23" s="7">
        <f>-Plankosten!N29</f>
        <v>-16796</v>
      </c>
      <c r="O23" s="7">
        <f>-Plankosten!O29</f>
        <v>-32619.166666666664</v>
      </c>
      <c r="P23" s="180">
        <f>-Plankosten!P29</f>
        <v>-16796</v>
      </c>
      <c r="Q23" s="8">
        <f t="shared" si="1"/>
        <v>-223594.33333333331</v>
      </c>
      <c r="R23" s="179">
        <f>-Plankosten!R29</f>
        <v>-52880.4</v>
      </c>
      <c r="S23" s="7">
        <f>-Plankosten!S29</f>
        <v>-70327.199999999997</v>
      </c>
      <c r="T23" s="7">
        <f>-Plankosten!T29</f>
        <v>-52880.4</v>
      </c>
      <c r="U23" s="180">
        <f>-Plankosten!U29</f>
        <v>-70327.199999999997</v>
      </c>
      <c r="V23" s="8">
        <f t="shared" si="3"/>
        <v>-246415.2</v>
      </c>
      <c r="W23" s="181">
        <f>-Plankosten!W29</f>
        <v>-258627.96000000002</v>
      </c>
      <c r="X23" s="182">
        <f>-Plankosten!X29</f>
        <v>-271451.35800000007</v>
      </c>
    </row>
    <row r="24" spans="1:24" ht="30" customHeight="1" outlineLevel="1" x14ac:dyDescent="0.25">
      <c r="A24" s="183" t="s">
        <v>107</v>
      </c>
      <c r="B24" s="818" t="str">
        <f>Plankosten!A45</f>
        <v>Sonstige betriebliche Aufwendungen
(Miete, Pacht, Betriebskosten)</v>
      </c>
      <c r="C24" s="818"/>
      <c r="D24" s="819"/>
      <c r="E24" s="184">
        <f>-Plankosten!E52</f>
        <v>-1271</v>
      </c>
      <c r="F24" s="11">
        <f>-Plankosten!F52</f>
        <v>-1271</v>
      </c>
      <c r="G24" s="11">
        <f>-Plankosten!G52</f>
        <v>-1271</v>
      </c>
      <c r="H24" s="11">
        <f>-Plankosten!H52</f>
        <v>-1271</v>
      </c>
      <c r="I24" s="11">
        <f>-Plankosten!I52</f>
        <v>-1271</v>
      </c>
      <c r="J24" s="11">
        <f>-Plankosten!J52</f>
        <v>-1271</v>
      </c>
      <c r="K24" s="11">
        <f>-Plankosten!K52</f>
        <v>-1271</v>
      </c>
      <c r="L24" s="11">
        <f>-Plankosten!L52</f>
        <v>-1271</v>
      </c>
      <c r="M24" s="11">
        <f>-Plankosten!M52</f>
        <v>-1271</v>
      </c>
      <c r="N24" s="11">
        <f>-Plankosten!N52</f>
        <v>-1271</v>
      </c>
      <c r="O24" s="11">
        <f>-Plankosten!O52</f>
        <v>-1271</v>
      </c>
      <c r="P24" s="185">
        <f>-Plankosten!P52</f>
        <v>-1271</v>
      </c>
      <c r="Q24" s="12">
        <f t="shared" si="1"/>
        <v>-15252</v>
      </c>
      <c r="R24" s="184">
        <f>-Plankosten!R52</f>
        <v>-3813</v>
      </c>
      <c r="S24" s="11">
        <f>-Plankosten!S52</f>
        <v>-3813</v>
      </c>
      <c r="T24" s="11">
        <f>-Plankosten!T52</f>
        <v>-3813</v>
      </c>
      <c r="U24" s="185">
        <f>-Plankosten!U52</f>
        <v>-3813</v>
      </c>
      <c r="V24" s="12">
        <f t="shared" si="3"/>
        <v>-15252</v>
      </c>
      <c r="W24" s="186">
        <f>-Plankosten!W52</f>
        <v>-15252</v>
      </c>
      <c r="X24" s="187">
        <f>-Plankosten!X52</f>
        <v>-15252</v>
      </c>
    </row>
    <row r="25" spans="1:24" ht="18.75" customHeight="1" outlineLevel="1" x14ac:dyDescent="0.25">
      <c r="A25" s="183" t="s">
        <v>107</v>
      </c>
      <c r="B25" s="807" t="str">
        <f>Plankosten!A54</f>
        <v>Instandhaltung</v>
      </c>
      <c r="C25" s="807"/>
      <c r="D25" s="808"/>
      <c r="E25" s="184">
        <f>-Plankosten!E59</f>
        <v>0</v>
      </c>
      <c r="F25" s="11">
        <f>-Plankosten!F59</f>
        <v>0</v>
      </c>
      <c r="G25" s="11">
        <f>-Plankosten!G59</f>
        <v>0</v>
      </c>
      <c r="H25" s="11">
        <f>-Plankosten!H59</f>
        <v>0</v>
      </c>
      <c r="I25" s="11">
        <f>-Plankosten!I59</f>
        <v>0</v>
      </c>
      <c r="J25" s="11">
        <f>-Plankosten!J59</f>
        <v>0</v>
      </c>
      <c r="K25" s="11">
        <f>-Plankosten!K59</f>
        <v>0</v>
      </c>
      <c r="L25" s="11">
        <f>-Plankosten!L59</f>
        <v>0</v>
      </c>
      <c r="M25" s="11">
        <f>-Plankosten!M59</f>
        <v>0</v>
      </c>
      <c r="N25" s="11">
        <f>-Plankosten!N59</f>
        <v>0</v>
      </c>
      <c r="O25" s="11">
        <f>-Plankosten!O59</f>
        <v>0</v>
      </c>
      <c r="P25" s="185">
        <f>-Plankosten!P59</f>
        <v>-2000</v>
      </c>
      <c r="Q25" s="12">
        <f t="shared" si="1"/>
        <v>-2000</v>
      </c>
      <c r="R25" s="184">
        <f>-Plankosten!R59</f>
        <v>0</v>
      </c>
      <c r="S25" s="11">
        <f>-Plankosten!S59</f>
        <v>0</v>
      </c>
      <c r="T25" s="11">
        <f>-Plankosten!T59</f>
        <v>0</v>
      </c>
      <c r="U25" s="185">
        <f>-Plankosten!U59</f>
        <v>-2000</v>
      </c>
      <c r="V25" s="12">
        <f t="shared" si="3"/>
        <v>-2000</v>
      </c>
      <c r="W25" s="186">
        <f>-Plankosten!W59</f>
        <v>-2000</v>
      </c>
      <c r="X25" s="187">
        <f>-Plankosten!X59</f>
        <v>-2000</v>
      </c>
    </row>
    <row r="26" spans="1:24" ht="18.75" customHeight="1" outlineLevel="1" x14ac:dyDescent="0.25">
      <c r="A26" s="183" t="s">
        <v>107</v>
      </c>
      <c r="B26" s="807" t="str">
        <f>Plankosten!A61</f>
        <v>Kfz-Kosten und Reisekosten</v>
      </c>
      <c r="C26" s="807"/>
      <c r="D26" s="808"/>
      <c r="E26" s="184">
        <f>-Plankosten!E67</f>
        <v>-2000</v>
      </c>
      <c r="F26" s="11">
        <f>-Plankosten!F67</f>
        <v>-500</v>
      </c>
      <c r="G26" s="11">
        <f>-Plankosten!G67</f>
        <v>-500</v>
      </c>
      <c r="H26" s="11">
        <f>-Plankosten!H67</f>
        <v>-500</v>
      </c>
      <c r="I26" s="11">
        <f>-Plankosten!I67</f>
        <v>-500</v>
      </c>
      <c r="J26" s="11">
        <f>-Plankosten!J67</f>
        <v>-500</v>
      </c>
      <c r="K26" s="11">
        <f>-Plankosten!K67</f>
        <v>-500</v>
      </c>
      <c r="L26" s="11">
        <f>-Plankosten!L67</f>
        <v>-500</v>
      </c>
      <c r="M26" s="11">
        <f>-Plankosten!M67</f>
        <v>-500</v>
      </c>
      <c r="N26" s="11">
        <f>-Plankosten!N67</f>
        <v>-500</v>
      </c>
      <c r="O26" s="11">
        <f>-Plankosten!O67</f>
        <v>-500</v>
      </c>
      <c r="P26" s="185">
        <f>-Plankosten!P67</f>
        <v>-500</v>
      </c>
      <c r="Q26" s="12">
        <f t="shared" si="1"/>
        <v>-7500</v>
      </c>
      <c r="R26" s="184">
        <f>-Plankosten!R67</f>
        <v>-3000</v>
      </c>
      <c r="S26" s="11">
        <f>-Plankosten!S67</f>
        <v>-1500</v>
      </c>
      <c r="T26" s="11">
        <f>-Plankosten!T67</f>
        <v>-1500</v>
      </c>
      <c r="U26" s="185">
        <f>-Plankosten!U67</f>
        <v>-1500</v>
      </c>
      <c r="V26" s="12">
        <f t="shared" si="3"/>
        <v>-7500</v>
      </c>
      <c r="W26" s="186">
        <f>-Plankosten!W67</f>
        <v>-7500</v>
      </c>
      <c r="X26" s="187">
        <f>-Plankosten!X67</f>
        <v>-7500</v>
      </c>
    </row>
    <row r="27" spans="1:24" ht="18.75" customHeight="1" outlineLevel="1" x14ac:dyDescent="0.25">
      <c r="A27" s="183" t="s">
        <v>107</v>
      </c>
      <c r="B27" s="807" t="str">
        <f>Plankosten!A69</f>
        <v>Büromaterial</v>
      </c>
      <c r="C27" s="807"/>
      <c r="D27" s="808"/>
      <c r="E27" s="184">
        <f>-Plankosten!E75</f>
        <v>-2200</v>
      </c>
      <c r="F27" s="11">
        <f>-Plankosten!F75</f>
        <v>-2200</v>
      </c>
      <c r="G27" s="11">
        <f>-Plankosten!G75</f>
        <v>-2200</v>
      </c>
      <c r="H27" s="11">
        <f>-Plankosten!H75</f>
        <v>-2200</v>
      </c>
      <c r="I27" s="11">
        <f>-Plankosten!I75</f>
        <v>-2200</v>
      </c>
      <c r="J27" s="11">
        <f>-Plankosten!J75</f>
        <v>-2200</v>
      </c>
      <c r="K27" s="11">
        <f>-Plankosten!K75</f>
        <v>-2200</v>
      </c>
      <c r="L27" s="11">
        <f>-Plankosten!L75</f>
        <v>-2200</v>
      </c>
      <c r="M27" s="11">
        <f>-Plankosten!M75</f>
        <v>-2200</v>
      </c>
      <c r="N27" s="11">
        <f>-Plankosten!N75</f>
        <v>-2200</v>
      </c>
      <c r="O27" s="11">
        <f>-Plankosten!O75</f>
        <v>-2200</v>
      </c>
      <c r="P27" s="185">
        <f>-Plankosten!P75</f>
        <v>-2200</v>
      </c>
      <c r="Q27" s="12">
        <f t="shared" si="1"/>
        <v>-26400</v>
      </c>
      <c r="R27" s="184">
        <f>-Plankosten!R75</f>
        <v>-6600</v>
      </c>
      <c r="S27" s="11">
        <f>-Plankosten!S75</f>
        <v>-6600</v>
      </c>
      <c r="T27" s="11">
        <f>-Plankosten!T75</f>
        <v>-6600</v>
      </c>
      <c r="U27" s="185">
        <f>-Plankosten!U75</f>
        <v>-6600</v>
      </c>
      <c r="V27" s="12">
        <f t="shared" si="3"/>
        <v>-26400</v>
      </c>
      <c r="W27" s="186">
        <f>-Plankosten!W75</f>
        <v>-26400</v>
      </c>
      <c r="X27" s="187">
        <f>-Plankosten!X75</f>
        <v>-26400</v>
      </c>
    </row>
    <row r="28" spans="1:24" ht="18.75" customHeight="1" outlineLevel="1" x14ac:dyDescent="0.25">
      <c r="A28" s="183" t="s">
        <v>107</v>
      </c>
      <c r="B28" s="807" t="str">
        <f>Plankosten!A77</f>
        <v>Telefon / Fax / Internet</v>
      </c>
      <c r="C28" s="807"/>
      <c r="D28" s="808"/>
      <c r="E28" s="184">
        <f>-Plankosten!E83</f>
        <v>-388</v>
      </c>
      <c r="F28" s="11">
        <f>-Plankosten!F83</f>
        <v>-388</v>
      </c>
      <c r="G28" s="11">
        <f>-Plankosten!G83</f>
        <v>-388</v>
      </c>
      <c r="H28" s="11">
        <f>-Plankosten!H83</f>
        <v>-388</v>
      </c>
      <c r="I28" s="11">
        <f>-Plankosten!I83</f>
        <v>-388</v>
      </c>
      <c r="J28" s="11">
        <f>-Plankosten!J83</f>
        <v>-388</v>
      </c>
      <c r="K28" s="11">
        <f>-Plankosten!K83</f>
        <v>-388</v>
      </c>
      <c r="L28" s="11">
        <f>-Plankosten!L83</f>
        <v>-388</v>
      </c>
      <c r="M28" s="11">
        <f>-Plankosten!M83</f>
        <v>-388</v>
      </c>
      <c r="N28" s="11">
        <f>-Plankosten!N83</f>
        <v>-388</v>
      </c>
      <c r="O28" s="11">
        <f>-Plankosten!O83</f>
        <v>-388</v>
      </c>
      <c r="P28" s="185">
        <f>-Plankosten!P83</f>
        <v>-388</v>
      </c>
      <c r="Q28" s="12">
        <f t="shared" si="1"/>
        <v>-4656</v>
      </c>
      <c r="R28" s="184">
        <f>-Plankosten!R83</f>
        <v>-1164</v>
      </c>
      <c r="S28" s="11">
        <f>-Plankosten!S83</f>
        <v>-1164</v>
      </c>
      <c r="T28" s="11">
        <f>-Plankosten!T83</f>
        <v>-1164</v>
      </c>
      <c r="U28" s="185">
        <f>-Plankosten!U83</f>
        <v>-1164</v>
      </c>
      <c r="V28" s="12">
        <f t="shared" si="3"/>
        <v>-4656</v>
      </c>
      <c r="W28" s="186">
        <f>-Plankosten!W83</f>
        <v>-4656</v>
      </c>
      <c r="X28" s="187">
        <f>-Plankosten!X83</f>
        <v>-4656</v>
      </c>
    </row>
    <row r="29" spans="1:24" ht="18.75" customHeight="1" outlineLevel="1" x14ac:dyDescent="0.25">
      <c r="A29" s="183" t="s">
        <v>107</v>
      </c>
      <c r="B29" s="807" t="str">
        <f>Plankosten!A85</f>
        <v>Steuer- und Rechtsberatung</v>
      </c>
      <c r="C29" s="807"/>
      <c r="D29" s="808"/>
      <c r="E29" s="184">
        <f>-Plankosten!E92</f>
        <v>-300</v>
      </c>
      <c r="F29" s="11">
        <f>-Plankosten!F92</f>
        <v>-300</v>
      </c>
      <c r="G29" s="11">
        <f>-Plankosten!G92</f>
        <v>-2300</v>
      </c>
      <c r="H29" s="11">
        <f>-Plankosten!H92</f>
        <v>-300</v>
      </c>
      <c r="I29" s="11">
        <f>-Plankosten!I92</f>
        <v>-300</v>
      </c>
      <c r="J29" s="11">
        <f>-Plankosten!J92</f>
        <v>-300</v>
      </c>
      <c r="K29" s="11">
        <f>-Plankosten!K92</f>
        <v>-300</v>
      </c>
      <c r="L29" s="11">
        <f>-Plankosten!L92</f>
        <v>-300</v>
      </c>
      <c r="M29" s="11">
        <f>-Plankosten!M92</f>
        <v>-300</v>
      </c>
      <c r="N29" s="11">
        <f>-Plankosten!N92</f>
        <v>-3300</v>
      </c>
      <c r="O29" s="11">
        <f>-Plankosten!O92</f>
        <v>-300</v>
      </c>
      <c r="P29" s="185">
        <f>-Plankosten!P92</f>
        <v>-300</v>
      </c>
      <c r="Q29" s="12">
        <f t="shared" si="1"/>
        <v>-8600</v>
      </c>
      <c r="R29" s="184">
        <f>-Plankosten!R92</f>
        <v>-900</v>
      </c>
      <c r="S29" s="11">
        <f>-Plankosten!S92</f>
        <v>-900</v>
      </c>
      <c r="T29" s="11">
        <f>-Plankosten!T92</f>
        <v>-900</v>
      </c>
      <c r="U29" s="185">
        <f>-Plankosten!U92</f>
        <v>-3900</v>
      </c>
      <c r="V29" s="12">
        <f t="shared" si="3"/>
        <v>-6600</v>
      </c>
      <c r="W29" s="186">
        <f>-Plankosten!W92</f>
        <v>-6600</v>
      </c>
      <c r="X29" s="187">
        <f>-Plankosten!X92</f>
        <v>-6600</v>
      </c>
    </row>
    <row r="30" spans="1:24" ht="18.75" customHeight="1" outlineLevel="1" x14ac:dyDescent="0.25">
      <c r="A30" s="183" t="s">
        <v>107</v>
      </c>
      <c r="B30" s="807" t="str">
        <f>Plankosten!A94</f>
        <v>Werbungskosten</v>
      </c>
      <c r="C30" s="807"/>
      <c r="D30" s="808"/>
      <c r="E30" s="184">
        <f>-Plankosten!E99</f>
        <v>0</v>
      </c>
      <c r="F30" s="11">
        <f>-Plankosten!F99</f>
        <v>0</v>
      </c>
      <c r="G30" s="11">
        <f>-Plankosten!G99</f>
        <v>0</v>
      </c>
      <c r="H30" s="11">
        <f>-Plankosten!H99</f>
        <v>0</v>
      </c>
      <c r="I30" s="11">
        <f>-Plankosten!I99</f>
        <v>0</v>
      </c>
      <c r="J30" s="11">
        <f>-Plankosten!J99</f>
        <v>0</v>
      </c>
      <c r="K30" s="11">
        <f>-Plankosten!K99</f>
        <v>0</v>
      </c>
      <c r="L30" s="11">
        <f>-Plankosten!L99</f>
        <v>0</v>
      </c>
      <c r="M30" s="11">
        <f>-Plankosten!M99</f>
        <v>0</v>
      </c>
      <c r="N30" s="11">
        <f>-Plankosten!N99</f>
        <v>0</v>
      </c>
      <c r="O30" s="11">
        <f>-Plankosten!O99</f>
        <v>0</v>
      </c>
      <c r="P30" s="185">
        <f>-Plankosten!P99</f>
        <v>0</v>
      </c>
      <c r="Q30" s="12">
        <f t="shared" si="1"/>
        <v>0</v>
      </c>
      <c r="R30" s="184">
        <f>-Plankosten!R99</f>
        <v>0</v>
      </c>
      <c r="S30" s="11">
        <f>-Plankosten!S99</f>
        <v>0</v>
      </c>
      <c r="T30" s="11">
        <f>-Plankosten!T99</f>
        <v>0</v>
      </c>
      <c r="U30" s="185">
        <f>-Plankosten!U99</f>
        <v>0</v>
      </c>
      <c r="V30" s="12">
        <f t="shared" si="3"/>
        <v>0</v>
      </c>
      <c r="W30" s="186">
        <f>-Plankosten!W99</f>
        <v>0</v>
      </c>
      <c r="X30" s="187">
        <f>-Plankosten!X99</f>
        <v>0</v>
      </c>
    </row>
    <row r="31" spans="1:24" ht="18.75" customHeight="1" outlineLevel="1" x14ac:dyDescent="0.25">
      <c r="A31" s="183" t="s">
        <v>107</v>
      </c>
      <c r="B31" s="807" t="str">
        <f>Plankosten!A101</f>
        <v>Gebühren, Kammerbeiträge</v>
      </c>
      <c r="C31" s="807"/>
      <c r="D31" s="808"/>
      <c r="E31" s="184">
        <f>-Plankosten!E108</f>
        <v>-71.355385194166686</v>
      </c>
      <c r="F31" s="11">
        <f>-Plankosten!F108</f>
        <v>-271.35538519416667</v>
      </c>
      <c r="G31" s="11">
        <f>-Plankosten!G108</f>
        <v>-71.355385194166686</v>
      </c>
      <c r="H31" s="11">
        <f>-Plankosten!H108</f>
        <v>-71.355385194166686</v>
      </c>
      <c r="I31" s="11">
        <f>-Plankosten!I108</f>
        <v>-271.35538519416667</v>
      </c>
      <c r="J31" s="11">
        <f>-Plankosten!J108</f>
        <v>-71.355385194166686</v>
      </c>
      <c r="K31" s="11">
        <f>-Plankosten!K108</f>
        <v>-71.355385194166686</v>
      </c>
      <c r="L31" s="11">
        <f>-Plankosten!L108</f>
        <v>-271.35538519416667</v>
      </c>
      <c r="M31" s="11">
        <f>-Plankosten!M108</f>
        <v>-71.355385194166686</v>
      </c>
      <c r="N31" s="11">
        <f>-Plankosten!N108</f>
        <v>-71.355385194166686</v>
      </c>
      <c r="O31" s="11">
        <f>-Plankosten!O108</f>
        <v>-271.35538519416667</v>
      </c>
      <c r="P31" s="185">
        <f>-Plankosten!P108</f>
        <v>-71.355385194166686</v>
      </c>
      <c r="Q31" s="12">
        <f t="shared" si="1"/>
        <v>-1656.2646223300005</v>
      </c>
      <c r="R31" s="184">
        <f>-Plankosten!R108</f>
        <v>-414.06615558250007</v>
      </c>
      <c r="S31" s="11">
        <f>-Plankosten!S108</f>
        <v>-414.06615558250007</v>
      </c>
      <c r="T31" s="11">
        <f>-Plankosten!T108</f>
        <v>-414.06615558250007</v>
      </c>
      <c r="U31" s="185">
        <f>-Plankosten!U108</f>
        <v>-414.06615558250007</v>
      </c>
      <c r="V31" s="12">
        <f t="shared" si="3"/>
        <v>-1656.2646223300003</v>
      </c>
      <c r="W31" s="186">
        <f>-Plankosten!W108</f>
        <v>-1656.2646223300003</v>
      </c>
      <c r="X31" s="187">
        <f>-Plankosten!X108</f>
        <v>-1656.2646223300003</v>
      </c>
    </row>
    <row r="32" spans="1:24" ht="18.75" customHeight="1" outlineLevel="1" x14ac:dyDescent="0.25">
      <c r="A32" s="183" t="s">
        <v>107</v>
      </c>
      <c r="B32" s="807" t="str">
        <f>Plankosten!A110</f>
        <v>Betriebsversicherung</v>
      </c>
      <c r="C32" s="807"/>
      <c r="D32" s="808"/>
      <c r="E32" s="184">
        <f>-Plankosten!E115</f>
        <v>0</v>
      </c>
      <c r="F32" s="11">
        <f>-Plankosten!F115</f>
        <v>0</v>
      </c>
      <c r="G32" s="11">
        <f>-Plankosten!G115</f>
        <v>0</v>
      </c>
      <c r="H32" s="11">
        <f>-Plankosten!H115</f>
        <v>0</v>
      </c>
      <c r="I32" s="11">
        <f>-Plankosten!I115</f>
        <v>0</v>
      </c>
      <c r="J32" s="11">
        <f>-Plankosten!J115</f>
        <v>0</v>
      </c>
      <c r="K32" s="11">
        <f>-Plankosten!K115</f>
        <v>0</v>
      </c>
      <c r="L32" s="11">
        <f>-Plankosten!L115</f>
        <v>0</v>
      </c>
      <c r="M32" s="11">
        <f>-Plankosten!M115</f>
        <v>0</v>
      </c>
      <c r="N32" s="11">
        <f>-Plankosten!N115</f>
        <v>0</v>
      </c>
      <c r="O32" s="11">
        <f>-Plankosten!O115</f>
        <v>0</v>
      </c>
      <c r="P32" s="185">
        <f>-Plankosten!P115</f>
        <v>0</v>
      </c>
      <c r="Q32" s="12">
        <f t="shared" si="1"/>
        <v>0</v>
      </c>
      <c r="R32" s="184">
        <f>-Plankosten!R115</f>
        <v>0</v>
      </c>
      <c r="S32" s="11">
        <f>-Plankosten!S115</f>
        <v>0</v>
      </c>
      <c r="T32" s="11">
        <f>-Plankosten!T115</f>
        <v>0</v>
      </c>
      <c r="U32" s="185">
        <f>-Plankosten!U115</f>
        <v>0</v>
      </c>
      <c r="V32" s="12">
        <f t="shared" si="3"/>
        <v>0</v>
      </c>
      <c r="W32" s="186">
        <f>-Plankosten!W115</f>
        <v>0</v>
      </c>
      <c r="X32" s="187">
        <f>-Plankosten!X115</f>
        <v>0</v>
      </c>
    </row>
    <row r="33" spans="1:24" ht="18.75" customHeight="1" outlineLevel="1" x14ac:dyDescent="0.25">
      <c r="A33" s="183" t="s">
        <v>107</v>
      </c>
      <c r="B33" s="807" t="str">
        <f>Plankosten!A117</f>
        <v>Leasinggebühren</v>
      </c>
      <c r="C33" s="807"/>
      <c r="D33" s="808"/>
      <c r="E33" s="184">
        <f>-Plankosten!E122</f>
        <v>-1500</v>
      </c>
      <c r="F33" s="11">
        <f>-Plankosten!F122</f>
        <v>-1500</v>
      </c>
      <c r="G33" s="11">
        <f>-Plankosten!G122</f>
        <v>-1500</v>
      </c>
      <c r="H33" s="11">
        <f>-Plankosten!H122</f>
        <v>-1500</v>
      </c>
      <c r="I33" s="11">
        <f>-Plankosten!I122</f>
        <v>-1500</v>
      </c>
      <c r="J33" s="11">
        <f>-Plankosten!J122</f>
        <v>-1500</v>
      </c>
      <c r="K33" s="11">
        <f>-Plankosten!K122</f>
        <v>-1500</v>
      </c>
      <c r="L33" s="11">
        <f>-Plankosten!L122</f>
        <v>-1500</v>
      </c>
      <c r="M33" s="11">
        <f>-Plankosten!M122</f>
        <v>-1500</v>
      </c>
      <c r="N33" s="11">
        <f>-Plankosten!N122</f>
        <v>-1500</v>
      </c>
      <c r="O33" s="11">
        <f>-Plankosten!O122</f>
        <v>-1500</v>
      </c>
      <c r="P33" s="185">
        <f>-Plankosten!P122</f>
        <v>-1500</v>
      </c>
      <c r="Q33" s="12">
        <f t="shared" si="1"/>
        <v>-18000</v>
      </c>
      <c r="R33" s="184">
        <f>-Plankosten!R122</f>
        <v>-4500</v>
      </c>
      <c r="S33" s="11">
        <f>-Plankosten!S122</f>
        <v>-4500</v>
      </c>
      <c r="T33" s="11">
        <f>-Plankosten!T122</f>
        <v>-4500</v>
      </c>
      <c r="U33" s="185">
        <f>-Plankosten!U122</f>
        <v>-4500</v>
      </c>
      <c r="V33" s="12">
        <f t="shared" si="3"/>
        <v>-18000</v>
      </c>
      <c r="W33" s="186">
        <f>-Plankosten!W122</f>
        <v>0</v>
      </c>
      <c r="X33" s="187">
        <f>-Plankosten!X122</f>
        <v>0</v>
      </c>
    </row>
    <row r="34" spans="1:24" ht="18.75" customHeight="1" outlineLevel="1" x14ac:dyDescent="0.25">
      <c r="A34" s="183" t="s">
        <v>107</v>
      </c>
      <c r="B34" s="807" t="str">
        <f>Plankosten!A124</f>
        <v>Spesen-, Bank-, Kreditgebühren</v>
      </c>
      <c r="C34" s="807"/>
      <c r="D34" s="808"/>
      <c r="E34" s="184">
        <f>-Plankosten!E129</f>
        <v>-50</v>
      </c>
      <c r="F34" s="11">
        <f>-Plankosten!F129</f>
        <v>0</v>
      </c>
      <c r="G34" s="11">
        <f>-Plankosten!G129</f>
        <v>0</v>
      </c>
      <c r="H34" s="11">
        <f>-Plankosten!H129</f>
        <v>-50</v>
      </c>
      <c r="I34" s="11">
        <f>-Plankosten!I129</f>
        <v>0</v>
      </c>
      <c r="J34" s="11">
        <f>-Plankosten!J129</f>
        <v>0</v>
      </c>
      <c r="K34" s="11">
        <f>-Plankosten!K129</f>
        <v>-50</v>
      </c>
      <c r="L34" s="11">
        <f>-Plankosten!L129</f>
        <v>0</v>
      </c>
      <c r="M34" s="11">
        <f>-Plankosten!M129</f>
        <v>0</v>
      </c>
      <c r="N34" s="11">
        <f>-Plankosten!N129</f>
        <v>-50</v>
      </c>
      <c r="O34" s="11">
        <f>-Plankosten!O129</f>
        <v>0</v>
      </c>
      <c r="P34" s="185">
        <f>-Plankosten!P129</f>
        <v>0</v>
      </c>
      <c r="Q34" s="12">
        <f t="shared" si="1"/>
        <v>-200</v>
      </c>
      <c r="R34" s="184">
        <f>-Plankosten!R129</f>
        <v>-50</v>
      </c>
      <c r="S34" s="11">
        <f>-Plankosten!S129</f>
        <v>-50</v>
      </c>
      <c r="T34" s="11">
        <f>-Plankosten!T129</f>
        <v>-50</v>
      </c>
      <c r="U34" s="185">
        <f>-Plankosten!U129</f>
        <v>-50</v>
      </c>
      <c r="V34" s="12">
        <f t="shared" si="3"/>
        <v>-200</v>
      </c>
      <c r="W34" s="186">
        <f>-Plankosten!W129</f>
        <v>-200</v>
      </c>
      <c r="X34" s="187">
        <f>-Plankosten!X129</f>
        <v>-200</v>
      </c>
    </row>
    <row r="35" spans="1:24" ht="18.75" customHeight="1" outlineLevel="1" x14ac:dyDescent="0.25">
      <c r="A35" s="183" t="s">
        <v>107</v>
      </c>
      <c r="B35" s="807" t="str">
        <f>Plankosten!A131</f>
        <v>Sonstige Kosten</v>
      </c>
      <c r="C35" s="807"/>
      <c r="D35" s="808"/>
      <c r="E35" s="184">
        <f>-Plankosten!E137</f>
        <v>0</v>
      </c>
      <c r="F35" s="11">
        <f>-Plankosten!F137</f>
        <v>0</v>
      </c>
      <c r="G35" s="11">
        <f>-Plankosten!G137</f>
        <v>0</v>
      </c>
      <c r="H35" s="11">
        <f>-Plankosten!H137</f>
        <v>0</v>
      </c>
      <c r="I35" s="11">
        <f>-Plankosten!I137</f>
        <v>-15000</v>
      </c>
      <c r="J35" s="11">
        <f>-Plankosten!J137</f>
        <v>0</v>
      </c>
      <c r="K35" s="11">
        <f>-Plankosten!K137</f>
        <v>0</v>
      </c>
      <c r="L35" s="11">
        <f>-Plankosten!L137</f>
        <v>0</v>
      </c>
      <c r="M35" s="11">
        <f>-Plankosten!M137</f>
        <v>0</v>
      </c>
      <c r="N35" s="11">
        <f>-Plankosten!N137</f>
        <v>0</v>
      </c>
      <c r="O35" s="11">
        <f>-Plankosten!O137</f>
        <v>0</v>
      </c>
      <c r="P35" s="185">
        <f>-Plankosten!P137</f>
        <v>0</v>
      </c>
      <c r="Q35" s="12">
        <f t="shared" si="1"/>
        <v>-15000</v>
      </c>
      <c r="R35" s="184">
        <f>-Plankosten!R137</f>
        <v>0</v>
      </c>
      <c r="S35" s="11">
        <f>-Plankosten!S137</f>
        <v>-15000</v>
      </c>
      <c r="T35" s="11">
        <f>-Plankosten!T137</f>
        <v>0</v>
      </c>
      <c r="U35" s="185">
        <f>-Plankosten!U137</f>
        <v>0</v>
      </c>
      <c r="V35" s="12">
        <f t="shared" si="3"/>
        <v>-15000</v>
      </c>
      <c r="W35" s="186">
        <f>-Plankosten!W137</f>
        <v>-15000</v>
      </c>
      <c r="X35" s="187">
        <f>-Plankosten!X137</f>
        <v>-15000</v>
      </c>
    </row>
    <row r="36" spans="1:24" ht="18.75" customHeight="1" outlineLevel="1" thickBot="1" x14ac:dyDescent="0.3">
      <c r="A36" s="158" t="s">
        <v>107</v>
      </c>
      <c r="B36" s="811" t="s">
        <v>132</v>
      </c>
      <c r="C36" s="811"/>
      <c r="D36" s="812"/>
      <c r="E36" s="196">
        <f>-(Abschreibung!$F$15/12)</f>
        <v>-1164.5833333333333</v>
      </c>
      <c r="F36" s="129">
        <f>-(Abschreibung!$F$15/12)</f>
        <v>-1164.5833333333333</v>
      </c>
      <c r="G36" s="129">
        <f>-(Abschreibung!$F$15/12)</f>
        <v>-1164.5833333333333</v>
      </c>
      <c r="H36" s="129">
        <f>-(Abschreibung!$F$15/12)</f>
        <v>-1164.5833333333333</v>
      </c>
      <c r="I36" s="129">
        <f>-(Abschreibung!$F$15/12)</f>
        <v>-1164.5833333333333</v>
      </c>
      <c r="J36" s="129">
        <f>-(Abschreibung!$F$15/12)</f>
        <v>-1164.5833333333333</v>
      </c>
      <c r="K36" s="129">
        <f>-(Abschreibung!$F$15/12)</f>
        <v>-1164.5833333333333</v>
      </c>
      <c r="L36" s="129">
        <f>-(Abschreibung!$F$15/12)</f>
        <v>-1164.5833333333333</v>
      </c>
      <c r="M36" s="129">
        <f>-(Abschreibung!$F$15/12)</f>
        <v>-1164.5833333333333</v>
      </c>
      <c r="N36" s="129">
        <f>-(Abschreibung!$F$15/12)</f>
        <v>-1164.5833333333333</v>
      </c>
      <c r="O36" s="129">
        <f>-(Abschreibung!$F$15/12)</f>
        <v>-1164.5833333333333</v>
      </c>
      <c r="P36" s="159">
        <f>-(Abschreibung!$F$15/12)</f>
        <v>-1164.5833333333333</v>
      </c>
      <c r="Q36" s="134">
        <f t="shared" si="1"/>
        <v>-13975.000000000002</v>
      </c>
      <c r="R36" s="159">
        <f>-(Abschreibung!$H$15/4)</f>
        <v>-3493.75</v>
      </c>
      <c r="S36" s="129">
        <f>-(Abschreibung!$H$15/4)</f>
        <v>-3493.75</v>
      </c>
      <c r="T36" s="129">
        <f>-(Abschreibung!$H$15/4)</f>
        <v>-3493.75</v>
      </c>
      <c r="U36" s="159">
        <f>-(Abschreibung!$H$15/4)</f>
        <v>-3493.75</v>
      </c>
      <c r="V36" s="134">
        <f t="shared" si="3"/>
        <v>-13975</v>
      </c>
      <c r="W36" s="197">
        <f>-(Abschreibung!$I$15)</f>
        <v>-45550</v>
      </c>
      <c r="X36" s="198">
        <f>-(Abschreibung!$K$15)</f>
        <v>-31575</v>
      </c>
    </row>
    <row r="37" spans="1:24" s="194" customFormat="1" ht="7.5" customHeight="1" outlineLevel="1" thickTop="1" x14ac:dyDescent="0.25">
      <c r="A37" s="161"/>
      <c r="B37" s="162"/>
      <c r="C37" s="162"/>
      <c r="D37" s="163"/>
      <c r="E37" s="188"/>
      <c r="F37" s="189"/>
      <c r="G37" s="189"/>
      <c r="H37" s="189"/>
      <c r="I37" s="189"/>
      <c r="J37" s="189"/>
      <c r="K37" s="189"/>
      <c r="L37" s="189"/>
      <c r="M37" s="189"/>
      <c r="N37" s="189"/>
      <c r="O37" s="189"/>
      <c r="P37" s="190"/>
      <c r="Q37" s="191"/>
      <c r="R37" s="188"/>
      <c r="S37" s="189"/>
      <c r="T37" s="189"/>
      <c r="U37" s="190"/>
      <c r="V37" s="191"/>
      <c r="W37" s="192"/>
      <c r="X37" s="193"/>
    </row>
    <row r="38" spans="1:24" ht="18.75" customHeight="1" thickBot="1" x14ac:dyDescent="0.3">
      <c r="A38" s="804" t="s">
        <v>114</v>
      </c>
      <c r="B38" s="805"/>
      <c r="C38" s="805"/>
      <c r="D38" s="806"/>
      <c r="E38" s="176">
        <f>SUM(E22:E36)</f>
        <v>-19784.938718527497</v>
      </c>
      <c r="F38" s="173">
        <f t="shared" ref="F38:P38" si="15">SUM(F22:F36)</f>
        <v>-20742.938718527497</v>
      </c>
      <c r="G38" s="173">
        <f t="shared" si="15"/>
        <v>-26190.938718527497</v>
      </c>
      <c r="H38" s="173">
        <f t="shared" si="15"/>
        <v>-24240.938718527497</v>
      </c>
      <c r="I38" s="173">
        <f t="shared" si="15"/>
        <v>-55214.105385194169</v>
      </c>
      <c r="J38" s="173">
        <f t="shared" si="15"/>
        <v>-24190.938718527497</v>
      </c>
      <c r="K38" s="173">
        <f t="shared" si="15"/>
        <v>-24240.938718527497</v>
      </c>
      <c r="L38" s="173">
        <f t="shared" si="15"/>
        <v>-24390.938718527497</v>
      </c>
      <c r="M38" s="173">
        <f t="shared" si="15"/>
        <v>-24190.938718527497</v>
      </c>
      <c r="N38" s="173">
        <f t="shared" si="15"/>
        <v>-27240.938718527497</v>
      </c>
      <c r="O38" s="173">
        <f t="shared" si="15"/>
        <v>37385.894614805831</v>
      </c>
      <c r="P38" s="174">
        <f t="shared" si="15"/>
        <v>-24328.538718527496</v>
      </c>
      <c r="Q38" s="175">
        <f t="shared" ref="Q38" si="16">SUM(Q22:Q36)</f>
        <v>-257371.19795566332</v>
      </c>
      <c r="R38" s="176">
        <f t="shared" ref="R38" si="17">SUM(R22:R36)</f>
        <v>-64399.216155582501</v>
      </c>
      <c r="S38" s="173">
        <f t="shared" ref="S38" si="18">SUM(S22:S36)</f>
        <v>-17746.016155582496</v>
      </c>
      <c r="T38" s="173">
        <f t="shared" ref="T38" si="19">SUM(T22:T36)</f>
        <v>-60571.216155582501</v>
      </c>
      <c r="U38" s="174">
        <f t="shared" ref="U38" si="20">SUM(U22:U36)</f>
        <v>-7746.016155582497</v>
      </c>
      <c r="V38" s="175">
        <f t="shared" ref="V38" si="21">SUM(V22:V36)</f>
        <v>-150462.46462233001</v>
      </c>
      <c r="W38" s="177">
        <f t="shared" ref="W38" si="22">SUM(W22:W36)</f>
        <v>228511.37537766993</v>
      </c>
      <c r="X38" s="195">
        <f t="shared" ref="X38" si="23">SUM(X22:X36)</f>
        <v>464325.37737766997</v>
      </c>
    </row>
    <row r="39" spans="1:24" ht="18.75" customHeight="1" outlineLevel="1" thickTop="1" x14ac:dyDescent="0.25">
      <c r="A39" s="157" t="s">
        <v>107</v>
      </c>
      <c r="B39" s="809" t="s">
        <v>176</v>
      </c>
      <c r="C39" s="809"/>
      <c r="D39" s="810"/>
      <c r="E39" s="179">
        <f>-(Liquiditätsplan!E84+Liquiditätsplan!E86)/3</f>
        <v>-264.32216538895625</v>
      </c>
      <c r="F39" s="7">
        <f>-(Liquiditätsplan!E84+Liquiditätsplan!E86)/3</f>
        <v>-264.32216538895625</v>
      </c>
      <c r="G39" s="7">
        <f>-(Liquiditätsplan!E84+Liquiditätsplan!E86)/3</f>
        <v>-264.32216538895625</v>
      </c>
      <c r="H39" s="7">
        <f>-(Liquiditätsplan!H84+Liquiditätsplan!H86)/3</f>
        <v>-900.07245386082786</v>
      </c>
      <c r="I39" s="7">
        <f>-(Liquiditätsplan!H84+Liquiditätsplan!H86)/3</f>
        <v>-900.07245386082786</v>
      </c>
      <c r="J39" s="7">
        <f>-(Liquiditätsplan!H84+Liquiditätsplan!H86)/3</f>
        <v>-900.07245386082786</v>
      </c>
      <c r="K39" s="7">
        <f>-(Liquiditätsplan!K84+Liquiditätsplan!K86)/3</f>
        <v>-1346.1618911982164</v>
      </c>
      <c r="L39" s="7">
        <f>-(Liquiditätsplan!K84+Liquiditätsplan!K86)/3</f>
        <v>-1346.1618911982164</v>
      </c>
      <c r="M39" s="7">
        <f>-(Liquiditätsplan!K84+Liquiditätsplan!K86)/3</f>
        <v>-1346.1618911982164</v>
      </c>
      <c r="N39" s="7">
        <f>-(Liquiditätsplan!N84+Liquiditätsplan!N86)/3</f>
        <v>-1574.3622316207536</v>
      </c>
      <c r="O39" s="7">
        <f>-(Liquiditätsplan!N84+Liquiditätsplan!N86)/3</f>
        <v>-1574.3622316207536</v>
      </c>
      <c r="P39" s="180">
        <f>-(Liquiditätsplan!N84+Liquiditätsplan!N86)/3</f>
        <v>-1574.3622316207536</v>
      </c>
      <c r="Q39" s="8">
        <f t="shared" si="1"/>
        <v>-12254.75622620626</v>
      </c>
      <c r="R39" s="179">
        <f>-(Liquiditätsplan!R84+Liquiditätsplan!R86)</f>
        <v>-5406.9102420167783</v>
      </c>
      <c r="S39" s="7">
        <f>-(Liquiditätsplan!S84+Liquiditätsplan!S86)</f>
        <v>-6148.9907113771096</v>
      </c>
      <c r="T39" s="7">
        <f>-(Liquiditätsplan!T84+Liquiditätsplan!T86)</f>
        <v>-6650.7654608613002</v>
      </c>
      <c r="U39" s="180">
        <f>-(Liquiditätsplan!U84+Liquiditätsplan!U86)</f>
        <v>-7093.5357911534938</v>
      </c>
      <c r="V39" s="8">
        <f t="shared" si="3"/>
        <v>-25300.202205408685</v>
      </c>
      <c r="W39" s="181">
        <f>-(Liquiditätsplan!W84+Liquiditätsplan!W86)</f>
        <v>-28088.91244644062</v>
      </c>
      <c r="X39" s="182">
        <f>-(Liquiditätsplan!X84+Liquiditätsplan!X86)</f>
        <v>-8117.9780712496322</v>
      </c>
    </row>
    <row r="40" spans="1:24" ht="18.75" customHeight="1" outlineLevel="1" thickBot="1" x14ac:dyDescent="0.3">
      <c r="A40" s="158" t="s">
        <v>108</v>
      </c>
      <c r="B40" s="811" t="s">
        <v>175</v>
      </c>
      <c r="C40" s="811"/>
      <c r="D40" s="812"/>
      <c r="E40" s="196">
        <f>Liquiditätsplan!E85/3</f>
        <v>0</v>
      </c>
      <c r="F40" s="129">
        <f>Liquiditätsplan!E85/3</f>
        <v>0</v>
      </c>
      <c r="G40" s="129">
        <f>Liquiditätsplan!E85/3</f>
        <v>0</v>
      </c>
      <c r="H40" s="129">
        <f>Liquiditätsplan!H85/3</f>
        <v>0</v>
      </c>
      <c r="I40" s="129">
        <f>Liquiditätsplan!H85/3</f>
        <v>0</v>
      </c>
      <c r="J40" s="129">
        <f>Liquiditätsplan!H85/3</f>
        <v>0</v>
      </c>
      <c r="K40" s="129">
        <f>Liquiditätsplan!K85/3</f>
        <v>0</v>
      </c>
      <c r="L40" s="129">
        <f>Liquiditätsplan!K85/3</f>
        <v>0</v>
      </c>
      <c r="M40" s="129">
        <f>Liquiditätsplan!K85/3</f>
        <v>0</v>
      </c>
      <c r="N40" s="129">
        <f>Liquiditätsplan!N85/3</f>
        <v>0</v>
      </c>
      <c r="O40" s="129">
        <f>Liquiditätsplan!N85/3</f>
        <v>0</v>
      </c>
      <c r="P40" s="159">
        <f>Liquiditätsplan!N85/3</f>
        <v>0</v>
      </c>
      <c r="Q40" s="134">
        <f t="shared" si="1"/>
        <v>0</v>
      </c>
      <c r="R40" s="196">
        <f>Liquiditätsplan!R85</f>
        <v>0</v>
      </c>
      <c r="S40" s="129">
        <f>Liquiditätsplan!S85</f>
        <v>0</v>
      </c>
      <c r="T40" s="129">
        <f>Liquiditätsplan!T85</f>
        <v>0</v>
      </c>
      <c r="U40" s="159">
        <f>Liquiditätsplan!U85</f>
        <v>0</v>
      </c>
      <c r="V40" s="134">
        <f t="shared" si="3"/>
        <v>0</v>
      </c>
      <c r="W40" s="197">
        <f>Liquiditätsplan!W85</f>
        <v>0</v>
      </c>
      <c r="X40" s="198">
        <f>Liquiditätsplan!X85</f>
        <v>0</v>
      </c>
    </row>
    <row r="41" spans="1:24" s="194" customFormat="1" ht="7.5" customHeight="1" outlineLevel="1" thickTop="1" x14ac:dyDescent="0.25">
      <c r="A41" s="161"/>
      <c r="B41" s="162"/>
      <c r="C41" s="162"/>
      <c r="D41" s="163"/>
      <c r="E41" s="188"/>
      <c r="F41" s="189"/>
      <c r="G41" s="189"/>
      <c r="H41" s="189"/>
      <c r="I41" s="189"/>
      <c r="J41" s="189"/>
      <c r="K41" s="189"/>
      <c r="L41" s="189"/>
      <c r="M41" s="189"/>
      <c r="N41" s="189"/>
      <c r="O41" s="189"/>
      <c r="P41" s="190"/>
      <c r="Q41" s="191"/>
      <c r="R41" s="188"/>
      <c r="S41" s="189"/>
      <c r="T41" s="189"/>
      <c r="U41" s="190"/>
      <c r="V41" s="191"/>
      <c r="W41" s="192"/>
      <c r="X41" s="193"/>
    </row>
    <row r="42" spans="1:24" ht="18.75" customHeight="1" thickBot="1" x14ac:dyDescent="0.3">
      <c r="A42" s="804" t="s">
        <v>119</v>
      </c>
      <c r="B42" s="805"/>
      <c r="C42" s="805"/>
      <c r="D42" s="806"/>
      <c r="E42" s="176">
        <f>SUM(E39:E40)</f>
        <v>-264.32216538895625</v>
      </c>
      <c r="F42" s="173">
        <f t="shared" ref="F42:X42" si="24">SUM(F39:F40)</f>
        <v>-264.32216538895625</v>
      </c>
      <c r="G42" s="173">
        <f t="shared" si="24"/>
        <v>-264.32216538895625</v>
      </c>
      <c r="H42" s="173">
        <f t="shared" si="24"/>
        <v>-900.07245386082786</v>
      </c>
      <c r="I42" s="173">
        <f t="shared" si="24"/>
        <v>-900.07245386082786</v>
      </c>
      <c r="J42" s="173">
        <f t="shared" si="24"/>
        <v>-900.07245386082786</v>
      </c>
      <c r="K42" s="173">
        <f t="shared" si="24"/>
        <v>-1346.1618911982164</v>
      </c>
      <c r="L42" s="173">
        <f t="shared" si="24"/>
        <v>-1346.1618911982164</v>
      </c>
      <c r="M42" s="173">
        <f t="shared" si="24"/>
        <v>-1346.1618911982164</v>
      </c>
      <c r="N42" s="173">
        <f t="shared" si="24"/>
        <v>-1574.3622316207536</v>
      </c>
      <c r="O42" s="173">
        <f t="shared" si="24"/>
        <v>-1574.3622316207536</v>
      </c>
      <c r="P42" s="174">
        <f t="shared" si="24"/>
        <v>-1574.3622316207536</v>
      </c>
      <c r="Q42" s="175">
        <f t="shared" si="24"/>
        <v>-12254.75622620626</v>
      </c>
      <c r="R42" s="176">
        <f t="shared" si="24"/>
        <v>-5406.9102420167783</v>
      </c>
      <c r="S42" s="173">
        <f t="shared" si="24"/>
        <v>-6148.9907113771096</v>
      </c>
      <c r="T42" s="173">
        <f t="shared" si="24"/>
        <v>-6650.7654608613002</v>
      </c>
      <c r="U42" s="174">
        <f t="shared" si="24"/>
        <v>-7093.5357911534938</v>
      </c>
      <c r="V42" s="175">
        <f t="shared" si="24"/>
        <v>-25300.202205408685</v>
      </c>
      <c r="W42" s="177">
        <f t="shared" si="24"/>
        <v>-28088.91244644062</v>
      </c>
      <c r="X42" s="195">
        <f t="shared" si="24"/>
        <v>-8117.9780712496322</v>
      </c>
    </row>
    <row r="43" spans="1:24" ht="7.5" customHeight="1" thickTop="1" x14ac:dyDescent="0.25">
      <c r="A43" s="199"/>
      <c r="B43" s="200"/>
      <c r="C43" s="200"/>
      <c r="D43" s="201"/>
      <c r="E43" s="202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203"/>
      <c r="Q43" s="204"/>
      <c r="R43" s="202"/>
      <c r="S43" s="110"/>
      <c r="T43" s="110"/>
      <c r="U43" s="203"/>
      <c r="V43" s="204"/>
      <c r="W43" s="205"/>
      <c r="X43" s="206"/>
    </row>
    <row r="44" spans="1:24" ht="18.75" customHeight="1" thickBot="1" x14ac:dyDescent="0.3">
      <c r="A44" s="804" t="s">
        <v>120</v>
      </c>
      <c r="B44" s="805"/>
      <c r="C44" s="805"/>
      <c r="D44" s="806"/>
      <c r="E44" s="176">
        <f>E42+E38</f>
        <v>-20049.260883916453</v>
      </c>
      <c r="F44" s="173">
        <f t="shared" ref="F44:X44" si="25">F42+F38</f>
        <v>-21007.260883916453</v>
      </c>
      <c r="G44" s="173">
        <f t="shared" si="25"/>
        <v>-26455.260883916453</v>
      </c>
      <c r="H44" s="173">
        <f t="shared" si="25"/>
        <v>-25141.011172388324</v>
      </c>
      <c r="I44" s="173">
        <f t="shared" si="25"/>
        <v>-56114.177839054995</v>
      </c>
      <c r="J44" s="173">
        <f t="shared" si="25"/>
        <v>-25091.011172388324</v>
      </c>
      <c r="K44" s="173">
        <f t="shared" si="25"/>
        <v>-25587.100609725712</v>
      </c>
      <c r="L44" s="173">
        <f t="shared" si="25"/>
        <v>-25737.100609725712</v>
      </c>
      <c r="M44" s="173">
        <f t="shared" si="25"/>
        <v>-25537.100609725712</v>
      </c>
      <c r="N44" s="173">
        <f t="shared" si="25"/>
        <v>-28815.300950148252</v>
      </c>
      <c r="O44" s="173">
        <f t="shared" si="25"/>
        <v>35811.532383185076</v>
      </c>
      <c r="P44" s="174">
        <f t="shared" si="25"/>
        <v>-25902.900950148251</v>
      </c>
      <c r="Q44" s="175">
        <f t="shared" si="25"/>
        <v>-269625.95418186957</v>
      </c>
      <c r="R44" s="176">
        <f t="shared" si="25"/>
        <v>-69806.126397599277</v>
      </c>
      <c r="S44" s="173">
        <f t="shared" si="25"/>
        <v>-23895.006866959608</v>
      </c>
      <c r="T44" s="173">
        <f t="shared" si="25"/>
        <v>-67221.981616443794</v>
      </c>
      <c r="U44" s="174">
        <f t="shared" si="25"/>
        <v>-14839.551946735992</v>
      </c>
      <c r="V44" s="175">
        <f t="shared" si="25"/>
        <v>-175762.66682773869</v>
      </c>
      <c r="W44" s="177">
        <f t="shared" si="25"/>
        <v>200422.46293122933</v>
      </c>
      <c r="X44" s="195">
        <f t="shared" si="25"/>
        <v>456207.39930642035</v>
      </c>
    </row>
    <row r="45" spans="1:24" ht="18.75" customHeight="1" thickTop="1" thickBot="1" x14ac:dyDescent="0.3">
      <c r="A45" s="207" t="s">
        <v>107</v>
      </c>
      <c r="B45" s="813" t="s">
        <v>167</v>
      </c>
      <c r="C45" s="813"/>
      <c r="D45" s="814"/>
      <c r="E45" s="208">
        <f>$Q$45/12</f>
        <v>-41.666666666666664</v>
      </c>
      <c r="F45" s="208">
        <f t="shared" ref="F45:P45" si="26">$Q$45/12</f>
        <v>-41.666666666666664</v>
      </c>
      <c r="G45" s="208">
        <f t="shared" si="26"/>
        <v>-41.666666666666664</v>
      </c>
      <c r="H45" s="208">
        <f t="shared" si="26"/>
        <v>-41.666666666666664</v>
      </c>
      <c r="I45" s="208">
        <f t="shared" si="26"/>
        <v>-41.666666666666664</v>
      </c>
      <c r="J45" s="208">
        <f t="shared" si="26"/>
        <v>-41.666666666666664</v>
      </c>
      <c r="K45" s="208">
        <f t="shared" si="26"/>
        <v>-41.666666666666664</v>
      </c>
      <c r="L45" s="208">
        <f t="shared" si="26"/>
        <v>-41.666666666666664</v>
      </c>
      <c r="M45" s="208">
        <f t="shared" si="26"/>
        <v>-41.666666666666664</v>
      </c>
      <c r="N45" s="208">
        <f t="shared" si="26"/>
        <v>-41.666666666666664</v>
      </c>
      <c r="O45" s="208">
        <f t="shared" si="26"/>
        <v>-41.666666666666664</v>
      </c>
      <c r="P45" s="209">
        <f t="shared" si="26"/>
        <v>-41.666666666666664</v>
      </c>
      <c r="Q45" s="210">
        <f>-Q56</f>
        <v>-500</v>
      </c>
      <c r="R45" s="208">
        <f>$V$45/4</f>
        <v>-125</v>
      </c>
      <c r="S45" s="208">
        <f t="shared" ref="S45:U45" si="27">$V$45/4</f>
        <v>-125</v>
      </c>
      <c r="T45" s="208">
        <f t="shared" si="27"/>
        <v>-125</v>
      </c>
      <c r="U45" s="209">
        <f t="shared" si="27"/>
        <v>-125</v>
      </c>
      <c r="V45" s="210">
        <f>-V56</f>
        <v>-500</v>
      </c>
      <c r="W45" s="211">
        <f>-W56</f>
        <v>-12526.403933201833</v>
      </c>
      <c r="X45" s="212">
        <f>-X56</f>
        <v>-40283.906373808531</v>
      </c>
    </row>
    <row r="46" spans="1:24" s="171" customFormat="1" ht="7.5" customHeight="1" thickTop="1" thickBot="1" x14ac:dyDescent="0.3">
      <c r="A46" s="213"/>
      <c r="B46" s="214"/>
      <c r="C46" s="214"/>
      <c r="D46" s="215"/>
      <c r="E46" s="216"/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P46" s="218"/>
      <c r="Q46" s="219"/>
      <c r="R46" s="220"/>
      <c r="S46" s="221"/>
      <c r="T46" s="221"/>
      <c r="U46" s="222"/>
      <c r="V46" s="223"/>
      <c r="W46" s="224"/>
      <c r="X46" s="225"/>
    </row>
    <row r="47" spans="1:24" ht="22.5" customHeight="1" thickBot="1" x14ac:dyDescent="0.3">
      <c r="A47" s="815" t="s">
        <v>121</v>
      </c>
      <c r="B47" s="816"/>
      <c r="C47" s="816"/>
      <c r="D47" s="817"/>
      <c r="E47" s="226">
        <f>E44+E45</f>
        <v>-20090.927550583121</v>
      </c>
      <c r="F47" s="227">
        <f t="shared" ref="F47:X47" si="28">F44+F45</f>
        <v>-21048.927550583121</v>
      </c>
      <c r="G47" s="227">
        <f t="shared" si="28"/>
        <v>-26496.927550583121</v>
      </c>
      <c r="H47" s="227">
        <f t="shared" si="28"/>
        <v>-25182.677839054992</v>
      </c>
      <c r="I47" s="227">
        <f t="shared" si="28"/>
        <v>-56155.84450572166</v>
      </c>
      <c r="J47" s="227">
        <f t="shared" si="28"/>
        <v>-25132.677839054992</v>
      </c>
      <c r="K47" s="227">
        <f t="shared" si="28"/>
        <v>-25628.76727639238</v>
      </c>
      <c r="L47" s="227">
        <f t="shared" si="28"/>
        <v>-25778.76727639238</v>
      </c>
      <c r="M47" s="227">
        <f t="shared" si="28"/>
        <v>-25578.76727639238</v>
      </c>
      <c r="N47" s="227">
        <f t="shared" si="28"/>
        <v>-28856.96761681492</v>
      </c>
      <c r="O47" s="227">
        <f t="shared" si="28"/>
        <v>35769.865716518412</v>
      </c>
      <c r="P47" s="228">
        <f t="shared" si="28"/>
        <v>-25944.567616814918</v>
      </c>
      <c r="Q47" s="229">
        <f t="shared" si="28"/>
        <v>-270125.95418186957</v>
      </c>
      <c r="R47" s="226">
        <f t="shared" si="28"/>
        <v>-69931.126397599277</v>
      </c>
      <c r="S47" s="227">
        <f t="shared" si="28"/>
        <v>-24020.006866959608</v>
      </c>
      <c r="T47" s="227">
        <f t="shared" si="28"/>
        <v>-67346.981616443794</v>
      </c>
      <c r="U47" s="228">
        <f t="shared" si="28"/>
        <v>-14964.551946735992</v>
      </c>
      <c r="V47" s="229">
        <f t="shared" si="28"/>
        <v>-176262.66682773869</v>
      </c>
      <c r="W47" s="230">
        <f t="shared" si="28"/>
        <v>187896.0589980275</v>
      </c>
      <c r="X47" s="231">
        <f t="shared" si="28"/>
        <v>415923.49293261184</v>
      </c>
    </row>
    <row r="48" spans="1:24" ht="18.75" customHeight="1" thickBot="1" x14ac:dyDescent="0.3"/>
    <row r="49" spans="1:24" ht="18.75" customHeight="1" x14ac:dyDescent="0.25">
      <c r="A49" s="802" t="s">
        <v>122</v>
      </c>
      <c r="B49" s="802"/>
      <c r="C49" s="802"/>
      <c r="D49" s="802"/>
      <c r="E49" s="802"/>
      <c r="F49" s="802"/>
      <c r="G49" s="802"/>
      <c r="H49" s="802"/>
      <c r="I49" s="802"/>
      <c r="J49" s="802"/>
      <c r="K49" s="802"/>
      <c r="L49" s="802"/>
      <c r="M49" s="802"/>
      <c r="N49" s="802"/>
      <c r="O49" s="802"/>
      <c r="P49" s="803"/>
      <c r="Q49" s="232">
        <f>Q44</f>
        <v>-269625.95418186957</v>
      </c>
      <c r="R49" s="233"/>
      <c r="S49" s="233"/>
      <c r="T49" s="233"/>
      <c r="U49" s="233"/>
      <c r="V49" s="234">
        <f>V44</f>
        <v>-175762.66682773869</v>
      </c>
      <c r="W49" s="234">
        <f>W44</f>
        <v>200422.46293122933</v>
      </c>
      <c r="X49" s="235">
        <f>X44</f>
        <v>456207.39930642035</v>
      </c>
    </row>
    <row r="50" spans="1:24" ht="18.75" customHeight="1" x14ac:dyDescent="0.25">
      <c r="A50" s="802" t="s">
        <v>128</v>
      </c>
      <c r="B50" s="802"/>
      <c r="C50" s="802"/>
      <c r="D50" s="802"/>
      <c r="E50" s="802"/>
      <c r="F50" s="802"/>
      <c r="G50" s="802"/>
      <c r="H50" s="802"/>
      <c r="I50" s="802"/>
      <c r="J50" s="802"/>
      <c r="K50" s="802"/>
      <c r="L50" s="802"/>
      <c r="M50" s="802"/>
      <c r="N50" s="802"/>
      <c r="O50" s="802"/>
      <c r="P50" s="803"/>
      <c r="Q50" s="236">
        <f>IF(Q49&lt;0,0,Q49*$D$5)</f>
        <v>0</v>
      </c>
      <c r="R50" s="237"/>
      <c r="S50" s="237"/>
      <c r="T50" s="237"/>
      <c r="U50" s="237"/>
      <c r="V50" s="238">
        <f>IF(V49&lt;0,0,V49*$D$5)</f>
        <v>0</v>
      </c>
      <c r="W50" s="238">
        <f>IF(W49&lt;0,0,W49*$D$5)</f>
        <v>50105.615732807331</v>
      </c>
      <c r="X50" s="13">
        <f>IF(X49&lt;0,0,X49*$D$5)</f>
        <v>114051.84982660509</v>
      </c>
    </row>
    <row r="51" spans="1:24" ht="18.75" customHeight="1" x14ac:dyDescent="0.25">
      <c r="A51" s="802" t="s">
        <v>123</v>
      </c>
      <c r="B51" s="802"/>
      <c r="C51" s="802"/>
      <c r="D51" s="802"/>
      <c r="E51" s="802"/>
      <c r="F51" s="802"/>
      <c r="G51" s="802"/>
      <c r="H51" s="802"/>
      <c r="I51" s="802"/>
      <c r="J51" s="802"/>
      <c r="K51" s="802"/>
      <c r="L51" s="802"/>
      <c r="M51" s="802"/>
      <c r="N51" s="802"/>
      <c r="O51" s="802"/>
      <c r="P51" s="803"/>
      <c r="Q51" s="236">
        <v>0</v>
      </c>
      <c r="R51" s="237"/>
      <c r="S51" s="237"/>
      <c r="T51" s="237"/>
      <c r="U51" s="237"/>
      <c r="V51" s="238">
        <f>Q52</f>
        <v>-269625.95418186957</v>
      </c>
      <c r="W51" s="238">
        <f>V52</f>
        <v>-445388.62100960827</v>
      </c>
      <c r="X51" s="13">
        <f>W52</f>
        <v>-295071.77381118626</v>
      </c>
    </row>
    <row r="52" spans="1:24" ht="18.75" customHeight="1" x14ac:dyDescent="0.25">
      <c r="A52" s="802" t="s">
        <v>124</v>
      </c>
      <c r="B52" s="802"/>
      <c r="C52" s="802"/>
      <c r="D52" s="802"/>
      <c r="E52" s="802"/>
      <c r="F52" s="802"/>
      <c r="G52" s="802"/>
      <c r="H52" s="802"/>
      <c r="I52" s="802"/>
      <c r="J52" s="802"/>
      <c r="K52" s="802"/>
      <c r="L52" s="802"/>
      <c r="M52" s="802"/>
      <c r="N52" s="802"/>
      <c r="O52" s="802"/>
      <c r="P52" s="803"/>
      <c r="Q52" s="236">
        <f>IF(Q51+(Q49-Q50)&gt;0,0,Q51+(Q49-Q50))</f>
        <v>-269625.95418186957</v>
      </c>
      <c r="R52" s="237"/>
      <c r="S52" s="237"/>
      <c r="T52" s="237"/>
      <c r="U52" s="237"/>
      <c r="V52" s="238">
        <f>IF(V51+(V49-V50)&gt;0,0,V51+(V49-V50))</f>
        <v>-445388.62100960827</v>
      </c>
      <c r="W52" s="238">
        <f>IF(W51+(W49-W50)&gt;0,0,W51+(W49-W50))</f>
        <v>-295071.77381118626</v>
      </c>
      <c r="X52" s="13">
        <f>IF(X51+(X49-X50)&gt;0,0,X51+(X49-X50))</f>
        <v>0</v>
      </c>
    </row>
    <row r="53" spans="1:24" ht="7.5" customHeight="1" x14ac:dyDescent="0.25">
      <c r="A53" s="482"/>
      <c r="B53" s="482"/>
      <c r="C53" s="482"/>
      <c r="D53" s="482"/>
      <c r="E53" s="482"/>
      <c r="F53" s="482"/>
      <c r="G53" s="482"/>
      <c r="H53" s="482"/>
      <c r="I53" s="482"/>
      <c r="J53" s="482"/>
      <c r="K53" s="482"/>
      <c r="L53" s="482"/>
      <c r="M53" s="482"/>
      <c r="N53" s="802"/>
      <c r="O53" s="802"/>
      <c r="P53" s="803"/>
      <c r="Q53" s="239"/>
      <c r="R53" s="240"/>
      <c r="S53" s="240"/>
      <c r="T53" s="240"/>
      <c r="U53" s="240"/>
      <c r="V53" s="241"/>
      <c r="W53" s="241"/>
      <c r="X53" s="17"/>
    </row>
    <row r="54" spans="1:24" ht="18.75" customHeight="1" x14ac:dyDescent="0.25">
      <c r="A54" s="802" t="s">
        <v>125</v>
      </c>
      <c r="B54" s="802"/>
      <c r="C54" s="802"/>
      <c r="D54" s="802"/>
      <c r="E54" s="802"/>
      <c r="F54" s="802"/>
      <c r="G54" s="802"/>
      <c r="H54" s="802"/>
      <c r="I54" s="802"/>
      <c r="J54" s="802"/>
      <c r="K54" s="802"/>
      <c r="L54" s="802"/>
      <c r="M54" s="802"/>
      <c r="N54" s="802"/>
      <c r="O54" s="802"/>
      <c r="P54" s="803"/>
      <c r="Q54" s="242">
        <f>IF(Q49*(1-$D$5)&gt;ABS(Q51),Q49*(1-$D$5)+Q51,0)</f>
        <v>0</v>
      </c>
      <c r="R54" s="243"/>
      <c r="S54" s="243"/>
      <c r="T54" s="243"/>
      <c r="U54" s="243"/>
      <c r="V54" s="244">
        <f>IF(V49*(1-$D$5)&gt;ABS(V51),V49*(1-$D$5)+V51,0)</f>
        <v>0</v>
      </c>
      <c r="W54" s="244">
        <f>IF(W49*(1-$D$5)&gt;ABS(W51),W49*(1-$D$5)+W51,0)</f>
        <v>0</v>
      </c>
      <c r="X54" s="245">
        <f>IF(X49*(1-$D$5)&gt;ABS(X51),X49*(1-$D$5)+X51,0)</f>
        <v>47083.775668629038</v>
      </c>
    </row>
    <row r="55" spans="1:24" ht="18.75" customHeight="1" thickBot="1" x14ac:dyDescent="0.3">
      <c r="A55" s="802" t="s">
        <v>126</v>
      </c>
      <c r="B55" s="802"/>
      <c r="C55" s="802"/>
      <c r="D55" s="802"/>
      <c r="E55" s="802"/>
      <c r="F55" s="802"/>
      <c r="G55" s="802"/>
      <c r="H55" s="802"/>
      <c r="I55" s="802"/>
      <c r="J55" s="802"/>
      <c r="K55" s="802"/>
      <c r="L55" s="802"/>
      <c r="M55" s="802"/>
      <c r="N55" s="802"/>
      <c r="O55" s="802"/>
      <c r="P55" s="803"/>
      <c r="Q55" s="239">
        <f>SUM(Q50,Q54)</f>
        <v>0</v>
      </c>
      <c r="R55" s="240"/>
      <c r="S55" s="240"/>
      <c r="T55" s="240"/>
      <c r="U55" s="240"/>
      <c r="V55" s="241">
        <f>SUM(V50,V54)</f>
        <v>0</v>
      </c>
      <c r="W55" s="241">
        <f>SUM(W50,W54)</f>
        <v>50105.615732807331</v>
      </c>
      <c r="X55" s="17">
        <f>SUM(X50,X54)</f>
        <v>161135.62549523413</v>
      </c>
    </row>
    <row r="56" spans="1:24" ht="18.75" customHeight="1" thickTop="1" thickBot="1" x14ac:dyDescent="0.3">
      <c r="A56" s="791" t="s">
        <v>129</v>
      </c>
      <c r="B56" s="791"/>
      <c r="C56" s="791"/>
      <c r="D56" s="791"/>
      <c r="E56" s="791"/>
      <c r="F56" s="791"/>
      <c r="G56" s="791"/>
      <c r="H56" s="791"/>
      <c r="I56" s="791"/>
      <c r="J56" s="791"/>
      <c r="K56" s="791"/>
      <c r="L56" s="791"/>
      <c r="M56" s="791"/>
      <c r="N56" s="791"/>
      <c r="O56" s="791"/>
      <c r="P56" s="792"/>
      <c r="Q56" s="246">
        <f>IF(Q55*$D$5&lt;500,500,Q55*$D$5)</f>
        <v>500</v>
      </c>
      <c r="R56" s="247"/>
      <c r="S56" s="247"/>
      <c r="T56" s="247"/>
      <c r="U56" s="247"/>
      <c r="V56" s="248">
        <f>IF(V55*$D$5&lt;500,500,V55*$D$5)</f>
        <v>500</v>
      </c>
      <c r="W56" s="248">
        <f>IF(W55*$D$5&lt;500,500,W55*$D$5)</f>
        <v>12526.403933201833</v>
      </c>
      <c r="X56" s="249">
        <f>IF(X55*$D$5&lt;500,500,X55*$D$5)</f>
        <v>40283.906373808531</v>
      </c>
    </row>
    <row r="57" spans="1:24" ht="18.75" customHeight="1" x14ac:dyDescent="0.25"/>
    <row r="58" spans="1:24" ht="18.75" customHeight="1" x14ac:dyDescent="0.25"/>
    <row r="59" spans="1:24" ht="18.75" customHeight="1" x14ac:dyDescent="0.25"/>
    <row r="60" spans="1:24" ht="18.75" customHeight="1" x14ac:dyDescent="0.25"/>
    <row r="61" spans="1:24" ht="18.75" customHeight="1" x14ac:dyDescent="0.25"/>
  </sheetData>
  <sheetProtection algorithmName="SHA-512" hashValue="k2XZAi3xuTAEi8OLaffdD0LboL5eTF1E6shPXULAVbVsPTRBTDGBZOjlwn1thrSeMnw6oFawwBf1r04wlnTd1w==" saltValue="M9A/9ya4OeFkWtozOAXBew==" spinCount="100000" sheet="1" objects="1" scenarios="1"/>
  <mergeCells count="52">
    <mergeCell ref="X7:X8"/>
    <mergeCell ref="E7:P7"/>
    <mergeCell ref="Q7:Q8"/>
    <mergeCell ref="R7:U7"/>
    <mergeCell ref="V7:V8"/>
    <mergeCell ref="W7:W8"/>
    <mergeCell ref="B15:D15"/>
    <mergeCell ref="B16:D16"/>
    <mergeCell ref="A18:D18"/>
    <mergeCell ref="B9:D9"/>
    <mergeCell ref="A7:D8"/>
    <mergeCell ref="B10:D10"/>
    <mergeCell ref="A12:D12"/>
    <mergeCell ref="B13:D13"/>
    <mergeCell ref="B14:D14"/>
    <mergeCell ref="B20:D20"/>
    <mergeCell ref="A22:D22"/>
    <mergeCell ref="B23:D23"/>
    <mergeCell ref="B24:D24"/>
    <mergeCell ref="B25:D25"/>
    <mergeCell ref="A1:X1"/>
    <mergeCell ref="A49:P49"/>
    <mergeCell ref="A50:P50"/>
    <mergeCell ref="A51:P51"/>
    <mergeCell ref="A52:P52"/>
    <mergeCell ref="B39:D39"/>
    <mergeCell ref="B40:D40"/>
    <mergeCell ref="A42:D42"/>
    <mergeCell ref="A44:D44"/>
    <mergeCell ref="B45:D45"/>
    <mergeCell ref="A47:D47"/>
    <mergeCell ref="B32:D32"/>
    <mergeCell ref="B33:D33"/>
    <mergeCell ref="B34:D34"/>
    <mergeCell ref="B35:D35"/>
    <mergeCell ref="B36:D36"/>
    <mergeCell ref="A56:P56"/>
    <mergeCell ref="A3:C3"/>
    <mergeCell ref="A4:C4"/>
    <mergeCell ref="A5:C5"/>
    <mergeCell ref="A6:C6"/>
    <mergeCell ref="A54:P54"/>
    <mergeCell ref="A55:P55"/>
    <mergeCell ref="N53:P53"/>
    <mergeCell ref="A38:D38"/>
    <mergeCell ref="B26:D26"/>
    <mergeCell ref="B27:D27"/>
    <mergeCell ref="B28:D28"/>
    <mergeCell ref="B29:D29"/>
    <mergeCell ref="B30:D30"/>
    <mergeCell ref="B31:D31"/>
    <mergeCell ref="B19:D19"/>
  </mergeCells>
  <pageMargins left="0.70866141732283472" right="0.70866141732283472" top="0.78740157480314965" bottom="0.78740157480314965" header="0.31496062992125984" footer="0.31496062992125984"/>
  <pageSetup paperSize="8" scale="41" fitToHeight="0" orientation="portrait" blackAndWhite="1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X88"/>
  <sheetViews>
    <sheetView showGridLines="0" view="pageBreakPreview" topLeftCell="N10" zoomScaleNormal="85" zoomScaleSheetLayoutView="100" workbookViewId="0">
      <selection activeCell="U21" sqref="U21"/>
    </sheetView>
  </sheetViews>
  <sheetFormatPr baseColWidth="10" defaultRowHeight="15" outlineLevelRow="1" outlineLevelCol="1" x14ac:dyDescent="0.25"/>
  <cols>
    <col min="1" max="4" width="11.42578125" style="39" customWidth="1"/>
    <col min="5" max="6" width="12.5703125" style="39" bestFit="1" customWidth="1" outlineLevel="1"/>
    <col min="7" max="16" width="13.7109375" style="39" bestFit="1" customWidth="1" outlineLevel="1"/>
    <col min="17" max="17" width="13.7109375" style="39" bestFit="1" customWidth="1"/>
    <col min="18" max="20" width="13.7109375" style="39" customWidth="1" outlineLevel="1"/>
    <col min="21" max="21" width="12.5703125" style="39" customWidth="1" outlineLevel="1"/>
    <col min="22" max="22" width="13" style="39" bestFit="1" customWidth="1"/>
    <col min="23" max="23" width="13.7109375" style="39" bestFit="1" customWidth="1"/>
    <col min="24" max="24" width="14.7109375" style="39" bestFit="1" customWidth="1"/>
    <col min="25" max="16384" width="11.42578125" style="39"/>
  </cols>
  <sheetData>
    <row r="1" spans="1:24" ht="27" thickBot="1" x14ac:dyDescent="0.3">
      <c r="A1" s="737" t="s">
        <v>178</v>
      </c>
      <c r="B1" s="738"/>
      <c r="C1" s="738"/>
      <c r="D1" s="738"/>
      <c r="E1" s="738"/>
      <c r="F1" s="738"/>
      <c r="G1" s="738"/>
      <c r="H1" s="738"/>
      <c r="I1" s="738"/>
      <c r="J1" s="738"/>
      <c r="K1" s="738"/>
      <c r="L1" s="738"/>
      <c r="M1" s="738"/>
      <c r="N1" s="738"/>
      <c r="O1" s="738"/>
      <c r="P1" s="738"/>
      <c r="Q1" s="738"/>
      <c r="R1" s="738"/>
      <c r="S1" s="738"/>
      <c r="T1" s="738"/>
      <c r="U1" s="738"/>
      <c r="V1" s="738"/>
      <c r="W1" s="738"/>
      <c r="X1" s="739"/>
    </row>
    <row r="2" spans="1:24" ht="15.75" thickBot="1" x14ac:dyDescent="0.3"/>
    <row r="3" spans="1:24" ht="15.75" thickBot="1" x14ac:dyDescent="0.3">
      <c r="A3" s="917" t="s">
        <v>173</v>
      </c>
      <c r="B3" s="918"/>
      <c r="C3" s="919"/>
      <c r="D3" s="388">
        <v>35000</v>
      </c>
    </row>
    <row r="4" spans="1:24" x14ac:dyDescent="0.25">
      <c r="A4" s="920" t="s">
        <v>182</v>
      </c>
      <c r="B4" s="921"/>
      <c r="C4" s="922"/>
      <c r="D4" s="389">
        <v>0.04</v>
      </c>
    </row>
    <row r="5" spans="1:24" x14ac:dyDescent="0.25">
      <c r="A5" s="796" t="s">
        <v>162</v>
      </c>
      <c r="B5" s="797"/>
      <c r="C5" s="798"/>
      <c r="D5" s="390">
        <v>0.06</v>
      </c>
    </row>
    <row r="6" spans="1:24" x14ac:dyDescent="0.25">
      <c r="A6" s="796" t="s">
        <v>163</v>
      </c>
      <c r="B6" s="797"/>
      <c r="C6" s="798"/>
      <c r="D6" s="390">
        <v>1E-3</v>
      </c>
    </row>
    <row r="7" spans="1:24" x14ac:dyDescent="0.25">
      <c r="A7" s="796" t="s">
        <v>100</v>
      </c>
      <c r="B7" s="797"/>
      <c r="C7" s="798"/>
      <c r="D7" s="380">
        <f>'Plan G&amp;V'!D6</f>
        <v>0.2</v>
      </c>
    </row>
    <row r="8" spans="1:24" ht="15.75" thickBot="1" x14ac:dyDescent="0.3">
      <c r="A8" s="799" t="s">
        <v>157</v>
      </c>
      <c r="B8" s="800"/>
      <c r="C8" s="801"/>
      <c r="D8" s="391">
        <v>0.2</v>
      </c>
    </row>
    <row r="9" spans="1:24" ht="18.75" customHeight="1" x14ac:dyDescent="0.25">
      <c r="A9" s="860" t="s">
        <v>248</v>
      </c>
      <c r="B9" s="861"/>
      <c r="C9" s="861"/>
      <c r="D9" s="862"/>
      <c r="E9" s="743" t="s">
        <v>20</v>
      </c>
      <c r="F9" s="743"/>
      <c r="G9" s="743"/>
      <c r="H9" s="743"/>
      <c r="I9" s="743"/>
      <c r="J9" s="743"/>
      <c r="K9" s="743"/>
      <c r="L9" s="743"/>
      <c r="M9" s="743"/>
      <c r="N9" s="743"/>
      <c r="O9" s="743"/>
      <c r="P9" s="743"/>
      <c r="Q9" s="740" t="s">
        <v>20</v>
      </c>
      <c r="R9" s="743" t="s">
        <v>25</v>
      </c>
      <c r="S9" s="743"/>
      <c r="T9" s="743"/>
      <c r="U9" s="743"/>
      <c r="V9" s="740" t="s">
        <v>25</v>
      </c>
      <c r="W9" s="740" t="s">
        <v>26</v>
      </c>
      <c r="X9" s="751" t="s">
        <v>27</v>
      </c>
    </row>
    <row r="10" spans="1:24" ht="18.75" customHeight="1" thickBot="1" x14ac:dyDescent="0.3">
      <c r="A10" s="863"/>
      <c r="B10" s="864"/>
      <c r="C10" s="864"/>
      <c r="D10" s="865"/>
      <c r="E10" s="1">
        <v>1</v>
      </c>
      <c r="F10" s="2">
        <v>2</v>
      </c>
      <c r="G10" s="2">
        <v>3</v>
      </c>
      <c r="H10" s="2">
        <v>4</v>
      </c>
      <c r="I10" s="2">
        <v>5</v>
      </c>
      <c r="J10" s="2">
        <v>6</v>
      </c>
      <c r="K10" s="2">
        <v>7</v>
      </c>
      <c r="L10" s="2">
        <v>8</v>
      </c>
      <c r="M10" s="2">
        <v>9</v>
      </c>
      <c r="N10" s="2">
        <v>10</v>
      </c>
      <c r="O10" s="2">
        <v>11</v>
      </c>
      <c r="P10" s="288">
        <v>12</v>
      </c>
      <c r="Q10" s="741"/>
      <c r="R10" s="4" t="s">
        <v>21</v>
      </c>
      <c r="S10" s="2" t="s">
        <v>22</v>
      </c>
      <c r="T10" s="2" t="s">
        <v>23</v>
      </c>
      <c r="U10" s="288" t="s">
        <v>24</v>
      </c>
      <c r="V10" s="741"/>
      <c r="W10" s="741"/>
      <c r="X10" s="752"/>
    </row>
    <row r="11" spans="1:24" ht="18.75" customHeight="1" thickTop="1" x14ac:dyDescent="0.25">
      <c r="A11" s="913" t="s">
        <v>139</v>
      </c>
      <c r="B11" s="809"/>
      <c r="C11" s="809"/>
      <c r="D11" s="810"/>
      <c r="E11" s="392">
        <v>0.9</v>
      </c>
      <c r="F11" s="393">
        <v>0.9</v>
      </c>
      <c r="G11" s="393">
        <v>0.9</v>
      </c>
      <c r="H11" s="393">
        <v>0.9</v>
      </c>
      <c r="I11" s="393">
        <v>0.9</v>
      </c>
      <c r="J11" s="393">
        <v>0.9</v>
      </c>
      <c r="K11" s="393">
        <v>0.9</v>
      </c>
      <c r="L11" s="393">
        <v>0.9</v>
      </c>
      <c r="M11" s="393">
        <v>0.9</v>
      </c>
      <c r="N11" s="393">
        <v>0.9</v>
      </c>
      <c r="O11" s="393">
        <v>0.9</v>
      </c>
      <c r="P11" s="394">
        <v>0.9</v>
      </c>
      <c r="Q11" s="314">
        <f>AVERAGE(E11:P11)</f>
        <v>0.90000000000000024</v>
      </c>
      <c r="R11" s="397">
        <v>0.9</v>
      </c>
      <c r="S11" s="393">
        <v>0.9</v>
      </c>
      <c r="T11" s="393">
        <v>0.9</v>
      </c>
      <c r="U11" s="394">
        <v>0.9</v>
      </c>
      <c r="V11" s="314">
        <f>AVERAGE(R11:U11)</f>
        <v>0.9</v>
      </c>
      <c r="W11" s="399">
        <v>0.9</v>
      </c>
      <c r="X11" s="400">
        <v>0.9</v>
      </c>
    </row>
    <row r="12" spans="1:24" ht="18.75" customHeight="1" x14ac:dyDescent="0.25">
      <c r="A12" s="835" t="s">
        <v>140</v>
      </c>
      <c r="B12" s="807"/>
      <c r="C12" s="807"/>
      <c r="D12" s="808"/>
      <c r="E12" s="395">
        <v>0.1</v>
      </c>
      <c r="F12" s="396">
        <v>0.1</v>
      </c>
      <c r="G12" s="396">
        <v>0.1</v>
      </c>
      <c r="H12" s="396">
        <v>0.1</v>
      </c>
      <c r="I12" s="396">
        <v>0.1</v>
      </c>
      <c r="J12" s="396">
        <v>0.1</v>
      </c>
      <c r="K12" s="396">
        <v>0.1</v>
      </c>
      <c r="L12" s="396">
        <v>0.1</v>
      </c>
      <c r="M12" s="396">
        <v>0.1</v>
      </c>
      <c r="N12" s="396">
        <v>0.1</v>
      </c>
      <c r="O12" s="396">
        <v>0.1</v>
      </c>
      <c r="P12" s="396">
        <v>0.1</v>
      </c>
      <c r="Q12" s="315">
        <f t="shared" ref="Q12:Q13" si="0">AVERAGE(E12:P12)</f>
        <v>9.9999999999999992E-2</v>
      </c>
      <c r="R12" s="398">
        <v>0.1</v>
      </c>
      <c r="S12" s="396">
        <v>0.1</v>
      </c>
      <c r="T12" s="396">
        <v>0.1</v>
      </c>
      <c r="U12" s="396">
        <v>0.1</v>
      </c>
      <c r="V12" s="315">
        <f t="shared" ref="V12:V13" si="1">AVERAGE(R12:U12)</f>
        <v>0.1</v>
      </c>
      <c r="W12" s="401">
        <v>0.1</v>
      </c>
      <c r="X12" s="402">
        <v>0.1</v>
      </c>
    </row>
    <row r="13" spans="1:24" ht="18.75" customHeight="1" thickBot="1" x14ac:dyDescent="0.3">
      <c r="A13" s="912" t="s">
        <v>141</v>
      </c>
      <c r="B13" s="811"/>
      <c r="C13" s="811"/>
      <c r="D13" s="812"/>
      <c r="E13" s="316">
        <f>1-E12-E11</f>
        <v>0</v>
      </c>
      <c r="F13" s="317">
        <f t="shared" ref="F13:X13" si="2">1-F12-F11</f>
        <v>0</v>
      </c>
      <c r="G13" s="317">
        <f t="shared" si="2"/>
        <v>0</v>
      </c>
      <c r="H13" s="317">
        <f t="shared" si="2"/>
        <v>0</v>
      </c>
      <c r="I13" s="317">
        <f t="shared" si="2"/>
        <v>0</v>
      </c>
      <c r="J13" s="317">
        <f t="shared" si="2"/>
        <v>0</v>
      </c>
      <c r="K13" s="317">
        <f t="shared" si="2"/>
        <v>0</v>
      </c>
      <c r="L13" s="317">
        <f t="shared" si="2"/>
        <v>0</v>
      </c>
      <c r="M13" s="317">
        <f t="shared" si="2"/>
        <v>0</v>
      </c>
      <c r="N13" s="317">
        <f t="shared" si="2"/>
        <v>0</v>
      </c>
      <c r="O13" s="317">
        <f t="shared" si="2"/>
        <v>0</v>
      </c>
      <c r="P13" s="318">
        <f t="shared" si="2"/>
        <v>0</v>
      </c>
      <c r="Q13" s="319">
        <f t="shared" si="0"/>
        <v>0</v>
      </c>
      <c r="R13" s="320">
        <f t="shared" si="2"/>
        <v>0</v>
      </c>
      <c r="S13" s="317">
        <f t="shared" si="2"/>
        <v>0</v>
      </c>
      <c r="T13" s="317">
        <f t="shared" si="2"/>
        <v>0</v>
      </c>
      <c r="U13" s="318">
        <f t="shared" si="2"/>
        <v>0</v>
      </c>
      <c r="V13" s="319">
        <f t="shared" si="1"/>
        <v>0</v>
      </c>
      <c r="W13" s="319">
        <f t="shared" si="2"/>
        <v>0</v>
      </c>
      <c r="X13" s="321">
        <f t="shared" si="2"/>
        <v>0</v>
      </c>
    </row>
    <row r="14" spans="1:24" ht="7.5" customHeight="1" thickTop="1" thickBot="1" x14ac:dyDescent="0.3">
      <c r="A14" s="322"/>
      <c r="B14" s="323"/>
      <c r="C14" s="323"/>
      <c r="D14" s="664"/>
      <c r="E14" s="324"/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6"/>
      <c r="Q14" s="327"/>
      <c r="R14" s="328"/>
      <c r="S14" s="325"/>
      <c r="T14" s="325"/>
      <c r="U14" s="326"/>
      <c r="V14" s="327"/>
      <c r="W14" s="327"/>
      <c r="X14" s="329"/>
    </row>
    <row r="15" spans="1:24" ht="18.75" customHeight="1" x14ac:dyDescent="0.25">
      <c r="A15" s="914" t="s">
        <v>142</v>
      </c>
      <c r="B15" s="915"/>
      <c r="C15" s="915"/>
      <c r="D15" s="916"/>
      <c r="E15" s="589">
        <f>'Plan G&amp;V'!E9</f>
        <v>0</v>
      </c>
      <c r="F15" s="590">
        <f>'Plan G&amp;V'!F9</f>
        <v>0</v>
      </c>
      <c r="G15" s="590">
        <f>'Plan G&amp;V'!G9</f>
        <v>0</v>
      </c>
      <c r="H15" s="590">
        <f>'Plan G&amp;V'!H9</f>
        <v>0</v>
      </c>
      <c r="I15" s="590">
        <f>'Plan G&amp;V'!I9</f>
        <v>0</v>
      </c>
      <c r="J15" s="590">
        <f>'Plan G&amp;V'!J9</f>
        <v>0</v>
      </c>
      <c r="K15" s="590">
        <f>'Plan G&amp;V'!K9</f>
        <v>0</v>
      </c>
      <c r="L15" s="590">
        <f>'Plan G&amp;V'!L9</f>
        <v>0</v>
      </c>
      <c r="M15" s="590">
        <f>'Plan G&amp;V'!M9</f>
        <v>0</v>
      </c>
      <c r="N15" s="590">
        <f>'Plan G&amp;V'!N9</f>
        <v>0</v>
      </c>
      <c r="O15" s="590">
        <f>'Plan G&amp;V'!O9</f>
        <v>100000</v>
      </c>
      <c r="P15" s="591">
        <f>'Plan G&amp;V'!P9</f>
        <v>2400</v>
      </c>
      <c r="Q15" s="592">
        <f>'Plan G&amp;V'!Q9</f>
        <v>102400</v>
      </c>
      <c r="R15" s="593">
        <f>'Plan G&amp;V'!R9</f>
        <v>16000</v>
      </c>
      <c r="S15" s="590">
        <f>'Plan G&amp;V'!S9</f>
        <v>116000</v>
      </c>
      <c r="T15" s="590">
        <f>'Plan G&amp;V'!T9</f>
        <v>19000</v>
      </c>
      <c r="U15" s="591">
        <f>'Plan G&amp;V'!U9</f>
        <v>116000</v>
      </c>
      <c r="V15" s="592">
        <f>'Plan G&amp;V'!V9</f>
        <v>267000</v>
      </c>
      <c r="W15" s="592">
        <f>'Plan G&amp;V'!W9</f>
        <v>788600</v>
      </c>
      <c r="X15" s="594">
        <f>'Plan G&amp;V'!X9</f>
        <v>1091000</v>
      </c>
    </row>
    <row r="16" spans="1:24" ht="18.75" customHeight="1" thickBot="1" x14ac:dyDescent="0.3">
      <c r="A16" s="909" t="s">
        <v>147</v>
      </c>
      <c r="B16" s="910"/>
      <c r="C16" s="910"/>
      <c r="D16" s="911"/>
      <c r="E16" s="595">
        <f>E26*E11</f>
        <v>0</v>
      </c>
      <c r="F16" s="596">
        <f>F11*F26+E26*E12</f>
        <v>0</v>
      </c>
      <c r="G16" s="596">
        <f t="shared" ref="G16:P16" si="3">G11*G26+F26*F12+E26*E13</f>
        <v>0</v>
      </c>
      <c r="H16" s="596">
        <f t="shared" si="3"/>
        <v>0</v>
      </c>
      <c r="I16" s="596">
        <f t="shared" si="3"/>
        <v>0</v>
      </c>
      <c r="J16" s="596">
        <f t="shared" si="3"/>
        <v>0</v>
      </c>
      <c r="K16" s="596">
        <f t="shared" si="3"/>
        <v>0</v>
      </c>
      <c r="L16" s="596">
        <f t="shared" si="3"/>
        <v>0</v>
      </c>
      <c r="M16" s="596">
        <f t="shared" si="3"/>
        <v>0</v>
      </c>
      <c r="N16" s="596">
        <f t="shared" si="3"/>
        <v>0</v>
      </c>
      <c r="O16" s="596">
        <f t="shared" si="3"/>
        <v>90000</v>
      </c>
      <c r="P16" s="597">
        <f t="shared" si="3"/>
        <v>12160</v>
      </c>
      <c r="Q16" s="599">
        <f>SUM(E16:P16)</f>
        <v>102160</v>
      </c>
      <c r="R16" s="598">
        <f>(((R26/3)*SUM(R11,R12,R13))+((R26/3)*SUM(R11,R12))+((R26/3)*SUM(R11)))+(P26*P12)+(O26*O13)</f>
        <v>15706.666666666666</v>
      </c>
      <c r="S16" s="596">
        <f>(((S26/3)*SUM(S11,S12,S13))+((S26/3)*SUM(S11,S12))+((S26/3)*SUM(S11)))+((R26/3)*SUM(R12,R13)+(R26/3)*SUM(R13))</f>
        <v>112666.66666666666</v>
      </c>
      <c r="T16" s="596">
        <f>(((T26/3)*SUM(T11,T12,T13))+((T26/3)*SUM(T11,T12))+((T26/3)*SUM(T11)))+((S26/3)*SUM(S12,S13)+(S26/3)*SUM(S13))</f>
        <v>22233.333333333332</v>
      </c>
      <c r="U16" s="597">
        <f>(((U26/3)*SUM(U11,U12,U13))+((U26/3)*SUM(U11,U12))+((U26/3)*SUM(U11)))+((T26/3)*SUM(T12,T13)+(T26/3)*SUM(T13))</f>
        <v>112766.66666666666</v>
      </c>
      <c r="V16" s="599">
        <f>SUM(R16:U16)</f>
        <v>263373.33333333331</v>
      </c>
      <c r="W16" s="599">
        <f>((W26/12)*10*SUM(W11,W12,W13)+(W26/12)*1*SUM(W11,W12)+(W26/12)*1*SUM(W11))+((U26/3)*SUM(U12,U13)+(U26/3)*SUM(U13))</f>
        <v>785895</v>
      </c>
      <c r="X16" s="600">
        <f>((X26/12)*10*SUM(X11,X12,X13)+(X26/12)*1*SUM(X11,X12)+(X26/12)*1*SUM(X11))+((W26/12)*SUM(W12,W13)+(W26/12)*SUM(W13))</f>
        <v>1088480.0000000002</v>
      </c>
    </row>
    <row r="17" spans="1:24" ht="7.5" customHeight="1" thickBot="1" x14ac:dyDescent="0.3"/>
    <row r="18" spans="1:24" ht="22.5" customHeight="1" thickBot="1" x14ac:dyDescent="0.3">
      <c r="A18" s="902" t="s">
        <v>146</v>
      </c>
      <c r="B18" s="903"/>
      <c r="C18" s="904"/>
      <c r="D18" s="330"/>
      <c r="E18" s="743" t="s">
        <v>20</v>
      </c>
      <c r="F18" s="743"/>
      <c r="G18" s="743"/>
      <c r="H18" s="743"/>
      <c r="I18" s="743"/>
      <c r="J18" s="743"/>
      <c r="K18" s="743"/>
      <c r="L18" s="743"/>
      <c r="M18" s="743"/>
      <c r="N18" s="743"/>
      <c r="O18" s="743"/>
      <c r="P18" s="743"/>
      <c r="Q18" s="740" t="s">
        <v>20</v>
      </c>
      <c r="R18" s="743" t="s">
        <v>25</v>
      </c>
      <c r="S18" s="743"/>
      <c r="T18" s="743"/>
      <c r="U18" s="743"/>
      <c r="V18" s="740" t="s">
        <v>25</v>
      </c>
      <c r="W18" s="790" t="s">
        <v>26</v>
      </c>
      <c r="X18" s="751" t="s">
        <v>27</v>
      </c>
    </row>
    <row r="19" spans="1:24" ht="18.75" customHeight="1" thickBot="1" x14ac:dyDescent="0.3">
      <c r="A19" s="899" t="s">
        <v>145</v>
      </c>
      <c r="B19" s="900"/>
      <c r="C19" s="900"/>
      <c r="D19" s="901"/>
      <c r="E19" s="111">
        <v>1</v>
      </c>
      <c r="F19" s="2">
        <v>2</v>
      </c>
      <c r="G19" s="2">
        <v>3</v>
      </c>
      <c r="H19" s="2">
        <v>4</v>
      </c>
      <c r="I19" s="2">
        <v>5</v>
      </c>
      <c r="J19" s="2">
        <v>6</v>
      </c>
      <c r="K19" s="2">
        <v>7</v>
      </c>
      <c r="L19" s="2">
        <v>8</v>
      </c>
      <c r="M19" s="2">
        <v>9</v>
      </c>
      <c r="N19" s="2">
        <v>10</v>
      </c>
      <c r="O19" s="2">
        <v>11</v>
      </c>
      <c r="P19" s="3">
        <v>12</v>
      </c>
      <c r="Q19" s="741"/>
      <c r="R19" s="111" t="s">
        <v>21</v>
      </c>
      <c r="S19" s="2" t="s">
        <v>22</v>
      </c>
      <c r="T19" s="2" t="s">
        <v>23</v>
      </c>
      <c r="U19" s="3" t="s">
        <v>24</v>
      </c>
      <c r="V19" s="741"/>
      <c r="W19" s="856"/>
      <c r="X19" s="752"/>
    </row>
    <row r="20" spans="1:24" ht="18.75" customHeight="1" outlineLevel="1" thickTop="1" x14ac:dyDescent="0.25">
      <c r="A20" s="906" t="s">
        <v>253</v>
      </c>
      <c r="B20" s="907"/>
      <c r="C20" s="907"/>
      <c r="D20" s="908"/>
      <c r="E20" s="147"/>
      <c r="F20" s="18"/>
      <c r="G20" s="18"/>
      <c r="H20" s="18"/>
      <c r="I20" s="18"/>
      <c r="J20" s="18"/>
      <c r="K20" s="18"/>
      <c r="L20" s="18"/>
      <c r="M20" s="18"/>
      <c r="N20" s="18"/>
      <c r="O20" s="18">
        <v>100000</v>
      </c>
      <c r="P20" s="152"/>
      <c r="Q20" s="8">
        <f>SUM(E20:P20)</f>
        <v>100000</v>
      </c>
      <c r="R20" s="405"/>
      <c r="S20" s="18">
        <v>100000</v>
      </c>
      <c r="T20" s="18"/>
      <c r="U20" s="152">
        <v>100000</v>
      </c>
      <c r="V20" s="8">
        <f>SUM(R20:U20)</f>
        <v>200000</v>
      </c>
      <c r="W20" s="409">
        <v>600000</v>
      </c>
      <c r="X20" s="145">
        <v>600000</v>
      </c>
    </row>
    <row r="21" spans="1:24" ht="18.75" customHeight="1" outlineLevel="1" x14ac:dyDescent="0.25">
      <c r="A21" s="716" t="s">
        <v>254</v>
      </c>
      <c r="B21" s="718"/>
      <c r="C21" s="718"/>
      <c r="D21" s="905"/>
      <c r="E21" s="40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153"/>
      <c r="Q21" s="12">
        <f t="shared" ref="Q21:Q24" si="4">SUM(E21:P21)</f>
        <v>0</v>
      </c>
      <c r="R21" s="137">
        <f>(((400000/100)*0.01)*1500)/4</f>
        <v>15000</v>
      </c>
      <c r="S21" s="94">
        <f>R21</f>
        <v>15000</v>
      </c>
      <c r="T21" s="94">
        <f>R21</f>
        <v>15000</v>
      </c>
      <c r="U21" s="153">
        <f>R21</f>
        <v>15000</v>
      </c>
      <c r="V21" s="12">
        <f t="shared" ref="V21:V24" si="5">SUM(R21:U21)</f>
        <v>60000</v>
      </c>
      <c r="W21" s="140">
        <f>(((400000/100)*0.03)*1500)</f>
        <v>180000</v>
      </c>
      <c r="X21" s="410">
        <f>(((400000/100)*0.08)*1500)</f>
        <v>480000</v>
      </c>
    </row>
    <row r="22" spans="1:24" ht="18.75" customHeight="1" outlineLevel="1" x14ac:dyDescent="0.25">
      <c r="A22" s="716" t="s">
        <v>260</v>
      </c>
      <c r="B22" s="718"/>
      <c r="C22" s="718"/>
      <c r="D22" s="905"/>
      <c r="E22" s="40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153">
        <f>3*800</f>
        <v>2400</v>
      </c>
      <c r="Q22" s="12">
        <f t="shared" si="4"/>
        <v>2400</v>
      </c>
      <c r="R22" s="137">
        <f>5*800/4</f>
        <v>1000</v>
      </c>
      <c r="S22" s="94">
        <f t="shared" ref="S22:U22" si="6">5*800/4</f>
        <v>1000</v>
      </c>
      <c r="T22" s="94">
        <f t="shared" si="6"/>
        <v>1000</v>
      </c>
      <c r="U22" s="153">
        <f t="shared" si="6"/>
        <v>1000</v>
      </c>
      <c r="V22" s="12">
        <f t="shared" si="5"/>
        <v>4000</v>
      </c>
      <c r="W22" s="140">
        <f>7*800</f>
        <v>5600</v>
      </c>
      <c r="X22" s="410">
        <f>10*800</f>
        <v>8000</v>
      </c>
    </row>
    <row r="23" spans="1:24" ht="18.75" customHeight="1" outlineLevel="1" x14ac:dyDescent="0.25">
      <c r="A23" s="716" t="s">
        <v>259</v>
      </c>
      <c r="B23" s="718"/>
      <c r="C23" s="718"/>
      <c r="D23" s="905"/>
      <c r="E23" s="40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153"/>
      <c r="Q23" s="12">
        <f t="shared" si="4"/>
        <v>0</v>
      </c>
      <c r="R23" s="137"/>
      <c r="S23" s="94"/>
      <c r="T23" s="94">
        <v>3000</v>
      </c>
      <c r="U23" s="153"/>
      <c r="V23" s="12">
        <f t="shared" si="5"/>
        <v>3000</v>
      </c>
      <c r="W23" s="140">
        <v>3000</v>
      </c>
      <c r="X23" s="410">
        <v>3000</v>
      </c>
    </row>
    <row r="24" spans="1:24" ht="18.75" customHeight="1" outlineLevel="1" thickBot="1" x14ac:dyDescent="0.3">
      <c r="A24" s="850"/>
      <c r="B24" s="851"/>
      <c r="C24" s="851"/>
      <c r="D24" s="852"/>
      <c r="E24" s="311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54"/>
      <c r="Q24" s="134">
        <f t="shared" si="4"/>
        <v>0</v>
      </c>
      <c r="R24" s="138"/>
      <c r="S24" s="139"/>
      <c r="T24" s="139"/>
      <c r="U24" s="154"/>
      <c r="V24" s="134">
        <f t="shared" si="5"/>
        <v>0</v>
      </c>
      <c r="W24" s="142"/>
      <c r="X24" s="411"/>
    </row>
    <row r="25" spans="1:24" ht="7.5" customHeight="1" outlineLevel="1" thickTop="1" thickBot="1" x14ac:dyDescent="0.3">
      <c r="A25" s="853"/>
      <c r="B25" s="854"/>
      <c r="C25" s="854"/>
      <c r="D25" s="855"/>
      <c r="E25" s="312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313"/>
      <c r="Q25" s="327"/>
      <c r="R25" s="406"/>
      <c r="S25" s="407"/>
      <c r="T25" s="407"/>
      <c r="U25" s="408"/>
      <c r="V25" s="327"/>
      <c r="W25" s="412"/>
      <c r="X25" s="413"/>
    </row>
    <row r="26" spans="1:24" ht="18.75" customHeight="1" thickBot="1" x14ac:dyDescent="0.3">
      <c r="A26" s="838" t="s">
        <v>150</v>
      </c>
      <c r="B26" s="839"/>
      <c r="C26" s="839"/>
      <c r="D26" s="840"/>
      <c r="E26" s="444">
        <f t="shared" ref="E26:X26" si="7">SUM(E20:E25)</f>
        <v>0</v>
      </c>
      <c r="F26" s="541">
        <f t="shared" si="7"/>
        <v>0</v>
      </c>
      <c r="G26" s="541">
        <f t="shared" si="7"/>
        <v>0</v>
      </c>
      <c r="H26" s="541">
        <f t="shared" si="7"/>
        <v>0</v>
      </c>
      <c r="I26" s="541">
        <f t="shared" si="7"/>
        <v>0</v>
      </c>
      <c r="J26" s="541">
        <f t="shared" si="7"/>
        <v>0</v>
      </c>
      <c r="K26" s="541">
        <f t="shared" si="7"/>
        <v>0</v>
      </c>
      <c r="L26" s="541">
        <f t="shared" si="7"/>
        <v>0</v>
      </c>
      <c r="M26" s="541">
        <f t="shared" si="7"/>
        <v>0</v>
      </c>
      <c r="N26" s="541">
        <f t="shared" si="7"/>
        <v>0</v>
      </c>
      <c r="O26" s="541">
        <f t="shared" si="7"/>
        <v>100000</v>
      </c>
      <c r="P26" s="538">
        <f t="shared" si="7"/>
        <v>2400</v>
      </c>
      <c r="Q26" s="543">
        <f t="shared" si="7"/>
        <v>102400</v>
      </c>
      <c r="R26" s="444">
        <f t="shared" si="7"/>
        <v>16000</v>
      </c>
      <c r="S26" s="541">
        <f t="shared" si="7"/>
        <v>116000</v>
      </c>
      <c r="T26" s="541">
        <f t="shared" si="7"/>
        <v>19000</v>
      </c>
      <c r="U26" s="538">
        <f t="shared" si="7"/>
        <v>116000</v>
      </c>
      <c r="V26" s="543">
        <f t="shared" si="7"/>
        <v>267000</v>
      </c>
      <c r="W26" s="542">
        <f t="shared" si="7"/>
        <v>788600</v>
      </c>
      <c r="X26" s="498">
        <f t="shared" si="7"/>
        <v>1091000</v>
      </c>
    </row>
    <row r="27" spans="1:24" ht="7.5" customHeight="1" thickBot="1" x14ac:dyDescent="0.3">
      <c r="A27" s="777"/>
      <c r="B27" s="778"/>
      <c r="C27" s="778"/>
      <c r="D27" s="778"/>
      <c r="E27" s="778"/>
      <c r="F27" s="778"/>
      <c r="G27" s="778"/>
      <c r="H27" s="778"/>
      <c r="I27" s="778"/>
      <c r="J27" s="778"/>
      <c r="K27" s="778"/>
      <c r="L27" s="778"/>
      <c r="M27" s="778"/>
      <c r="N27" s="778"/>
      <c r="O27" s="778"/>
      <c r="P27" s="778"/>
      <c r="Q27" s="778"/>
      <c r="R27" s="778"/>
      <c r="S27" s="778"/>
      <c r="T27" s="778"/>
      <c r="U27" s="778"/>
      <c r="V27" s="778"/>
      <c r="W27" s="778"/>
      <c r="X27" s="779"/>
    </row>
    <row r="28" spans="1:24" ht="18.75" customHeight="1" thickBot="1" x14ac:dyDescent="0.3">
      <c r="A28" s="844" t="s">
        <v>144</v>
      </c>
      <c r="B28" s="845"/>
      <c r="C28" s="845"/>
      <c r="D28" s="846"/>
      <c r="X28" s="332"/>
    </row>
    <row r="29" spans="1:24" ht="18.75" customHeight="1" outlineLevel="1" thickTop="1" x14ac:dyDescent="0.25">
      <c r="A29" s="857" t="s">
        <v>164</v>
      </c>
      <c r="B29" s="858"/>
      <c r="C29" s="858"/>
      <c r="D29" s="859"/>
      <c r="E29" s="276"/>
      <c r="F29" s="305"/>
      <c r="G29" s="305"/>
      <c r="H29" s="7">
        <f>E85</f>
        <v>0</v>
      </c>
      <c r="I29" s="305"/>
      <c r="J29" s="305"/>
      <c r="K29" s="7">
        <f>H85</f>
        <v>0</v>
      </c>
      <c r="L29" s="305"/>
      <c r="M29" s="305"/>
      <c r="N29" s="7">
        <f>K85</f>
        <v>0</v>
      </c>
      <c r="O29" s="305"/>
      <c r="P29" s="306"/>
      <c r="Q29" s="8">
        <f>SUM(E29:P29)</f>
        <v>0</v>
      </c>
      <c r="R29" s="307">
        <f>N85</f>
        <v>0</v>
      </c>
      <c r="S29" s="7">
        <f>R85</f>
        <v>0</v>
      </c>
      <c r="T29" s="7">
        <f>S85</f>
        <v>0</v>
      </c>
      <c r="U29" s="180">
        <f>T85</f>
        <v>0</v>
      </c>
      <c r="V29" s="8">
        <f>SUM(R29:U29)</f>
        <v>0</v>
      </c>
      <c r="W29" s="8">
        <f>U85</f>
        <v>0</v>
      </c>
      <c r="X29" s="9">
        <f>W85</f>
        <v>0</v>
      </c>
    </row>
    <row r="30" spans="1:24" ht="18.75" customHeight="1" outlineLevel="1" x14ac:dyDescent="0.25">
      <c r="A30" s="826" t="s">
        <v>177</v>
      </c>
      <c r="B30" s="827"/>
      <c r="C30" s="827"/>
      <c r="D30" s="828"/>
      <c r="E30" s="376"/>
      <c r="F30" s="377"/>
      <c r="G30" s="76">
        <f>((SUM(E41,E42,E43,E44,E46,E47,E48,E49,E52,E54)/(1+$D$8))*$D$8)+(Investitionsplan!F22*$D$8)</f>
        <v>11831.8</v>
      </c>
      <c r="H30" s="76">
        <f>((SUM(F41,F42,F43,F44,F46,F47,F48,F49,F52,F54)/(1+$D$8))*$D$8)+(Investitionsplan!G22*$D$8)</f>
        <v>943.16666666666686</v>
      </c>
      <c r="I30" s="76">
        <f>((SUM(G41,G42,G43,G44,G46,G47,G48,G49,G52,G54)/(1+$D$8))*$D$8)+(Investitionsplan!H22*$D$8)</f>
        <v>3276.5</v>
      </c>
      <c r="J30" s="76">
        <f>((SUM(H41,H42,H43,H44,H46,H47,H48,H49,H52,H54)/(1+$D$8))*$D$8)+(Investitionsplan!I22*$D$8)</f>
        <v>943.16666666666686</v>
      </c>
      <c r="K30" s="76">
        <f>((SUM(I41,I42,I43,I44,I46,I47,I48,I49,I52,I54)/(1+$D$8))*$D$8)+(Investitionsplan!J22*$D$8)</f>
        <v>3443.1666666666674</v>
      </c>
      <c r="L30" s="76">
        <f>((SUM(J41,J42,J43,J44,J46,J47,J48,J49,J52,J54)/(1+$D$8))*$D$8)+(Investitionsplan!K22*$D$8)</f>
        <v>2943.166666666667</v>
      </c>
      <c r="M30" s="76">
        <f>((SUM(K41,K42,K43,K44,K46,K47,K48,K49,K52,K54)/(1+$D$8))*$D$8)+(Investitionsplan!L22*$D$8)</f>
        <v>943.16666666666686</v>
      </c>
      <c r="N30" s="76">
        <f>((SUM(L41,L42,L43,L44,L46,L47,L48,L49,L52,L54)/(1+$D$8))*$D$8)+(Investitionsplan!M22*$D$8)</f>
        <v>943.16666666666686</v>
      </c>
      <c r="O30" s="76">
        <f>((SUM(M41,M42,M43,M44,M46,M47,M48,M49,M52,M54)/(1+$D$8))*$D$8)+(Investitionsplan!N22*$D$8)</f>
        <v>943.16666666666686</v>
      </c>
      <c r="P30" s="298">
        <f>((SUM(N41,N42,N43,N44,N46,N47,N48,N49,N52,N54)/(1+$D$8))*$D$8)+(Investitionsplan!O22*$D$8)</f>
        <v>5443.166666666667</v>
      </c>
      <c r="Q30" s="12">
        <f>SUM(E30:P30)</f>
        <v>31653.633333333339</v>
      </c>
      <c r="R30" s="75">
        <f>((SUM(O41:O44,O46:O49,O52,O54)/(1+$D$8))*$D$8)+((SUM(P41:P44,P46:P49,P52,P54)/(1+$D$8))*$D$8)+((SUM(R41:R44,R46:R49,R52,R54)/(1+$D$8))*$D$8)/3+(Investitionsplan!P22*$D$8)+(Investitionsplan!Q22*$D$8)+(Investitionsplan!S22*$D$8)/3</f>
        <v>3162.8333333333335</v>
      </c>
      <c r="S30" s="76">
        <f>((SUM(R41:R44,R46:R49,R52,R54)/(1+$D$8))*$D$8)*(2/3)+((SUM(S41:S44,S46:S49,S52,S54)/(1+$D$8))*$D$8)/3+(Investitionsplan!S22*$D$8)*(2/3)+(Investitionsplan!T22*$D$8)/3</f>
        <v>3662.833333333333</v>
      </c>
      <c r="T30" s="76">
        <f>((SUM(S41:S44,S46:S49,S52,S54)/(1+$D$8))*$D$8)*(2/3)+((SUM(T41:T44,T46:T49,T52,T54)/(1+$D$8))*$D$8)/3+(Investitionsplan!T22*$D$8)*(2/3)+(Investitionsplan!U22*$D$8)/3</f>
        <v>4496.166666666667</v>
      </c>
      <c r="U30" s="298">
        <f>((SUM(T41:T44,T46:T49,T52,T54)/(1+$D$8))*$D$8)*(2/3)+((SUM(U41:U44,U46:U49,U52,U54)/(1+$D$8))*$D$8)/3+(Investitionsplan!U22*$D$8)*(2/3)+(Investitionsplan!V22*$D$8)/3</f>
        <v>3107.2777777777778</v>
      </c>
      <c r="V30" s="12">
        <f>SUM(R30:U30)</f>
        <v>14429.111111111109</v>
      </c>
      <c r="W30" s="291">
        <f>((SUM(U41:U44,U46:U49,U52,U54)/(1+$D$8))*$D$8)*(2/3)+((SUM(W41:W44,W46:W49,W52,W54)/(1+$D$8))*$D$8)*(10/12)+(Investitionsplan!V22*$D$8)*(2/3)+(Investitionsplan!X22*$D$8)*(10/12)</f>
        <v>12151.333333333336</v>
      </c>
      <c r="X30" s="292">
        <f>((SUM(W41:W44,W46:W49,W52,W54)/(1+$D$8))*$D$8)*(2/12)+((SUM(X41:X44,X46:X49,X52,X54)/(1+$D$8))*$D$8)*(10/12)+(Investitionsplan!X22*$D$8)*(2/12)+(Investitionsplan!Y22*$D$8)*(10/12)</f>
        <v>11651.333333333336</v>
      </c>
    </row>
    <row r="31" spans="1:24" ht="18.75" customHeight="1" outlineLevel="1" x14ac:dyDescent="0.25">
      <c r="A31" s="826" t="s">
        <v>199</v>
      </c>
      <c r="B31" s="827"/>
      <c r="C31" s="827"/>
      <c r="D31" s="828"/>
      <c r="E31" s="40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153"/>
      <c r="Q31" s="12">
        <f t="shared" ref="Q31:Q32" si="8">SUM(E31:P31)</f>
        <v>0</v>
      </c>
      <c r="R31" s="414"/>
      <c r="S31" s="94"/>
      <c r="T31" s="94"/>
      <c r="U31" s="153"/>
      <c r="V31" s="12">
        <f t="shared" ref="V31:V32" si="9">SUM(R31:U31)</f>
        <v>0</v>
      </c>
      <c r="W31" s="418"/>
      <c r="X31" s="410"/>
    </row>
    <row r="32" spans="1:24" ht="18.75" customHeight="1" outlineLevel="1" thickBot="1" x14ac:dyDescent="0.3">
      <c r="A32" s="850"/>
      <c r="B32" s="851"/>
      <c r="C32" s="851"/>
      <c r="D32" s="852"/>
      <c r="E32" s="311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54"/>
      <c r="Q32" s="134">
        <f t="shared" si="8"/>
        <v>0</v>
      </c>
      <c r="R32" s="416" t="str">
        <f t="shared" ref="R32:U32" si="10">IF($D32="","",IF(AND($D32&lt;=15,$D32&gt;12),(15-$D32+1)*$B32*(1+$B$11)^1,IF(AND($D32&lt;=15,$D32&lt;=12),3*$B32*(1+$B$11)^1,"")))</f>
        <v/>
      </c>
      <c r="S32" s="139" t="str">
        <f t="shared" si="10"/>
        <v/>
      </c>
      <c r="T32" s="139" t="str">
        <f t="shared" si="10"/>
        <v/>
      </c>
      <c r="U32" s="154" t="str">
        <f t="shared" si="10"/>
        <v/>
      </c>
      <c r="V32" s="134">
        <f t="shared" si="9"/>
        <v>0</v>
      </c>
      <c r="W32" s="421"/>
      <c r="X32" s="411"/>
    </row>
    <row r="33" spans="1:24" ht="7.5" customHeight="1" outlineLevel="1" thickTop="1" thickBot="1" x14ac:dyDescent="0.3">
      <c r="A33" s="853"/>
      <c r="B33" s="854"/>
      <c r="C33" s="854"/>
      <c r="D33" s="855"/>
      <c r="E33" s="312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313"/>
      <c r="Q33" s="327"/>
      <c r="R33" s="417"/>
      <c r="S33" s="407"/>
      <c r="T33" s="407"/>
      <c r="U33" s="408"/>
      <c r="V33" s="327"/>
      <c r="W33" s="422"/>
      <c r="X33" s="413"/>
    </row>
    <row r="34" spans="1:24" ht="18.75" customHeight="1" thickBot="1" x14ac:dyDescent="0.3">
      <c r="A34" s="838" t="s">
        <v>148</v>
      </c>
      <c r="B34" s="839"/>
      <c r="C34" s="839"/>
      <c r="D34" s="840"/>
      <c r="E34" s="608">
        <f>SUM(E29:E33)</f>
        <v>0</v>
      </c>
      <c r="F34" s="603">
        <f t="shared" ref="F34:X34" si="11">SUM(F29:F33)</f>
        <v>0</v>
      </c>
      <c r="G34" s="603">
        <f t="shared" si="11"/>
        <v>11831.8</v>
      </c>
      <c r="H34" s="603">
        <f t="shared" si="11"/>
        <v>943.16666666666686</v>
      </c>
      <c r="I34" s="603">
        <f t="shared" si="11"/>
        <v>3276.5</v>
      </c>
      <c r="J34" s="603">
        <f t="shared" si="11"/>
        <v>943.16666666666686</v>
      </c>
      <c r="K34" s="603">
        <f t="shared" si="11"/>
        <v>3443.1666666666674</v>
      </c>
      <c r="L34" s="603">
        <f t="shared" si="11"/>
        <v>2943.166666666667</v>
      </c>
      <c r="M34" s="603">
        <f t="shared" si="11"/>
        <v>943.16666666666686</v>
      </c>
      <c r="N34" s="603">
        <f t="shared" si="11"/>
        <v>943.16666666666686</v>
      </c>
      <c r="O34" s="603">
        <f t="shared" si="11"/>
        <v>943.16666666666686</v>
      </c>
      <c r="P34" s="604">
        <f t="shared" si="11"/>
        <v>5443.166666666667</v>
      </c>
      <c r="Q34" s="543">
        <f t="shared" si="11"/>
        <v>31653.633333333339</v>
      </c>
      <c r="R34" s="605">
        <f t="shared" si="11"/>
        <v>3162.8333333333335</v>
      </c>
      <c r="S34" s="603">
        <f t="shared" si="11"/>
        <v>3662.833333333333</v>
      </c>
      <c r="T34" s="603">
        <f t="shared" si="11"/>
        <v>4496.166666666667</v>
      </c>
      <c r="U34" s="604">
        <f t="shared" si="11"/>
        <v>3107.2777777777778</v>
      </c>
      <c r="V34" s="543">
        <f t="shared" si="11"/>
        <v>14429.111111111109</v>
      </c>
      <c r="W34" s="543">
        <f t="shared" si="11"/>
        <v>12151.333333333336</v>
      </c>
      <c r="X34" s="606">
        <f t="shared" si="11"/>
        <v>11651.333333333336</v>
      </c>
    </row>
    <row r="35" spans="1:24" ht="7.5" customHeight="1" thickBot="1" x14ac:dyDescent="0.3">
      <c r="A35" s="777"/>
      <c r="B35" s="778"/>
      <c r="C35" s="778"/>
      <c r="D35" s="778"/>
      <c r="E35" s="778"/>
      <c r="F35" s="778"/>
      <c r="G35" s="778"/>
      <c r="H35" s="778"/>
      <c r="I35" s="778"/>
      <c r="J35" s="778"/>
      <c r="K35" s="778"/>
      <c r="L35" s="778"/>
      <c r="M35" s="778"/>
      <c r="N35" s="778"/>
      <c r="O35" s="778"/>
      <c r="P35" s="778"/>
      <c r="Q35" s="778"/>
      <c r="R35" s="778"/>
      <c r="S35" s="778"/>
      <c r="T35" s="778"/>
      <c r="U35" s="778"/>
      <c r="V35" s="778"/>
      <c r="W35" s="778"/>
      <c r="X35" s="779"/>
    </row>
    <row r="36" spans="1:24" ht="18" customHeight="1" thickBot="1" x14ac:dyDescent="0.3">
      <c r="A36" s="841" t="s">
        <v>149</v>
      </c>
      <c r="B36" s="842"/>
      <c r="C36" s="842"/>
      <c r="D36" s="843"/>
      <c r="E36" s="451">
        <f>SUM(E26,E34)</f>
        <v>0</v>
      </c>
      <c r="F36" s="547">
        <f t="shared" ref="F36:X36" si="12">SUM(F26,F34)</f>
        <v>0</v>
      </c>
      <c r="G36" s="547">
        <f t="shared" si="12"/>
        <v>11831.8</v>
      </c>
      <c r="H36" s="547">
        <f t="shared" si="12"/>
        <v>943.16666666666686</v>
      </c>
      <c r="I36" s="547">
        <f t="shared" si="12"/>
        <v>3276.5</v>
      </c>
      <c r="J36" s="547">
        <f t="shared" si="12"/>
        <v>943.16666666666686</v>
      </c>
      <c r="K36" s="547">
        <f t="shared" si="12"/>
        <v>3443.1666666666674</v>
      </c>
      <c r="L36" s="547">
        <f t="shared" si="12"/>
        <v>2943.166666666667</v>
      </c>
      <c r="M36" s="547">
        <f t="shared" si="12"/>
        <v>943.16666666666686</v>
      </c>
      <c r="N36" s="547">
        <f t="shared" si="12"/>
        <v>943.16666666666686</v>
      </c>
      <c r="O36" s="547">
        <f t="shared" si="12"/>
        <v>100943.16666666667</v>
      </c>
      <c r="P36" s="607">
        <f t="shared" si="12"/>
        <v>7843.166666666667</v>
      </c>
      <c r="Q36" s="333">
        <f t="shared" si="12"/>
        <v>134053.63333333333</v>
      </c>
      <c r="R36" s="452">
        <f t="shared" si="12"/>
        <v>19162.833333333332</v>
      </c>
      <c r="S36" s="547">
        <f t="shared" si="12"/>
        <v>119662.83333333333</v>
      </c>
      <c r="T36" s="547">
        <f t="shared" si="12"/>
        <v>23496.166666666668</v>
      </c>
      <c r="U36" s="607">
        <f t="shared" si="12"/>
        <v>119107.27777777778</v>
      </c>
      <c r="V36" s="333">
        <f t="shared" si="12"/>
        <v>281429.11111111112</v>
      </c>
      <c r="W36" s="333">
        <f t="shared" si="12"/>
        <v>800751.33333333337</v>
      </c>
      <c r="X36" s="334">
        <f t="shared" si="12"/>
        <v>1102651.3333333333</v>
      </c>
    </row>
    <row r="37" spans="1:24" ht="15.75" thickBot="1" x14ac:dyDescent="0.3"/>
    <row r="38" spans="1:24" ht="22.5" customHeight="1" thickBot="1" x14ac:dyDescent="0.3">
      <c r="A38" s="902" t="s">
        <v>152</v>
      </c>
      <c r="B38" s="903"/>
      <c r="C38" s="904"/>
      <c r="D38" s="330"/>
      <c r="E38" s="743" t="s">
        <v>20</v>
      </c>
      <c r="F38" s="743"/>
      <c r="G38" s="743"/>
      <c r="H38" s="743"/>
      <c r="I38" s="743"/>
      <c r="J38" s="743"/>
      <c r="K38" s="743"/>
      <c r="L38" s="743"/>
      <c r="M38" s="743"/>
      <c r="N38" s="743"/>
      <c r="O38" s="743"/>
      <c r="P38" s="743"/>
      <c r="Q38" s="740" t="s">
        <v>20</v>
      </c>
      <c r="R38" s="743" t="s">
        <v>25</v>
      </c>
      <c r="S38" s="743"/>
      <c r="T38" s="743"/>
      <c r="U38" s="743"/>
      <c r="V38" s="740" t="s">
        <v>25</v>
      </c>
      <c r="W38" s="790" t="s">
        <v>26</v>
      </c>
      <c r="X38" s="751" t="s">
        <v>27</v>
      </c>
    </row>
    <row r="39" spans="1:24" ht="18.75" customHeight="1" thickBot="1" x14ac:dyDescent="0.3">
      <c r="A39" s="899" t="s">
        <v>153</v>
      </c>
      <c r="B39" s="900"/>
      <c r="C39" s="900"/>
      <c r="D39" s="901"/>
      <c r="E39" s="111">
        <v>1</v>
      </c>
      <c r="F39" s="2">
        <v>2</v>
      </c>
      <c r="G39" s="2">
        <v>3</v>
      </c>
      <c r="H39" s="2">
        <v>4</v>
      </c>
      <c r="I39" s="2">
        <v>5</v>
      </c>
      <c r="J39" s="2">
        <v>6</v>
      </c>
      <c r="K39" s="2">
        <v>7</v>
      </c>
      <c r="L39" s="2">
        <v>8</v>
      </c>
      <c r="M39" s="2">
        <v>9</v>
      </c>
      <c r="N39" s="2">
        <v>10</v>
      </c>
      <c r="O39" s="2">
        <v>11</v>
      </c>
      <c r="P39" s="3">
        <v>12</v>
      </c>
      <c r="Q39" s="741"/>
      <c r="R39" s="111" t="s">
        <v>21</v>
      </c>
      <c r="S39" s="2" t="s">
        <v>22</v>
      </c>
      <c r="T39" s="2" t="s">
        <v>23</v>
      </c>
      <c r="U39" s="3" t="s">
        <v>24</v>
      </c>
      <c r="V39" s="741"/>
      <c r="W39" s="856"/>
      <c r="X39" s="752"/>
    </row>
    <row r="40" spans="1:24" ht="18.75" customHeight="1" outlineLevel="1" thickTop="1" x14ac:dyDescent="0.25">
      <c r="A40" s="857" t="str">
        <f>Plankosten!A23</f>
        <v>Personalkosten</v>
      </c>
      <c r="B40" s="858"/>
      <c r="C40" s="858"/>
      <c r="D40" s="859"/>
      <c r="E40" s="6">
        <f>Plankosten!E29</f>
        <v>10840</v>
      </c>
      <c r="F40" s="7">
        <f>Plankosten!F29</f>
        <v>13148</v>
      </c>
      <c r="G40" s="7">
        <f>Plankosten!G29</f>
        <v>16796</v>
      </c>
      <c r="H40" s="7">
        <f>Plankosten!H29</f>
        <v>16796</v>
      </c>
      <c r="I40" s="7">
        <f>Plankosten!I29</f>
        <v>32619.166666666664</v>
      </c>
      <c r="J40" s="7">
        <f>Plankosten!J29</f>
        <v>16796</v>
      </c>
      <c r="K40" s="7">
        <f>Plankosten!K29</f>
        <v>16796</v>
      </c>
      <c r="L40" s="7">
        <f>Plankosten!L29</f>
        <v>16796</v>
      </c>
      <c r="M40" s="7">
        <f>Plankosten!M29</f>
        <v>16796</v>
      </c>
      <c r="N40" s="7">
        <f>Plankosten!N29</f>
        <v>16796</v>
      </c>
      <c r="O40" s="7">
        <f>Plankosten!O29</f>
        <v>32619.166666666664</v>
      </c>
      <c r="P40" s="180">
        <f>Plankosten!P29</f>
        <v>16796</v>
      </c>
      <c r="Q40" s="8">
        <f>Plankosten!Q29</f>
        <v>223594.33333333334</v>
      </c>
      <c r="R40" s="179">
        <f>Plankosten!R29</f>
        <v>52880.4</v>
      </c>
      <c r="S40" s="7">
        <f>Plankosten!S29</f>
        <v>70327.199999999997</v>
      </c>
      <c r="T40" s="7">
        <f>Plankosten!T29</f>
        <v>52880.4</v>
      </c>
      <c r="U40" s="180">
        <f>Plankosten!U29</f>
        <v>70327.199999999997</v>
      </c>
      <c r="V40" s="8">
        <f>Plankosten!V29</f>
        <v>246415.2</v>
      </c>
      <c r="W40" s="181">
        <f>Plankosten!W29</f>
        <v>258627.96000000002</v>
      </c>
      <c r="X40" s="9">
        <f>Plankosten!X29</f>
        <v>271451.35800000007</v>
      </c>
    </row>
    <row r="41" spans="1:24" ht="18.75" customHeight="1" outlineLevel="1" x14ac:dyDescent="0.25">
      <c r="A41" s="826" t="str">
        <f>Plankosten!A31</f>
        <v>Materialeinsatz</v>
      </c>
      <c r="B41" s="827"/>
      <c r="C41" s="827"/>
      <c r="D41" s="828"/>
      <c r="E41" s="335">
        <f>Plankosten!E36*(1+$D$8)</f>
        <v>0</v>
      </c>
      <c r="F41" s="336">
        <f>Plankosten!F36</f>
        <v>0</v>
      </c>
      <c r="G41" s="336">
        <f>Plankosten!G36</f>
        <v>0</v>
      </c>
      <c r="H41" s="336">
        <f>Plankosten!H36</f>
        <v>0</v>
      </c>
      <c r="I41" s="336">
        <f>Plankosten!I36</f>
        <v>0</v>
      </c>
      <c r="J41" s="336">
        <f>Plankosten!J36</f>
        <v>0</v>
      </c>
      <c r="K41" s="336">
        <f>Plankosten!K36</f>
        <v>0</v>
      </c>
      <c r="L41" s="336">
        <f>Plankosten!L36</f>
        <v>0</v>
      </c>
      <c r="M41" s="336">
        <f>Plankosten!M36</f>
        <v>0</v>
      </c>
      <c r="N41" s="336">
        <f>Plankosten!N36</f>
        <v>0</v>
      </c>
      <c r="O41" s="336">
        <f>Plankosten!O36</f>
        <v>0</v>
      </c>
      <c r="P41" s="337">
        <f>Plankosten!P36</f>
        <v>0</v>
      </c>
      <c r="Q41" s="331">
        <f>Plankosten!Q36</f>
        <v>0</v>
      </c>
      <c r="R41" s="338">
        <f>Plankosten!R36</f>
        <v>0</v>
      </c>
      <c r="S41" s="336">
        <f>Plankosten!S36</f>
        <v>0</v>
      </c>
      <c r="T41" s="336">
        <f>Plankosten!T36</f>
        <v>0</v>
      </c>
      <c r="U41" s="337">
        <f>Plankosten!U36</f>
        <v>0</v>
      </c>
      <c r="V41" s="331">
        <f>Plankosten!V36</f>
        <v>0</v>
      </c>
      <c r="W41" s="339">
        <f>Plankosten!W36</f>
        <v>0</v>
      </c>
      <c r="X41" s="245">
        <f>Plankosten!X36</f>
        <v>0</v>
      </c>
    </row>
    <row r="42" spans="1:24" ht="18.75" customHeight="1" outlineLevel="1" x14ac:dyDescent="0.25">
      <c r="A42" s="826" t="str">
        <f>Plankosten!A38</f>
        <v>Roh-, Betriebs- uns Hilfsstoffe</v>
      </c>
      <c r="B42" s="827"/>
      <c r="C42" s="827"/>
      <c r="D42" s="828"/>
      <c r="E42" s="335">
        <f>Plankosten!E43*(1+$D$8)</f>
        <v>0</v>
      </c>
      <c r="F42" s="336">
        <f>Plankosten!F43</f>
        <v>0</v>
      </c>
      <c r="G42" s="336">
        <f>Plankosten!G43</f>
        <v>0</v>
      </c>
      <c r="H42" s="336">
        <f>Plankosten!H43</f>
        <v>0</v>
      </c>
      <c r="I42" s="336">
        <f>Plankosten!I43</f>
        <v>0</v>
      </c>
      <c r="J42" s="336">
        <f>Plankosten!J43</f>
        <v>0</v>
      </c>
      <c r="K42" s="336">
        <f>Plankosten!K43</f>
        <v>0</v>
      </c>
      <c r="L42" s="336">
        <f>Plankosten!L43</f>
        <v>0</v>
      </c>
      <c r="M42" s="336">
        <f>Plankosten!M43</f>
        <v>0</v>
      </c>
      <c r="N42" s="336">
        <f>Plankosten!N43</f>
        <v>0</v>
      </c>
      <c r="O42" s="336">
        <f>Plankosten!O43</f>
        <v>0</v>
      </c>
      <c r="P42" s="337">
        <f>Plankosten!P43</f>
        <v>0</v>
      </c>
      <c r="Q42" s="331">
        <f>Plankosten!Q43</f>
        <v>0</v>
      </c>
      <c r="R42" s="338">
        <f>Plankosten!R43</f>
        <v>0</v>
      </c>
      <c r="S42" s="336">
        <f>Plankosten!S43</f>
        <v>0</v>
      </c>
      <c r="T42" s="336">
        <f>Plankosten!T43</f>
        <v>0</v>
      </c>
      <c r="U42" s="337">
        <f>Plankosten!U43</f>
        <v>0</v>
      </c>
      <c r="V42" s="331">
        <f>Plankosten!V43</f>
        <v>0</v>
      </c>
      <c r="W42" s="339">
        <f>Plankosten!W43</f>
        <v>0</v>
      </c>
      <c r="X42" s="245">
        <f>Plankosten!X43</f>
        <v>0</v>
      </c>
    </row>
    <row r="43" spans="1:24" ht="30" customHeight="1" outlineLevel="1" x14ac:dyDescent="0.25">
      <c r="A43" s="890" t="str">
        <f>Plankosten!A45</f>
        <v>Sonstige betriebliche Aufwendungen
(Miete, Pacht, Betriebskosten)</v>
      </c>
      <c r="B43" s="891"/>
      <c r="C43" s="891"/>
      <c r="D43" s="892"/>
      <c r="E43" s="335">
        <f>Plankosten!E52*(1+$D$8)</f>
        <v>1525.2</v>
      </c>
      <c r="F43" s="336">
        <f>Plankosten!F52</f>
        <v>1271</v>
      </c>
      <c r="G43" s="336">
        <f>Plankosten!G52</f>
        <v>1271</v>
      </c>
      <c r="H43" s="336">
        <f>Plankosten!H52</f>
        <v>1271</v>
      </c>
      <c r="I43" s="336">
        <f>Plankosten!I52</f>
        <v>1271</v>
      </c>
      <c r="J43" s="336">
        <f>Plankosten!J52</f>
        <v>1271</v>
      </c>
      <c r="K43" s="336">
        <f>Plankosten!K52</f>
        <v>1271</v>
      </c>
      <c r="L43" s="336">
        <f>Plankosten!L52</f>
        <v>1271</v>
      </c>
      <c r="M43" s="336">
        <f>Plankosten!M52</f>
        <v>1271</v>
      </c>
      <c r="N43" s="336">
        <f>Plankosten!N52</f>
        <v>1271</v>
      </c>
      <c r="O43" s="336">
        <f>Plankosten!O52</f>
        <v>1271</v>
      </c>
      <c r="P43" s="337">
        <f>Plankosten!P52</f>
        <v>1271</v>
      </c>
      <c r="Q43" s="331">
        <f>Plankosten!Q52</f>
        <v>15252</v>
      </c>
      <c r="R43" s="338">
        <f>Plankosten!R52</f>
        <v>3813</v>
      </c>
      <c r="S43" s="336">
        <f>Plankosten!S52</f>
        <v>3813</v>
      </c>
      <c r="T43" s="336">
        <f>Plankosten!T52</f>
        <v>3813</v>
      </c>
      <c r="U43" s="337">
        <f>Plankosten!U52</f>
        <v>3813</v>
      </c>
      <c r="V43" s="331">
        <f>Plankosten!V52</f>
        <v>15252</v>
      </c>
      <c r="W43" s="339">
        <f>Plankosten!W52</f>
        <v>15252</v>
      </c>
      <c r="X43" s="245">
        <f>Plankosten!X52</f>
        <v>15252</v>
      </c>
    </row>
    <row r="44" spans="1:24" ht="18.75" customHeight="1" outlineLevel="1" x14ac:dyDescent="0.25">
      <c r="A44" s="890" t="str">
        <f>Plankosten!A54</f>
        <v>Instandhaltung</v>
      </c>
      <c r="B44" s="891"/>
      <c r="C44" s="891"/>
      <c r="D44" s="892"/>
      <c r="E44" s="335">
        <f>Plankosten!E59*(1+$D$8)</f>
        <v>0</v>
      </c>
      <c r="F44" s="336">
        <f>Plankosten!F59</f>
        <v>0</v>
      </c>
      <c r="G44" s="336">
        <f>Plankosten!G59</f>
        <v>0</v>
      </c>
      <c r="H44" s="336">
        <f>Plankosten!H59</f>
        <v>0</v>
      </c>
      <c r="I44" s="336">
        <f>Plankosten!I59</f>
        <v>0</v>
      </c>
      <c r="J44" s="336">
        <f>Plankosten!J59</f>
        <v>0</v>
      </c>
      <c r="K44" s="336">
        <f>Plankosten!K59</f>
        <v>0</v>
      </c>
      <c r="L44" s="336">
        <f>Plankosten!L59</f>
        <v>0</v>
      </c>
      <c r="M44" s="336">
        <f>Plankosten!M59</f>
        <v>0</v>
      </c>
      <c r="N44" s="336">
        <f>Plankosten!N59</f>
        <v>0</v>
      </c>
      <c r="O44" s="336">
        <f>Plankosten!O59</f>
        <v>0</v>
      </c>
      <c r="P44" s="337">
        <f>Plankosten!P59</f>
        <v>2000</v>
      </c>
      <c r="Q44" s="331">
        <f>Plankosten!Q59</f>
        <v>2000</v>
      </c>
      <c r="R44" s="338">
        <f>Plankosten!R59</f>
        <v>0</v>
      </c>
      <c r="S44" s="336">
        <f>Plankosten!S59</f>
        <v>0</v>
      </c>
      <c r="T44" s="336">
        <f>Plankosten!T59</f>
        <v>0</v>
      </c>
      <c r="U44" s="337">
        <f>Plankosten!U59</f>
        <v>2000</v>
      </c>
      <c r="V44" s="331">
        <f>Plankosten!V59</f>
        <v>2000</v>
      </c>
      <c r="W44" s="339">
        <f>Plankosten!W59</f>
        <v>2000</v>
      </c>
      <c r="X44" s="245">
        <f>Plankosten!X59</f>
        <v>2000</v>
      </c>
    </row>
    <row r="45" spans="1:24" ht="18.75" customHeight="1" outlineLevel="1" x14ac:dyDescent="0.25">
      <c r="A45" s="890" t="str">
        <f>Plankosten!A61</f>
        <v>Kfz-Kosten und Reisekosten</v>
      </c>
      <c r="B45" s="891"/>
      <c r="C45" s="891"/>
      <c r="D45" s="892"/>
      <c r="E45" s="335">
        <f>Plankosten!E67</f>
        <v>2000</v>
      </c>
      <c r="F45" s="336">
        <f>Plankosten!F67</f>
        <v>500</v>
      </c>
      <c r="G45" s="336">
        <f>Plankosten!G67</f>
        <v>500</v>
      </c>
      <c r="H45" s="336">
        <f>Plankosten!H67</f>
        <v>500</v>
      </c>
      <c r="I45" s="336">
        <f>Plankosten!I67</f>
        <v>500</v>
      </c>
      <c r="J45" s="336">
        <f>Plankosten!J67</f>
        <v>500</v>
      </c>
      <c r="K45" s="336">
        <f>Plankosten!K67</f>
        <v>500</v>
      </c>
      <c r="L45" s="336">
        <f>Plankosten!L67</f>
        <v>500</v>
      </c>
      <c r="M45" s="336">
        <f>Plankosten!M67</f>
        <v>500</v>
      </c>
      <c r="N45" s="336">
        <f>Plankosten!N67</f>
        <v>500</v>
      </c>
      <c r="O45" s="336">
        <f>Plankosten!O67</f>
        <v>500</v>
      </c>
      <c r="P45" s="337">
        <f>Plankosten!P67</f>
        <v>500</v>
      </c>
      <c r="Q45" s="331">
        <f>Plankosten!Q67</f>
        <v>7500</v>
      </c>
      <c r="R45" s="338">
        <f>Plankosten!R67</f>
        <v>3000</v>
      </c>
      <c r="S45" s="336">
        <f>Plankosten!S67</f>
        <v>1500</v>
      </c>
      <c r="T45" s="336">
        <f>Plankosten!T67</f>
        <v>1500</v>
      </c>
      <c r="U45" s="337">
        <f>Plankosten!U67</f>
        <v>1500</v>
      </c>
      <c r="V45" s="331">
        <f>Plankosten!V67</f>
        <v>7500</v>
      </c>
      <c r="W45" s="339">
        <f>Plankosten!W67</f>
        <v>7500</v>
      </c>
      <c r="X45" s="245">
        <f>Plankosten!X67</f>
        <v>7500</v>
      </c>
    </row>
    <row r="46" spans="1:24" ht="18.75" customHeight="1" outlineLevel="1" x14ac:dyDescent="0.25">
      <c r="A46" s="890" t="str">
        <f>Plankosten!A69</f>
        <v>Büromaterial</v>
      </c>
      <c r="B46" s="891"/>
      <c r="C46" s="891"/>
      <c r="D46" s="892"/>
      <c r="E46" s="335">
        <f>Plankosten!E75*(1+$D$8)</f>
        <v>2640</v>
      </c>
      <c r="F46" s="336">
        <f>Plankosten!F75</f>
        <v>2200</v>
      </c>
      <c r="G46" s="336">
        <f>Plankosten!G75</f>
        <v>2200</v>
      </c>
      <c r="H46" s="336">
        <f>Plankosten!H75</f>
        <v>2200</v>
      </c>
      <c r="I46" s="336">
        <f>Plankosten!I75</f>
        <v>2200</v>
      </c>
      <c r="J46" s="336">
        <f>Plankosten!J75</f>
        <v>2200</v>
      </c>
      <c r="K46" s="336">
        <f>Plankosten!K75</f>
        <v>2200</v>
      </c>
      <c r="L46" s="336">
        <f>Plankosten!L75</f>
        <v>2200</v>
      </c>
      <c r="M46" s="336">
        <f>Plankosten!M75</f>
        <v>2200</v>
      </c>
      <c r="N46" s="336">
        <f>Plankosten!N75</f>
        <v>2200</v>
      </c>
      <c r="O46" s="336">
        <f>Plankosten!O75</f>
        <v>2200</v>
      </c>
      <c r="P46" s="337">
        <f>Plankosten!P75</f>
        <v>2200</v>
      </c>
      <c r="Q46" s="331">
        <f>Plankosten!Q75</f>
        <v>26400</v>
      </c>
      <c r="R46" s="338">
        <f>Plankosten!R75</f>
        <v>6600</v>
      </c>
      <c r="S46" s="336">
        <f>Plankosten!S75</f>
        <v>6600</v>
      </c>
      <c r="T46" s="336">
        <f>Plankosten!T75</f>
        <v>6600</v>
      </c>
      <c r="U46" s="337">
        <f>Plankosten!U75</f>
        <v>6600</v>
      </c>
      <c r="V46" s="331">
        <f>Plankosten!V75</f>
        <v>26400</v>
      </c>
      <c r="W46" s="339">
        <f>Plankosten!W75</f>
        <v>26400</v>
      </c>
      <c r="X46" s="245">
        <f>Plankosten!X75</f>
        <v>26400</v>
      </c>
    </row>
    <row r="47" spans="1:24" ht="18.75" customHeight="1" outlineLevel="1" x14ac:dyDescent="0.25">
      <c r="A47" s="890" t="str">
        <f>Plankosten!A77</f>
        <v>Telefon / Fax / Internet</v>
      </c>
      <c r="B47" s="891"/>
      <c r="C47" s="891"/>
      <c r="D47" s="892"/>
      <c r="E47" s="335">
        <f>Plankosten!E83*(1+$D$8)</f>
        <v>465.59999999999997</v>
      </c>
      <c r="F47" s="336">
        <f>Plankosten!F83</f>
        <v>388</v>
      </c>
      <c r="G47" s="336">
        <f>Plankosten!G83</f>
        <v>388</v>
      </c>
      <c r="H47" s="336">
        <f>Plankosten!H83</f>
        <v>388</v>
      </c>
      <c r="I47" s="336">
        <f>Plankosten!I83</f>
        <v>388</v>
      </c>
      <c r="J47" s="336">
        <f>Plankosten!J83</f>
        <v>388</v>
      </c>
      <c r="K47" s="336">
        <f>Plankosten!K83</f>
        <v>388</v>
      </c>
      <c r="L47" s="336">
        <f>Plankosten!L83</f>
        <v>388</v>
      </c>
      <c r="M47" s="336">
        <f>Plankosten!M83</f>
        <v>388</v>
      </c>
      <c r="N47" s="336">
        <f>Plankosten!N83</f>
        <v>388</v>
      </c>
      <c r="O47" s="336">
        <f>Plankosten!O83</f>
        <v>388</v>
      </c>
      <c r="P47" s="337">
        <f>Plankosten!P83</f>
        <v>388</v>
      </c>
      <c r="Q47" s="331">
        <f>Plankosten!Q83</f>
        <v>4656</v>
      </c>
      <c r="R47" s="338">
        <f>Plankosten!R83</f>
        <v>1164</v>
      </c>
      <c r="S47" s="336">
        <f>Plankosten!S83</f>
        <v>1164</v>
      </c>
      <c r="T47" s="336">
        <f>Plankosten!T83</f>
        <v>1164</v>
      </c>
      <c r="U47" s="337">
        <f>Plankosten!U83</f>
        <v>1164</v>
      </c>
      <c r="V47" s="331">
        <f>Plankosten!V83</f>
        <v>4656</v>
      </c>
      <c r="W47" s="339">
        <f>Plankosten!W83</f>
        <v>4656</v>
      </c>
      <c r="X47" s="245">
        <f>Plankosten!X83</f>
        <v>4656</v>
      </c>
    </row>
    <row r="48" spans="1:24" ht="18.75" customHeight="1" outlineLevel="1" x14ac:dyDescent="0.25">
      <c r="A48" s="896" t="str">
        <f>Plankosten!A85</f>
        <v>Steuer- und Rechtsberatung</v>
      </c>
      <c r="B48" s="897"/>
      <c r="C48" s="897"/>
      <c r="D48" s="898"/>
      <c r="E48" s="335">
        <f>Plankosten!E92*(1+$D$8)</f>
        <v>360</v>
      </c>
      <c r="F48" s="336">
        <f>Plankosten!F92</f>
        <v>300</v>
      </c>
      <c r="G48" s="336">
        <f>Plankosten!G92</f>
        <v>2300</v>
      </c>
      <c r="H48" s="336">
        <f>Plankosten!H92</f>
        <v>300</v>
      </c>
      <c r="I48" s="336">
        <f>Plankosten!I92</f>
        <v>300</v>
      </c>
      <c r="J48" s="336">
        <f>Plankosten!J92</f>
        <v>300</v>
      </c>
      <c r="K48" s="336">
        <f>Plankosten!K92</f>
        <v>300</v>
      </c>
      <c r="L48" s="336">
        <f>Plankosten!L92</f>
        <v>300</v>
      </c>
      <c r="M48" s="336">
        <f>Plankosten!M92</f>
        <v>300</v>
      </c>
      <c r="N48" s="336">
        <f>Plankosten!N92</f>
        <v>3300</v>
      </c>
      <c r="O48" s="336">
        <f>Plankosten!O92</f>
        <v>300</v>
      </c>
      <c r="P48" s="337">
        <f>Plankosten!P92</f>
        <v>300</v>
      </c>
      <c r="Q48" s="331">
        <f>Plankosten!Q92</f>
        <v>8600</v>
      </c>
      <c r="R48" s="338">
        <f>Plankosten!R92</f>
        <v>900</v>
      </c>
      <c r="S48" s="336">
        <f>Plankosten!S92</f>
        <v>900</v>
      </c>
      <c r="T48" s="336">
        <f>Plankosten!T92</f>
        <v>900</v>
      </c>
      <c r="U48" s="337">
        <f>Plankosten!U92</f>
        <v>3900</v>
      </c>
      <c r="V48" s="331">
        <f>Plankosten!V92</f>
        <v>6600</v>
      </c>
      <c r="W48" s="339">
        <f>Plankosten!W92</f>
        <v>6600</v>
      </c>
      <c r="X48" s="245">
        <f>Plankosten!X92</f>
        <v>6600</v>
      </c>
    </row>
    <row r="49" spans="1:24" ht="18.75" customHeight="1" outlineLevel="1" x14ac:dyDescent="0.25">
      <c r="A49" s="829" t="str">
        <f>Plankosten!A94</f>
        <v>Werbungskosten</v>
      </c>
      <c r="B49" s="830"/>
      <c r="C49" s="830"/>
      <c r="D49" s="831"/>
      <c r="E49" s="335">
        <f>Plankosten!E99*(1+$D$8)</f>
        <v>0</v>
      </c>
      <c r="F49" s="336">
        <f>Plankosten!F99</f>
        <v>0</v>
      </c>
      <c r="G49" s="336">
        <f>Plankosten!G99</f>
        <v>0</v>
      </c>
      <c r="H49" s="336">
        <f>Plankosten!H99</f>
        <v>0</v>
      </c>
      <c r="I49" s="336">
        <f>Plankosten!I99</f>
        <v>0</v>
      </c>
      <c r="J49" s="336">
        <f>Plankosten!J99</f>
        <v>0</v>
      </c>
      <c r="K49" s="336">
        <f>Plankosten!K99</f>
        <v>0</v>
      </c>
      <c r="L49" s="336">
        <f>Plankosten!L99</f>
        <v>0</v>
      </c>
      <c r="M49" s="336">
        <f>Plankosten!M99</f>
        <v>0</v>
      </c>
      <c r="N49" s="336">
        <f>Plankosten!N99</f>
        <v>0</v>
      </c>
      <c r="O49" s="336">
        <f>Plankosten!O99</f>
        <v>0</v>
      </c>
      <c r="P49" s="337">
        <f>Plankosten!P99</f>
        <v>0</v>
      </c>
      <c r="Q49" s="331">
        <f>Plankosten!Q99</f>
        <v>0</v>
      </c>
      <c r="R49" s="338">
        <f>Plankosten!R99</f>
        <v>0</v>
      </c>
      <c r="S49" s="336">
        <f>Plankosten!S99</f>
        <v>0</v>
      </c>
      <c r="T49" s="336">
        <f>Plankosten!T99</f>
        <v>0</v>
      </c>
      <c r="U49" s="337">
        <f>Plankosten!U99</f>
        <v>0</v>
      </c>
      <c r="V49" s="331">
        <f>Plankosten!V99</f>
        <v>0</v>
      </c>
      <c r="W49" s="339">
        <f>Plankosten!W99</f>
        <v>0</v>
      </c>
      <c r="X49" s="245">
        <f>Plankosten!X99</f>
        <v>0</v>
      </c>
    </row>
    <row r="50" spans="1:24" ht="18.75" customHeight="1" outlineLevel="1" x14ac:dyDescent="0.25">
      <c r="A50" s="829" t="str">
        <f>Plankosten!A101</f>
        <v>Gebühren, Kammerbeiträge</v>
      </c>
      <c r="B50" s="830"/>
      <c r="C50" s="830"/>
      <c r="D50" s="831"/>
      <c r="E50" s="335">
        <f>Plankosten!E108</f>
        <v>71.355385194166686</v>
      </c>
      <c r="F50" s="336">
        <f>Plankosten!F108</f>
        <v>271.35538519416667</v>
      </c>
      <c r="G50" s="336">
        <f>Plankosten!G108</f>
        <v>71.355385194166686</v>
      </c>
      <c r="H50" s="336">
        <f>Plankosten!H108</f>
        <v>71.355385194166686</v>
      </c>
      <c r="I50" s="336">
        <f>Plankosten!I108</f>
        <v>271.35538519416667</v>
      </c>
      <c r="J50" s="336">
        <f>Plankosten!J108</f>
        <v>71.355385194166686</v>
      </c>
      <c r="K50" s="336">
        <f>Plankosten!K108</f>
        <v>71.355385194166686</v>
      </c>
      <c r="L50" s="336">
        <f>Plankosten!L108</f>
        <v>271.35538519416667</v>
      </c>
      <c r="M50" s="336">
        <f>Plankosten!M108</f>
        <v>71.355385194166686</v>
      </c>
      <c r="N50" s="336">
        <f>Plankosten!N108</f>
        <v>71.355385194166686</v>
      </c>
      <c r="O50" s="336">
        <f>Plankosten!O108</f>
        <v>271.35538519416667</v>
      </c>
      <c r="P50" s="337">
        <f>Plankosten!P108</f>
        <v>71.355385194166686</v>
      </c>
      <c r="Q50" s="331">
        <f>Plankosten!Q108</f>
        <v>1656.2646223300003</v>
      </c>
      <c r="R50" s="338">
        <f>Plankosten!R108</f>
        <v>414.06615558250007</v>
      </c>
      <c r="S50" s="336">
        <f>Plankosten!S108</f>
        <v>414.06615558250007</v>
      </c>
      <c r="T50" s="336">
        <f>Plankosten!T108</f>
        <v>414.06615558250007</v>
      </c>
      <c r="U50" s="337">
        <f>Plankosten!U108</f>
        <v>414.06615558250007</v>
      </c>
      <c r="V50" s="331">
        <f>Plankosten!V108</f>
        <v>1656.2646223300003</v>
      </c>
      <c r="W50" s="339">
        <f>Plankosten!W108</f>
        <v>1656.2646223300003</v>
      </c>
      <c r="X50" s="245">
        <f>Plankosten!X108</f>
        <v>1656.2646223300003</v>
      </c>
    </row>
    <row r="51" spans="1:24" ht="18.75" customHeight="1" outlineLevel="1" x14ac:dyDescent="0.25">
      <c r="A51" s="829" t="str">
        <f>Plankosten!A110</f>
        <v>Betriebsversicherung</v>
      </c>
      <c r="B51" s="830"/>
      <c r="C51" s="830"/>
      <c r="D51" s="831"/>
      <c r="E51" s="335">
        <f>Plankosten!E115</f>
        <v>0</v>
      </c>
      <c r="F51" s="336">
        <f>Plankosten!F115</f>
        <v>0</v>
      </c>
      <c r="G51" s="336">
        <f>Plankosten!G115</f>
        <v>0</v>
      </c>
      <c r="H51" s="336">
        <f>Plankosten!H115</f>
        <v>0</v>
      </c>
      <c r="I51" s="336">
        <f>Plankosten!I115</f>
        <v>0</v>
      </c>
      <c r="J51" s="336">
        <f>Plankosten!J115</f>
        <v>0</v>
      </c>
      <c r="K51" s="336">
        <f>Plankosten!K115</f>
        <v>0</v>
      </c>
      <c r="L51" s="336">
        <f>Plankosten!L115</f>
        <v>0</v>
      </c>
      <c r="M51" s="336">
        <f>Plankosten!M115</f>
        <v>0</v>
      </c>
      <c r="N51" s="336">
        <f>Plankosten!N115</f>
        <v>0</v>
      </c>
      <c r="O51" s="336">
        <f>Plankosten!O115</f>
        <v>0</v>
      </c>
      <c r="P51" s="337">
        <f>Plankosten!P115</f>
        <v>0</v>
      </c>
      <c r="Q51" s="331">
        <f>Plankosten!Q115</f>
        <v>0</v>
      </c>
      <c r="R51" s="338">
        <f>Plankosten!R115</f>
        <v>0</v>
      </c>
      <c r="S51" s="336">
        <f>Plankosten!S115</f>
        <v>0</v>
      </c>
      <c r="T51" s="336">
        <f>Plankosten!T115</f>
        <v>0</v>
      </c>
      <c r="U51" s="337">
        <f>Plankosten!U115</f>
        <v>0</v>
      </c>
      <c r="V51" s="331">
        <f>Plankosten!V115</f>
        <v>0</v>
      </c>
      <c r="W51" s="339">
        <f>Plankosten!W115</f>
        <v>0</v>
      </c>
      <c r="X51" s="245">
        <f>Plankosten!X115</f>
        <v>0</v>
      </c>
    </row>
    <row r="52" spans="1:24" ht="18.75" customHeight="1" outlineLevel="1" x14ac:dyDescent="0.25">
      <c r="A52" s="829" t="str">
        <f>Plankosten!A117</f>
        <v>Leasinggebühren</v>
      </c>
      <c r="B52" s="830"/>
      <c r="C52" s="830"/>
      <c r="D52" s="831"/>
      <c r="E52" s="335">
        <f>Plankosten!E122*(1+$D$8)</f>
        <v>1800</v>
      </c>
      <c r="F52" s="336">
        <f>Plankosten!F122</f>
        <v>1500</v>
      </c>
      <c r="G52" s="336">
        <f>Plankosten!G122</f>
        <v>1500</v>
      </c>
      <c r="H52" s="336">
        <f>Plankosten!H122</f>
        <v>1500</v>
      </c>
      <c r="I52" s="336">
        <f>Plankosten!I122</f>
        <v>1500</v>
      </c>
      <c r="J52" s="336">
        <f>Plankosten!J122</f>
        <v>1500</v>
      </c>
      <c r="K52" s="336">
        <f>Plankosten!K122</f>
        <v>1500</v>
      </c>
      <c r="L52" s="336">
        <f>Plankosten!L122</f>
        <v>1500</v>
      </c>
      <c r="M52" s="336">
        <f>Plankosten!M122</f>
        <v>1500</v>
      </c>
      <c r="N52" s="336">
        <f>Plankosten!N122</f>
        <v>1500</v>
      </c>
      <c r="O52" s="336">
        <f>Plankosten!O122</f>
        <v>1500</v>
      </c>
      <c r="P52" s="337">
        <f>Plankosten!P122</f>
        <v>1500</v>
      </c>
      <c r="Q52" s="331">
        <f>Plankosten!Q122</f>
        <v>18000</v>
      </c>
      <c r="R52" s="338">
        <f>Plankosten!R122</f>
        <v>4500</v>
      </c>
      <c r="S52" s="336">
        <f>Plankosten!S122</f>
        <v>4500</v>
      </c>
      <c r="T52" s="336">
        <f>Plankosten!T122</f>
        <v>4500</v>
      </c>
      <c r="U52" s="337">
        <f>Plankosten!U122</f>
        <v>4500</v>
      </c>
      <c r="V52" s="331">
        <f>Plankosten!V122</f>
        <v>0</v>
      </c>
      <c r="W52" s="339">
        <f>Plankosten!W122</f>
        <v>0</v>
      </c>
      <c r="X52" s="245">
        <f>Plankosten!X122</f>
        <v>0</v>
      </c>
    </row>
    <row r="53" spans="1:24" ht="18.75" customHeight="1" outlineLevel="1" x14ac:dyDescent="0.25">
      <c r="A53" s="829" t="str">
        <f>Plankosten!A124</f>
        <v>Spesen-, Bank-, Kreditgebühren</v>
      </c>
      <c r="B53" s="830"/>
      <c r="C53" s="830"/>
      <c r="D53" s="831"/>
      <c r="E53" s="335">
        <f>Plankosten!E129</f>
        <v>50</v>
      </c>
      <c r="F53" s="336">
        <f>Plankosten!F129</f>
        <v>0</v>
      </c>
      <c r="G53" s="336">
        <f>Plankosten!G129</f>
        <v>0</v>
      </c>
      <c r="H53" s="336">
        <f>Plankosten!H129</f>
        <v>50</v>
      </c>
      <c r="I53" s="336">
        <f>Plankosten!I129</f>
        <v>0</v>
      </c>
      <c r="J53" s="336">
        <f>Plankosten!J129</f>
        <v>0</v>
      </c>
      <c r="K53" s="336">
        <f>Plankosten!K129</f>
        <v>50</v>
      </c>
      <c r="L53" s="336">
        <f>Plankosten!L129</f>
        <v>0</v>
      </c>
      <c r="M53" s="336">
        <f>Plankosten!M129</f>
        <v>0</v>
      </c>
      <c r="N53" s="336">
        <f>Plankosten!N129</f>
        <v>50</v>
      </c>
      <c r="O53" s="336">
        <f>Plankosten!O129</f>
        <v>0</v>
      </c>
      <c r="P53" s="337">
        <f>Plankosten!P129</f>
        <v>0</v>
      </c>
      <c r="Q53" s="331">
        <f>Plankosten!Q129</f>
        <v>200</v>
      </c>
      <c r="R53" s="338">
        <f>Plankosten!R129</f>
        <v>50</v>
      </c>
      <c r="S53" s="336">
        <f>Plankosten!S129</f>
        <v>50</v>
      </c>
      <c r="T53" s="336">
        <f>Plankosten!T129</f>
        <v>50</v>
      </c>
      <c r="U53" s="337">
        <f>Plankosten!U129</f>
        <v>50</v>
      </c>
      <c r="V53" s="331">
        <f>Plankosten!V129</f>
        <v>200</v>
      </c>
      <c r="W53" s="339">
        <f>Plankosten!W129</f>
        <v>200</v>
      </c>
      <c r="X53" s="245">
        <f>Plankosten!X129</f>
        <v>200</v>
      </c>
    </row>
    <row r="54" spans="1:24" ht="18.75" customHeight="1" outlineLevel="1" thickBot="1" x14ac:dyDescent="0.3">
      <c r="A54" s="893" t="str">
        <f>Plankosten!A131</f>
        <v>Sonstige Kosten</v>
      </c>
      <c r="B54" s="894"/>
      <c r="C54" s="894"/>
      <c r="D54" s="895"/>
      <c r="E54" s="128">
        <f>Plankosten!E137*(1+$D$8)</f>
        <v>0</v>
      </c>
      <c r="F54" s="129">
        <f>Plankosten!F137</f>
        <v>0</v>
      </c>
      <c r="G54" s="129">
        <f>Plankosten!G137</f>
        <v>0</v>
      </c>
      <c r="H54" s="129">
        <f>Plankosten!H137</f>
        <v>0</v>
      </c>
      <c r="I54" s="129">
        <f>Plankosten!I137</f>
        <v>15000</v>
      </c>
      <c r="J54" s="129">
        <f>Plankosten!J137</f>
        <v>0</v>
      </c>
      <c r="K54" s="129">
        <f>Plankosten!K137</f>
        <v>0</v>
      </c>
      <c r="L54" s="129">
        <f>Plankosten!L137</f>
        <v>0</v>
      </c>
      <c r="M54" s="129">
        <f>Plankosten!M137</f>
        <v>0</v>
      </c>
      <c r="N54" s="129">
        <f>Plankosten!N137</f>
        <v>0</v>
      </c>
      <c r="O54" s="129">
        <f>Plankosten!O137</f>
        <v>0</v>
      </c>
      <c r="P54" s="159">
        <f>Plankosten!P137</f>
        <v>0</v>
      </c>
      <c r="Q54" s="134">
        <f>Plankosten!Q137</f>
        <v>15000</v>
      </c>
      <c r="R54" s="196">
        <f>Plankosten!R137</f>
        <v>0</v>
      </c>
      <c r="S54" s="129">
        <f>Plankosten!S137</f>
        <v>15000</v>
      </c>
      <c r="T54" s="129">
        <f>Plankosten!T137</f>
        <v>0</v>
      </c>
      <c r="U54" s="159">
        <f>Plankosten!U137</f>
        <v>0</v>
      </c>
      <c r="V54" s="134">
        <f>Plankosten!V137</f>
        <v>15000</v>
      </c>
      <c r="W54" s="197">
        <f>Plankosten!W137</f>
        <v>15000</v>
      </c>
      <c r="X54" s="135">
        <f>Plankosten!X137</f>
        <v>15000</v>
      </c>
    </row>
    <row r="55" spans="1:24" ht="7.5" customHeight="1" outlineLevel="1" thickTop="1" thickBot="1" x14ac:dyDescent="0.3">
      <c r="A55" s="887"/>
      <c r="B55" s="888"/>
      <c r="C55" s="888"/>
      <c r="D55" s="889"/>
      <c r="E55" s="340"/>
      <c r="F55" s="109"/>
      <c r="G55" s="109"/>
      <c r="H55" s="109"/>
      <c r="I55" s="109"/>
      <c r="J55" s="109"/>
      <c r="K55" s="109"/>
      <c r="L55" s="109"/>
      <c r="M55" s="109"/>
      <c r="N55" s="109"/>
      <c r="O55" s="109"/>
      <c r="P55" s="341"/>
      <c r="Q55" s="327" t="str">
        <f t="shared" ref="Q55" si="13">IF(SUM(E55:P55)=0,"",SUM(E55:P55))</f>
        <v/>
      </c>
      <c r="R55" s="342"/>
      <c r="S55" s="325"/>
      <c r="T55" s="325"/>
      <c r="U55" s="343"/>
      <c r="V55" s="327" t="str">
        <f t="shared" ref="V55" si="14">IF(SUM(R55:U55)=0,"",SUM(R55:U55))</f>
        <v/>
      </c>
      <c r="W55" s="344"/>
      <c r="X55" s="329"/>
    </row>
    <row r="56" spans="1:24" ht="18.75" customHeight="1" thickBot="1" x14ac:dyDescent="0.3">
      <c r="A56" s="838" t="s">
        <v>154</v>
      </c>
      <c r="B56" s="839"/>
      <c r="C56" s="839"/>
      <c r="D56" s="840"/>
      <c r="E56" s="444">
        <f t="shared" ref="E56:X56" si="15">SUM(E40:E55)</f>
        <v>19752.155385194164</v>
      </c>
      <c r="F56" s="541">
        <f t="shared" si="15"/>
        <v>19578.355385194165</v>
      </c>
      <c r="G56" s="541">
        <f t="shared" si="15"/>
        <v>25026.355385194165</v>
      </c>
      <c r="H56" s="541">
        <f t="shared" si="15"/>
        <v>23076.355385194165</v>
      </c>
      <c r="I56" s="541">
        <f t="shared" si="15"/>
        <v>54049.522051860833</v>
      </c>
      <c r="J56" s="541">
        <f t="shared" si="15"/>
        <v>23026.355385194165</v>
      </c>
      <c r="K56" s="541">
        <f t="shared" si="15"/>
        <v>23076.355385194165</v>
      </c>
      <c r="L56" s="541">
        <f t="shared" si="15"/>
        <v>23226.355385194165</v>
      </c>
      <c r="M56" s="541">
        <f t="shared" si="15"/>
        <v>23026.355385194165</v>
      </c>
      <c r="N56" s="541">
        <f t="shared" si="15"/>
        <v>26076.355385194165</v>
      </c>
      <c r="O56" s="541">
        <f t="shared" si="15"/>
        <v>39049.522051860833</v>
      </c>
      <c r="P56" s="538">
        <f t="shared" si="15"/>
        <v>25026.355385194165</v>
      </c>
      <c r="Q56" s="543">
        <f t="shared" si="15"/>
        <v>322858.5979556634</v>
      </c>
      <c r="R56" s="444">
        <f t="shared" si="15"/>
        <v>73321.466155582501</v>
      </c>
      <c r="S56" s="541">
        <f t="shared" si="15"/>
        <v>104268.2661555825</v>
      </c>
      <c r="T56" s="541">
        <f t="shared" si="15"/>
        <v>71821.466155582501</v>
      </c>
      <c r="U56" s="538">
        <f t="shared" si="15"/>
        <v>94268.266155582503</v>
      </c>
      <c r="V56" s="543">
        <f t="shared" si="15"/>
        <v>325679.46462233004</v>
      </c>
      <c r="W56" s="542">
        <f t="shared" si="15"/>
        <v>337892.22462233005</v>
      </c>
      <c r="X56" s="498">
        <f t="shared" si="15"/>
        <v>350715.62262233009</v>
      </c>
    </row>
    <row r="57" spans="1:24" ht="7.5" customHeight="1" thickBot="1" x14ac:dyDescent="0.3">
      <c r="A57" s="777"/>
      <c r="B57" s="778"/>
      <c r="C57" s="778"/>
      <c r="D57" s="778"/>
      <c r="E57" s="778"/>
      <c r="F57" s="778"/>
      <c r="G57" s="778"/>
      <c r="H57" s="778"/>
      <c r="I57" s="778"/>
      <c r="J57" s="778"/>
      <c r="K57" s="778"/>
      <c r="L57" s="778"/>
      <c r="M57" s="778"/>
      <c r="N57" s="778"/>
      <c r="O57" s="778"/>
      <c r="P57" s="778"/>
      <c r="Q57" s="778"/>
      <c r="R57" s="778"/>
      <c r="S57" s="778"/>
      <c r="T57" s="778"/>
      <c r="U57" s="778"/>
      <c r="V57" s="778"/>
      <c r="W57" s="778"/>
      <c r="X57" s="779"/>
    </row>
    <row r="58" spans="1:24" ht="18.75" customHeight="1" thickBot="1" x14ac:dyDescent="0.3">
      <c r="A58" s="844" t="s">
        <v>156</v>
      </c>
      <c r="B58" s="845"/>
      <c r="C58" s="845"/>
      <c r="D58" s="846"/>
      <c r="X58" s="332"/>
    </row>
    <row r="59" spans="1:24" ht="18.75" customHeight="1" outlineLevel="1" thickTop="1" x14ac:dyDescent="0.25">
      <c r="A59" s="857" t="s">
        <v>158</v>
      </c>
      <c r="B59" s="858"/>
      <c r="C59" s="858"/>
      <c r="D59" s="859"/>
      <c r="E59" s="6">
        <f>Investitionsplan!F22*(1+$D$8)</f>
        <v>64200</v>
      </c>
      <c r="F59" s="7">
        <f>Investitionsplan!G22*(1+$D$8)</f>
        <v>0</v>
      </c>
      <c r="G59" s="7">
        <f>Investitionsplan!H22*(1+$D$8)</f>
        <v>12000</v>
      </c>
      <c r="H59" s="7">
        <f>Investitionsplan!I22*(1+$D$8)</f>
        <v>0</v>
      </c>
      <c r="I59" s="7">
        <f>Investitionsplan!J22*(1+$D$8)</f>
        <v>0</v>
      </c>
      <c r="J59" s="7">
        <f>Investitionsplan!K22*(1+$D$8)</f>
        <v>12000</v>
      </c>
      <c r="K59" s="7">
        <f>Investitionsplan!L22*(1+$D$8)</f>
        <v>0</v>
      </c>
      <c r="L59" s="7">
        <f>Investitionsplan!M22*(1+$D$8)</f>
        <v>0</v>
      </c>
      <c r="M59" s="7">
        <f>Investitionsplan!N22*(1+$D$8)</f>
        <v>0</v>
      </c>
      <c r="N59" s="7">
        <f>Investitionsplan!O22*(1+$D$8)</f>
        <v>24000</v>
      </c>
      <c r="O59" s="7">
        <f>Investitionsplan!P22*(1+$D$8)</f>
        <v>0</v>
      </c>
      <c r="P59" s="180">
        <f>Investitionsplan!Q22*(1+$D$8)</f>
        <v>0</v>
      </c>
      <c r="Q59" s="8">
        <f>Investitionsplan!R22*(1+$D$8)</f>
        <v>112200</v>
      </c>
      <c r="R59" s="307">
        <f>Investitionsplan!S22*(1+$D$8)</f>
        <v>0</v>
      </c>
      <c r="S59" s="7">
        <f>Investitionsplan!T22*(1+$D$8)</f>
        <v>0</v>
      </c>
      <c r="T59" s="7">
        <f>Investitionsplan!U22*(1+$D$8)</f>
        <v>0</v>
      </c>
      <c r="U59" s="180">
        <f>Investitionsplan!V22*(1+$D$8)</f>
        <v>0</v>
      </c>
      <c r="V59" s="8">
        <f>Investitionsplan!W22*(1+$D$8)</f>
        <v>0</v>
      </c>
      <c r="W59" s="8">
        <f>Investitionsplan!X22*(1+$D$8)</f>
        <v>0</v>
      </c>
      <c r="X59" s="9">
        <f>Investitionsplan!Y22*(1+$D$8)</f>
        <v>0</v>
      </c>
    </row>
    <row r="60" spans="1:24" ht="18.75" customHeight="1" outlineLevel="1" thickBot="1" x14ac:dyDescent="0.3">
      <c r="A60" s="881" t="s">
        <v>159</v>
      </c>
      <c r="B60" s="882"/>
      <c r="C60" s="882"/>
      <c r="D60" s="883"/>
      <c r="E60" s="128">
        <f>Investitionsplan!F30</f>
        <v>0</v>
      </c>
      <c r="F60" s="129">
        <f>Investitionsplan!G30</f>
        <v>0</v>
      </c>
      <c r="G60" s="129">
        <f>Investitionsplan!H30</f>
        <v>35000</v>
      </c>
      <c r="H60" s="129">
        <f>Investitionsplan!I30</f>
        <v>0</v>
      </c>
      <c r="I60" s="129">
        <f>Investitionsplan!J30</f>
        <v>0</v>
      </c>
      <c r="J60" s="129">
        <f>Investitionsplan!K30</f>
        <v>0</v>
      </c>
      <c r="K60" s="129">
        <f>Investitionsplan!L30</f>
        <v>0</v>
      </c>
      <c r="L60" s="129">
        <f>Investitionsplan!M30</f>
        <v>0</v>
      </c>
      <c r="M60" s="129">
        <f>Investitionsplan!N30</f>
        <v>0</v>
      </c>
      <c r="N60" s="129">
        <f>Investitionsplan!O30</f>
        <v>0</v>
      </c>
      <c r="O60" s="129">
        <f>Investitionsplan!P30</f>
        <v>0</v>
      </c>
      <c r="P60" s="159">
        <f>Investitionsplan!Q30</f>
        <v>0</v>
      </c>
      <c r="Q60" s="134">
        <f>Investitionsplan!R30</f>
        <v>35000</v>
      </c>
      <c r="R60" s="160">
        <f>Investitionsplan!S30</f>
        <v>35000</v>
      </c>
      <c r="S60" s="129">
        <f>Investitionsplan!T30</f>
        <v>0</v>
      </c>
      <c r="T60" s="129">
        <f>Investitionsplan!U30</f>
        <v>0</v>
      </c>
      <c r="U60" s="159">
        <f>Investitionsplan!V30</f>
        <v>0</v>
      </c>
      <c r="V60" s="134">
        <f>Investitionsplan!W30</f>
        <v>35000</v>
      </c>
      <c r="W60" s="134">
        <f>Investitionsplan!X30</f>
        <v>0</v>
      </c>
      <c r="X60" s="135">
        <f>Investitionsplan!Y30</f>
        <v>0</v>
      </c>
    </row>
    <row r="61" spans="1:24" ht="7.5" customHeight="1" outlineLevel="1" thickTop="1" thickBot="1" x14ac:dyDescent="0.3">
      <c r="A61" s="884"/>
      <c r="B61" s="885"/>
      <c r="C61" s="885"/>
      <c r="D61" s="886"/>
      <c r="E61" s="340"/>
      <c r="F61" s="109"/>
      <c r="G61" s="109"/>
      <c r="H61" s="109"/>
      <c r="I61" s="109"/>
      <c r="J61" s="109"/>
      <c r="K61" s="109"/>
      <c r="L61" s="109"/>
      <c r="M61" s="109"/>
      <c r="N61" s="109"/>
      <c r="O61" s="109"/>
      <c r="P61" s="341"/>
      <c r="Q61" s="327" t="str">
        <f t="shared" ref="Q61" si="16">IF(SUM(E61:P61)=0,"",SUM(E61:P61))</f>
        <v/>
      </c>
      <c r="R61" s="328"/>
      <c r="S61" s="325"/>
      <c r="T61" s="325"/>
      <c r="U61" s="343"/>
      <c r="V61" s="327" t="str">
        <f t="shared" ref="V61" si="17">IF(SUM(R61:U61)=0,"",SUM(R61:U61))</f>
        <v/>
      </c>
      <c r="W61" s="327"/>
      <c r="X61" s="329"/>
    </row>
    <row r="62" spans="1:24" ht="18.75" customHeight="1" thickBot="1" x14ac:dyDescent="0.3">
      <c r="A62" s="838" t="s">
        <v>155</v>
      </c>
      <c r="B62" s="839"/>
      <c r="C62" s="839"/>
      <c r="D62" s="840"/>
      <c r="E62" s="608">
        <f>SUM(E59:E61)</f>
        <v>64200</v>
      </c>
      <c r="F62" s="603">
        <f t="shared" ref="F62:X62" si="18">SUM(F59:F61)</f>
        <v>0</v>
      </c>
      <c r="G62" s="603">
        <f t="shared" si="18"/>
        <v>47000</v>
      </c>
      <c r="H62" s="603">
        <f t="shared" si="18"/>
        <v>0</v>
      </c>
      <c r="I62" s="603">
        <f t="shared" si="18"/>
        <v>0</v>
      </c>
      <c r="J62" s="603">
        <f t="shared" si="18"/>
        <v>12000</v>
      </c>
      <c r="K62" s="603">
        <f t="shared" si="18"/>
        <v>0</v>
      </c>
      <c r="L62" s="603">
        <f t="shared" si="18"/>
        <v>0</v>
      </c>
      <c r="M62" s="603">
        <f t="shared" si="18"/>
        <v>0</v>
      </c>
      <c r="N62" s="603">
        <f t="shared" si="18"/>
        <v>24000</v>
      </c>
      <c r="O62" s="603">
        <f t="shared" si="18"/>
        <v>0</v>
      </c>
      <c r="P62" s="604">
        <f t="shared" si="18"/>
        <v>0</v>
      </c>
      <c r="Q62" s="543">
        <f t="shared" si="18"/>
        <v>147200</v>
      </c>
      <c r="R62" s="605">
        <f t="shared" si="18"/>
        <v>35000</v>
      </c>
      <c r="S62" s="603">
        <f t="shared" si="18"/>
        <v>0</v>
      </c>
      <c r="T62" s="603">
        <f t="shared" si="18"/>
        <v>0</v>
      </c>
      <c r="U62" s="604">
        <f t="shared" si="18"/>
        <v>0</v>
      </c>
      <c r="V62" s="543">
        <f t="shared" si="18"/>
        <v>35000</v>
      </c>
      <c r="W62" s="543">
        <f t="shared" si="18"/>
        <v>0</v>
      </c>
      <c r="X62" s="606">
        <f t="shared" si="18"/>
        <v>0</v>
      </c>
    </row>
    <row r="63" spans="1:24" ht="7.5" customHeight="1" thickBot="1" x14ac:dyDescent="0.3">
      <c r="A63" s="777"/>
      <c r="B63" s="778"/>
      <c r="C63" s="778"/>
      <c r="D63" s="778"/>
      <c r="E63" s="778"/>
      <c r="F63" s="778"/>
      <c r="G63" s="778"/>
      <c r="H63" s="778"/>
      <c r="I63" s="778"/>
      <c r="J63" s="778"/>
      <c r="K63" s="778"/>
      <c r="L63" s="778"/>
      <c r="M63" s="778"/>
      <c r="N63" s="778"/>
      <c r="O63" s="778"/>
      <c r="P63" s="778"/>
      <c r="Q63" s="778"/>
      <c r="R63" s="778"/>
      <c r="S63" s="778"/>
      <c r="T63" s="778"/>
      <c r="U63" s="778"/>
      <c r="V63" s="778"/>
      <c r="W63" s="778"/>
      <c r="X63" s="779"/>
    </row>
    <row r="64" spans="1:24" ht="18.75" customHeight="1" thickBot="1" x14ac:dyDescent="0.3">
      <c r="A64" s="844" t="s">
        <v>165</v>
      </c>
      <c r="B64" s="845"/>
      <c r="C64" s="845"/>
      <c r="D64" s="846"/>
      <c r="X64" s="332"/>
    </row>
    <row r="65" spans="1:24" ht="18.75" customHeight="1" outlineLevel="1" thickTop="1" x14ac:dyDescent="0.25">
      <c r="A65" s="847" t="str">
        <f>A84</f>
        <v>Sollzinsen Kontokorrentkredit</v>
      </c>
      <c r="B65" s="848"/>
      <c r="C65" s="848"/>
      <c r="D65" s="849"/>
      <c r="E65" s="276"/>
      <c r="F65" s="305"/>
      <c r="G65" s="305"/>
      <c r="H65" s="7">
        <f>E84</f>
        <v>792.96649616686875</v>
      </c>
      <c r="I65" s="305"/>
      <c r="J65" s="305"/>
      <c r="K65" s="7">
        <f>H84</f>
        <v>2700.2173615824836</v>
      </c>
      <c r="L65" s="305"/>
      <c r="M65" s="305"/>
      <c r="N65" s="7">
        <f>K84</f>
        <v>4038.4856735946491</v>
      </c>
      <c r="O65" s="305"/>
      <c r="P65" s="306"/>
      <c r="Q65" s="8">
        <f>SUM(E65:P65)</f>
        <v>7531.6695313440014</v>
      </c>
      <c r="R65" s="307">
        <f>N84</f>
        <v>4723.0866948622606</v>
      </c>
      <c r="S65" s="7">
        <f>R84</f>
        <v>5406.9102420167783</v>
      </c>
      <c r="T65" s="7">
        <f>S84</f>
        <v>6148.9907113771096</v>
      </c>
      <c r="U65" s="180">
        <f>T84</f>
        <v>6650.7654608613002</v>
      </c>
      <c r="V65" s="8">
        <f>SUM(R65:U65)</f>
        <v>22929.75310911745</v>
      </c>
      <c r="W65" s="8">
        <f>U84</f>
        <v>7093.5357911534938</v>
      </c>
      <c r="X65" s="9">
        <f>W84</f>
        <v>28088.91244644062</v>
      </c>
    </row>
    <row r="66" spans="1:24" ht="18.75" customHeight="1" outlineLevel="1" x14ac:dyDescent="0.25">
      <c r="A66" s="829" t="str">
        <f>A86</f>
        <v>Zinsen Einmalkredit</v>
      </c>
      <c r="B66" s="830"/>
      <c r="C66" s="830"/>
      <c r="D66" s="831"/>
      <c r="E66" s="376"/>
      <c r="F66" s="377"/>
      <c r="G66" s="377"/>
      <c r="H66" s="11">
        <f>E86</f>
        <v>0</v>
      </c>
      <c r="I66" s="377"/>
      <c r="J66" s="377"/>
      <c r="K66" s="11">
        <f>H86</f>
        <v>0</v>
      </c>
      <c r="L66" s="377"/>
      <c r="M66" s="377"/>
      <c r="N66" s="11">
        <f>K86</f>
        <v>0</v>
      </c>
      <c r="O66" s="377"/>
      <c r="P66" s="378"/>
      <c r="Q66" s="12">
        <f>SUM(E66:P66)</f>
        <v>0</v>
      </c>
      <c r="R66" s="308">
        <f>N86</f>
        <v>0</v>
      </c>
      <c r="S66" s="11">
        <f>R86</f>
        <v>0</v>
      </c>
      <c r="T66" s="11">
        <f>S86</f>
        <v>0</v>
      </c>
      <c r="U66" s="185">
        <f>T86</f>
        <v>0</v>
      </c>
      <c r="V66" s="12">
        <f>SUM(R66:U66)</f>
        <v>0</v>
      </c>
      <c r="W66" s="12">
        <f>U86</f>
        <v>0</v>
      </c>
      <c r="X66" s="13">
        <f>W86</f>
        <v>0</v>
      </c>
    </row>
    <row r="67" spans="1:24" ht="18.75" customHeight="1" outlineLevel="1" x14ac:dyDescent="0.25">
      <c r="A67" s="826" t="s">
        <v>174</v>
      </c>
      <c r="B67" s="827"/>
      <c r="C67" s="827"/>
      <c r="D67" s="828"/>
      <c r="E67" s="404">
        <f>500/12</f>
        <v>41.666666666666664</v>
      </c>
      <c r="F67" s="94">
        <f t="shared" ref="F67:P67" si="19">500/12</f>
        <v>41.666666666666664</v>
      </c>
      <c r="G67" s="94">
        <f t="shared" si="19"/>
        <v>41.666666666666664</v>
      </c>
      <c r="H67" s="94">
        <f t="shared" si="19"/>
        <v>41.666666666666664</v>
      </c>
      <c r="I67" s="94">
        <f t="shared" si="19"/>
        <v>41.666666666666664</v>
      </c>
      <c r="J67" s="94">
        <f t="shared" si="19"/>
        <v>41.666666666666664</v>
      </c>
      <c r="K67" s="94">
        <f t="shared" si="19"/>
        <v>41.666666666666664</v>
      </c>
      <c r="L67" s="94">
        <f t="shared" si="19"/>
        <v>41.666666666666664</v>
      </c>
      <c r="M67" s="94">
        <f t="shared" si="19"/>
        <v>41.666666666666664</v>
      </c>
      <c r="N67" s="94">
        <f t="shared" si="19"/>
        <v>41.666666666666664</v>
      </c>
      <c r="O67" s="94">
        <f t="shared" si="19"/>
        <v>41.666666666666664</v>
      </c>
      <c r="P67" s="153">
        <f t="shared" si="19"/>
        <v>41.666666666666664</v>
      </c>
      <c r="Q67" s="12">
        <f>SUM(E67:P67)</f>
        <v>500.00000000000006</v>
      </c>
      <c r="R67" s="414">
        <f>500/4</f>
        <v>125</v>
      </c>
      <c r="S67" s="94">
        <f t="shared" ref="S67:U67" si="20">500/4</f>
        <v>125</v>
      </c>
      <c r="T67" s="94">
        <f t="shared" si="20"/>
        <v>125</v>
      </c>
      <c r="U67" s="153">
        <f t="shared" si="20"/>
        <v>125</v>
      </c>
      <c r="V67" s="12">
        <f>SUM(R67:U67)</f>
        <v>500</v>
      </c>
      <c r="W67" s="418">
        <v>500</v>
      </c>
      <c r="X67" s="410">
        <v>60000</v>
      </c>
    </row>
    <row r="68" spans="1:24" ht="18.75" customHeight="1" outlineLevel="1" x14ac:dyDescent="0.25">
      <c r="A68" s="826" t="s">
        <v>168</v>
      </c>
      <c r="B68" s="827"/>
      <c r="C68" s="827"/>
      <c r="D68" s="828"/>
      <c r="E68" s="309"/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310"/>
      <c r="Q68" s="291">
        <f>SUM(E68:P68)</f>
        <v>0</v>
      </c>
      <c r="R68" s="415"/>
      <c r="S68" s="98"/>
      <c r="T68" s="98"/>
      <c r="U68" s="310"/>
      <c r="V68" s="291">
        <f>SUM(R68:U68)</f>
        <v>0</v>
      </c>
      <c r="W68" s="419"/>
      <c r="X68" s="420"/>
    </row>
    <row r="69" spans="1:24" ht="18.75" customHeight="1" outlineLevel="1" x14ac:dyDescent="0.25">
      <c r="A69" s="826" t="s">
        <v>96</v>
      </c>
      <c r="B69" s="827"/>
      <c r="C69" s="827"/>
      <c r="D69" s="828"/>
      <c r="E69" s="277"/>
      <c r="F69" s="379"/>
      <c r="G69" s="80">
        <f t="shared" ref="G69:P69" si="21">E15*($D$7/(1+$D$7))</f>
        <v>0</v>
      </c>
      <c r="H69" s="80">
        <f t="shared" si="21"/>
        <v>0</v>
      </c>
      <c r="I69" s="80">
        <f t="shared" si="21"/>
        <v>0</v>
      </c>
      <c r="J69" s="80">
        <f t="shared" si="21"/>
        <v>0</v>
      </c>
      <c r="K69" s="80">
        <f t="shared" si="21"/>
        <v>0</v>
      </c>
      <c r="L69" s="80">
        <f t="shared" si="21"/>
        <v>0</v>
      </c>
      <c r="M69" s="80">
        <f t="shared" si="21"/>
        <v>0</v>
      </c>
      <c r="N69" s="80">
        <f t="shared" si="21"/>
        <v>0</v>
      </c>
      <c r="O69" s="80">
        <f t="shared" si="21"/>
        <v>0</v>
      </c>
      <c r="P69" s="382">
        <f t="shared" si="21"/>
        <v>0</v>
      </c>
      <c r="Q69" s="345">
        <f t="shared" ref="Q69:Q70" si="22">SUM(E69:P69)</f>
        <v>0</v>
      </c>
      <c r="R69" s="79">
        <f>((O15+P15+R15)/3)*($D$7/(1+$D$7))</f>
        <v>6577.7777777777783</v>
      </c>
      <c r="S69" s="80">
        <f>((2*R15+S15)/3)*($D$7/(1+$D$7))</f>
        <v>8222.2222222222244</v>
      </c>
      <c r="T69" s="80">
        <f>((2*S15+T15)/3)*($D$7/(1+$D$7))</f>
        <v>13944.444444444447</v>
      </c>
      <c r="U69" s="382">
        <f>((2*T15+U15)/3)*($D$7/(1+$D$7))</f>
        <v>8555.5555555555566</v>
      </c>
      <c r="V69" s="345">
        <f t="shared" ref="V69:V70" si="23">SUM(R69:U69)</f>
        <v>37300.000000000007</v>
      </c>
      <c r="W69" s="345">
        <f>((8*U15+10*W15)/12)*($D$7/(1+$D$7))</f>
        <v>122416.66666666669</v>
      </c>
      <c r="X69" s="381">
        <f>((2*W15+10*X15)/12)*($D$7/(1+$D$7))</f>
        <v>173433.33333333334</v>
      </c>
    </row>
    <row r="70" spans="1:24" ht="18.75" customHeight="1" outlineLevel="1" thickBot="1" x14ac:dyDescent="0.3">
      <c r="A70" s="850"/>
      <c r="B70" s="851"/>
      <c r="C70" s="851"/>
      <c r="D70" s="852"/>
      <c r="E70" s="311"/>
      <c r="F70" s="139"/>
      <c r="G70" s="139"/>
      <c r="H70" s="139"/>
      <c r="I70" s="139"/>
      <c r="J70" s="139"/>
      <c r="K70" s="139"/>
      <c r="L70" s="139"/>
      <c r="M70" s="139"/>
      <c r="N70" s="139"/>
      <c r="O70" s="139"/>
      <c r="P70" s="154"/>
      <c r="Q70" s="346">
        <f t="shared" si="22"/>
        <v>0</v>
      </c>
      <c r="R70" s="416"/>
      <c r="S70" s="139"/>
      <c r="T70" s="139"/>
      <c r="U70" s="154"/>
      <c r="V70" s="346">
        <f t="shared" si="23"/>
        <v>0</v>
      </c>
      <c r="W70" s="421"/>
      <c r="X70" s="411"/>
    </row>
    <row r="71" spans="1:24" ht="7.5" customHeight="1" outlineLevel="1" thickTop="1" thickBot="1" x14ac:dyDescent="0.3">
      <c r="A71" s="853"/>
      <c r="B71" s="854"/>
      <c r="C71" s="854"/>
      <c r="D71" s="855"/>
      <c r="E71" s="312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313"/>
      <c r="Q71" s="347"/>
      <c r="R71" s="417"/>
      <c r="S71" s="407"/>
      <c r="T71" s="407"/>
      <c r="U71" s="408"/>
      <c r="V71" s="347"/>
      <c r="W71" s="422"/>
      <c r="X71" s="413"/>
    </row>
    <row r="72" spans="1:24" ht="18.75" customHeight="1" thickBot="1" x14ac:dyDescent="0.3">
      <c r="A72" s="838" t="s">
        <v>251</v>
      </c>
      <c r="B72" s="839"/>
      <c r="C72" s="839"/>
      <c r="D72" s="840"/>
      <c r="E72" s="608">
        <f>SUM(E65:E71)</f>
        <v>41.666666666666664</v>
      </c>
      <c r="F72" s="603">
        <f t="shared" ref="F72:X72" si="24">SUM(F65:F71)</f>
        <v>41.666666666666664</v>
      </c>
      <c r="G72" s="603">
        <f t="shared" si="24"/>
        <v>41.666666666666664</v>
      </c>
      <c r="H72" s="603">
        <f t="shared" si="24"/>
        <v>834.63316283353538</v>
      </c>
      <c r="I72" s="603">
        <f t="shared" si="24"/>
        <v>41.666666666666664</v>
      </c>
      <c r="J72" s="603">
        <f t="shared" si="24"/>
        <v>41.666666666666664</v>
      </c>
      <c r="K72" s="603">
        <f t="shared" si="24"/>
        <v>2741.8840282491501</v>
      </c>
      <c r="L72" s="603">
        <f t="shared" si="24"/>
        <v>41.666666666666664</v>
      </c>
      <c r="M72" s="603">
        <f t="shared" si="24"/>
        <v>41.666666666666664</v>
      </c>
      <c r="N72" s="603">
        <f t="shared" si="24"/>
        <v>4080.1523402613157</v>
      </c>
      <c r="O72" s="603">
        <f t="shared" si="24"/>
        <v>41.666666666666664</v>
      </c>
      <c r="P72" s="604">
        <f t="shared" si="24"/>
        <v>41.666666666666664</v>
      </c>
      <c r="Q72" s="543">
        <f t="shared" si="24"/>
        <v>8031.6695313440014</v>
      </c>
      <c r="R72" s="605">
        <f t="shared" si="24"/>
        <v>11425.864472640038</v>
      </c>
      <c r="S72" s="603">
        <f t="shared" si="24"/>
        <v>13754.132464239003</v>
      </c>
      <c r="T72" s="603">
        <f t="shared" si="24"/>
        <v>20218.435155821557</v>
      </c>
      <c r="U72" s="604">
        <f t="shared" si="24"/>
        <v>15331.321016416856</v>
      </c>
      <c r="V72" s="543">
        <f t="shared" si="24"/>
        <v>60729.753109117461</v>
      </c>
      <c r="W72" s="543">
        <f t="shared" si="24"/>
        <v>130010.20245782018</v>
      </c>
      <c r="X72" s="606">
        <f t="shared" si="24"/>
        <v>261522.24577977398</v>
      </c>
    </row>
    <row r="73" spans="1:24" ht="7.5" customHeight="1" thickBot="1" x14ac:dyDescent="0.3">
      <c r="A73" s="777"/>
      <c r="B73" s="778"/>
      <c r="C73" s="778"/>
      <c r="D73" s="778"/>
      <c r="E73" s="778"/>
      <c r="F73" s="778"/>
      <c r="G73" s="778"/>
      <c r="H73" s="778"/>
      <c r="I73" s="778"/>
      <c r="J73" s="778"/>
      <c r="K73" s="778"/>
      <c r="L73" s="778"/>
      <c r="M73" s="778"/>
      <c r="N73" s="778"/>
      <c r="O73" s="778"/>
      <c r="P73" s="778"/>
      <c r="Q73" s="778"/>
      <c r="R73" s="778"/>
      <c r="S73" s="778"/>
      <c r="T73" s="778"/>
      <c r="U73" s="778"/>
      <c r="V73" s="778"/>
      <c r="W73" s="778"/>
      <c r="X73" s="779"/>
    </row>
    <row r="74" spans="1:24" ht="18" customHeight="1" thickBot="1" x14ac:dyDescent="0.3">
      <c r="A74" s="841" t="s">
        <v>160</v>
      </c>
      <c r="B74" s="842"/>
      <c r="C74" s="842"/>
      <c r="D74" s="843"/>
      <c r="E74" s="451">
        <f t="shared" ref="E74:X74" si="25">SUM(E56,E62,E72)</f>
        <v>83993.822051860843</v>
      </c>
      <c r="F74" s="547">
        <f t="shared" si="25"/>
        <v>19620.022051860833</v>
      </c>
      <c r="G74" s="547">
        <f t="shared" si="25"/>
        <v>72068.02205186084</v>
      </c>
      <c r="H74" s="547">
        <f t="shared" si="25"/>
        <v>23910.988548027701</v>
      </c>
      <c r="I74" s="547">
        <f t="shared" si="25"/>
        <v>54091.188718527497</v>
      </c>
      <c r="J74" s="547">
        <f t="shared" si="25"/>
        <v>35068.022051860833</v>
      </c>
      <c r="K74" s="547">
        <f t="shared" si="25"/>
        <v>25818.239413443316</v>
      </c>
      <c r="L74" s="547">
        <f t="shared" si="25"/>
        <v>23268.022051860833</v>
      </c>
      <c r="M74" s="547">
        <f t="shared" si="25"/>
        <v>23068.022051860833</v>
      </c>
      <c r="N74" s="547">
        <f t="shared" si="25"/>
        <v>54156.507725455485</v>
      </c>
      <c r="O74" s="547">
        <f t="shared" si="25"/>
        <v>39091.188718527497</v>
      </c>
      <c r="P74" s="607">
        <f t="shared" si="25"/>
        <v>25068.022051860833</v>
      </c>
      <c r="Q74" s="333">
        <f t="shared" si="25"/>
        <v>478090.26748700743</v>
      </c>
      <c r="R74" s="452">
        <f t="shared" si="25"/>
        <v>119747.33062822254</v>
      </c>
      <c r="S74" s="547">
        <f t="shared" si="25"/>
        <v>118022.3986198215</v>
      </c>
      <c r="T74" s="547">
        <f t="shared" si="25"/>
        <v>92039.901311404057</v>
      </c>
      <c r="U74" s="607">
        <f t="shared" si="25"/>
        <v>109599.58717199936</v>
      </c>
      <c r="V74" s="333">
        <f t="shared" si="25"/>
        <v>421409.21773144748</v>
      </c>
      <c r="W74" s="333">
        <f t="shared" si="25"/>
        <v>467902.42708015023</v>
      </c>
      <c r="X74" s="334">
        <f t="shared" si="25"/>
        <v>612237.86840210413</v>
      </c>
    </row>
    <row r="75" spans="1:24" ht="7.5" customHeight="1" thickBot="1" x14ac:dyDescent="0.3"/>
    <row r="76" spans="1:24" ht="22.5" customHeight="1" thickBot="1" x14ac:dyDescent="0.3">
      <c r="A76" s="832" t="s">
        <v>170</v>
      </c>
      <c r="B76" s="833"/>
      <c r="C76" s="833"/>
      <c r="D76" s="834"/>
      <c r="E76" s="348">
        <f>E36-E74</f>
        <v>-83993.822051860843</v>
      </c>
      <c r="F76" s="349">
        <f t="shared" ref="F76:X76" si="26">F36-F74</f>
        <v>-19620.022051860833</v>
      </c>
      <c r="G76" s="349">
        <f t="shared" si="26"/>
        <v>-60236.222051860837</v>
      </c>
      <c r="H76" s="349">
        <f t="shared" si="26"/>
        <v>-22967.821881361033</v>
      </c>
      <c r="I76" s="349">
        <f t="shared" si="26"/>
        <v>-50814.688718527497</v>
      </c>
      <c r="J76" s="349">
        <f t="shared" si="26"/>
        <v>-34124.855385194169</v>
      </c>
      <c r="K76" s="349">
        <f t="shared" si="26"/>
        <v>-22375.072746776648</v>
      </c>
      <c r="L76" s="349">
        <f t="shared" si="26"/>
        <v>-20324.855385194165</v>
      </c>
      <c r="M76" s="349">
        <f t="shared" si="26"/>
        <v>-22124.855385194165</v>
      </c>
      <c r="N76" s="349">
        <f t="shared" si="26"/>
        <v>-53213.341058788821</v>
      </c>
      <c r="O76" s="349">
        <f t="shared" si="26"/>
        <v>61851.977948139174</v>
      </c>
      <c r="P76" s="350">
        <f t="shared" si="26"/>
        <v>-17224.855385194165</v>
      </c>
      <c r="Q76" s="351">
        <f t="shared" si="26"/>
        <v>-344036.63415367412</v>
      </c>
      <c r="R76" s="352">
        <f t="shared" si="26"/>
        <v>-100584.49729488921</v>
      </c>
      <c r="S76" s="349">
        <f t="shared" si="26"/>
        <v>1640.4347135118296</v>
      </c>
      <c r="T76" s="349">
        <f t="shared" si="26"/>
        <v>-68543.734644737386</v>
      </c>
      <c r="U76" s="350">
        <f t="shared" si="26"/>
        <v>9507.6906057784217</v>
      </c>
      <c r="V76" s="353">
        <f t="shared" si="26"/>
        <v>-139980.10662033636</v>
      </c>
      <c r="W76" s="353">
        <f t="shared" si="26"/>
        <v>332848.90625318314</v>
      </c>
      <c r="X76" s="354">
        <f t="shared" si="26"/>
        <v>490413.46493122913</v>
      </c>
    </row>
    <row r="77" spans="1:24" ht="7.5" customHeight="1" thickTop="1" thickBot="1" x14ac:dyDescent="0.3">
      <c r="A77" s="355"/>
      <c r="B77" s="356"/>
      <c r="C77" s="356"/>
      <c r="D77" s="356"/>
      <c r="E77" s="357"/>
      <c r="F77" s="358"/>
      <c r="G77" s="358"/>
      <c r="H77" s="358"/>
      <c r="I77" s="358"/>
      <c r="J77" s="358"/>
      <c r="K77" s="358"/>
      <c r="L77" s="358"/>
      <c r="M77" s="358"/>
      <c r="N77" s="358"/>
      <c r="O77" s="358"/>
      <c r="P77" s="359"/>
      <c r="Q77" s="360"/>
      <c r="R77" s="361"/>
      <c r="S77" s="358"/>
      <c r="T77" s="358"/>
      <c r="U77" s="359"/>
      <c r="V77" s="360"/>
      <c r="W77" s="362"/>
      <c r="X77" s="363"/>
    </row>
    <row r="78" spans="1:24" ht="22.5" customHeight="1" thickTop="1" thickBot="1" x14ac:dyDescent="0.3">
      <c r="A78" s="836" t="s">
        <v>171</v>
      </c>
      <c r="B78" s="837"/>
      <c r="C78" s="837"/>
      <c r="D78" s="837"/>
      <c r="E78" s="364">
        <f>$D$3+E76-E82</f>
        <v>-48993.822051860843</v>
      </c>
      <c r="F78" s="365">
        <f>IF(F82&lt;E82,((E78+F76)-(F82-E82)),(E78+F76))</f>
        <v>-68613.844103721669</v>
      </c>
      <c r="G78" s="365">
        <f t="shared" ref="G78:U78" si="27">IF(G82&lt;F82,((F78+G76)-(G82-F82)),(F78+G76))</f>
        <v>-128850.06615558251</v>
      </c>
      <c r="H78" s="365">
        <f t="shared" si="27"/>
        <v>-151817.88803694354</v>
      </c>
      <c r="I78" s="365">
        <f t="shared" si="27"/>
        <v>-202632.57675547103</v>
      </c>
      <c r="J78" s="365">
        <f t="shared" si="27"/>
        <v>-236757.43214066519</v>
      </c>
      <c r="K78" s="365">
        <f t="shared" si="27"/>
        <v>-259132.50488744184</v>
      </c>
      <c r="L78" s="365">
        <f t="shared" si="27"/>
        <v>-279457.360272636</v>
      </c>
      <c r="M78" s="365">
        <f t="shared" si="27"/>
        <v>-301582.21565783018</v>
      </c>
      <c r="N78" s="365">
        <f t="shared" si="27"/>
        <v>-354795.556716619</v>
      </c>
      <c r="O78" s="365">
        <f t="shared" si="27"/>
        <v>-292943.57876847981</v>
      </c>
      <c r="P78" s="366">
        <f t="shared" si="27"/>
        <v>-310168.434153674</v>
      </c>
      <c r="Q78" s="367">
        <f>P78</f>
        <v>-310168.434153674</v>
      </c>
      <c r="R78" s="368">
        <f>IF(R82&lt;P82,((P78+R76)-(R82-P82)),(P78+R76))</f>
        <v>-410752.93144856323</v>
      </c>
      <c r="S78" s="365">
        <f t="shared" si="27"/>
        <v>-409112.49673505139</v>
      </c>
      <c r="T78" s="365">
        <f t="shared" si="27"/>
        <v>-477656.23137978878</v>
      </c>
      <c r="U78" s="366">
        <f t="shared" si="27"/>
        <v>-468148.54077401035</v>
      </c>
      <c r="V78" s="369">
        <f>U78</f>
        <v>-468148.54077401035</v>
      </c>
      <c r="W78" s="369">
        <f>IF(W82&lt;U82,((U78+W76)-(W82-U82)),(U78+W76))</f>
        <v>-135299.63452082721</v>
      </c>
      <c r="X78" s="370">
        <f t="shared" ref="X78" si="28">IF(X82&lt;W82,((W78+X76)-(X82-W82)),(W78+X76))</f>
        <v>355113.83041040192</v>
      </c>
    </row>
    <row r="79" spans="1:24" ht="30" customHeight="1" thickBot="1" x14ac:dyDescent="0.3"/>
    <row r="80" spans="1:24" ht="18.75" customHeight="1" x14ac:dyDescent="0.25">
      <c r="A80" s="860" t="s">
        <v>172</v>
      </c>
      <c r="B80" s="861"/>
      <c r="C80" s="861"/>
      <c r="D80" s="862"/>
      <c r="E80" s="743" t="s">
        <v>20</v>
      </c>
      <c r="F80" s="743"/>
      <c r="G80" s="743"/>
      <c r="H80" s="743"/>
      <c r="I80" s="743"/>
      <c r="J80" s="743"/>
      <c r="K80" s="743"/>
      <c r="L80" s="743"/>
      <c r="M80" s="743"/>
      <c r="N80" s="743"/>
      <c r="O80" s="743"/>
      <c r="P80" s="743"/>
      <c r="Q80" s="740" t="s">
        <v>20</v>
      </c>
      <c r="R80" s="743" t="s">
        <v>25</v>
      </c>
      <c r="S80" s="743"/>
      <c r="T80" s="743"/>
      <c r="U80" s="743"/>
      <c r="V80" s="740" t="s">
        <v>25</v>
      </c>
      <c r="W80" s="790" t="s">
        <v>26</v>
      </c>
      <c r="X80" s="751" t="s">
        <v>27</v>
      </c>
    </row>
    <row r="81" spans="1:24" ht="18.75" customHeight="1" thickBot="1" x14ac:dyDescent="0.3">
      <c r="A81" s="863"/>
      <c r="B81" s="864"/>
      <c r="C81" s="864"/>
      <c r="D81" s="865"/>
      <c r="E81" s="111">
        <v>1</v>
      </c>
      <c r="F81" s="2">
        <v>2</v>
      </c>
      <c r="G81" s="2">
        <v>3</v>
      </c>
      <c r="H81" s="2">
        <v>4</v>
      </c>
      <c r="I81" s="2">
        <v>5</v>
      </c>
      <c r="J81" s="2">
        <v>6</v>
      </c>
      <c r="K81" s="2">
        <v>7</v>
      </c>
      <c r="L81" s="2">
        <v>8</v>
      </c>
      <c r="M81" s="2">
        <v>9</v>
      </c>
      <c r="N81" s="2">
        <v>10</v>
      </c>
      <c r="O81" s="2">
        <v>11</v>
      </c>
      <c r="P81" s="3">
        <v>12</v>
      </c>
      <c r="Q81" s="741"/>
      <c r="R81" s="111" t="s">
        <v>21</v>
      </c>
      <c r="S81" s="2" t="s">
        <v>22</v>
      </c>
      <c r="T81" s="2" t="s">
        <v>23</v>
      </c>
      <c r="U81" s="3" t="s">
        <v>24</v>
      </c>
      <c r="V81" s="741"/>
      <c r="W81" s="856"/>
      <c r="X81" s="752"/>
    </row>
    <row r="82" spans="1:24" ht="18.75" customHeight="1" thickTop="1" x14ac:dyDescent="0.25">
      <c r="A82" s="857" t="s">
        <v>169</v>
      </c>
      <c r="B82" s="858"/>
      <c r="C82" s="858"/>
      <c r="D82" s="859"/>
      <c r="E82" s="147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423"/>
      <c r="Q82" s="290">
        <f>SUM(E82:P82)</f>
        <v>0</v>
      </c>
      <c r="R82" s="146"/>
      <c r="S82" s="18"/>
      <c r="T82" s="18"/>
      <c r="U82" s="423"/>
      <c r="V82" s="290">
        <f>SUM(R82:U82)</f>
        <v>0</v>
      </c>
      <c r="W82" s="144"/>
      <c r="X82" s="145"/>
    </row>
    <row r="83" spans="1:24" s="374" customFormat="1" ht="7.5" customHeight="1" x14ac:dyDescent="0.25">
      <c r="A83" s="371"/>
      <c r="B83" s="372"/>
      <c r="C83" s="372"/>
      <c r="D83" s="373"/>
      <c r="E83" s="299"/>
      <c r="F83" s="300"/>
      <c r="G83" s="300"/>
      <c r="H83" s="300"/>
      <c r="I83" s="300"/>
      <c r="J83" s="300"/>
      <c r="K83" s="300"/>
      <c r="L83" s="300"/>
      <c r="M83" s="300"/>
      <c r="N83" s="300"/>
      <c r="O83" s="300"/>
      <c r="P83" s="301"/>
      <c r="Q83" s="302"/>
      <c r="R83" s="303"/>
      <c r="S83" s="300"/>
      <c r="T83" s="300"/>
      <c r="U83" s="301"/>
      <c r="V83" s="302"/>
      <c r="W83" s="302"/>
      <c r="X83" s="304"/>
    </row>
    <row r="84" spans="1:24" ht="18.75" customHeight="1" x14ac:dyDescent="0.25">
      <c r="A84" s="835" t="s">
        <v>161</v>
      </c>
      <c r="B84" s="807"/>
      <c r="C84" s="807"/>
      <c r="D84" s="808"/>
      <c r="E84" s="869">
        <f>IF(SUM($D$3,E$78:G$78)&lt;0,IPMT($D$5,1,1,AVERAGE($D$3,E$78:G$78))/4,0)</f>
        <v>792.96649616686875</v>
      </c>
      <c r="F84" s="870"/>
      <c r="G84" s="870"/>
      <c r="H84" s="870">
        <f>IF(SUM(G$78:J$78)&lt;0,IPMT($D$5,1,1,AVERAGE(G$78:J$78))/4,0)</f>
        <v>2700.2173615824836</v>
      </c>
      <c r="I84" s="870"/>
      <c r="J84" s="870"/>
      <c r="K84" s="877">
        <f>IF(SUM(J$78:M$78)&lt;0,IPMT($D$5,1,1,AVERAGE(J$78:M$78))/4,0)</f>
        <v>4038.4856735946491</v>
      </c>
      <c r="L84" s="872"/>
      <c r="M84" s="873"/>
      <c r="N84" s="877">
        <f>IF(SUM(M$78:P$78)&lt;0,IPMT($D$5,1,1,AVERAGE(M$78:P$78))/4,0)</f>
        <v>4723.0866948622606</v>
      </c>
      <c r="O84" s="872"/>
      <c r="P84" s="878"/>
      <c r="Q84" s="291">
        <f>SUM(B84:P84)</f>
        <v>12254.756226206262</v>
      </c>
      <c r="R84" s="75">
        <f>IF(SUM(R$78,P$78)&lt;0,IPMT($D$5,1,1,AVERAGE(R$78,P$78))/4,0)</f>
        <v>5406.9102420167783</v>
      </c>
      <c r="S84" s="76">
        <f>IF(SUM(S$78,R$78)&lt;0,IPMT($D$5,1,1,AVERAGE(S$78,R$78))/4,0)</f>
        <v>6148.9907113771096</v>
      </c>
      <c r="T84" s="76">
        <f>IF(SUM(T$78,S$78)&lt;0,IPMT($D$5,1,1,AVERAGE(T$78,S$78))/4,0)</f>
        <v>6650.7654608613002</v>
      </c>
      <c r="U84" s="298">
        <f>IF(SUM(U$78,T$78)&lt;0,IPMT($D$5,1,1,AVERAGE(U$78,T$78))/4,0)</f>
        <v>7093.5357911534938</v>
      </c>
      <c r="V84" s="291">
        <f>SUM(R84:U84)</f>
        <v>25300.202205408685</v>
      </c>
      <c r="W84" s="291">
        <f>IF(V$78&lt;0,IPMT($D$5,1,1,V$78),0)</f>
        <v>28088.91244644062</v>
      </c>
      <c r="X84" s="292">
        <f>IF(W$78&lt;0,IPMT($D$5,1,1,W$78),0)</f>
        <v>8117.9780712496322</v>
      </c>
    </row>
    <row r="85" spans="1:24" ht="18.75" customHeight="1" x14ac:dyDescent="0.25">
      <c r="A85" s="835" t="s">
        <v>164</v>
      </c>
      <c r="B85" s="807"/>
      <c r="C85" s="807"/>
      <c r="D85" s="808"/>
      <c r="E85" s="871">
        <f>IF(SUM($D$3,E$78:G$78)&gt;0,-IPMT($D$6,1,1,AVERAGE($D$3,E$78:G$78))/4,0)</f>
        <v>0</v>
      </c>
      <c r="F85" s="872"/>
      <c r="G85" s="873"/>
      <c r="H85" s="877">
        <f>IF(SUM(G$78:J$78)&gt;0,-IPMT($D$6,1,1,AVERAGE(G$78:J$78))/4,0)</f>
        <v>0</v>
      </c>
      <c r="I85" s="872"/>
      <c r="J85" s="873"/>
      <c r="K85" s="877">
        <f>IF(SUM(J$78:M$78)&gt;0,-IPMT($D$6,1,1,AVERAGE(J$78:M$78))/4,0)</f>
        <v>0</v>
      </c>
      <c r="L85" s="872"/>
      <c r="M85" s="873"/>
      <c r="N85" s="877">
        <f>IF(SUM(M$78:P$78)&gt;0,-IPMT($D$6,1,1,AVERAGE(M$78:P$78))/4,0)</f>
        <v>0</v>
      </c>
      <c r="O85" s="872"/>
      <c r="P85" s="878"/>
      <c r="Q85" s="291">
        <f t="shared" ref="Q85:Q86" si="29">SUM(B85:P85)</f>
        <v>0</v>
      </c>
      <c r="R85" s="75">
        <f>IF(SUM(R$78,P$78)&gt;0,-IPMT($D$6,1,1,AVERAGE(R$78,P$78))/4,0)</f>
        <v>0</v>
      </c>
      <c r="S85" s="76">
        <f t="shared" ref="S85:U85" si="30">IF(SUM(S$78,Q$78)&gt;0,-IPMT($D$6,1,1,AVERAGE(S$78,Q$78))/4,0)</f>
        <v>0</v>
      </c>
      <c r="T85" s="76">
        <f t="shared" si="30"/>
        <v>0</v>
      </c>
      <c r="U85" s="76">
        <f t="shared" si="30"/>
        <v>0</v>
      </c>
      <c r="V85" s="291">
        <f t="shared" ref="V85:V86" si="31">SUM(R85:U85)</f>
        <v>0</v>
      </c>
      <c r="W85" s="291">
        <f>IF(V$78&gt;0,-IPMT($D$6,1,1,V$78),0)</f>
        <v>0</v>
      </c>
      <c r="X85" s="292">
        <f>IF(W$78&gt;0,-IPMT($D$6,1,1,(W$78/4)),0)</f>
        <v>0</v>
      </c>
    </row>
    <row r="86" spans="1:24" ht="18.75" customHeight="1" thickBot="1" x14ac:dyDescent="0.3">
      <c r="A86" s="866" t="s">
        <v>166</v>
      </c>
      <c r="B86" s="867"/>
      <c r="C86" s="867"/>
      <c r="D86" s="868"/>
      <c r="E86" s="874">
        <f>IF(SUM(E$82:G$82)&lt;0,IPMT($D$4,1,1,AVERAGE(E$82:G$82))/4,0)</f>
        <v>0</v>
      </c>
      <c r="F86" s="875"/>
      <c r="G86" s="876"/>
      <c r="H86" s="879">
        <f>IF(SUM(G$82:J$82)&lt;0,IPMT($D$4,1,1,AVERAGE(G$82:J$82))/4,0)</f>
        <v>0</v>
      </c>
      <c r="I86" s="875"/>
      <c r="J86" s="876"/>
      <c r="K86" s="879">
        <f>IF(SUM(J$82:M$82)&lt;0,IPMT($D$4,1,1,AVERAGE(J$82:M$82))/4,0)</f>
        <v>0</v>
      </c>
      <c r="L86" s="875"/>
      <c r="M86" s="876"/>
      <c r="N86" s="879">
        <f>IF(SUM(M$82:P$82)&lt;0,IPMT($D$4,1,1,AVERAGE(M$82:P$82))/4,0)</f>
        <v>0</v>
      </c>
      <c r="O86" s="875"/>
      <c r="P86" s="880"/>
      <c r="Q86" s="295">
        <f t="shared" si="29"/>
        <v>0</v>
      </c>
      <c r="R86" s="296">
        <f>IF(SUM(R$82,P$82)&lt;0,IPMT($D$4,1,1,AVERAGE(R$82,P$82))/4,0)</f>
        <v>0</v>
      </c>
      <c r="S86" s="293">
        <f>IF(SUM(S$82,R$82)&lt;0,IPMT($D$4,1,1,AVERAGE(S$82,R$82))/4,0)</f>
        <v>0</v>
      </c>
      <c r="T86" s="293">
        <f>IF(SUM(T$82,S$82)&lt;0,IPMT($D$4,1,1,AVERAGE(T$82,S$82))/4,0)</f>
        <v>0</v>
      </c>
      <c r="U86" s="294">
        <f>IF(SUM(U$82,T$82)&lt;0,IPMT($D$4,1,1,AVERAGE(U$82,T$82))/4,0)</f>
        <v>0</v>
      </c>
      <c r="V86" s="295">
        <f t="shared" si="31"/>
        <v>0</v>
      </c>
      <c r="W86" s="295">
        <f>IF(V$82&lt;0,IPMT($D$4,1,1,V$82),0)</f>
        <v>0</v>
      </c>
      <c r="X86" s="297">
        <f>IF(W$82&lt;0,IPMT($D$4,1,1,W$82),0)</f>
        <v>0</v>
      </c>
    </row>
    <row r="88" spans="1:24" x14ac:dyDescent="0.25">
      <c r="F88" s="375"/>
    </row>
  </sheetData>
  <mergeCells count="112">
    <mergeCell ref="A16:D16"/>
    <mergeCell ref="W9:W10"/>
    <mergeCell ref="X9:X10"/>
    <mergeCell ref="A13:D13"/>
    <mergeCell ref="A12:D12"/>
    <mergeCell ref="A11:D11"/>
    <mergeCell ref="A15:D15"/>
    <mergeCell ref="A1:X1"/>
    <mergeCell ref="A9:D10"/>
    <mergeCell ref="E9:P9"/>
    <mergeCell ref="Q9:Q10"/>
    <mergeCell ref="R9:U9"/>
    <mergeCell ref="V9:V10"/>
    <mergeCell ref="A3:C3"/>
    <mergeCell ref="A4:C4"/>
    <mergeCell ref="A5:C5"/>
    <mergeCell ref="A6:C6"/>
    <mergeCell ref="A7:C7"/>
    <mergeCell ref="A8:C8"/>
    <mergeCell ref="V18:V19"/>
    <mergeCell ref="W18:W19"/>
    <mergeCell ref="X18:X19"/>
    <mergeCell ref="A33:D33"/>
    <mergeCell ref="E18:P18"/>
    <mergeCell ref="Q18:Q19"/>
    <mergeCell ref="R18:U18"/>
    <mergeCell ref="A22:D22"/>
    <mergeCell ref="A25:D25"/>
    <mergeCell ref="A26:D26"/>
    <mergeCell ref="A20:D20"/>
    <mergeCell ref="A24:D24"/>
    <mergeCell ref="A19:D19"/>
    <mergeCell ref="A18:C18"/>
    <mergeCell ref="A23:D23"/>
    <mergeCell ref="A34:D34"/>
    <mergeCell ref="A36:D36"/>
    <mergeCell ref="A21:D21"/>
    <mergeCell ref="A35:X35"/>
    <mergeCell ref="A27:X27"/>
    <mergeCell ref="A29:D29"/>
    <mergeCell ref="A32:D32"/>
    <mergeCell ref="A28:D28"/>
    <mergeCell ref="A31:D31"/>
    <mergeCell ref="A30:D30"/>
    <mergeCell ref="W38:W39"/>
    <mergeCell ref="X38:X39"/>
    <mergeCell ref="A39:D39"/>
    <mergeCell ref="A40:D40"/>
    <mergeCell ref="A41:D41"/>
    <mergeCell ref="A38:C38"/>
    <mergeCell ref="E38:P38"/>
    <mergeCell ref="Q38:Q39"/>
    <mergeCell ref="R38:U38"/>
    <mergeCell ref="V38:V39"/>
    <mergeCell ref="A58:D58"/>
    <mergeCell ref="A59:D59"/>
    <mergeCell ref="A60:D60"/>
    <mergeCell ref="A61:D61"/>
    <mergeCell ref="A55:D55"/>
    <mergeCell ref="A56:D56"/>
    <mergeCell ref="A42:D42"/>
    <mergeCell ref="A43:D43"/>
    <mergeCell ref="A49:D49"/>
    <mergeCell ref="A50:D50"/>
    <mergeCell ref="A54:D54"/>
    <mergeCell ref="A44:D44"/>
    <mergeCell ref="A45:D45"/>
    <mergeCell ref="A46:D46"/>
    <mergeCell ref="A47:D47"/>
    <mergeCell ref="A48:D48"/>
    <mergeCell ref="A51:D51"/>
    <mergeCell ref="A52:D52"/>
    <mergeCell ref="A53:D53"/>
    <mergeCell ref="A57:X57"/>
    <mergeCell ref="A85:D85"/>
    <mergeCell ref="A86:D86"/>
    <mergeCell ref="E84:G84"/>
    <mergeCell ref="E85:G85"/>
    <mergeCell ref="E86:G86"/>
    <mergeCell ref="H84:J84"/>
    <mergeCell ref="K84:M84"/>
    <mergeCell ref="N84:P84"/>
    <mergeCell ref="H85:J85"/>
    <mergeCell ref="K85:M85"/>
    <mergeCell ref="N85:P85"/>
    <mergeCell ref="H86:J86"/>
    <mergeCell ref="K86:M86"/>
    <mergeCell ref="N86:P86"/>
    <mergeCell ref="A67:D67"/>
    <mergeCell ref="A66:D66"/>
    <mergeCell ref="A68:D68"/>
    <mergeCell ref="A69:D69"/>
    <mergeCell ref="A76:D76"/>
    <mergeCell ref="A84:D84"/>
    <mergeCell ref="A78:D78"/>
    <mergeCell ref="A62:D62"/>
    <mergeCell ref="A73:X73"/>
    <mergeCell ref="A74:D74"/>
    <mergeCell ref="A63:X63"/>
    <mergeCell ref="A64:D64"/>
    <mergeCell ref="A65:D65"/>
    <mergeCell ref="A70:D70"/>
    <mergeCell ref="A71:D71"/>
    <mergeCell ref="A72:D72"/>
    <mergeCell ref="W80:W81"/>
    <mergeCell ref="X80:X81"/>
    <mergeCell ref="A82:D82"/>
    <mergeCell ref="A80:D81"/>
    <mergeCell ref="E80:P80"/>
    <mergeCell ref="Q80:Q81"/>
    <mergeCell ref="R80:U80"/>
    <mergeCell ref="V80:V81"/>
  </mergeCells>
  <dataValidations disablePrompts="1" count="3">
    <dataValidation type="decimal" allowBlank="1" showInputMessage="1" showErrorMessage="1" sqref="W12:X12 R12:U12 E12:P12">
      <formula1>0</formula1>
      <formula2>1-E11</formula2>
    </dataValidation>
    <dataValidation type="decimal" allowBlank="1" showInputMessage="1" showErrorMessage="1" sqref="W11:X11 R11:U11 E11:P11">
      <formula1>0</formula1>
      <formula2>1</formula2>
    </dataValidation>
    <dataValidation type="decimal" operator="lessThanOrEqual" allowBlank="1" showErrorMessage="1" errorTitle="Fehler" error="Wert muss kleiner oder gleich &quot;0&quot; sein!" sqref="E82:X83">
      <formula1>0</formula1>
    </dataValidation>
  </dataValidations>
  <pageMargins left="0.70866141732283472" right="0.70866141732283472" top="0.78740157480314965" bottom="0.78740157480314965" header="0.31496062992125984" footer="0.31496062992125984"/>
  <pageSetup paperSize="8" scale="42" fitToHeight="0" orientation="portrait" blackAndWhite="1" horizontalDpi="300" verticalDpi="300" r:id="rId1"/>
  <rowBreaks count="1" manualBreakCount="1">
    <brk id="37" max="2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pageSetUpPr fitToPage="1"/>
  </sheetPr>
  <dimension ref="A1:M42"/>
  <sheetViews>
    <sheetView showGridLines="0" view="pageBreakPreview" zoomScale="85" zoomScaleNormal="100" zoomScaleSheetLayoutView="85" workbookViewId="0">
      <pane xSplit="4" ySplit="1" topLeftCell="E8" activePane="bottomRight" state="frozen"/>
      <selection pane="topRight" activeCell="E1" sqref="E1"/>
      <selection pane="bottomLeft" activeCell="A2" sqref="A2"/>
      <selection pane="bottomRight" activeCell="E15" sqref="E15"/>
    </sheetView>
  </sheetViews>
  <sheetFormatPr baseColWidth="10" defaultRowHeight="15" outlineLevelRow="1" x14ac:dyDescent="0.25"/>
  <cols>
    <col min="1" max="1" width="17.7109375" style="39" bestFit="1" customWidth="1"/>
    <col min="2" max="3" width="9.5703125" style="39" customWidth="1"/>
    <col min="4" max="4" width="7.140625" style="39" bestFit="1" customWidth="1"/>
    <col min="5" max="5" width="12.42578125" style="39" bestFit="1" customWidth="1"/>
    <col min="6" max="6" width="8.85546875" style="39" bestFit="1" customWidth="1"/>
    <col min="7" max="7" width="12.42578125" style="39" bestFit="1" customWidth="1"/>
    <col min="8" max="8" width="8.85546875" style="39" bestFit="1" customWidth="1"/>
    <col min="9" max="9" width="12.42578125" style="39" bestFit="1" customWidth="1"/>
    <col min="10" max="10" width="8.140625" style="39" bestFit="1" customWidth="1"/>
    <col min="11" max="11" width="13.85546875" style="39" bestFit="1" customWidth="1"/>
    <col min="12" max="12" width="8.140625" style="39" bestFit="1" customWidth="1"/>
    <col min="13" max="16384" width="11.42578125" style="39"/>
  </cols>
  <sheetData>
    <row r="1" spans="1:12" ht="27" thickBot="1" x14ac:dyDescent="0.3">
      <c r="A1" s="737" t="s">
        <v>183</v>
      </c>
      <c r="B1" s="738"/>
      <c r="C1" s="738"/>
      <c r="D1" s="738"/>
      <c r="E1" s="738"/>
      <c r="F1" s="738"/>
      <c r="G1" s="738"/>
      <c r="H1" s="738"/>
      <c r="I1" s="738"/>
      <c r="J1" s="738"/>
      <c r="K1" s="738"/>
      <c r="L1" s="739"/>
    </row>
    <row r="2" spans="1:12" ht="7.5" customHeight="1" thickBot="1" x14ac:dyDescent="0.3"/>
    <row r="3" spans="1:12" ht="15" customHeight="1" thickBot="1" x14ac:dyDescent="0.3">
      <c r="A3" s="923" t="s">
        <v>157</v>
      </c>
      <c r="B3" s="924"/>
      <c r="C3" s="924"/>
      <c r="D3" s="476">
        <f>Liquiditätsplan!D8</f>
        <v>0.2</v>
      </c>
    </row>
    <row r="4" spans="1:12" ht="22.5" customHeight="1" thickBot="1" x14ac:dyDescent="0.3">
      <c r="A4" s="441" t="s">
        <v>186</v>
      </c>
      <c r="B4" s="433"/>
      <c r="C4" s="433"/>
      <c r="D4" s="434"/>
      <c r="E4" s="788" t="s">
        <v>20</v>
      </c>
      <c r="F4" s="789"/>
      <c r="G4" s="742" t="s">
        <v>25</v>
      </c>
      <c r="H4" s="790"/>
      <c r="I4" s="742" t="s">
        <v>26</v>
      </c>
      <c r="J4" s="790"/>
      <c r="K4" s="742" t="s">
        <v>27</v>
      </c>
      <c r="L4" s="784"/>
    </row>
    <row r="5" spans="1:12" s="5" customFormat="1" ht="18.75" customHeight="1" thickBot="1" x14ac:dyDescent="0.3">
      <c r="A5" s="437" t="s">
        <v>188</v>
      </c>
      <c r="B5" s="435"/>
      <c r="C5" s="435"/>
      <c r="D5" s="436"/>
      <c r="E5" s="260" t="s">
        <v>184</v>
      </c>
      <c r="F5" s="261" t="s">
        <v>185</v>
      </c>
      <c r="G5" s="262" t="s">
        <v>184</v>
      </c>
      <c r="H5" s="269" t="s">
        <v>185</v>
      </c>
      <c r="I5" s="262" t="s">
        <v>184</v>
      </c>
      <c r="J5" s="269" t="s">
        <v>185</v>
      </c>
      <c r="K5" s="262" t="s">
        <v>184</v>
      </c>
      <c r="L5" s="383" t="s">
        <v>185</v>
      </c>
    </row>
    <row r="6" spans="1:12" ht="18.75" customHeight="1" outlineLevel="1" thickTop="1" x14ac:dyDescent="0.25">
      <c r="A6" s="857" t="s">
        <v>211</v>
      </c>
      <c r="B6" s="858"/>
      <c r="C6" s="858"/>
      <c r="D6" s="859"/>
      <c r="E6" s="6">
        <f>Abschreibung!G18</f>
        <v>20000</v>
      </c>
      <c r="F6" s="424">
        <f>IF(E$22=0,0,E6/E$22)</f>
        <v>0.20301476932446835</v>
      </c>
      <c r="G6" s="71">
        <f>Abschreibung!I18</f>
        <v>20000</v>
      </c>
      <c r="H6" s="427">
        <f>IF(G$22=0,0,G6/G$22)</f>
        <v>0.18531101365124464</v>
      </c>
      <c r="I6" s="71">
        <f>Abschreibung!K18</f>
        <v>20000</v>
      </c>
      <c r="J6" s="427">
        <f>IF(I$22=0,0,I6/I$22)</f>
        <v>0.25631167499679608</v>
      </c>
      <c r="K6" s="71">
        <f>Abschreibung!M18</f>
        <v>20000</v>
      </c>
      <c r="L6" s="430">
        <f>IF(K$22=0,0,K6/K$22)</f>
        <v>4.9506931947455105E-2</v>
      </c>
    </row>
    <row r="7" spans="1:12" ht="18.75" customHeight="1" outlineLevel="1" x14ac:dyDescent="0.25">
      <c r="A7" s="826" t="s">
        <v>212</v>
      </c>
      <c r="B7" s="827"/>
      <c r="C7" s="827"/>
      <c r="D7" s="828"/>
      <c r="E7" s="10">
        <f>SUM(Abschreibung!G5:G6)</f>
        <v>24900</v>
      </c>
      <c r="F7" s="425">
        <f>IF(E$22=0,0,E7/E$22)</f>
        <v>0.25275338780896311</v>
      </c>
      <c r="G7" s="75">
        <f>SUM(Abschreibung!I5:I6)</f>
        <v>21800</v>
      </c>
      <c r="H7" s="428">
        <f>IF(G$22=0,0,G7/G$22)</f>
        <v>0.20198900487985666</v>
      </c>
      <c r="I7" s="75">
        <f>SUM(Abschreibung!K5:K6)</f>
        <v>18700</v>
      </c>
      <c r="J7" s="428">
        <f>IF(I$22=0,0,I7/I$22)</f>
        <v>0.23965141612200436</v>
      </c>
      <c r="K7" s="75">
        <f>SUM(Abschreibung!M5:M6)</f>
        <v>15600</v>
      </c>
      <c r="L7" s="431">
        <f>IF(K$22=0,0,K7/K$22)</f>
        <v>3.861540691901498E-2</v>
      </c>
    </row>
    <row r="8" spans="1:12" ht="18.75" customHeight="1" outlineLevel="1" x14ac:dyDescent="0.25">
      <c r="A8" s="826" t="s">
        <v>213</v>
      </c>
      <c r="B8" s="827"/>
      <c r="C8" s="827"/>
      <c r="D8" s="828"/>
      <c r="E8" s="10">
        <f>SUM(Abschreibung!G11:G12)</f>
        <v>8000</v>
      </c>
      <c r="F8" s="425">
        <f>IF(E$22=0,0,E8/E$22)</f>
        <v>8.1205907729787336E-2</v>
      </c>
      <c r="G8" s="75">
        <f>SUM(Abschreibung!I11:I12)</f>
        <v>6000</v>
      </c>
      <c r="H8" s="428">
        <f>IF(G$22=0,0,G8/G$22)</f>
        <v>5.5593304095373393E-2</v>
      </c>
      <c r="I8" s="75">
        <f>SUM(Abschreibung!K11:K12)</f>
        <v>4000</v>
      </c>
      <c r="J8" s="428">
        <f>IF(I$22=0,0,I8/I$22)</f>
        <v>5.126233499935922E-2</v>
      </c>
      <c r="K8" s="75">
        <f>SUM(Abschreibung!M11:M12)</f>
        <v>2000</v>
      </c>
      <c r="L8" s="431">
        <f>IF(K$22=0,0,K8/K$22)</f>
        <v>4.9506931947455105E-3</v>
      </c>
    </row>
    <row r="9" spans="1:12" ht="18.75" customHeight="1" outlineLevel="1" x14ac:dyDescent="0.25">
      <c r="A9" s="826" t="s">
        <v>209</v>
      </c>
      <c r="B9" s="827"/>
      <c r="C9" s="827"/>
      <c r="D9" s="828"/>
      <c r="E9" s="10">
        <f>Abschreibung!G32</f>
        <v>26250</v>
      </c>
      <c r="F9" s="425">
        <f>IF(E$22=0,0,E9/E$22)</f>
        <v>0.26645688473836471</v>
      </c>
      <c r="G9" s="75">
        <f>Abschreibung!I32</f>
        <v>43750</v>
      </c>
      <c r="H9" s="428">
        <f>IF(G$22=0,0,G9/G$22)</f>
        <v>0.40536784236209766</v>
      </c>
      <c r="I9" s="75">
        <f>Abschreibung!K32</f>
        <v>26250</v>
      </c>
      <c r="J9" s="428">
        <f>IF(I$22=0,0,I9/I$22)</f>
        <v>0.3364090734332949</v>
      </c>
      <c r="K9" s="75">
        <f>Abschreibung!M32</f>
        <v>8750</v>
      </c>
      <c r="L9" s="431">
        <f>IF(K$22=0,0,K9/K$22)</f>
        <v>2.1659282727011609E-2</v>
      </c>
    </row>
    <row r="10" spans="1:12" ht="18.75" customHeight="1" outlineLevel="1" thickBot="1" x14ac:dyDescent="0.3">
      <c r="A10" s="826" t="s">
        <v>210</v>
      </c>
      <c r="B10" s="827"/>
      <c r="C10" s="827"/>
      <c r="D10" s="828"/>
      <c r="E10" s="10">
        <f>SUM(Abschreibung!G8:G10)</f>
        <v>19125</v>
      </c>
      <c r="F10" s="425">
        <f>IF(E$22=0,0,E10/E$22)</f>
        <v>0.19413287316652286</v>
      </c>
      <c r="G10" s="75">
        <f>SUM(Abschreibung!I8:I10)</f>
        <v>12750</v>
      </c>
      <c r="H10" s="428">
        <f>IF(G$22=0,0,G10/G$22)</f>
        <v>0.11813577120266845</v>
      </c>
      <c r="I10" s="75">
        <f>SUM(Abschreibung!K8:K10)</f>
        <v>6375</v>
      </c>
      <c r="J10" s="428">
        <f>IF(I$22=0,0,I10/I$22)</f>
        <v>8.1699346405228759E-2</v>
      </c>
      <c r="K10" s="75">
        <f>SUM(Abschreibung!M8:M10)</f>
        <v>0</v>
      </c>
      <c r="L10" s="431">
        <f>IF(K$22=0,0,K10/K$22)</f>
        <v>0</v>
      </c>
    </row>
    <row r="11" spans="1:12" ht="7.5" customHeight="1" outlineLevel="1" thickTop="1" thickBot="1" x14ac:dyDescent="0.3">
      <c r="A11" s="928"/>
      <c r="B11" s="929"/>
      <c r="C11" s="929"/>
      <c r="D11" s="930"/>
      <c r="E11" s="27"/>
      <c r="F11" s="426"/>
      <c r="G11" s="31"/>
      <c r="H11" s="429"/>
      <c r="I11" s="31"/>
      <c r="J11" s="429"/>
      <c r="K11" s="31"/>
      <c r="L11" s="432"/>
    </row>
    <row r="12" spans="1:12" ht="18.75" customHeight="1" thickBot="1" x14ac:dyDescent="0.3">
      <c r="A12" s="838" t="s">
        <v>187</v>
      </c>
      <c r="B12" s="839"/>
      <c r="C12" s="839"/>
      <c r="D12" s="840"/>
      <c r="E12" s="444">
        <f t="shared" ref="E12:L12" si="0">SUM(E6:E11)</f>
        <v>98275</v>
      </c>
      <c r="F12" s="445">
        <f t="shared" si="0"/>
        <v>0.99756382276810629</v>
      </c>
      <c r="G12" s="446">
        <f t="shared" si="0"/>
        <v>104300</v>
      </c>
      <c r="H12" s="447">
        <f t="shared" si="0"/>
        <v>0.96639693619124079</v>
      </c>
      <c r="I12" s="446">
        <f t="shared" si="0"/>
        <v>75325</v>
      </c>
      <c r="J12" s="445">
        <f t="shared" si="0"/>
        <v>0.96533384595668326</v>
      </c>
      <c r="K12" s="446">
        <f t="shared" si="0"/>
        <v>46350</v>
      </c>
      <c r="L12" s="448">
        <f t="shared" si="0"/>
        <v>0.11473231478822719</v>
      </c>
    </row>
    <row r="13" spans="1:12" ht="7.5" customHeight="1" thickBot="1" x14ac:dyDescent="0.3">
      <c r="A13" s="745"/>
      <c r="B13" s="746"/>
      <c r="C13" s="746"/>
      <c r="D13" s="746"/>
      <c r="E13" s="746"/>
      <c r="F13" s="746"/>
      <c r="G13" s="746"/>
      <c r="H13" s="746"/>
      <c r="I13" s="746"/>
      <c r="J13" s="746"/>
      <c r="K13" s="746"/>
      <c r="L13" s="747"/>
    </row>
    <row r="14" spans="1:12" ht="18.75" customHeight="1" thickBot="1" x14ac:dyDescent="0.3">
      <c r="A14" s="438" t="s">
        <v>189</v>
      </c>
      <c r="B14" s="439"/>
      <c r="C14" s="439"/>
      <c r="D14" s="440"/>
      <c r="E14" s="462"/>
      <c r="F14" s="463"/>
      <c r="G14" s="463"/>
      <c r="H14" s="463"/>
      <c r="I14" s="463"/>
      <c r="J14" s="463"/>
      <c r="K14" s="463"/>
      <c r="L14" s="464"/>
    </row>
    <row r="15" spans="1:12" ht="18.75" customHeight="1" outlineLevel="1" thickTop="1" x14ac:dyDescent="0.25">
      <c r="A15" s="857" t="s">
        <v>204</v>
      </c>
      <c r="B15" s="858" t="s">
        <v>204</v>
      </c>
      <c r="C15" s="858" t="s">
        <v>204</v>
      </c>
      <c r="D15" s="859" t="s">
        <v>204</v>
      </c>
      <c r="E15" s="403">
        <v>0</v>
      </c>
      <c r="F15" s="477">
        <f>IF(E$22=0,0,E15/E$22)</f>
        <v>0</v>
      </c>
      <c r="G15" s="609">
        <v>0</v>
      </c>
      <c r="H15" s="478">
        <f>IF(G$22=0,0,G15/G$22)</f>
        <v>0</v>
      </c>
      <c r="I15" s="609">
        <v>0</v>
      </c>
      <c r="J15" s="477">
        <f>IF(I$22=0,0,I15/I$22)</f>
        <v>0</v>
      </c>
      <c r="K15" s="609">
        <v>0</v>
      </c>
      <c r="L15" s="479">
        <f>IF(K$22=0,0,K15/K$22)</f>
        <v>0</v>
      </c>
    </row>
    <row r="16" spans="1:12" ht="18.75" customHeight="1" outlineLevel="1" x14ac:dyDescent="0.25">
      <c r="A16" s="826" t="s">
        <v>205</v>
      </c>
      <c r="B16" s="827" t="s">
        <v>205</v>
      </c>
      <c r="C16" s="827" t="s">
        <v>205</v>
      </c>
      <c r="D16" s="828" t="s">
        <v>205</v>
      </c>
      <c r="E16" s="460">
        <f>Liquiditätsplan!Q15-Liquiditätsplan!Q16</f>
        <v>240</v>
      </c>
      <c r="F16" s="425">
        <f t="shared" ref="F16:H18" si="1">IF(E$22=0,0,E16/E$22)</f>
        <v>2.4361772318936201E-3</v>
      </c>
      <c r="G16" s="75">
        <f>Liquiditätsplan!V15-Liquiditätsplan!V16</f>
        <v>3626.6666666666861</v>
      </c>
      <c r="H16" s="428">
        <f t="shared" si="1"/>
        <v>3.3603063808759208E-2</v>
      </c>
      <c r="I16" s="75">
        <f>Liquiditätsplan!W15-Liquiditätsplan!W16</f>
        <v>2705</v>
      </c>
      <c r="J16" s="425">
        <f t="shared" ref="J16" si="2">IF(I$22=0,0,I16/I$22)</f>
        <v>3.4666154043316674E-2</v>
      </c>
      <c r="K16" s="75">
        <f>Liquiditätsplan!X15-Liquiditätsplan!X16</f>
        <v>2519.9999999997672</v>
      </c>
      <c r="L16" s="470">
        <f t="shared" ref="L16" si="3">IF(K$22=0,0,K16/K$22)</f>
        <v>6.2378734253787666E-3</v>
      </c>
    </row>
    <row r="17" spans="1:12" ht="18.75" customHeight="1" outlineLevel="1" x14ac:dyDescent="0.25">
      <c r="A17" s="826" t="s">
        <v>206</v>
      </c>
      <c r="B17" s="827" t="s">
        <v>206</v>
      </c>
      <c r="C17" s="827" t="s">
        <v>206</v>
      </c>
      <c r="D17" s="828" t="s">
        <v>206</v>
      </c>
      <c r="E17" s="460">
        <f>MAX(0,SUM(-E12,-E15,-E16,-E18,E30,E33,E34,E36))</f>
        <v>0</v>
      </c>
      <c r="F17" s="425">
        <f t="shared" si="1"/>
        <v>0</v>
      </c>
      <c r="G17" s="75">
        <f>MAX(0,SUM(-G12,-G15,-G16,-G18,G30,G33,G34,G36))</f>
        <v>0</v>
      </c>
      <c r="H17" s="428">
        <f t="shared" si="1"/>
        <v>0</v>
      </c>
      <c r="I17" s="75">
        <f>MAX(0,SUM(-I12,-I15,-I16,-I18,I30,I33,I34,I36))</f>
        <v>0</v>
      </c>
      <c r="J17" s="425">
        <f t="shared" ref="J17" si="4">IF(I$22=0,0,I17/I$22)</f>
        <v>0</v>
      </c>
      <c r="K17" s="75">
        <f>MAX(0,SUM(-K12,-K15,-K16,-K18,K30,K33,K34,K36))</f>
        <v>0</v>
      </c>
      <c r="L17" s="470">
        <f t="shared" ref="L17" si="5">IF(K$22=0,0,K17/K$22)</f>
        <v>0</v>
      </c>
    </row>
    <row r="18" spans="1:12" ht="18.75" customHeight="1" outlineLevel="1" thickBot="1" x14ac:dyDescent="0.3">
      <c r="A18" s="881" t="s">
        <v>207</v>
      </c>
      <c r="B18" s="882" t="s">
        <v>207</v>
      </c>
      <c r="C18" s="882" t="s">
        <v>207</v>
      </c>
      <c r="D18" s="883" t="s">
        <v>207</v>
      </c>
      <c r="E18" s="461">
        <f>IF(Liquiditätsplan!Q78&gt;0,Liquiditätsplan!Q78,0)</f>
        <v>0</v>
      </c>
      <c r="F18" s="465">
        <f t="shared" si="1"/>
        <v>0</v>
      </c>
      <c r="G18" s="131">
        <f>IF(Liquiditätsplan!V78&gt;0,Liquiditätsplan!V78,0)</f>
        <v>0</v>
      </c>
      <c r="H18" s="467">
        <f t="shared" si="1"/>
        <v>0</v>
      </c>
      <c r="I18" s="131">
        <f>IF(Liquiditätsplan!W78&gt;0,Liquiditätsplan!W78,0)</f>
        <v>0</v>
      </c>
      <c r="J18" s="465">
        <f t="shared" ref="J18" si="6">IF(I$22=0,0,I18/I$22)</f>
        <v>0</v>
      </c>
      <c r="K18" s="131">
        <f>IF(Liquiditätsplan!X78&gt;0,Liquiditätsplan!X78,0)</f>
        <v>355113.83041040192</v>
      </c>
      <c r="L18" s="471">
        <f t="shared" ref="L18" si="7">IF(K$22=0,0,K18/K$22)</f>
        <v>0.87902981178639406</v>
      </c>
    </row>
    <row r="19" spans="1:12" ht="7.5" customHeight="1" outlineLevel="1" thickTop="1" thickBot="1" x14ac:dyDescent="0.3">
      <c r="A19" s="925"/>
      <c r="B19" s="926"/>
      <c r="C19" s="926"/>
      <c r="D19" s="927"/>
      <c r="E19" s="449"/>
      <c r="F19" s="466"/>
      <c r="G19" s="450"/>
      <c r="H19" s="468"/>
      <c r="I19" s="450"/>
      <c r="J19" s="466"/>
      <c r="K19" s="450"/>
      <c r="L19" s="472"/>
    </row>
    <row r="20" spans="1:12" ht="18.75" customHeight="1" thickBot="1" x14ac:dyDescent="0.3">
      <c r="A20" s="838" t="s">
        <v>190</v>
      </c>
      <c r="B20" s="839"/>
      <c r="C20" s="839"/>
      <c r="D20" s="840"/>
      <c r="E20" s="444">
        <f t="shared" ref="E20:L20" si="8">SUM(E13:E19)</f>
        <v>240</v>
      </c>
      <c r="F20" s="445">
        <f t="shared" si="8"/>
        <v>2.4361772318936201E-3</v>
      </c>
      <c r="G20" s="446">
        <f t="shared" si="8"/>
        <v>3626.6666666666861</v>
      </c>
      <c r="H20" s="447">
        <f t="shared" si="8"/>
        <v>3.3603063808759208E-2</v>
      </c>
      <c r="I20" s="446">
        <f t="shared" si="8"/>
        <v>2705</v>
      </c>
      <c r="J20" s="445">
        <f t="shared" si="8"/>
        <v>3.4666154043316674E-2</v>
      </c>
      <c r="K20" s="446">
        <f t="shared" si="8"/>
        <v>357633.83041040169</v>
      </c>
      <c r="L20" s="448">
        <f t="shared" si="8"/>
        <v>0.88526768521177279</v>
      </c>
    </row>
    <row r="21" spans="1:12" ht="7.5" customHeight="1" thickBot="1" x14ac:dyDescent="0.3">
      <c r="A21" s="46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5"/>
    </row>
    <row r="22" spans="1:12" s="47" customFormat="1" ht="18.75" customHeight="1" thickBot="1" x14ac:dyDescent="0.3">
      <c r="A22" s="785" t="s">
        <v>191</v>
      </c>
      <c r="B22" s="786"/>
      <c r="C22" s="786"/>
      <c r="D22" s="931"/>
      <c r="E22" s="451">
        <f t="shared" ref="E22:L22" si="9">E20+E12</f>
        <v>98515</v>
      </c>
      <c r="F22" s="473">
        <f t="shared" si="9"/>
        <v>0.99999999999999989</v>
      </c>
      <c r="G22" s="452">
        <f t="shared" si="9"/>
        <v>107926.66666666669</v>
      </c>
      <c r="H22" s="473">
        <f t="shared" si="9"/>
        <v>1</v>
      </c>
      <c r="I22" s="453">
        <f t="shared" si="9"/>
        <v>78030</v>
      </c>
      <c r="J22" s="474">
        <f t="shared" si="9"/>
        <v>0.99999999999999989</v>
      </c>
      <c r="K22" s="454">
        <f t="shared" si="9"/>
        <v>403983.83041040169</v>
      </c>
      <c r="L22" s="475">
        <f t="shared" si="9"/>
        <v>1</v>
      </c>
    </row>
    <row r="23" spans="1:12" ht="15.75" thickBot="1" x14ac:dyDescent="0.3"/>
    <row r="24" spans="1:12" ht="22.5" customHeight="1" thickBot="1" x14ac:dyDescent="0.3">
      <c r="A24" s="441" t="s">
        <v>192</v>
      </c>
      <c r="B24" s="433"/>
      <c r="C24" s="433"/>
      <c r="D24" s="434"/>
      <c r="E24" s="788" t="s">
        <v>20</v>
      </c>
      <c r="F24" s="789"/>
      <c r="G24" s="742" t="s">
        <v>25</v>
      </c>
      <c r="H24" s="790"/>
      <c r="I24" s="742" t="s">
        <v>26</v>
      </c>
      <c r="J24" s="790"/>
      <c r="K24" s="742" t="s">
        <v>27</v>
      </c>
      <c r="L24" s="784"/>
    </row>
    <row r="25" spans="1:12" s="5" customFormat="1" ht="18.75" customHeight="1" thickBot="1" x14ac:dyDescent="0.3">
      <c r="A25" s="437" t="s">
        <v>193</v>
      </c>
      <c r="B25" s="435"/>
      <c r="C25" s="435"/>
      <c r="D25" s="436"/>
      <c r="E25" s="260" t="s">
        <v>184</v>
      </c>
      <c r="F25" s="261" t="s">
        <v>185</v>
      </c>
      <c r="G25" s="262" t="s">
        <v>184</v>
      </c>
      <c r="H25" s="269" t="s">
        <v>185</v>
      </c>
      <c r="I25" s="262" t="s">
        <v>184</v>
      </c>
      <c r="J25" s="269" t="s">
        <v>185</v>
      </c>
      <c r="K25" s="262" t="s">
        <v>184</v>
      </c>
      <c r="L25" s="383" t="s">
        <v>185</v>
      </c>
    </row>
    <row r="26" spans="1:12" ht="18.75" customHeight="1" outlineLevel="1" thickTop="1" x14ac:dyDescent="0.25">
      <c r="A26" s="938" t="s">
        <v>197</v>
      </c>
      <c r="B26" s="939"/>
      <c r="C26" s="939"/>
      <c r="D26" s="940"/>
      <c r="E26" s="442">
        <f>Liquiditätsplan!D3+Liquiditätsplan!Q31</f>
        <v>35000</v>
      </c>
      <c r="F26" s="424">
        <f>IF(E$40=0,0,E26/E$40)</f>
        <v>0.35527584631781961</v>
      </c>
      <c r="G26" s="71">
        <f>E26+Liquiditätsplan!V31</f>
        <v>35000</v>
      </c>
      <c r="H26" s="427">
        <f>IF(G$40=0,0,G26/G$40)</f>
        <v>0.3242942738896783</v>
      </c>
      <c r="I26" s="71">
        <f>G26+Liquiditätsplan!W31</f>
        <v>35000</v>
      </c>
      <c r="J26" s="427">
        <f>IF(I$40=0,0,I26/I$40)</f>
        <v>0.448545431244393</v>
      </c>
      <c r="K26" s="71">
        <f>I26+Liquiditätsplan!X31</f>
        <v>35000</v>
      </c>
      <c r="L26" s="430">
        <f>IF(K$40=0,0,K26/K$40)</f>
        <v>8.6637130908046436E-2</v>
      </c>
    </row>
    <row r="27" spans="1:12" ht="18.75" customHeight="1" outlineLevel="1" x14ac:dyDescent="0.25">
      <c r="A27" s="935" t="s">
        <v>198</v>
      </c>
      <c r="B27" s="936"/>
      <c r="C27" s="936"/>
      <c r="D27" s="937"/>
      <c r="E27" s="376"/>
      <c r="F27" s="443"/>
      <c r="G27" s="75">
        <f>SUM(E27:E28)</f>
        <v>-270125.95418186957</v>
      </c>
      <c r="H27" s="428">
        <f>IF(G$40=0,0,G27/G$40)</f>
        <v>-2.5028657191475974</v>
      </c>
      <c r="I27" s="75">
        <f>SUM(G27:G28)</f>
        <v>-446388.62100960827</v>
      </c>
      <c r="J27" s="428">
        <f t="shared" ref="J27" si="10">IF(I$40=0,0,I27/I$40)</f>
        <v>-5.7207307575241328</v>
      </c>
      <c r="K27" s="75">
        <f>SUM(I27:I28)</f>
        <v>-258492.56201158077</v>
      </c>
      <c r="L27" s="431">
        <f t="shared" ref="L27" si="11">IF(K$40=0,0,K27/K$40)</f>
        <v>-0.63985868382153233</v>
      </c>
    </row>
    <row r="28" spans="1:12" ht="18.75" customHeight="1" outlineLevel="1" thickBot="1" x14ac:dyDescent="0.3">
      <c r="A28" s="935" t="s">
        <v>121</v>
      </c>
      <c r="B28" s="936"/>
      <c r="C28" s="936"/>
      <c r="D28" s="937"/>
      <c r="E28" s="10">
        <f>'Plan G&amp;V'!Q47</f>
        <v>-270125.95418186957</v>
      </c>
      <c r="F28" s="425">
        <f>IF(E$40=0,0,E28/E$40)</f>
        <v>-2.7419779138392077</v>
      </c>
      <c r="G28" s="75">
        <f>'Plan G&amp;V'!V47</f>
        <v>-176262.66682773869</v>
      </c>
      <c r="H28" s="428">
        <f>IF(G$40=0,0,G28/G$40)</f>
        <v>-1.6331706729359945</v>
      </c>
      <c r="I28" s="75">
        <f>'Plan G&amp;V'!W47</f>
        <v>187896.0589980275</v>
      </c>
      <c r="J28" s="428">
        <f t="shared" ref="J28" si="12">IF(I$40=0,0,I28/I$40)</f>
        <v>2.4079976803540615</v>
      </c>
      <c r="K28" s="75">
        <f>'Plan G&amp;V'!X47</f>
        <v>415923.49293261184</v>
      </c>
      <c r="L28" s="431">
        <f t="shared" ref="L28" si="13">IF(K$40=0,0,K28/K$40)</f>
        <v>1.0295548029981318</v>
      </c>
    </row>
    <row r="29" spans="1:12" ht="7.5" customHeight="1" outlineLevel="1" thickTop="1" thickBot="1" x14ac:dyDescent="0.3">
      <c r="A29" s="928"/>
      <c r="B29" s="929"/>
      <c r="C29" s="929"/>
      <c r="D29" s="930"/>
      <c r="E29" s="27"/>
      <c r="F29" s="426"/>
      <c r="G29" s="31"/>
      <c r="H29" s="429"/>
      <c r="I29" s="31"/>
      <c r="J29" s="429"/>
      <c r="K29" s="31"/>
      <c r="L29" s="432"/>
    </row>
    <row r="30" spans="1:12" ht="18.75" customHeight="1" thickBot="1" x14ac:dyDescent="0.3">
      <c r="A30" s="838" t="s">
        <v>194</v>
      </c>
      <c r="B30" s="839"/>
      <c r="C30" s="839"/>
      <c r="D30" s="840"/>
      <c r="E30" s="455">
        <f>SUM(E26:E29)</f>
        <v>-235125.95418186957</v>
      </c>
      <c r="F30" s="456">
        <f t="shared" ref="F30:L30" si="14">SUM(F26:F29)</f>
        <v>-2.3867020675213881</v>
      </c>
      <c r="G30" s="457">
        <f t="shared" si="14"/>
        <v>-411388.62100960827</v>
      </c>
      <c r="H30" s="458">
        <f t="shared" si="14"/>
        <v>-3.811742118193914</v>
      </c>
      <c r="I30" s="457">
        <f t="shared" si="14"/>
        <v>-223492.56201158077</v>
      </c>
      <c r="J30" s="456">
        <f t="shared" si="14"/>
        <v>-2.8641876459256781</v>
      </c>
      <c r="K30" s="457">
        <f t="shared" si="14"/>
        <v>192430.93092103107</v>
      </c>
      <c r="L30" s="459">
        <f t="shared" si="14"/>
        <v>0.476333250084646</v>
      </c>
    </row>
    <row r="31" spans="1:12" ht="7.5" customHeight="1" thickBot="1" x14ac:dyDescent="0.3">
      <c r="A31" s="745"/>
      <c r="B31" s="746"/>
      <c r="C31" s="746"/>
      <c r="D31" s="746"/>
      <c r="E31" s="746"/>
      <c r="F31" s="746"/>
      <c r="G31" s="746"/>
      <c r="H31" s="746"/>
      <c r="I31" s="746"/>
      <c r="J31" s="746"/>
      <c r="K31" s="746"/>
      <c r="L31" s="747"/>
    </row>
    <row r="32" spans="1:12" ht="18.75" customHeight="1" thickBot="1" x14ac:dyDescent="0.3">
      <c r="A32" s="438" t="s">
        <v>196</v>
      </c>
      <c r="B32" s="439"/>
      <c r="C32" s="439"/>
      <c r="D32" s="440"/>
      <c r="E32" s="44"/>
      <c r="F32" s="44"/>
      <c r="G32" s="44"/>
      <c r="H32" s="44"/>
      <c r="I32" s="44"/>
      <c r="J32" s="44"/>
      <c r="K32" s="44"/>
      <c r="L32" s="45"/>
    </row>
    <row r="33" spans="1:13" ht="18.75" customHeight="1" outlineLevel="1" thickTop="1" x14ac:dyDescent="0.25">
      <c r="A33" s="938" t="s">
        <v>200</v>
      </c>
      <c r="B33" s="939"/>
      <c r="C33" s="939"/>
      <c r="D33" s="940"/>
      <c r="E33" s="442">
        <f>'Plan G&amp;V'!Q56</f>
        <v>500</v>
      </c>
      <c r="F33" s="424">
        <f>IF(E$40=0,0,E33/E$40)</f>
        <v>5.0753692331117085E-3</v>
      </c>
      <c r="G33" s="71">
        <f>'Plan G&amp;V'!V56</f>
        <v>500</v>
      </c>
      <c r="H33" s="427">
        <f>IF(G$40=0,0,G33/G$40)</f>
        <v>4.6327753412811184E-3</v>
      </c>
      <c r="I33" s="71">
        <f>'Plan G&amp;V'!W56</f>
        <v>12526.403933201833</v>
      </c>
      <c r="J33" s="424">
        <f>IF(I$40=0,0,I33/I$40)</f>
        <v>0.16053317869027078</v>
      </c>
      <c r="K33" s="71">
        <f>'Plan G&amp;V'!X56</f>
        <v>40283.906373808531</v>
      </c>
      <c r="L33" s="469">
        <f>IF(K$40=0,0,K33/K$40)</f>
        <v>9.97166305712896E-2</v>
      </c>
    </row>
    <row r="34" spans="1:13" ht="18.75" customHeight="1" outlineLevel="1" x14ac:dyDescent="0.25">
      <c r="A34" s="935" t="s">
        <v>201</v>
      </c>
      <c r="B34" s="936"/>
      <c r="C34" s="936"/>
      <c r="D34" s="937"/>
      <c r="E34" s="460">
        <f>(SUM((-SUM('Plan G&amp;V'!Q19,'Plan G&amp;V'!Q20,'Plan G&amp;V'!Q24:Q30,'Plan G&amp;V'!Q35)+Investitionsplan!R32)*(1+$D$3),-'Plan G&amp;V'!Q31,-'Plan G&amp;V'!Q32))-(SUM(Liquiditätsplan!Q41:Q54,Liquiditätsplan!Q62))</f>
        <v>4681.5999999999767</v>
      </c>
      <c r="F34" s="425">
        <f t="shared" ref="F34:H36" si="15">IF(E$40=0,0,E34/E$40)</f>
        <v>4.7521697203471318E-2</v>
      </c>
      <c r="G34" s="75">
        <f>(SUM((-SUM('Plan G&amp;V'!V19,'Plan G&amp;V'!V20,'Plan G&amp;V'!V24:V30,'Plan G&amp;V'!V35)+Investitionsplan!W32)*(1+$D$3),-'Plan G&amp;V'!V31,-'Plan G&amp;V'!V32))-(SUM(Liquiditätsplan!V41:V54,Liquiditätsplan!V62))</f>
        <v>22281.600000000006</v>
      </c>
      <c r="H34" s="428">
        <f t="shared" si="15"/>
        <v>0.20645129408857879</v>
      </c>
      <c r="I34" s="75">
        <f>(SUM((-SUM('Plan G&amp;V'!W19,'Plan G&amp;V'!W20,'Plan G&amp;V'!W24:W30,'Plan G&amp;V'!W35)+Investitionsplan!X32)*(1+$D$3),-'Plan G&amp;V'!W31,-'Plan G&amp;V'!W32))-(SUM(Liquiditätsplan!W41:W54,Liquiditätsplan!W62))</f>
        <v>15281.599999999991</v>
      </c>
      <c r="J34" s="425">
        <f t="shared" ref="J34" si="16">IF(I$40=0,0,I34/I$40)</f>
        <v>0.19584262463155178</v>
      </c>
      <c r="K34" s="75">
        <f>(SUM((-SUM('Plan G&amp;V'!X19,'Plan G&amp;V'!X20,'Plan G&amp;V'!X24:X30,'Plan G&amp;V'!X35)+Investitionsplan!Y32)*(1+$D$3),-'Plan G&amp;V'!X31,-'Plan G&amp;V'!X32))-(SUM(Liquiditätsplan!X41:X54,Liquiditätsplan!X62))</f>
        <v>15281.599999999991</v>
      </c>
      <c r="L34" s="470">
        <f t="shared" ref="L34" si="17">IF(K$40=0,0,K34/K$40)</f>
        <v>3.7827256562411475E-2</v>
      </c>
    </row>
    <row r="35" spans="1:13" ht="18.75" customHeight="1" outlineLevel="1" x14ac:dyDescent="0.25">
      <c r="A35" s="935" t="s">
        <v>202</v>
      </c>
      <c r="B35" s="936"/>
      <c r="C35" s="936"/>
      <c r="D35" s="937"/>
      <c r="E35" s="460">
        <f>MAX(0,SUM(E12,E15,E16,E18,-E30,-E33,-E34,-E36))</f>
        <v>18290.9200281956</v>
      </c>
      <c r="F35" s="425">
        <f t="shared" si="15"/>
        <v>0.18566634551282141</v>
      </c>
      <c r="G35" s="75">
        <f>MAX(0,SUM(G12,G15,G16,G18,-G30,-G33,-G34,-G36))</f>
        <v>28385.146902264562</v>
      </c>
      <c r="H35" s="428">
        <f t="shared" si="15"/>
        <v>0.2630040172549068</v>
      </c>
      <c r="I35" s="75">
        <f>MAX(0,SUM(I12,I15,I16,I18,-I30,-I33,-I34,-I36))</f>
        <v>138414.92355755175</v>
      </c>
      <c r="J35" s="425">
        <f t="shared" ref="J35" si="18">IF(I$40=0,0,I35/I$40)</f>
        <v>1.7738680450794784</v>
      </c>
      <c r="K35" s="75">
        <f>MAX(0,SUM(K12,K15,K16,K18,-K30,-K33,-K34,-K36))</f>
        <v>155987.3931155621</v>
      </c>
      <c r="L35" s="470">
        <f t="shared" ref="L35" si="19">IF(K$40=0,0,K35/K$40)</f>
        <v>0.38612286278165298</v>
      </c>
    </row>
    <row r="36" spans="1:13" ht="18.75" customHeight="1" outlineLevel="1" thickBot="1" x14ac:dyDescent="0.3">
      <c r="A36" s="932" t="s">
        <v>203</v>
      </c>
      <c r="B36" s="933"/>
      <c r="C36" s="933"/>
      <c r="D36" s="934"/>
      <c r="E36" s="461">
        <f>IF(Liquiditätsplan!Q78&lt;=0,((-Liquiditätsplan!Q78)-Liquiditätsplan!Q82),-Liquiditätsplan!Q82)</f>
        <v>310168.434153674</v>
      </c>
      <c r="F36" s="465">
        <f t="shared" si="15"/>
        <v>3.1484386555719839</v>
      </c>
      <c r="G36" s="131">
        <f>IF(Liquiditätsplan!V78&lt;=0,((-Liquiditätsplan!V78)-Liquiditätsplan!V82),-Liquiditätsplan!V82)</f>
        <v>468148.54077401035</v>
      </c>
      <c r="H36" s="467">
        <f t="shared" si="15"/>
        <v>4.337654031509147</v>
      </c>
      <c r="I36" s="131">
        <f>IF(Liquiditätsplan!W78&lt;=0,((-Liquiditätsplan!W78)-Liquiditätsplan!W82),-Liquiditätsplan!W82)</f>
        <v>135299.63452082721</v>
      </c>
      <c r="J36" s="465">
        <f t="shared" ref="J36" si="20">IF(I$40=0,0,I36/I$40)</f>
        <v>1.7339437975243772</v>
      </c>
      <c r="K36" s="131">
        <f>IF(Liquiditätsplan!X78&lt;=0,((-Liquiditätsplan!X78)-Liquiditätsplan!X82),-Liquiditätsplan!X82)</f>
        <v>0</v>
      </c>
      <c r="L36" s="471">
        <f t="shared" ref="L36" si="21">IF(K$40=0,0,K36/K$40)</f>
        <v>0</v>
      </c>
    </row>
    <row r="37" spans="1:13" ht="7.5" customHeight="1" outlineLevel="1" thickTop="1" thickBot="1" x14ac:dyDescent="0.3">
      <c r="A37" s="925"/>
      <c r="B37" s="926"/>
      <c r="C37" s="926"/>
      <c r="D37" s="927"/>
      <c r="E37" s="449"/>
      <c r="F37" s="466"/>
      <c r="G37" s="450"/>
      <c r="H37" s="468"/>
      <c r="I37" s="450"/>
      <c r="J37" s="466"/>
      <c r="K37" s="450"/>
      <c r="L37" s="472"/>
    </row>
    <row r="38" spans="1:13" ht="18.75" customHeight="1" thickBot="1" x14ac:dyDescent="0.3">
      <c r="A38" s="838" t="s">
        <v>195</v>
      </c>
      <c r="B38" s="839"/>
      <c r="C38" s="839"/>
      <c r="D38" s="840"/>
      <c r="E38" s="455">
        <f>SUM(E33:E37)</f>
        <v>333640.95418186957</v>
      </c>
      <c r="F38" s="456">
        <f t="shared" ref="F38:L38" si="22">SUM(F33:F37)</f>
        <v>3.3867020675213881</v>
      </c>
      <c r="G38" s="457">
        <f t="shared" si="22"/>
        <v>519315.28767627489</v>
      </c>
      <c r="H38" s="458">
        <f t="shared" si="22"/>
        <v>4.811742118193914</v>
      </c>
      <c r="I38" s="457">
        <f t="shared" si="22"/>
        <v>301522.5620115808</v>
      </c>
      <c r="J38" s="456">
        <f t="shared" si="22"/>
        <v>3.8641876459256781</v>
      </c>
      <c r="K38" s="457">
        <f t="shared" si="22"/>
        <v>211552.89948937061</v>
      </c>
      <c r="L38" s="459">
        <f t="shared" si="22"/>
        <v>0.523666749915354</v>
      </c>
    </row>
    <row r="39" spans="1:13" ht="7.5" customHeight="1" thickBot="1" x14ac:dyDescent="0.3">
      <c r="A39" s="46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5"/>
    </row>
    <row r="40" spans="1:13" s="47" customFormat="1" ht="18.75" customHeight="1" thickBot="1" x14ac:dyDescent="0.3">
      <c r="A40" s="785" t="s">
        <v>208</v>
      </c>
      <c r="B40" s="786"/>
      <c r="C40" s="786"/>
      <c r="D40" s="931"/>
      <c r="E40" s="451">
        <f t="shared" ref="E40:L40" si="23">E38+E30</f>
        <v>98515</v>
      </c>
      <c r="F40" s="473">
        <f t="shared" si="23"/>
        <v>1</v>
      </c>
      <c r="G40" s="452">
        <f t="shared" si="23"/>
        <v>107926.66666666663</v>
      </c>
      <c r="H40" s="473">
        <f t="shared" si="23"/>
        <v>1</v>
      </c>
      <c r="I40" s="453">
        <f t="shared" si="23"/>
        <v>78030.000000000029</v>
      </c>
      <c r="J40" s="474">
        <f t="shared" si="23"/>
        <v>1</v>
      </c>
      <c r="K40" s="454">
        <f t="shared" si="23"/>
        <v>403983.83041040169</v>
      </c>
      <c r="L40" s="475">
        <f t="shared" si="23"/>
        <v>1</v>
      </c>
      <c r="M40" s="47" t="str">
        <f>IF(OR(ROUND(E40-E22,2)&lt;&gt;0,ROUND(G40-G22,2)&lt;&gt;0,ROUND(I40-I22,2)&lt;&gt;0,ROUND(K40-K22,2)&lt;&gt;0),"Fehler in der Bilanz","")</f>
        <v/>
      </c>
    </row>
    <row r="41" spans="1:13" x14ac:dyDescent="0.25">
      <c r="E41" s="375"/>
      <c r="F41" s="375"/>
      <c r="G41" s="375"/>
      <c r="H41" s="375"/>
      <c r="I41" s="375"/>
      <c r="J41" s="375"/>
      <c r="K41" s="375"/>
      <c r="L41" s="375"/>
    </row>
    <row r="42" spans="1:13" x14ac:dyDescent="0.25">
      <c r="K42" s="375"/>
    </row>
  </sheetData>
  <sheetProtection algorithmName="SHA-512" hashValue="jVT9EinjvkldFtUzgn5wS6HDV5jChcf889lTzt9JAA8qIhQ364rtNhf7nB730hU8liONqr+O6taLIp+E6IAFbA==" saltValue="riH2sUiBwlH/30plYNgu7w==" spinCount="100000" sheet="1" objects="1" scenarios="1" selectLockedCells="1"/>
  <mergeCells count="38">
    <mergeCell ref="A13:L13"/>
    <mergeCell ref="A31:L31"/>
    <mergeCell ref="A38:D38"/>
    <mergeCell ref="A40:D40"/>
    <mergeCell ref="A36:D36"/>
    <mergeCell ref="A35:D35"/>
    <mergeCell ref="A33:D33"/>
    <mergeCell ref="A37:D37"/>
    <mergeCell ref="A34:D34"/>
    <mergeCell ref="A28:D28"/>
    <mergeCell ref="A29:D29"/>
    <mergeCell ref="A30:D30"/>
    <mergeCell ref="E24:F24"/>
    <mergeCell ref="G24:H24"/>
    <mergeCell ref="A26:D26"/>
    <mergeCell ref="A27:D27"/>
    <mergeCell ref="I24:J24"/>
    <mergeCell ref="K24:L24"/>
    <mergeCell ref="A19:D19"/>
    <mergeCell ref="A6:D6"/>
    <mergeCell ref="A7:D7"/>
    <mergeCell ref="A8:D8"/>
    <mergeCell ref="A9:D9"/>
    <mergeCell ref="A10:D10"/>
    <mergeCell ref="A11:D11"/>
    <mergeCell ref="A12:D12"/>
    <mergeCell ref="A20:D20"/>
    <mergeCell ref="A22:D22"/>
    <mergeCell ref="A18:D18"/>
    <mergeCell ref="A17:D17"/>
    <mergeCell ref="A16:D16"/>
    <mergeCell ref="A15:D15"/>
    <mergeCell ref="A1:L1"/>
    <mergeCell ref="E4:F4"/>
    <mergeCell ref="G4:H4"/>
    <mergeCell ref="I4:J4"/>
    <mergeCell ref="K4:L4"/>
    <mergeCell ref="A3:C3"/>
  </mergeCells>
  <dataValidations disablePrompts="1" count="1">
    <dataValidation type="whole" allowBlank="1" showInputMessage="1" showErrorMessage="1" sqref="D8:D10">
      <formula1>1</formula1>
      <formula2>48</formula2>
    </dataValidation>
  </dataValidations>
  <printOptions horizontalCentered="1"/>
  <pageMargins left="0.59055118110236227" right="0.59055118110236227" top="0.78740157480314965" bottom="0.59055118110236227" header="0.31496062992125984" footer="0.31496062992125984"/>
  <pageSetup paperSize="8" fitToHeight="0" orientation="portrait" blackAndWhite="1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pageSetUpPr fitToPage="1"/>
  </sheetPr>
  <dimension ref="A1:H20"/>
  <sheetViews>
    <sheetView view="pageBreakPreview" zoomScale="110" zoomScaleNormal="100" zoomScaleSheetLayoutView="110" workbookViewId="0">
      <selection activeCell="E18" sqref="E18:H18"/>
    </sheetView>
  </sheetViews>
  <sheetFormatPr baseColWidth="10" defaultRowHeight="15" x14ac:dyDescent="0.25"/>
  <cols>
    <col min="1" max="2" width="3.5703125" style="39" customWidth="1"/>
    <col min="3" max="4" width="23.28515625" style="39" customWidth="1"/>
    <col min="5" max="8" width="14.28515625" style="39" customWidth="1"/>
    <col min="9" max="16384" width="11.42578125" style="39"/>
  </cols>
  <sheetData>
    <row r="1" spans="1:8" ht="27" thickBot="1" x14ac:dyDescent="0.3">
      <c r="A1" s="737" t="s">
        <v>216</v>
      </c>
      <c r="B1" s="738"/>
      <c r="C1" s="738"/>
      <c r="D1" s="738"/>
      <c r="E1" s="738"/>
      <c r="F1" s="738"/>
      <c r="G1" s="738"/>
      <c r="H1" s="738"/>
    </row>
    <row r="2" spans="1:8" ht="7.5" customHeight="1" thickBot="1" x14ac:dyDescent="0.3"/>
    <row r="3" spans="1:8" ht="22.5" customHeight="1" thickBot="1" x14ac:dyDescent="0.3">
      <c r="A3" s="488"/>
      <c r="B3" s="489"/>
      <c r="C3" s="489"/>
      <c r="D3" s="490"/>
      <c r="E3" s="487" t="s">
        <v>20</v>
      </c>
      <c r="F3" s="481" t="s">
        <v>25</v>
      </c>
      <c r="G3" s="481" t="s">
        <v>26</v>
      </c>
      <c r="H3" s="480" t="s">
        <v>27</v>
      </c>
    </row>
    <row r="4" spans="1:8" ht="18.75" customHeight="1" thickTop="1" x14ac:dyDescent="0.25">
      <c r="A4" s="491" t="s">
        <v>108</v>
      </c>
      <c r="B4" s="941" t="s">
        <v>121</v>
      </c>
      <c r="C4" s="941"/>
      <c r="D4" s="942"/>
      <c r="E4" s="6">
        <f>'Plan G&amp;V'!Q47</f>
        <v>-270125.95418186957</v>
      </c>
      <c r="F4" s="71">
        <f>'Plan G&amp;V'!V47</f>
        <v>-176262.66682773869</v>
      </c>
      <c r="G4" s="71">
        <f>'Plan G&amp;V'!W47</f>
        <v>187896.0589980275</v>
      </c>
      <c r="H4" s="497">
        <f>'Plan G&amp;V'!X47</f>
        <v>415923.49293261184</v>
      </c>
    </row>
    <row r="5" spans="1:8" ht="18.75" customHeight="1" x14ac:dyDescent="0.25">
      <c r="A5" s="492" t="s">
        <v>108</v>
      </c>
      <c r="B5" s="827" t="s">
        <v>132</v>
      </c>
      <c r="C5" s="827"/>
      <c r="D5" s="828"/>
      <c r="E5" s="10">
        <f>-'Plan G&amp;V'!Q36</f>
        <v>13975.000000000002</v>
      </c>
      <c r="F5" s="75">
        <f>-'Plan G&amp;V'!V36</f>
        <v>13975</v>
      </c>
      <c r="G5" s="75">
        <f>-'Plan G&amp;V'!W36</f>
        <v>45550</v>
      </c>
      <c r="H5" s="292">
        <f>-'Plan G&amp;V'!X36</f>
        <v>31575</v>
      </c>
    </row>
    <row r="6" spans="1:8" ht="18.75" customHeight="1" thickBot="1" x14ac:dyDescent="0.3">
      <c r="A6" s="492" t="s">
        <v>108</v>
      </c>
      <c r="B6" s="827" t="s">
        <v>214</v>
      </c>
      <c r="C6" s="827"/>
      <c r="D6" s="828"/>
      <c r="E6" s="10">
        <f>Planbilanz!E33</f>
        <v>500</v>
      </c>
      <c r="F6" s="75">
        <f>Planbilanz!G33-Planbilanz!E33</f>
        <v>0</v>
      </c>
      <c r="G6" s="75">
        <f>Planbilanz!I33-Planbilanz!G33</f>
        <v>12026.403933201833</v>
      </c>
      <c r="H6" s="292">
        <f>Planbilanz!K33-Planbilanz!I33</f>
        <v>27757.502440606699</v>
      </c>
    </row>
    <row r="7" spans="1:8" ht="7.5" customHeight="1" thickTop="1" thickBot="1" x14ac:dyDescent="0.3">
      <c r="A7" s="928"/>
      <c r="B7" s="929"/>
      <c r="C7" s="929"/>
      <c r="D7" s="930"/>
      <c r="E7" s="27"/>
      <c r="F7" s="31"/>
      <c r="G7" s="31"/>
      <c r="H7" s="34"/>
    </row>
    <row r="8" spans="1:8" ht="18.75" customHeight="1" thickBot="1" x14ac:dyDescent="0.3">
      <c r="A8" s="838" t="s">
        <v>215</v>
      </c>
      <c r="B8" s="839"/>
      <c r="C8" s="839"/>
      <c r="D8" s="840"/>
      <c r="E8" s="444">
        <f>SUM(E4:E7)</f>
        <v>-255650.95418186957</v>
      </c>
      <c r="F8" s="446">
        <f>SUM(F4:F7)</f>
        <v>-162287.66682773869</v>
      </c>
      <c r="G8" s="446">
        <f>SUM(G4:G7)</f>
        <v>245472.46293122933</v>
      </c>
      <c r="H8" s="498">
        <f>SUM(H4:H7)</f>
        <v>475255.99537321855</v>
      </c>
    </row>
    <row r="9" spans="1:8" ht="7.5" customHeight="1" thickBot="1" x14ac:dyDescent="0.3">
      <c r="A9" s="745"/>
      <c r="B9" s="746"/>
      <c r="C9" s="746"/>
      <c r="D9" s="746"/>
      <c r="E9" s="746"/>
      <c r="F9" s="746"/>
      <c r="G9" s="746"/>
      <c r="H9" s="747"/>
    </row>
    <row r="10" spans="1:8" ht="18.75" customHeight="1" x14ac:dyDescent="0.25">
      <c r="A10" s="491" t="s">
        <v>107</v>
      </c>
      <c r="B10" s="941" t="s">
        <v>222</v>
      </c>
      <c r="C10" s="941" t="s">
        <v>217</v>
      </c>
      <c r="D10" s="942" t="s">
        <v>217</v>
      </c>
      <c r="E10" s="501">
        <f>-(Planbilanz!E15)</f>
        <v>0</v>
      </c>
      <c r="F10" s="502">
        <f>-(Planbilanz!G15-Planbilanz!E15)</f>
        <v>0</v>
      </c>
      <c r="G10" s="502">
        <f>-(Planbilanz!I15-Planbilanz!G15)</f>
        <v>0</v>
      </c>
      <c r="H10" s="503">
        <f>-(Planbilanz!K15-Planbilanz!I15)</f>
        <v>0</v>
      </c>
    </row>
    <row r="11" spans="1:8" ht="18.75" customHeight="1" x14ac:dyDescent="0.25">
      <c r="A11" s="492" t="s">
        <v>107</v>
      </c>
      <c r="B11" s="827" t="s">
        <v>223</v>
      </c>
      <c r="C11" s="827" t="s">
        <v>218</v>
      </c>
      <c r="D11" s="828" t="s">
        <v>218</v>
      </c>
      <c r="E11" s="460">
        <f>0-Planbilanz!E16</f>
        <v>-240</v>
      </c>
      <c r="F11" s="75">
        <f>Planbilanz!E16-Planbilanz!G16</f>
        <v>-3386.6666666666861</v>
      </c>
      <c r="G11" s="75">
        <f>Planbilanz!G16-Planbilanz!I16</f>
        <v>921.66666666668607</v>
      </c>
      <c r="H11" s="292">
        <f>Planbilanz!I16-Planbilanz!K16</f>
        <v>185.00000000023283</v>
      </c>
    </row>
    <row r="12" spans="1:8" ht="18.75" customHeight="1" x14ac:dyDescent="0.25">
      <c r="A12" s="492" t="s">
        <v>108</v>
      </c>
      <c r="B12" s="827" t="s">
        <v>224</v>
      </c>
      <c r="C12" s="827" t="s">
        <v>219</v>
      </c>
      <c r="D12" s="828" t="s">
        <v>219</v>
      </c>
      <c r="E12" s="460">
        <f>Planbilanz!E34</f>
        <v>4681.5999999999767</v>
      </c>
      <c r="F12" s="75">
        <f>Planbilanz!G34-Planbilanz!E34</f>
        <v>17600.000000000029</v>
      </c>
      <c r="G12" s="75">
        <f>Planbilanz!I34-Planbilanz!G34</f>
        <v>-7000.0000000000146</v>
      </c>
      <c r="H12" s="292">
        <f>Planbilanz!K34-Planbilanz!I34</f>
        <v>0</v>
      </c>
    </row>
    <row r="13" spans="1:8" ht="18.75" customHeight="1" x14ac:dyDescent="0.25">
      <c r="A13" s="495" t="s">
        <v>107</v>
      </c>
      <c r="B13" s="827" t="s">
        <v>225</v>
      </c>
      <c r="C13" s="827" t="s">
        <v>220</v>
      </c>
      <c r="D13" s="828" t="s">
        <v>220</v>
      </c>
      <c r="E13" s="493">
        <f>-Planbilanz!E17</f>
        <v>0</v>
      </c>
      <c r="F13" s="79">
        <f>Planbilanz!E17-Planbilanz!G17</f>
        <v>0</v>
      </c>
      <c r="G13" s="79">
        <f>Planbilanz!G17-Planbilanz!I17</f>
        <v>0</v>
      </c>
      <c r="H13" s="381">
        <f>Planbilanz!I17-Planbilanz!K17</f>
        <v>0</v>
      </c>
    </row>
    <row r="14" spans="1:8" ht="18.75" customHeight="1" thickBot="1" x14ac:dyDescent="0.3">
      <c r="A14" s="496" t="s">
        <v>108</v>
      </c>
      <c r="B14" s="882" t="s">
        <v>226</v>
      </c>
      <c r="C14" s="882" t="s">
        <v>221</v>
      </c>
      <c r="D14" s="883" t="s">
        <v>221</v>
      </c>
      <c r="E14" s="461">
        <f>Planbilanz!E35</f>
        <v>18290.9200281956</v>
      </c>
      <c r="F14" s="131">
        <f>Planbilanz!G35-Planbilanz!E35</f>
        <v>10094.226874068961</v>
      </c>
      <c r="G14" s="131">
        <f>Planbilanz!I35-Planbilanz!G35</f>
        <v>110029.77665528719</v>
      </c>
      <c r="H14" s="499">
        <f>Planbilanz!K35-Planbilanz!I35</f>
        <v>17572.469558010343</v>
      </c>
    </row>
    <row r="15" spans="1:8" ht="7.5" customHeight="1" thickTop="1" thickBot="1" x14ac:dyDescent="0.3">
      <c r="A15" s="925"/>
      <c r="B15" s="926"/>
      <c r="C15" s="926"/>
      <c r="D15" s="927"/>
      <c r="E15" s="449"/>
      <c r="F15" s="450"/>
      <c r="G15" s="450"/>
      <c r="H15" s="500"/>
    </row>
    <row r="16" spans="1:8" ht="18.75" customHeight="1" thickBot="1" x14ac:dyDescent="0.3">
      <c r="A16" s="838" t="s">
        <v>227</v>
      </c>
      <c r="B16" s="839"/>
      <c r="C16" s="839"/>
      <c r="D16" s="840"/>
      <c r="E16" s="444">
        <f>SUM(E10:E15)</f>
        <v>22732.520028195577</v>
      </c>
      <c r="F16" s="446">
        <f>SUM(F9:F15)</f>
        <v>24307.560207402305</v>
      </c>
      <c r="G16" s="446">
        <f>SUM(G9:G15)</f>
        <v>103951.44332195386</v>
      </c>
      <c r="H16" s="498">
        <f>SUM(H9:H15)</f>
        <v>17757.469558010576</v>
      </c>
    </row>
    <row r="17" spans="1:8" ht="7.5" customHeight="1" thickBot="1" x14ac:dyDescent="0.3">
      <c r="A17" s="46"/>
      <c r="B17" s="44"/>
      <c r="C17" s="44"/>
      <c r="D17" s="44"/>
      <c r="E17" s="44"/>
      <c r="F17" s="44"/>
      <c r="G17" s="44"/>
      <c r="H17" s="45"/>
    </row>
    <row r="18" spans="1:8" s="47" customFormat="1" ht="18.75" customHeight="1" thickBot="1" x14ac:dyDescent="0.3">
      <c r="A18" s="785" t="s">
        <v>228</v>
      </c>
      <c r="B18" s="786"/>
      <c r="C18" s="786"/>
      <c r="D18" s="931"/>
      <c r="E18" s="451">
        <f>E16+E8</f>
        <v>-232918.434153674</v>
      </c>
      <c r="F18" s="452">
        <f>F16+F8</f>
        <v>-137980.10662033639</v>
      </c>
      <c r="G18" s="453">
        <f>G16+G8</f>
        <v>349423.9062531832</v>
      </c>
      <c r="H18" s="334">
        <f>H16+H8</f>
        <v>493013.46493122913</v>
      </c>
    </row>
    <row r="19" spans="1:8" x14ac:dyDescent="0.25">
      <c r="E19" s="375"/>
      <c r="F19" s="375"/>
      <c r="G19" s="375"/>
      <c r="H19" s="375"/>
    </row>
    <row r="20" spans="1:8" x14ac:dyDescent="0.25">
      <c r="H20" s="375"/>
    </row>
  </sheetData>
  <sheetProtection algorithmName="SHA-512" hashValue="Y2rLAf1F501u8Tar5haFmo8UoybeVE6cV71UmwkGjn5s3UjyWm7jEh0EDkLkXrPMoVI11Z4/QtKstmQjh35pug==" saltValue="xQRsExJQLbd24Lrud+j5dw==" spinCount="100000" sheet="1" objects="1" scenarios="1" selectLockedCells="1"/>
  <mergeCells count="15">
    <mergeCell ref="A1:H1"/>
    <mergeCell ref="A16:D16"/>
    <mergeCell ref="A18:D18"/>
    <mergeCell ref="A8:D8"/>
    <mergeCell ref="A9:H9"/>
    <mergeCell ref="A7:D7"/>
    <mergeCell ref="B4:D4"/>
    <mergeCell ref="B5:D5"/>
    <mergeCell ref="B6:D6"/>
    <mergeCell ref="A15:D15"/>
    <mergeCell ref="B13:D13"/>
    <mergeCell ref="B12:D12"/>
    <mergeCell ref="B11:D11"/>
    <mergeCell ref="B10:D10"/>
    <mergeCell ref="B14:D14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81" fitToHeight="0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pageSetUpPr fitToPage="1"/>
  </sheetPr>
  <dimension ref="A1:H14"/>
  <sheetViews>
    <sheetView view="pageBreakPreview" zoomScale="115" zoomScaleNormal="100" zoomScaleSheetLayoutView="115" workbookViewId="0">
      <selection activeCell="H17" sqref="H17"/>
    </sheetView>
  </sheetViews>
  <sheetFormatPr baseColWidth="10" defaultRowHeight="15" x14ac:dyDescent="0.25"/>
  <cols>
    <col min="1" max="4" width="10.140625" style="39" customWidth="1"/>
    <col min="5" max="5" width="12.85546875" style="39" customWidth="1"/>
    <col min="6" max="7" width="13.140625" style="39" customWidth="1"/>
    <col min="8" max="8" width="13.85546875" style="39" customWidth="1"/>
    <col min="9" max="16384" width="11.42578125" style="39"/>
  </cols>
  <sheetData>
    <row r="1" spans="1:8" ht="27" thickBot="1" x14ac:dyDescent="0.3">
      <c r="A1" s="737" t="s">
        <v>229</v>
      </c>
      <c r="B1" s="738"/>
      <c r="C1" s="738"/>
      <c r="D1" s="738"/>
      <c r="E1" s="738"/>
      <c r="F1" s="738"/>
      <c r="G1" s="738"/>
      <c r="H1" s="739"/>
    </row>
    <row r="2" spans="1:8" ht="7.5" customHeight="1" thickBot="1" x14ac:dyDescent="0.3"/>
    <row r="3" spans="1:8" ht="22.5" customHeight="1" thickBot="1" x14ac:dyDescent="0.3">
      <c r="A3" s="488"/>
      <c r="B3" s="489"/>
      <c r="C3" s="489"/>
      <c r="D3" s="490"/>
      <c r="E3" s="487" t="s">
        <v>20</v>
      </c>
      <c r="F3" s="481" t="s">
        <v>25</v>
      </c>
      <c r="G3" s="481" t="s">
        <v>26</v>
      </c>
      <c r="H3" s="480" t="s">
        <v>27</v>
      </c>
    </row>
    <row r="4" spans="1:8" ht="18.75" customHeight="1" thickTop="1" x14ac:dyDescent="0.25">
      <c r="A4" s="946" t="s">
        <v>230</v>
      </c>
      <c r="B4" s="941"/>
      <c r="C4" s="941"/>
      <c r="D4" s="942"/>
      <c r="E4" s="510">
        <f>-'Plan G&amp;V'!Q23/'Plan G&amp;V'!Q18</f>
        <v>2.8138381590957904</v>
      </c>
      <c r="F4" s="511">
        <f>-'Plan G&amp;V'!V23/'Plan G&amp;V'!V18</f>
        <v>1.189308467508398</v>
      </c>
      <c r="G4" s="511">
        <f>-'Plan G&amp;V'!W23/'Plan G&amp;V'!W18</f>
        <v>0.42262674817175688</v>
      </c>
      <c r="H4" s="512">
        <f>-'Plan G&amp;V'!X23/'Plan G&amp;V'!X18</f>
        <v>0.32063102752605677</v>
      </c>
    </row>
    <row r="5" spans="1:8" ht="7.5" customHeight="1" x14ac:dyDescent="0.25">
      <c r="A5" s="371"/>
      <c r="B5" s="372"/>
      <c r="C5" s="372"/>
      <c r="D5" s="373"/>
      <c r="E5" s="299"/>
      <c r="F5" s="303"/>
      <c r="G5" s="303"/>
      <c r="H5" s="304"/>
    </row>
    <row r="6" spans="1:8" ht="18.75" customHeight="1" x14ac:dyDescent="0.25">
      <c r="A6" s="826" t="s">
        <v>231</v>
      </c>
      <c r="B6" s="827"/>
      <c r="C6" s="827"/>
      <c r="D6" s="828"/>
      <c r="E6" s="513">
        <f>Planbilanz!E30/Planbilanz!E40</f>
        <v>-2.3867020675213881</v>
      </c>
      <c r="F6" s="514">
        <f>Planbilanz!G30/Planbilanz!G40</f>
        <v>-3.8117421181939131</v>
      </c>
      <c r="G6" s="514">
        <f>Planbilanz!I30/Planbilanz!I40</f>
        <v>-2.8641876459256785</v>
      </c>
      <c r="H6" s="515">
        <f>Planbilanz!K30/Planbilanz!K40</f>
        <v>0.476333250084646</v>
      </c>
    </row>
    <row r="7" spans="1:8" ht="7.5" customHeight="1" x14ac:dyDescent="0.25">
      <c r="A7" s="504"/>
      <c r="B7" s="505"/>
      <c r="C7" s="505"/>
      <c r="D7" s="506"/>
      <c r="E7" s="507"/>
      <c r="F7" s="508"/>
      <c r="G7" s="508"/>
      <c r="H7" s="509"/>
    </row>
    <row r="8" spans="1:8" ht="18.75" customHeight="1" x14ac:dyDescent="0.25">
      <c r="A8" s="826" t="s">
        <v>232</v>
      </c>
      <c r="B8" s="827"/>
      <c r="C8" s="827"/>
      <c r="D8" s="828"/>
      <c r="E8" s="513">
        <f>Planbilanz!E38/Planbilanz!E40</f>
        <v>3.3867020675213881</v>
      </c>
      <c r="F8" s="514">
        <f>Planbilanz!G38/Planbilanz!G40</f>
        <v>4.8117421181939131</v>
      </c>
      <c r="G8" s="514">
        <f>Planbilanz!I38/Planbilanz!I40</f>
        <v>3.8641876459256785</v>
      </c>
      <c r="H8" s="515">
        <f>Planbilanz!K38/Planbilanz!K40</f>
        <v>0.523666749915354</v>
      </c>
    </row>
    <row r="9" spans="1:8" ht="7.5" customHeight="1" x14ac:dyDescent="0.25">
      <c r="A9" s="504"/>
      <c r="B9" s="505"/>
      <c r="C9" s="505"/>
      <c r="D9" s="506"/>
      <c r="E9" s="299"/>
      <c r="F9" s="303"/>
      <c r="G9" s="303"/>
      <c r="H9" s="304"/>
    </row>
    <row r="10" spans="1:8" ht="18.75" customHeight="1" x14ac:dyDescent="0.25">
      <c r="A10" s="826" t="s">
        <v>233</v>
      </c>
      <c r="B10" s="827"/>
      <c r="C10" s="827"/>
      <c r="D10" s="828"/>
      <c r="E10" s="516">
        <f>('Plan G&amp;V'!Q38+'Plan G&amp;V'!Q40)/'Plan G&amp;V'!Q18</f>
        <v>-3.2389054188605346</v>
      </c>
      <c r="F10" s="517">
        <f>('Plan G&amp;V'!V38+'Plan G&amp;V'!V40)/'Plan G&amp;V'!V18</f>
        <v>-0.72619823459559252</v>
      </c>
      <c r="G10" s="517">
        <f>('Plan G&amp;V'!W38+'Plan G&amp;V'!W40)/'Plan G&amp;V'!W18</f>
        <v>0.37341291133456839</v>
      </c>
      <c r="H10" s="518">
        <f>('Plan G&amp;V'!X38+'Plan G&amp;V'!X40)/'Plan G&amp;V'!X18</f>
        <v>0.54844862059974053</v>
      </c>
    </row>
    <row r="11" spans="1:8" ht="7.5" customHeight="1" x14ac:dyDescent="0.25">
      <c r="A11" s="504"/>
      <c r="B11" s="505"/>
      <c r="C11" s="505"/>
      <c r="D11" s="506"/>
      <c r="E11" s="299"/>
      <c r="F11" s="303"/>
      <c r="G11" s="303"/>
      <c r="H11" s="304"/>
    </row>
    <row r="12" spans="1:8" ht="18.75" customHeight="1" thickBot="1" x14ac:dyDescent="0.3">
      <c r="A12" s="943" t="s">
        <v>264</v>
      </c>
      <c r="B12" s="944"/>
      <c r="C12" s="944"/>
      <c r="D12" s="945"/>
      <c r="E12" s="661">
        <f>'Cash Flow'!E18</f>
        <v>-232918.434153674</v>
      </c>
      <c r="F12" s="662">
        <f>'Cash Flow'!F18</f>
        <v>-137980.10662033639</v>
      </c>
      <c r="G12" s="662">
        <f>'Cash Flow'!G18</f>
        <v>349423.9062531832</v>
      </c>
      <c r="H12" s="663">
        <f>'Cash Flow'!H18</f>
        <v>493013.46493122913</v>
      </c>
    </row>
    <row r="13" spans="1:8" x14ac:dyDescent="0.25">
      <c r="E13" s="375"/>
      <c r="F13" s="375"/>
      <c r="G13" s="375"/>
      <c r="H13" s="375"/>
    </row>
    <row r="14" spans="1:8" x14ac:dyDescent="0.25">
      <c r="E14" s="638"/>
      <c r="H14" s="375"/>
    </row>
  </sheetData>
  <sheetProtection algorithmName="SHA-512" hashValue="31qMTlKfwx/cZ25YBebWBmJpXL7kQ/hbMmyg+Hsj2Uw68oPYVlWHaY9KGDmf35K/x4bXgaqE/nUSXxaI17R0iQ==" saltValue="HI42thWyXFIA7vOoir1/kg==" spinCount="100000" sheet="1" objects="1" scenarios="1" selectLockedCells="1"/>
  <mergeCells count="6">
    <mergeCell ref="A12:D12"/>
    <mergeCell ref="A1:H1"/>
    <mergeCell ref="A4:D4"/>
    <mergeCell ref="A6:D6"/>
    <mergeCell ref="A8:D8"/>
    <mergeCell ref="A10:D10"/>
  </mergeCells>
  <printOptions horizontalCentered="1"/>
  <pageMargins left="0.59055118110236227" right="0.59055118110236227" top="0.78740157480314965" bottom="0.59055118110236227" header="0.31496062992125984" footer="0.31496062992125984"/>
  <pageSetup paperSize="9" scale="96" fitToHeight="0" orientation="portrait" blackAndWhite="1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Q57"/>
  <sheetViews>
    <sheetView view="pageBreakPreview" zoomScale="85" zoomScaleNormal="85" zoomScaleSheetLayoutView="85" workbookViewId="0">
      <selection activeCell="T15" sqref="T15"/>
    </sheetView>
  </sheetViews>
  <sheetFormatPr baseColWidth="10" defaultRowHeight="15" x14ac:dyDescent="0.25"/>
  <cols>
    <col min="1" max="1" width="4.42578125" style="665" customWidth="1"/>
    <col min="2" max="2" width="7.140625" style="665" bestFit="1" customWidth="1"/>
    <col min="3" max="15" width="11.42578125" style="665"/>
    <col min="16" max="16" width="1.42578125" style="665" customWidth="1"/>
    <col min="17" max="18" width="11.42578125" style="665"/>
    <col min="19" max="19" width="11.42578125" style="665" customWidth="1"/>
    <col min="20" max="16384" width="11.42578125" style="665"/>
  </cols>
  <sheetData>
    <row r="1" spans="1:17" s="39" customFormat="1" ht="27" thickBot="1" x14ac:dyDescent="0.3">
      <c r="A1" s="737" t="s">
        <v>151</v>
      </c>
      <c r="B1" s="738"/>
      <c r="C1" s="738"/>
      <c r="D1" s="738"/>
      <c r="E1" s="738"/>
      <c r="F1" s="738"/>
      <c r="G1" s="738"/>
      <c r="H1" s="738"/>
      <c r="I1" s="738"/>
      <c r="J1" s="738"/>
      <c r="K1" s="738"/>
      <c r="L1" s="738"/>
      <c r="M1" s="738"/>
      <c r="N1" s="738"/>
      <c r="O1" s="738"/>
      <c r="P1" s="738"/>
      <c r="Q1" s="739"/>
    </row>
    <row r="2" spans="1:17" ht="7.5" customHeight="1" thickBot="1" x14ac:dyDescent="0.3"/>
    <row r="3" spans="1:17" x14ac:dyDescent="0.25">
      <c r="A3" s="964" t="s">
        <v>267</v>
      </c>
      <c r="B3" s="965"/>
      <c r="C3" s="965"/>
      <c r="D3" s="705">
        <v>5.4179999999999999E-2</v>
      </c>
    </row>
    <row r="4" spans="1:17" x14ac:dyDescent="0.25">
      <c r="A4" s="962" t="s">
        <v>266</v>
      </c>
      <c r="B4" s="963"/>
      <c r="C4" s="963"/>
      <c r="D4" s="706">
        <v>0.7</v>
      </c>
    </row>
    <row r="5" spans="1:17" x14ac:dyDescent="0.25">
      <c r="A5" s="960" t="s">
        <v>271</v>
      </c>
      <c r="B5" s="961"/>
      <c r="C5" s="961"/>
      <c r="D5" s="707">
        <v>10</v>
      </c>
    </row>
    <row r="6" spans="1:17" ht="15.75" thickBot="1" x14ac:dyDescent="0.3">
      <c r="A6" s="958" t="s">
        <v>270</v>
      </c>
      <c r="B6" s="959"/>
      <c r="C6" s="959"/>
      <c r="D6" s="708">
        <v>350</v>
      </c>
    </row>
    <row r="7" spans="1:17" ht="7.5" customHeight="1" thickBot="1" x14ac:dyDescent="0.3">
      <c r="A7" s="704"/>
      <c r="B7" s="704"/>
      <c r="C7" s="704"/>
      <c r="D7" s="667"/>
    </row>
    <row r="8" spans="1:17" ht="18.75" customHeight="1" x14ac:dyDescent="0.25">
      <c r="C8" s="952" t="s">
        <v>268</v>
      </c>
      <c r="D8" s="953"/>
      <c r="E8" s="953"/>
      <c r="F8" s="953"/>
      <c r="G8" s="953"/>
      <c r="H8" s="953"/>
      <c r="I8" s="953"/>
      <c r="J8" s="953"/>
      <c r="K8" s="953"/>
      <c r="L8" s="953"/>
      <c r="M8" s="953"/>
      <c r="N8" s="953"/>
      <c r="O8" s="954"/>
      <c r="P8" s="666"/>
    </row>
    <row r="9" spans="1:17" ht="18.75" customHeight="1" thickBot="1" x14ac:dyDescent="0.3">
      <c r="C9" s="681">
        <v>0.5</v>
      </c>
      <c r="D9" s="682">
        <v>1</v>
      </c>
      <c r="E9" s="682">
        <v>1.5</v>
      </c>
      <c r="F9" s="682">
        <v>2</v>
      </c>
      <c r="G9" s="682">
        <v>2.5</v>
      </c>
      <c r="H9" s="682">
        <v>3</v>
      </c>
      <c r="I9" s="682">
        <v>3.5</v>
      </c>
      <c r="J9" s="682">
        <v>4</v>
      </c>
      <c r="K9" s="682">
        <v>4.5</v>
      </c>
      <c r="L9" s="682">
        <v>5</v>
      </c>
      <c r="M9" s="682">
        <v>7.5</v>
      </c>
      <c r="N9" s="709">
        <v>8</v>
      </c>
      <c r="O9" s="683">
        <v>10</v>
      </c>
      <c r="P9" s="676"/>
    </row>
    <row r="10" spans="1:17" ht="18.75" customHeight="1" thickTop="1" x14ac:dyDescent="0.25">
      <c r="A10" s="955" t="s">
        <v>269</v>
      </c>
      <c r="B10" s="684">
        <v>0.05</v>
      </c>
      <c r="C10" s="677">
        <f>ROUNDUP(((((24*365*$D$4)*C$9)*$D$3*$B10)*($D$5/2)+$D$6)/100,0)*100</f>
        <v>400</v>
      </c>
      <c r="D10" s="678">
        <f t="shared" ref="D10:O16" si="0">ROUNDUP(((((24*365*$D$4)*D$9)*$D$3*$B10)*($D$5/2)+$D$6)/100,0)*100</f>
        <v>500</v>
      </c>
      <c r="E10" s="678">
        <f t="shared" si="0"/>
        <v>500</v>
      </c>
      <c r="F10" s="678">
        <f t="shared" si="0"/>
        <v>600</v>
      </c>
      <c r="G10" s="678">
        <f t="shared" si="0"/>
        <v>600</v>
      </c>
      <c r="H10" s="678">
        <f t="shared" si="0"/>
        <v>600</v>
      </c>
      <c r="I10" s="678">
        <f t="shared" si="0"/>
        <v>700</v>
      </c>
      <c r="J10" s="678">
        <f t="shared" si="0"/>
        <v>700</v>
      </c>
      <c r="K10" s="678">
        <f t="shared" si="0"/>
        <v>800</v>
      </c>
      <c r="L10" s="678">
        <f t="shared" si="0"/>
        <v>800</v>
      </c>
      <c r="M10" s="678">
        <f t="shared" si="0"/>
        <v>1000</v>
      </c>
      <c r="N10" s="678">
        <f t="shared" si="0"/>
        <v>1100</v>
      </c>
      <c r="O10" s="687">
        <f t="shared" si="0"/>
        <v>1200</v>
      </c>
      <c r="P10" s="692"/>
      <c r="Q10" s="695">
        <f>AVERAGE(C10:O10)</f>
        <v>730.76923076923072</v>
      </c>
    </row>
    <row r="11" spans="1:17" ht="18.75" customHeight="1" x14ac:dyDescent="0.25">
      <c r="A11" s="956"/>
      <c r="B11" s="685">
        <v>0.06</v>
      </c>
      <c r="C11" s="679">
        <f t="shared" ref="C11:C55" si="1">ROUNDUP(((((24*365*$D$4)*C$9)*$D$3*$B11)*($D$5/2)+$D$6)/100,0)*100</f>
        <v>400</v>
      </c>
      <c r="D11" s="680">
        <f t="shared" si="0"/>
        <v>500</v>
      </c>
      <c r="E11" s="680">
        <f t="shared" si="0"/>
        <v>500</v>
      </c>
      <c r="F11" s="680">
        <f t="shared" si="0"/>
        <v>600</v>
      </c>
      <c r="G11" s="680">
        <f t="shared" si="0"/>
        <v>600</v>
      </c>
      <c r="H11" s="680">
        <f t="shared" si="0"/>
        <v>700</v>
      </c>
      <c r="I11" s="680">
        <f t="shared" si="0"/>
        <v>700</v>
      </c>
      <c r="J11" s="680">
        <f t="shared" si="0"/>
        <v>800</v>
      </c>
      <c r="K11" s="680">
        <f t="shared" si="0"/>
        <v>800</v>
      </c>
      <c r="L11" s="680">
        <f t="shared" si="0"/>
        <v>900</v>
      </c>
      <c r="M11" s="680">
        <f t="shared" si="0"/>
        <v>1100</v>
      </c>
      <c r="N11" s="680">
        <f t="shared" si="0"/>
        <v>1200</v>
      </c>
      <c r="O11" s="688">
        <f t="shared" si="0"/>
        <v>1400</v>
      </c>
      <c r="P11" s="693"/>
      <c r="Q11" s="696">
        <f t="shared" ref="Q11:Q55" si="2">AVERAGE(C11:O11)</f>
        <v>784.61538461538464</v>
      </c>
    </row>
    <row r="12" spans="1:17" ht="18.75" customHeight="1" x14ac:dyDescent="0.25">
      <c r="A12" s="956"/>
      <c r="B12" s="685">
        <v>7.0000000000000007E-2</v>
      </c>
      <c r="C12" s="679">
        <f t="shared" si="1"/>
        <v>500</v>
      </c>
      <c r="D12" s="680">
        <f t="shared" si="0"/>
        <v>500</v>
      </c>
      <c r="E12" s="680">
        <f t="shared" si="0"/>
        <v>600</v>
      </c>
      <c r="F12" s="680">
        <f t="shared" si="0"/>
        <v>600</v>
      </c>
      <c r="G12" s="680">
        <f t="shared" si="0"/>
        <v>700</v>
      </c>
      <c r="H12" s="680">
        <f t="shared" si="0"/>
        <v>700</v>
      </c>
      <c r="I12" s="680">
        <f t="shared" si="0"/>
        <v>800</v>
      </c>
      <c r="J12" s="680">
        <f t="shared" si="0"/>
        <v>900</v>
      </c>
      <c r="K12" s="680">
        <f t="shared" si="0"/>
        <v>900</v>
      </c>
      <c r="L12" s="680">
        <f t="shared" si="0"/>
        <v>1000</v>
      </c>
      <c r="M12" s="680">
        <f t="shared" si="0"/>
        <v>1300</v>
      </c>
      <c r="N12" s="680">
        <f t="shared" si="0"/>
        <v>1300</v>
      </c>
      <c r="O12" s="688">
        <f t="shared" si="0"/>
        <v>1600</v>
      </c>
      <c r="P12" s="693"/>
      <c r="Q12" s="696">
        <f t="shared" si="2"/>
        <v>876.92307692307691</v>
      </c>
    </row>
    <row r="13" spans="1:17" ht="18.75" customHeight="1" x14ac:dyDescent="0.25">
      <c r="A13" s="956"/>
      <c r="B13" s="685">
        <v>0.08</v>
      </c>
      <c r="C13" s="679">
        <f t="shared" si="1"/>
        <v>500</v>
      </c>
      <c r="D13" s="680">
        <f t="shared" si="0"/>
        <v>500</v>
      </c>
      <c r="E13" s="680">
        <f t="shared" si="0"/>
        <v>600</v>
      </c>
      <c r="F13" s="680">
        <f t="shared" si="0"/>
        <v>700</v>
      </c>
      <c r="G13" s="680">
        <f t="shared" si="0"/>
        <v>700</v>
      </c>
      <c r="H13" s="680">
        <f t="shared" si="0"/>
        <v>800</v>
      </c>
      <c r="I13" s="680">
        <f t="shared" si="0"/>
        <v>900</v>
      </c>
      <c r="J13" s="680">
        <f t="shared" si="0"/>
        <v>900</v>
      </c>
      <c r="K13" s="680">
        <f t="shared" si="0"/>
        <v>1000</v>
      </c>
      <c r="L13" s="680">
        <f t="shared" si="0"/>
        <v>1100</v>
      </c>
      <c r="M13" s="680">
        <f t="shared" si="0"/>
        <v>1400</v>
      </c>
      <c r="N13" s="680">
        <f t="shared" si="0"/>
        <v>1500</v>
      </c>
      <c r="O13" s="688">
        <f t="shared" si="0"/>
        <v>1700</v>
      </c>
      <c r="P13" s="693"/>
      <c r="Q13" s="696">
        <f t="shared" si="2"/>
        <v>946.15384615384619</v>
      </c>
    </row>
    <row r="14" spans="1:17" ht="18.75" customHeight="1" x14ac:dyDescent="0.25">
      <c r="A14" s="956"/>
      <c r="B14" s="685">
        <v>0.09</v>
      </c>
      <c r="C14" s="679">
        <f t="shared" si="1"/>
        <v>500</v>
      </c>
      <c r="D14" s="680">
        <f t="shared" si="0"/>
        <v>500</v>
      </c>
      <c r="E14" s="680">
        <f t="shared" si="0"/>
        <v>600</v>
      </c>
      <c r="F14" s="680">
        <f t="shared" si="0"/>
        <v>700</v>
      </c>
      <c r="G14" s="680">
        <f t="shared" si="0"/>
        <v>800</v>
      </c>
      <c r="H14" s="680">
        <f t="shared" si="0"/>
        <v>800</v>
      </c>
      <c r="I14" s="680">
        <f t="shared" si="0"/>
        <v>900</v>
      </c>
      <c r="J14" s="680">
        <f t="shared" si="0"/>
        <v>1000</v>
      </c>
      <c r="K14" s="680">
        <f t="shared" si="0"/>
        <v>1100</v>
      </c>
      <c r="L14" s="680">
        <f t="shared" si="0"/>
        <v>1100</v>
      </c>
      <c r="M14" s="680">
        <f t="shared" si="0"/>
        <v>1500</v>
      </c>
      <c r="N14" s="680">
        <f t="shared" si="0"/>
        <v>1600</v>
      </c>
      <c r="O14" s="688">
        <f t="shared" si="0"/>
        <v>1900</v>
      </c>
      <c r="P14" s="693"/>
      <c r="Q14" s="696">
        <f t="shared" si="2"/>
        <v>1000</v>
      </c>
    </row>
    <row r="15" spans="1:17" ht="18.75" customHeight="1" x14ac:dyDescent="0.25">
      <c r="A15" s="956"/>
      <c r="B15" s="685">
        <v>0.1</v>
      </c>
      <c r="C15" s="679">
        <f t="shared" si="1"/>
        <v>500</v>
      </c>
      <c r="D15" s="680">
        <f t="shared" si="0"/>
        <v>600</v>
      </c>
      <c r="E15" s="680">
        <f t="shared" si="0"/>
        <v>600</v>
      </c>
      <c r="F15" s="680">
        <f t="shared" si="0"/>
        <v>700</v>
      </c>
      <c r="G15" s="680">
        <f t="shared" si="0"/>
        <v>800</v>
      </c>
      <c r="H15" s="680">
        <f t="shared" si="0"/>
        <v>900</v>
      </c>
      <c r="I15" s="680">
        <f t="shared" si="0"/>
        <v>1000</v>
      </c>
      <c r="J15" s="680">
        <f t="shared" si="0"/>
        <v>1100</v>
      </c>
      <c r="K15" s="680">
        <f t="shared" si="0"/>
        <v>1100</v>
      </c>
      <c r="L15" s="680">
        <f t="shared" si="0"/>
        <v>1200</v>
      </c>
      <c r="M15" s="680">
        <f t="shared" si="0"/>
        <v>1600</v>
      </c>
      <c r="N15" s="680">
        <f t="shared" si="0"/>
        <v>1700</v>
      </c>
      <c r="O15" s="688">
        <f t="shared" si="0"/>
        <v>2100</v>
      </c>
      <c r="P15" s="693"/>
      <c r="Q15" s="696">
        <f t="shared" si="2"/>
        <v>1069.2307692307693</v>
      </c>
    </row>
    <row r="16" spans="1:17" ht="18.75" customHeight="1" x14ac:dyDescent="0.25">
      <c r="A16" s="956"/>
      <c r="B16" s="685">
        <v>0.11</v>
      </c>
      <c r="C16" s="679">
        <f t="shared" si="1"/>
        <v>500</v>
      </c>
      <c r="D16" s="680">
        <f t="shared" si="0"/>
        <v>600</v>
      </c>
      <c r="E16" s="680">
        <f t="shared" si="0"/>
        <v>700</v>
      </c>
      <c r="F16" s="680">
        <f t="shared" si="0"/>
        <v>800</v>
      </c>
      <c r="G16" s="680">
        <f t="shared" ref="D16:O37" si="3">ROUNDUP(((((24*365*$D$4)*G$9)*$D$3*$B16)*($D$5/2)+$D$6)/100,0)*100</f>
        <v>900</v>
      </c>
      <c r="H16" s="680">
        <f t="shared" si="3"/>
        <v>900</v>
      </c>
      <c r="I16" s="680">
        <f t="shared" si="3"/>
        <v>1000</v>
      </c>
      <c r="J16" s="680">
        <f t="shared" si="3"/>
        <v>1100</v>
      </c>
      <c r="K16" s="680">
        <f t="shared" si="3"/>
        <v>1200</v>
      </c>
      <c r="L16" s="680">
        <f t="shared" si="3"/>
        <v>1300</v>
      </c>
      <c r="M16" s="680">
        <f t="shared" si="3"/>
        <v>1800</v>
      </c>
      <c r="N16" s="680">
        <f t="shared" si="3"/>
        <v>1900</v>
      </c>
      <c r="O16" s="688">
        <f t="shared" si="3"/>
        <v>2200</v>
      </c>
      <c r="P16" s="693"/>
      <c r="Q16" s="696">
        <f t="shared" si="2"/>
        <v>1146.1538461538462</v>
      </c>
    </row>
    <row r="17" spans="1:17" ht="18.75" customHeight="1" x14ac:dyDescent="0.25">
      <c r="A17" s="956"/>
      <c r="B17" s="685">
        <v>0.12</v>
      </c>
      <c r="C17" s="679">
        <f t="shared" si="1"/>
        <v>500</v>
      </c>
      <c r="D17" s="680">
        <f t="shared" si="3"/>
        <v>600</v>
      </c>
      <c r="E17" s="680">
        <f t="shared" si="3"/>
        <v>700</v>
      </c>
      <c r="F17" s="680">
        <f t="shared" si="3"/>
        <v>800</v>
      </c>
      <c r="G17" s="680">
        <f t="shared" si="3"/>
        <v>900</v>
      </c>
      <c r="H17" s="680">
        <f t="shared" si="3"/>
        <v>1000</v>
      </c>
      <c r="I17" s="680">
        <f t="shared" si="3"/>
        <v>1100</v>
      </c>
      <c r="J17" s="680">
        <f t="shared" si="3"/>
        <v>1200</v>
      </c>
      <c r="K17" s="680">
        <f t="shared" si="3"/>
        <v>1300</v>
      </c>
      <c r="L17" s="680">
        <f t="shared" si="3"/>
        <v>1400</v>
      </c>
      <c r="M17" s="680">
        <f t="shared" si="3"/>
        <v>1900</v>
      </c>
      <c r="N17" s="680">
        <f t="shared" si="3"/>
        <v>2000</v>
      </c>
      <c r="O17" s="688">
        <f t="shared" si="3"/>
        <v>2400</v>
      </c>
      <c r="P17" s="693"/>
      <c r="Q17" s="696">
        <f t="shared" si="2"/>
        <v>1215.3846153846155</v>
      </c>
    </row>
    <row r="18" spans="1:17" ht="18.75" customHeight="1" x14ac:dyDescent="0.25">
      <c r="A18" s="956"/>
      <c r="B18" s="685">
        <v>0.13</v>
      </c>
      <c r="C18" s="679">
        <f t="shared" si="1"/>
        <v>500</v>
      </c>
      <c r="D18" s="680">
        <f t="shared" si="3"/>
        <v>600</v>
      </c>
      <c r="E18" s="680">
        <f t="shared" si="3"/>
        <v>700</v>
      </c>
      <c r="F18" s="680">
        <f t="shared" si="3"/>
        <v>800</v>
      </c>
      <c r="G18" s="680">
        <f t="shared" si="3"/>
        <v>900</v>
      </c>
      <c r="H18" s="680">
        <f t="shared" si="3"/>
        <v>1000</v>
      </c>
      <c r="I18" s="680">
        <f t="shared" si="3"/>
        <v>1200</v>
      </c>
      <c r="J18" s="680">
        <f t="shared" si="3"/>
        <v>1300</v>
      </c>
      <c r="K18" s="680">
        <f t="shared" si="3"/>
        <v>1400</v>
      </c>
      <c r="L18" s="680">
        <f t="shared" si="3"/>
        <v>1500</v>
      </c>
      <c r="M18" s="680">
        <f t="shared" si="3"/>
        <v>2000</v>
      </c>
      <c r="N18" s="680">
        <f t="shared" si="3"/>
        <v>2100</v>
      </c>
      <c r="O18" s="688">
        <f t="shared" si="3"/>
        <v>2600</v>
      </c>
      <c r="P18" s="693"/>
      <c r="Q18" s="696">
        <f t="shared" si="2"/>
        <v>1276.9230769230769</v>
      </c>
    </row>
    <row r="19" spans="1:17" ht="18.75" customHeight="1" x14ac:dyDescent="0.25">
      <c r="A19" s="956"/>
      <c r="B19" s="685">
        <v>0.14000000000000001</v>
      </c>
      <c r="C19" s="679">
        <f t="shared" si="1"/>
        <v>500</v>
      </c>
      <c r="D19" s="680">
        <f t="shared" si="3"/>
        <v>600</v>
      </c>
      <c r="E19" s="680">
        <f t="shared" si="3"/>
        <v>700</v>
      </c>
      <c r="F19" s="680">
        <f t="shared" si="3"/>
        <v>900</v>
      </c>
      <c r="G19" s="680">
        <f t="shared" si="3"/>
        <v>1000</v>
      </c>
      <c r="H19" s="680">
        <f t="shared" si="3"/>
        <v>1100</v>
      </c>
      <c r="I19" s="680">
        <f t="shared" si="3"/>
        <v>1200</v>
      </c>
      <c r="J19" s="680">
        <f t="shared" si="3"/>
        <v>1300</v>
      </c>
      <c r="K19" s="680">
        <f t="shared" si="3"/>
        <v>1400</v>
      </c>
      <c r="L19" s="680">
        <f t="shared" si="3"/>
        <v>1600</v>
      </c>
      <c r="M19" s="680">
        <f t="shared" si="3"/>
        <v>2100</v>
      </c>
      <c r="N19" s="680">
        <f t="shared" si="3"/>
        <v>2300</v>
      </c>
      <c r="O19" s="688">
        <f t="shared" si="3"/>
        <v>2700</v>
      </c>
      <c r="P19" s="693"/>
      <c r="Q19" s="696">
        <f t="shared" si="2"/>
        <v>1338.4615384615386</v>
      </c>
    </row>
    <row r="20" spans="1:17" ht="18.75" customHeight="1" x14ac:dyDescent="0.25">
      <c r="A20" s="956"/>
      <c r="B20" s="685">
        <v>0.15</v>
      </c>
      <c r="C20" s="679">
        <f t="shared" si="1"/>
        <v>500</v>
      </c>
      <c r="D20" s="680">
        <f t="shared" si="3"/>
        <v>600</v>
      </c>
      <c r="E20" s="680">
        <f t="shared" si="3"/>
        <v>800</v>
      </c>
      <c r="F20" s="680">
        <f t="shared" si="3"/>
        <v>900</v>
      </c>
      <c r="G20" s="680">
        <f t="shared" si="3"/>
        <v>1000</v>
      </c>
      <c r="H20" s="680">
        <f t="shared" si="3"/>
        <v>1100</v>
      </c>
      <c r="I20" s="680">
        <f t="shared" si="3"/>
        <v>1300</v>
      </c>
      <c r="J20" s="680">
        <f t="shared" si="3"/>
        <v>1400</v>
      </c>
      <c r="K20" s="680">
        <f t="shared" si="3"/>
        <v>1500</v>
      </c>
      <c r="L20" s="680">
        <f t="shared" si="3"/>
        <v>1600</v>
      </c>
      <c r="M20" s="680">
        <f t="shared" si="3"/>
        <v>2300</v>
      </c>
      <c r="N20" s="680">
        <f t="shared" si="3"/>
        <v>2400</v>
      </c>
      <c r="O20" s="688">
        <f t="shared" si="3"/>
        <v>2900</v>
      </c>
      <c r="P20" s="693"/>
      <c r="Q20" s="696">
        <f t="shared" si="2"/>
        <v>1407.6923076923076</v>
      </c>
    </row>
    <row r="21" spans="1:17" ht="18.75" customHeight="1" x14ac:dyDescent="0.25">
      <c r="A21" s="956"/>
      <c r="B21" s="685">
        <v>0.16</v>
      </c>
      <c r="C21" s="679">
        <f t="shared" si="1"/>
        <v>500</v>
      </c>
      <c r="D21" s="680">
        <f t="shared" si="3"/>
        <v>700</v>
      </c>
      <c r="E21" s="680">
        <f t="shared" si="3"/>
        <v>800</v>
      </c>
      <c r="F21" s="680">
        <f t="shared" si="3"/>
        <v>900</v>
      </c>
      <c r="G21" s="680">
        <f t="shared" si="3"/>
        <v>1100</v>
      </c>
      <c r="H21" s="680">
        <f t="shared" si="3"/>
        <v>1200</v>
      </c>
      <c r="I21" s="680">
        <f t="shared" si="3"/>
        <v>1300</v>
      </c>
      <c r="J21" s="680">
        <f t="shared" si="3"/>
        <v>1500</v>
      </c>
      <c r="K21" s="680">
        <f t="shared" si="3"/>
        <v>1600</v>
      </c>
      <c r="L21" s="680">
        <f t="shared" si="3"/>
        <v>1700</v>
      </c>
      <c r="M21" s="680">
        <f t="shared" si="3"/>
        <v>2400</v>
      </c>
      <c r="N21" s="680">
        <f t="shared" si="3"/>
        <v>2500</v>
      </c>
      <c r="O21" s="688">
        <f t="shared" si="3"/>
        <v>3100</v>
      </c>
      <c r="P21" s="693"/>
      <c r="Q21" s="696">
        <f t="shared" si="2"/>
        <v>1484.6153846153845</v>
      </c>
    </row>
    <row r="22" spans="1:17" ht="18.75" customHeight="1" x14ac:dyDescent="0.25">
      <c r="A22" s="956"/>
      <c r="B22" s="685">
        <v>0.17</v>
      </c>
      <c r="C22" s="679">
        <f t="shared" si="1"/>
        <v>500</v>
      </c>
      <c r="D22" s="680">
        <f t="shared" si="3"/>
        <v>700</v>
      </c>
      <c r="E22" s="680">
        <f t="shared" si="3"/>
        <v>800</v>
      </c>
      <c r="F22" s="680">
        <f t="shared" si="3"/>
        <v>1000</v>
      </c>
      <c r="G22" s="680">
        <f t="shared" si="3"/>
        <v>1100</v>
      </c>
      <c r="H22" s="680">
        <f t="shared" si="3"/>
        <v>1200</v>
      </c>
      <c r="I22" s="680">
        <f t="shared" si="3"/>
        <v>1400</v>
      </c>
      <c r="J22" s="680">
        <f t="shared" si="3"/>
        <v>1500</v>
      </c>
      <c r="K22" s="680">
        <f t="shared" si="3"/>
        <v>1700</v>
      </c>
      <c r="L22" s="680">
        <f t="shared" si="3"/>
        <v>1800</v>
      </c>
      <c r="M22" s="680">
        <f t="shared" si="3"/>
        <v>2500</v>
      </c>
      <c r="N22" s="680">
        <f t="shared" si="3"/>
        <v>2700</v>
      </c>
      <c r="O22" s="688">
        <f t="shared" si="3"/>
        <v>3200</v>
      </c>
      <c r="P22" s="693"/>
      <c r="Q22" s="696">
        <f t="shared" si="2"/>
        <v>1546.1538461538462</v>
      </c>
    </row>
    <row r="23" spans="1:17" ht="18.75" customHeight="1" x14ac:dyDescent="0.25">
      <c r="A23" s="956"/>
      <c r="B23" s="685">
        <v>0.18</v>
      </c>
      <c r="C23" s="679">
        <f t="shared" si="1"/>
        <v>500</v>
      </c>
      <c r="D23" s="680">
        <f t="shared" si="3"/>
        <v>700</v>
      </c>
      <c r="E23" s="680">
        <f t="shared" si="3"/>
        <v>800</v>
      </c>
      <c r="F23" s="680">
        <f t="shared" si="3"/>
        <v>1000</v>
      </c>
      <c r="G23" s="680">
        <f t="shared" si="3"/>
        <v>1100</v>
      </c>
      <c r="H23" s="680">
        <f t="shared" si="3"/>
        <v>1300</v>
      </c>
      <c r="I23" s="680">
        <f t="shared" si="3"/>
        <v>1400</v>
      </c>
      <c r="J23" s="680">
        <f t="shared" si="3"/>
        <v>1600</v>
      </c>
      <c r="K23" s="680">
        <f t="shared" si="3"/>
        <v>1700</v>
      </c>
      <c r="L23" s="680">
        <f t="shared" si="3"/>
        <v>1900</v>
      </c>
      <c r="M23" s="680">
        <f t="shared" si="3"/>
        <v>2600</v>
      </c>
      <c r="N23" s="680">
        <f t="shared" si="3"/>
        <v>2800</v>
      </c>
      <c r="O23" s="688">
        <f t="shared" si="3"/>
        <v>3400</v>
      </c>
      <c r="P23" s="693"/>
      <c r="Q23" s="696">
        <f t="shared" si="2"/>
        <v>1600</v>
      </c>
    </row>
    <row r="24" spans="1:17" ht="18.75" customHeight="1" x14ac:dyDescent="0.25">
      <c r="A24" s="956"/>
      <c r="B24" s="685">
        <v>0.19</v>
      </c>
      <c r="C24" s="679">
        <f t="shared" si="1"/>
        <v>600</v>
      </c>
      <c r="D24" s="680">
        <f t="shared" si="3"/>
        <v>700</v>
      </c>
      <c r="E24" s="680">
        <f t="shared" si="3"/>
        <v>900</v>
      </c>
      <c r="F24" s="680">
        <f t="shared" si="3"/>
        <v>1000</v>
      </c>
      <c r="G24" s="680">
        <f t="shared" si="3"/>
        <v>1200</v>
      </c>
      <c r="H24" s="680">
        <f t="shared" si="3"/>
        <v>1300</v>
      </c>
      <c r="I24" s="680">
        <f t="shared" si="3"/>
        <v>1500</v>
      </c>
      <c r="J24" s="680">
        <f t="shared" si="3"/>
        <v>1700</v>
      </c>
      <c r="K24" s="680">
        <f t="shared" si="3"/>
        <v>1800</v>
      </c>
      <c r="L24" s="680">
        <f t="shared" si="3"/>
        <v>2000</v>
      </c>
      <c r="M24" s="680">
        <f t="shared" si="3"/>
        <v>2800</v>
      </c>
      <c r="N24" s="680">
        <f t="shared" si="3"/>
        <v>2900</v>
      </c>
      <c r="O24" s="688">
        <f t="shared" si="3"/>
        <v>3600</v>
      </c>
      <c r="P24" s="693"/>
      <c r="Q24" s="696">
        <f t="shared" si="2"/>
        <v>1692.3076923076924</v>
      </c>
    </row>
    <row r="25" spans="1:17" ht="18.75" customHeight="1" x14ac:dyDescent="0.25">
      <c r="A25" s="956"/>
      <c r="B25" s="685">
        <v>0.2</v>
      </c>
      <c r="C25" s="679">
        <f t="shared" si="1"/>
        <v>600</v>
      </c>
      <c r="D25" s="680">
        <f t="shared" si="3"/>
        <v>700</v>
      </c>
      <c r="E25" s="680">
        <f t="shared" si="3"/>
        <v>900</v>
      </c>
      <c r="F25" s="680">
        <f t="shared" si="3"/>
        <v>1100</v>
      </c>
      <c r="G25" s="680">
        <f t="shared" si="3"/>
        <v>1200</v>
      </c>
      <c r="H25" s="680">
        <f t="shared" si="3"/>
        <v>1400</v>
      </c>
      <c r="I25" s="680">
        <f t="shared" si="3"/>
        <v>1600</v>
      </c>
      <c r="J25" s="680">
        <f t="shared" si="3"/>
        <v>1700</v>
      </c>
      <c r="K25" s="680">
        <f t="shared" si="3"/>
        <v>1900</v>
      </c>
      <c r="L25" s="680">
        <f t="shared" si="3"/>
        <v>2100</v>
      </c>
      <c r="M25" s="680">
        <f t="shared" si="3"/>
        <v>2900</v>
      </c>
      <c r="N25" s="680">
        <f t="shared" si="3"/>
        <v>3100</v>
      </c>
      <c r="O25" s="688">
        <f t="shared" si="3"/>
        <v>3700</v>
      </c>
      <c r="P25" s="693"/>
      <c r="Q25" s="696">
        <f t="shared" si="2"/>
        <v>1761.5384615384614</v>
      </c>
    </row>
    <row r="26" spans="1:17" ht="18.75" customHeight="1" x14ac:dyDescent="0.25">
      <c r="A26" s="956"/>
      <c r="B26" s="685">
        <v>0.21</v>
      </c>
      <c r="C26" s="679">
        <f t="shared" si="1"/>
        <v>600</v>
      </c>
      <c r="D26" s="680">
        <f t="shared" si="3"/>
        <v>700</v>
      </c>
      <c r="E26" s="680">
        <f t="shared" si="3"/>
        <v>900</v>
      </c>
      <c r="F26" s="680">
        <f t="shared" si="3"/>
        <v>1100</v>
      </c>
      <c r="G26" s="680">
        <f t="shared" si="3"/>
        <v>1300</v>
      </c>
      <c r="H26" s="680">
        <f t="shared" si="3"/>
        <v>1400</v>
      </c>
      <c r="I26" s="680">
        <f t="shared" si="3"/>
        <v>1600</v>
      </c>
      <c r="J26" s="680">
        <f t="shared" si="3"/>
        <v>1800</v>
      </c>
      <c r="K26" s="680">
        <f t="shared" si="3"/>
        <v>2000</v>
      </c>
      <c r="L26" s="680">
        <f t="shared" si="3"/>
        <v>2100</v>
      </c>
      <c r="M26" s="680">
        <f t="shared" si="3"/>
        <v>3000</v>
      </c>
      <c r="N26" s="680">
        <f t="shared" si="3"/>
        <v>3200</v>
      </c>
      <c r="O26" s="688">
        <f t="shared" si="3"/>
        <v>3900</v>
      </c>
      <c r="P26" s="693"/>
      <c r="Q26" s="696">
        <f t="shared" si="2"/>
        <v>1815.3846153846155</v>
      </c>
    </row>
    <row r="27" spans="1:17" ht="18.75" customHeight="1" x14ac:dyDescent="0.25">
      <c r="A27" s="956"/>
      <c r="B27" s="685">
        <v>0.22</v>
      </c>
      <c r="C27" s="679">
        <f t="shared" si="1"/>
        <v>600</v>
      </c>
      <c r="D27" s="680">
        <f t="shared" si="3"/>
        <v>800</v>
      </c>
      <c r="E27" s="680">
        <f t="shared" si="3"/>
        <v>900</v>
      </c>
      <c r="F27" s="680">
        <f t="shared" si="3"/>
        <v>1100</v>
      </c>
      <c r="G27" s="680">
        <f t="shared" si="3"/>
        <v>1300</v>
      </c>
      <c r="H27" s="680">
        <f t="shared" si="3"/>
        <v>1500</v>
      </c>
      <c r="I27" s="680">
        <f t="shared" si="3"/>
        <v>1700</v>
      </c>
      <c r="J27" s="680">
        <f t="shared" si="3"/>
        <v>1900</v>
      </c>
      <c r="K27" s="680">
        <f t="shared" si="3"/>
        <v>2000</v>
      </c>
      <c r="L27" s="680">
        <f t="shared" si="3"/>
        <v>2200</v>
      </c>
      <c r="M27" s="680">
        <f t="shared" si="3"/>
        <v>3100</v>
      </c>
      <c r="N27" s="680">
        <f t="shared" si="3"/>
        <v>3300</v>
      </c>
      <c r="O27" s="688">
        <f t="shared" si="3"/>
        <v>4100</v>
      </c>
      <c r="P27" s="693"/>
      <c r="Q27" s="696">
        <f t="shared" si="2"/>
        <v>1884.6153846153845</v>
      </c>
    </row>
    <row r="28" spans="1:17" ht="18.75" customHeight="1" x14ac:dyDescent="0.25">
      <c r="A28" s="956"/>
      <c r="B28" s="685">
        <v>0.23</v>
      </c>
      <c r="C28" s="679">
        <f t="shared" si="1"/>
        <v>600</v>
      </c>
      <c r="D28" s="680">
        <f t="shared" si="3"/>
        <v>800</v>
      </c>
      <c r="E28" s="680">
        <f t="shared" si="3"/>
        <v>1000</v>
      </c>
      <c r="F28" s="680">
        <f t="shared" si="3"/>
        <v>1200</v>
      </c>
      <c r="G28" s="680">
        <f t="shared" si="3"/>
        <v>1400</v>
      </c>
      <c r="H28" s="680">
        <f t="shared" si="3"/>
        <v>1500</v>
      </c>
      <c r="I28" s="680">
        <f t="shared" si="3"/>
        <v>1700</v>
      </c>
      <c r="J28" s="680">
        <f t="shared" si="3"/>
        <v>1900</v>
      </c>
      <c r="K28" s="680">
        <f t="shared" si="3"/>
        <v>2100</v>
      </c>
      <c r="L28" s="680">
        <f t="shared" si="3"/>
        <v>2300</v>
      </c>
      <c r="M28" s="680">
        <f t="shared" si="3"/>
        <v>3300</v>
      </c>
      <c r="N28" s="680">
        <f t="shared" si="3"/>
        <v>3500</v>
      </c>
      <c r="O28" s="688">
        <f t="shared" si="3"/>
        <v>4200</v>
      </c>
      <c r="P28" s="693"/>
      <c r="Q28" s="696">
        <f t="shared" si="2"/>
        <v>1961.5384615384614</v>
      </c>
    </row>
    <row r="29" spans="1:17" ht="18.75" customHeight="1" x14ac:dyDescent="0.25">
      <c r="A29" s="956"/>
      <c r="B29" s="685">
        <v>0.24</v>
      </c>
      <c r="C29" s="679">
        <f t="shared" si="1"/>
        <v>600</v>
      </c>
      <c r="D29" s="680">
        <f t="shared" si="3"/>
        <v>800</v>
      </c>
      <c r="E29" s="680">
        <f t="shared" si="3"/>
        <v>1000</v>
      </c>
      <c r="F29" s="680">
        <f t="shared" si="3"/>
        <v>1200</v>
      </c>
      <c r="G29" s="680">
        <f t="shared" si="3"/>
        <v>1400</v>
      </c>
      <c r="H29" s="680">
        <f t="shared" si="3"/>
        <v>1600</v>
      </c>
      <c r="I29" s="680">
        <f t="shared" si="3"/>
        <v>1800</v>
      </c>
      <c r="J29" s="680">
        <f t="shared" si="3"/>
        <v>2000</v>
      </c>
      <c r="K29" s="680">
        <f t="shared" si="3"/>
        <v>2200</v>
      </c>
      <c r="L29" s="680">
        <f t="shared" si="3"/>
        <v>2400</v>
      </c>
      <c r="M29" s="680">
        <f t="shared" si="3"/>
        <v>3400</v>
      </c>
      <c r="N29" s="680">
        <f t="shared" si="3"/>
        <v>3600</v>
      </c>
      <c r="O29" s="688">
        <f t="shared" si="3"/>
        <v>4400</v>
      </c>
      <c r="P29" s="693"/>
      <c r="Q29" s="696">
        <f t="shared" si="2"/>
        <v>2030.7692307692307</v>
      </c>
    </row>
    <row r="30" spans="1:17" ht="18.75" customHeight="1" x14ac:dyDescent="0.25">
      <c r="A30" s="956"/>
      <c r="B30" s="685">
        <v>0.25</v>
      </c>
      <c r="C30" s="679">
        <f t="shared" si="1"/>
        <v>600</v>
      </c>
      <c r="D30" s="680">
        <f t="shared" si="3"/>
        <v>800</v>
      </c>
      <c r="E30" s="680">
        <f t="shared" si="3"/>
        <v>1000</v>
      </c>
      <c r="F30" s="680">
        <f t="shared" si="3"/>
        <v>1200</v>
      </c>
      <c r="G30" s="680">
        <f t="shared" si="3"/>
        <v>1400</v>
      </c>
      <c r="H30" s="680">
        <f t="shared" si="3"/>
        <v>1600</v>
      </c>
      <c r="I30" s="680">
        <f t="shared" si="3"/>
        <v>1900</v>
      </c>
      <c r="J30" s="680">
        <f t="shared" si="3"/>
        <v>2100</v>
      </c>
      <c r="K30" s="680">
        <f t="shared" si="3"/>
        <v>2300</v>
      </c>
      <c r="L30" s="680">
        <f t="shared" si="3"/>
        <v>2500</v>
      </c>
      <c r="M30" s="680">
        <f t="shared" si="3"/>
        <v>3500</v>
      </c>
      <c r="N30" s="680">
        <f t="shared" si="3"/>
        <v>3700</v>
      </c>
      <c r="O30" s="688">
        <f t="shared" si="3"/>
        <v>4600</v>
      </c>
      <c r="P30" s="693"/>
      <c r="Q30" s="696">
        <f t="shared" si="2"/>
        <v>2092.3076923076924</v>
      </c>
    </row>
    <row r="31" spans="1:17" ht="18.75" customHeight="1" x14ac:dyDescent="0.25">
      <c r="A31" s="956"/>
      <c r="B31" s="685">
        <v>0.26</v>
      </c>
      <c r="C31" s="679">
        <f t="shared" si="1"/>
        <v>600</v>
      </c>
      <c r="D31" s="680">
        <f t="shared" si="3"/>
        <v>800</v>
      </c>
      <c r="E31" s="680">
        <f t="shared" si="3"/>
        <v>1000</v>
      </c>
      <c r="F31" s="680">
        <f t="shared" si="3"/>
        <v>1300</v>
      </c>
      <c r="G31" s="680">
        <f t="shared" si="3"/>
        <v>1500</v>
      </c>
      <c r="H31" s="680">
        <f t="shared" si="3"/>
        <v>1700</v>
      </c>
      <c r="I31" s="680">
        <f t="shared" si="3"/>
        <v>1900</v>
      </c>
      <c r="J31" s="680">
        <f t="shared" si="3"/>
        <v>2100</v>
      </c>
      <c r="K31" s="680">
        <f t="shared" si="3"/>
        <v>2300</v>
      </c>
      <c r="L31" s="680">
        <f t="shared" si="3"/>
        <v>2600</v>
      </c>
      <c r="M31" s="680">
        <f t="shared" si="3"/>
        <v>3600</v>
      </c>
      <c r="N31" s="680">
        <f t="shared" si="3"/>
        <v>3900</v>
      </c>
      <c r="O31" s="688">
        <f t="shared" si="3"/>
        <v>4700</v>
      </c>
      <c r="P31" s="693"/>
      <c r="Q31" s="696">
        <f t="shared" si="2"/>
        <v>2153.8461538461538</v>
      </c>
    </row>
    <row r="32" spans="1:17" ht="18.75" customHeight="1" x14ac:dyDescent="0.25">
      <c r="A32" s="956"/>
      <c r="B32" s="685">
        <v>0.27</v>
      </c>
      <c r="C32" s="679">
        <f t="shared" si="1"/>
        <v>600</v>
      </c>
      <c r="D32" s="680">
        <f t="shared" si="3"/>
        <v>800</v>
      </c>
      <c r="E32" s="680">
        <f t="shared" si="3"/>
        <v>1100</v>
      </c>
      <c r="F32" s="680">
        <f t="shared" si="3"/>
        <v>1300</v>
      </c>
      <c r="G32" s="680">
        <f t="shared" si="3"/>
        <v>1500</v>
      </c>
      <c r="H32" s="680">
        <f t="shared" si="3"/>
        <v>1700</v>
      </c>
      <c r="I32" s="680">
        <f t="shared" si="3"/>
        <v>2000</v>
      </c>
      <c r="J32" s="680">
        <f t="shared" si="3"/>
        <v>2200</v>
      </c>
      <c r="K32" s="680">
        <f t="shared" si="3"/>
        <v>2400</v>
      </c>
      <c r="L32" s="680">
        <f t="shared" si="3"/>
        <v>2600</v>
      </c>
      <c r="M32" s="680">
        <f t="shared" si="3"/>
        <v>3800</v>
      </c>
      <c r="N32" s="680">
        <f t="shared" si="3"/>
        <v>4000</v>
      </c>
      <c r="O32" s="688">
        <f t="shared" si="3"/>
        <v>4900</v>
      </c>
      <c r="P32" s="693"/>
      <c r="Q32" s="696">
        <f t="shared" si="2"/>
        <v>2223.0769230769229</v>
      </c>
    </row>
    <row r="33" spans="1:17" ht="18.75" customHeight="1" x14ac:dyDescent="0.25">
      <c r="A33" s="956"/>
      <c r="B33" s="685">
        <v>0.28000000000000003</v>
      </c>
      <c r="C33" s="679">
        <f t="shared" si="1"/>
        <v>600</v>
      </c>
      <c r="D33" s="680">
        <f t="shared" si="3"/>
        <v>900</v>
      </c>
      <c r="E33" s="680">
        <f t="shared" si="3"/>
        <v>1100</v>
      </c>
      <c r="F33" s="680">
        <f t="shared" si="3"/>
        <v>1300</v>
      </c>
      <c r="G33" s="680">
        <f t="shared" si="3"/>
        <v>1600</v>
      </c>
      <c r="H33" s="680">
        <f t="shared" si="3"/>
        <v>1800</v>
      </c>
      <c r="I33" s="680">
        <f t="shared" si="3"/>
        <v>2000</v>
      </c>
      <c r="J33" s="680">
        <f t="shared" si="3"/>
        <v>2300</v>
      </c>
      <c r="K33" s="680">
        <f t="shared" si="3"/>
        <v>2500</v>
      </c>
      <c r="L33" s="680">
        <f t="shared" si="3"/>
        <v>2700</v>
      </c>
      <c r="M33" s="680">
        <f t="shared" si="3"/>
        <v>3900</v>
      </c>
      <c r="N33" s="680">
        <f t="shared" si="3"/>
        <v>4100</v>
      </c>
      <c r="O33" s="688">
        <f t="shared" si="3"/>
        <v>5100</v>
      </c>
      <c r="P33" s="693"/>
      <c r="Q33" s="696">
        <f t="shared" si="2"/>
        <v>2300</v>
      </c>
    </row>
    <row r="34" spans="1:17" ht="18.75" customHeight="1" x14ac:dyDescent="0.25">
      <c r="A34" s="956"/>
      <c r="B34" s="685">
        <v>0.28999999999999998</v>
      </c>
      <c r="C34" s="679">
        <f t="shared" si="1"/>
        <v>600</v>
      </c>
      <c r="D34" s="680">
        <f t="shared" si="3"/>
        <v>900</v>
      </c>
      <c r="E34" s="680">
        <f t="shared" si="3"/>
        <v>1100</v>
      </c>
      <c r="F34" s="680">
        <f t="shared" si="3"/>
        <v>1400</v>
      </c>
      <c r="G34" s="680">
        <f t="shared" si="3"/>
        <v>1600</v>
      </c>
      <c r="H34" s="680">
        <f t="shared" si="3"/>
        <v>1800</v>
      </c>
      <c r="I34" s="680">
        <f t="shared" si="3"/>
        <v>2100</v>
      </c>
      <c r="J34" s="680">
        <f t="shared" si="3"/>
        <v>2300</v>
      </c>
      <c r="K34" s="680">
        <f t="shared" si="3"/>
        <v>2600</v>
      </c>
      <c r="L34" s="680">
        <f t="shared" si="3"/>
        <v>2800</v>
      </c>
      <c r="M34" s="680">
        <f t="shared" si="3"/>
        <v>4000</v>
      </c>
      <c r="N34" s="680">
        <f t="shared" si="3"/>
        <v>4300</v>
      </c>
      <c r="O34" s="688">
        <f t="shared" si="3"/>
        <v>5200</v>
      </c>
      <c r="P34" s="693"/>
      <c r="Q34" s="696">
        <f t="shared" si="2"/>
        <v>2361.5384615384614</v>
      </c>
    </row>
    <row r="35" spans="1:17" ht="18.75" customHeight="1" x14ac:dyDescent="0.25">
      <c r="A35" s="956"/>
      <c r="B35" s="685">
        <v>0.3</v>
      </c>
      <c r="C35" s="679">
        <f t="shared" si="1"/>
        <v>600</v>
      </c>
      <c r="D35" s="680">
        <f t="shared" si="3"/>
        <v>900</v>
      </c>
      <c r="E35" s="680">
        <f t="shared" si="3"/>
        <v>1100</v>
      </c>
      <c r="F35" s="680">
        <f t="shared" si="3"/>
        <v>1400</v>
      </c>
      <c r="G35" s="680">
        <f t="shared" si="3"/>
        <v>1600</v>
      </c>
      <c r="H35" s="680">
        <f t="shared" si="3"/>
        <v>1900</v>
      </c>
      <c r="I35" s="680">
        <f t="shared" si="3"/>
        <v>2100</v>
      </c>
      <c r="J35" s="680">
        <f t="shared" si="3"/>
        <v>2400</v>
      </c>
      <c r="K35" s="680">
        <f t="shared" si="3"/>
        <v>2600</v>
      </c>
      <c r="L35" s="680">
        <f t="shared" si="3"/>
        <v>2900</v>
      </c>
      <c r="M35" s="680">
        <f t="shared" si="3"/>
        <v>4100</v>
      </c>
      <c r="N35" s="680">
        <f t="shared" si="3"/>
        <v>4400</v>
      </c>
      <c r="O35" s="688">
        <f t="shared" si="3"/>
        <v>5400</v>
      </c>
      <c r="P35" s="693"/>
      <c r="Q35" s="696">
        <f t="shared" si="2"/>
        <v>2415.3846153846152</v>
      </c>
    </row>
    <row r="36" spans="1:17" ht="18.75" customHeight="1" x14ac:dyDescent="0.25">
      <c r="A36" s="956"/>
      <c r="B36" s="685">
        <v>0.31</v>
      </c>
      <c r="C36" s="679">
        <f t="shared" si="1"/>
        <v>700</v>
      </c>
      <c r="D36" s="680">
        <f t="shared" si="3"/>
        <v>900</v>
      </c>
      <c r="E36" s="680">
        <f t="shared" si="3"/>
        <v>1200</v>
      </c>
      <c r="F36" s="680">
        <f t="shared" si="3"/>
        <v>1400</v>
      </c>
      <c r="G36" s="680">
        <f t="shared" si="3"/>
        <v>1700</v>
      </c>
      <c r="H36" s="680">
        <f t="shared" si="3"/>
        <v>1900</v>
      </c>
      <c r="I36" s="680">
        <f t="shared" si="3"/>
        <v>2200</v>
      </c>
      <c r="J36" s="680">
        <f t="shared" si="3"/>
        <v>2500</v>
      </c>
      <c r="K36" s="680">
        <f t="shared" si="3"/>
        <v>2700</v>
      </c>
      <c r="L36" s="680">
        <f t="shared" si="3"/>
        <v>3000</v>
      </c>
      <c r="M36" s="680">
        <f t="shared" si="3"/>
        <v>4300</v>
      </c>
      <c r="N36" s="680">
        <f t="shared" si="3"/>
        <v>4500</v>
      </c>
      <c r="O36" s="688">
        <f t="shared" si="3"/>
        <v>5500</v>
      </c>
      <c r="P36" s="693"/>
      <c r="Q36" s="696">
        <f t="shared" si="2"/>
        <v>2500</v>
      </c>
    </row>
    <row r="37" spans="1:17" ht="18.75" customHeight="1" x14ac:dyDescent="0.25">
      <c r="A37" s="956"/>
      <c r="B37" s="685">
        <v>0.32</v>
      </c>
      <c r="C37" s="679">
        <f t="shared" si="1"/>
        <v>700</v>
      </c>
      <c r="D37" s="680">
        <f t="shared" si="3"/>
        <v>900</v>
      </c>
      <c r="E37" s="680">
        <f t="shared" si="3"/>
        <v>1200</v>
      </c>
      <c r="F37" s="680">
        <f t="shared" si="3"/>
        <v>1500</v>
      </c>
      <c r="G37" s="680">
        <f t="shared" si="3"/>
        <v>1700</v>
      </c>
      <c r="H37" s="680">
        <f t="shared" si="3"/>
        <v>2000</v>
      </c>
      <c r="I37" s="680">
        <f t="shared" si="3"/>
        <v>2300</v>
      </c>
      <c r="J37" s="680">
        <f t="shared" ref="D37:O55" si="4">ROUNDUP(((((24*365*$D$4)*J$9)*$D$3*$B37)*($D$5/2)+$D$6)/100,0)*100</f>
        <v>2500</v>
      </c>
      <c r="K37" s="680">
        <f t="shared" si="4"/>
        <v>2800</v>
      </c>
      <c r="L37" s="680">
        <f t="shared" si="4"/>
        <v>3100</v>
      </c>
      <c r="M37" s="680">
        <f t="shared" si="4"/>
        <v>4400</v>
      </c>
      <c r="N37" s="680">
        <f t="shared" si="4"/>
        <v>4700</v>
      </c>
      <c r="O37" s="688">
        <f t="shared" si="4"/>
        <v>5700</v>
      </c>
      <c r="P37" s="693"/>
      <c r="Q37" s="696">
        <f t="shared" si="2"/>
        <v>2576.9230769230771</v>
      </c>
    </row>
    <row r="38" spans="1:17" ht="18.75" customHeight="1" x14ac:dyDescent="0.25">
      <c r="A38" s="956"/>
      <c r="B38" s="685">
        <v>0.33</v>
      </c>
      <c r="C38" s="679">
        <f t="shared" si="1"/>
        <v>700</v>
      </c>
      <c r="D38" s="680">
        <f t="shared" si="4"/>
        <v>900</v>
      </c>
      <c r="E38" s="680">
        <f t="shared" si="4"/>
        <v>1200</v>
      </c>
      <c r="F38" s="680">
        <f t="shared" si="4"/>
        <v>1500</v>
      </c>
      <c r="G38" s="680">
        <f t="shared" si="4"/>
        <v>1800</v>
      </c>
      <c r="H38" s="680">
        <f t="shared" si="4"/>
        <v>2000</v>
      </c>
      <c r="I38" s="680">
        <f t="shared" si="4"/>
        <v>2300</v>
      </c>
      <c r="J38" s="680">
        <f t="shared" si="4"/>
        <v>2600</v>
      </c>
      <c r="K38" s="680">
        <f t="shared" si="4"/>
        <v>2900</v>
      </c>
      <c r="L38" s="680">
        <f t="shared" si="4"/>
        <v>3100</v>
      </c>
      <c r="M38" s="680">
        <f t="shared" si="4"/>
        <v>4500</v>
      </c>
      <c r="N38" s="680">
        <f t="shared" si="4"/>
        <v>4800</v>
      </c>
      <c r="O38" s="688">
        <f t="shared" si="4"/>
        <v>5900</v>
      </c>
      <c r="P38" s="693"/>
      <c r="Q38" s="696">
        <f t="shared" si="2"/>
        <v>2630.7692307692309</v>
      </c>
    </row>
    <row r="39" spans="1:17" ht="18.75" customHeight="1" x14ac:dyDescent="0.25">
      <c r="A39" s="956"/>
      <c r="B39" s="685">
        <v>0.34</v>
      </c>
      <c r="C39" s="679">
        <f t="shared" si="1"/>
        <v>700</v>
      </c>
      <c r="D39" s="680">
        <f t="shared" si="4"/>
        <v>1000</v>
      </c>
      <c r="E39" s="680">
        <f t="shared" si="4"/>
        <v>1200</v>
      </c>
      <c r="F39" s="680">
        <f t="shared" si="4"/>
        <v>1500</v>
      </c>
      <c r="G39" s="680">
        <f t="shared" si="4"/>
        <v>1800</v>
      </c>
      <c r="H39" s="680">
        <f t="shared" si="4"/>
        <v>2100</v>
      </c>
      <c r="I39" s="680">
        <f t="shared" si="4"/>
        <v>2400</v>
      </c>
      <c r="J39" s="680">
        <f t="shared" si="4"/>
        <v>2700</v>
      </c>
      <c r="K39" s="680">
        <f t="shared" si="4"/>
        <v>2900</v>
      </c>
      <c r="L39" s="680">
        <f t="shared" si="4"/>
        <v>3200</v>
      </c>
      <c r="M39" s="680">
        <f t="shared" si="4"/>
        <v>4600</v>
      </c>
      <c r="N39" s="680">
        <f t="shared" si="4"/>
        <v>4900</v>
      </c>
      <c r="O39" s="688">
        <f t="shared" si="4"/>
        <v>6000</v>
      </c>
      <c r="P39" s="693"/>
      <c r="Q39" s="696">
        <f t="shared" si="2"/>
        <v>2692.3076923076924</v>
      </c>
    </row>
    <row r="40" spans="1:17" ht="18.75" customHeight="1" x14ac:dyDescent="0.25">
      <c r="A40" s="956"/>
      <c r="B40" s="685">
        <v>0.35</v>
      </c>
      <c r="C40" s="679">
        <f t="shared" si="1"/>
        <v>700</v>
      </c>
      <c r="D40" s="680">
        <f t="shared" si="4"/>
        <v>1000</v>
      </c>
      <c r="E40" s="680">
        <f t="shared" si="4"/>
        <v>1300</v>
      </c>
      <c r="F40" s="680">
        <f t="shared" si="4"/>
        <v>1600</v>
      </c>
      <c r="G40" s="680">
        <f t="shared" si="4"/>
        <v>1900</v>
      </c>
      <c r="H40" s="680">
        <f t="shared" si="4"/>
        <v>2100</v>
      </c>
      <c r="I40" s="680">
        <f t="shared" si="4"/>
        <v>2400</v>
      </c>
      <c r="J40" s="680">
        <f t="shared" si="4"/>
        <v>2700</v>
      </c>
      <c r="K40" s="680">
        <f t="shared" si="4"/>
        <v>3000</v>
      </c>
      <c r="L40" s="680">
        <f t="shared" si="4"/>
        <v>3300</v>
      </c>
      <c r="M40" s="680">
        <f t="shared" si="4"/>
        <v>4800</v>
      </c>
      <c r="N40" s="680">
        <f t="shared" si="4"/>
        <v>5100</v>
      </c>
      <c r="O40" s="688">
        <f t="shared" si="4"/>
        <v>6200</v>
      </c>
      <c r="P40" s="693"/>
      <c r="Q40" s="696">
        <f t="shared" si="2"/>
        <v>2776.9230769230771</v>
      </c>
    </row>
    <row r="41" spans="1:17" ht="18.75" customHeight="1" x14ac:dyDescent="0.25">
      <c r="A41" s="956"/>
      <c r="B41" s="685">
        <v>0.36</v>
      </c>
      <c r="C41" s="679">
        <f t="shared" si="1"/>
        <v>700</v>
      </c>
      <c r="D41" s="680">
        <f t="shared" si="4"/>
        <v>1000</v>
      </c>
      <c r="E41" s="680">
        <f t="shared" si="4"/>
        <v>1300</v>
      </c>
      <c r="F41" s="680">
        <f t="shared" si="4"/>
        <v>1600</v>
      </c>
      <c r="G41" s="680">
        <f t="shared" si="4"/>
        <v>1900</v>
      </c>
      <c r="H41" s="680">
        <f t="shared" si="4"/>
        <v>2200</v>
      </c>
      <c r="I41" s="680">
        <f t="shared" si="4"/>
        <v>2500</v>
      </c>
      <c r="J41" s="680">
        <f t="shared" si="4"/>
        <v>2800</v>
      </c>
      <c r="K41" s="680">
        <f t="shared" si="4"/>
        <v>3100</v>
      </c>
      <c r="L41" s="680">
        <f t="shared" si="4"/>
        <v>3400</v>
      </c>
      <c r="M41" s="680">
        <f t="shared" si="4"/>
        <v>4900</v>
      </c>
      <c r="N41" s="680">
        <f t="shared" si="4"/>
        <v>5200</v>
      </c>
      <c r="O41" s="688">
        <f t="shared" si="4"/>
        <v>6400</v>
      </c>
      <c r="P41" s="693"/>
      <c r="Q41" s="696">
        <f t="shared" si="2"/>
        <v>2846.1538461538462</v>
      </c>
    </row>
    <row r="42" spans="1:17" ht="18.75" customHeight="1" x14ac:dyDescent="0.25">
      <c r="A42" s="956"/>
      <c r="B42" s="685">
        <v>0.37</v>
      </c>
      <c r="C42" s="679">
        <f t="shared" si="1"/>
        <v>700</v>
      </c>
      <c r="D42" s="680">
        <f t="shared" si="4"/>
        <v>1000</v>
      </c>
      <c r="E42" s="680">
        <f t="shared" si="4"/>
        <v>1300</v>
      </c>
      <c r="F42" s="680">
        <f t="shared" si="4"/>
        <v>1600</v>
      </c>
      <c r="G42" s="680">
        <f t="shared" si="4"/>
        <v>1900</v>
      </c>
      <c r="H42" s="680">
        <f t="shared" si="4"/>
        <v>2200</v>
      </c>
      <c r="I42" s="680">
        <f t="shared" si="4"/>
        <v>2600</v>
      </c>
      <c r="J42" s="680">
        <f t="shared" si="4"/>
        <v>2900</v>
      </c>
      <c r="K42" s="680">
        <f t="shared" si="4"/>
        <v>3200</v>
      </c>
      <c r="L42" s="680">
        <f t="shared" si="4"/>
        <v>3500</v>
      </c>
      <c r="M42" s="680">
        <f t="shared" si="4"/>
        <v>5000</v>
      </c>
      <c r="N42" s="680">
        <f t="shared" si="4"/>
        <v>5300</v>
      </c>
      <c r="O42" s="688">
        <f t="shared" si="4"/>
        <v>6500</v>
      </c>
      <c r="P42" s="693"/>
      <c r="Q42" s="696">
        <f t="shared" si="2"/>
        <v>2900</v>
      </c>
    </row>
    <row r="43" spans="1:17" ht="18.75" customHeight="1" x14ac:dyDescent="0.25">
      <c r="A43" s="956"/>
      <c r="B43" s="685">
        <v>0.38</v>
      </c>
      <c r="C43" s="679">
        <f t="shared" si="1"/>
        <v>700</v>
      </c>
      <c r="D43" s="680">
        <f t="shared" si="4"/>
        <v>1000</v>
      </c>
      <c r="E43" s="680">
        <f t="shared" si="4"/>
        <v>1300</v>
      </c>
      <c r="F43" s="680">
        <f t="shared" si="4"/>
        <v>1700</v>
      </c>
      <c r="G43" s="680">
        <f t="shared" si="4"/>
        <v>2000</v>
      </c>
      <c r="H43" s="680">
        <f t="shared" si="4"/>
        <v>2300</v>
      </c>
      <c r="I43" s="680">
        <f t="shared" si="4"/>
        <v>2600</v>
      </c>
      <c r="J43" s="680">
        <f t="shared" si="4"/>
        <v>2900</v>
      </c>
      <c r="K43" s="680">
        <f t="shared" si="4"/>
        <v>3200</v>
      </c>
      <c r="L43" s="680">
        <f t="shared" si="4"/>
        <v>3600</v>
      </c>
      <c r="M43" s="680">
        <f t="shared" si="4"/>
        <v>5100</v>
      </c>
      <c r="N43" s="680">
        <f t="shared" si="4"/>
        <v>5400</v>
      </c>
      <c r="O43" s="688">
        <f t="shared" si="4"/>
        <v>6700</v>
      </c>
      <c r="P43" s="693"/>
      <c r="Q43" s="696">
        <f t="shared" si="2"/>
        <v>2961.5384615384614</v>
      </c>
    </row>
    <row r="44" spans="1:17" ht="18.75" customHeight="1" x14ac:dyDescent="0.25">
      <c r="A44" s="956"/>
      <c r="B44" s="685">
        <v>0.39</v>
      </c>
      <c r="C44" s="679">
        <f t="shared" si="1"/>
        <v>700</v>
      </c>
      <c r="D44" s="680">
        <f t="shared" si="4"/>
        <v>1000</v>
      </c>
      <c r="E44" s="680">
        <f t="shared" si="4"/>
        <v>1400</v>
      </c>
      <c r="F44" s="680">
        <f t="shared" si="4"/>
        <v>1700</v>
      </c>
      <c r="G44" s="680">
        <f t="shared" si="4"/>
        <v>2000</v>
      </c>
      <c r="H44" s="680">
        <f t="shared" si="4"/>
        <v>2300</v>
      </c>
      <c r="I44" s="680">
        <f t="shared" si="4"/>
        <v>2700</v>
      </c>
      <c r="J44" s="680">
        <f t="shared" si="4"/>
        <v>3000</v>
      </c>
      <c r="K44" s="680">
        <f t="shared" si="4"/>
        <v>3300</v>
      </c>
      <c r="L44" s="680">
        <f t="shared" si="4"/>
        <v>3600</v>
      </c>
      <c r="M44" s="680">
        <f t="shared" si="4"/>
        <v>5300</v>
      </c>
      <c r="N44" s="680">
        <f t="shared" si="4"/>
        <v>5600</v>
      </c>
      <c r="O44" s="688">
        <f t="shared" si="4"/>
        <v>6900</v>
      </c>
      <c r="P44" s="693"/>
      <c r="Q44" s="696">
        <f t="shared" si="2"/>
        <v>3038.4615384615386</v>
      </c>
    </row>
    <row r="45" spans="1:17" ht="18.75" customHeight="1" x14ac:dyDescent="0.25">
      <c r="A45" s="956"/>
      <c r="B45" s="685">
        <v>0.4</v>
      </c>
      <c r="C45" s="679">
        <f t="shared" si="1"/>
        <v>700</v>
      </c>
      <c r="D45" s="680">
        <f t="shared" si="4"/>
        <v>1100</v>
      </c>
      <c r="E45" s="680">
        <f t="shared" si="4"/>
        <v>1400</v>
      </c>
      <c r="F45" s="680">
        <f t="shared" si="4"/>
        <v>1700</v>
      </c>
      <c r="G45" s="680">
        <f t="shared" si="4"/>
        <v>2100</v>
      </c>
      <c r="H45" s="680">
        <f t="shared" si="4"/>
        <v>2400</v>
      </c>
      <c r="I45" s="680">
        <f t="shared" si="4"/>
        <v>2700</v>
      </c>
      <c r="J45" s="680">
        <f t="shared" si="4"/>
        <v>3100</v>
      </c>
      <c r="K45" s="680">
        <f t="shared" si="4"/>
        <v>3400</v>
      </c>
      <c r="L45" s="680">
        <f t="shared" si="4"/>
        <v>3700</v>
      </c>
      <c r="M45" s="680">
        <f t="shared" si="4"/>
        <v>5400</v>
      </c>
      <c r="N45" s="680">
        <f t="shared" si="4"/>
        <v>5700</v>
      </c>
      <c r="O45" s="688">
        <f t="shared" si="4"/>
        <v>7000</v>
      </c>
      <c r="P45" s="693"/>
      <c r="Q45" s="696">
        <f t="shared" si="2"/>
        <v>3107.6923076923076</v>
      </c>
    </row>
    <row r="46" spans="1:17" ht="18.75" customHeight="1" x14ac:dyDescent="0.25">
      <c r="A46" s="956"/>
      <c r="B46" s="685">
        <v>0.41</v>
      </c>
      <c r="C46" s="679">
        <f t="shared" si="1"/>
        <v>700</v>
      </c>
      <c r="D46" s="680">
        <f t="shared" si="4"/>
        <v>1100</v>
      </c>
      <c r="E46" s="680">
        <f t="shared" si="4"/>
        <v>1400</v>
      </c>
      <c r="F46" s="680">
        <f t="shared" si="4"/>
        <v>1800</v>
      </c>
      <c r="G46" s="680">
        <f t="shared" si="4"/>
        <v>2100</v>
      </c>
      <c r="H46" s="680">
        <f t="shared" si="4"/>
        <v>2400</v>
      </c>
      <c r="I46" s="680">
        <f t="shared" si="4"/>
        <v>2800</v>
      </c>
      <c r="J46" s="680">
        <f t="shared" si="4"/>
        <v>3100</v>
      </c>
      <c r="K46" s="680">
        <f t="shared" si="4"/>
        <v>3500</v>
      </c>
      <c r="L46" s="680">
        <f t="shared" si="4"/>
        <v>3800</v>
      </c>
      <c r="M46" s="680">
        <f t="shared" si="4"/>
        <v>5500</v>
      </c>
      <c r="N46" s="680">
        <f t="shared" si="4"/>
        <v>5800</v>
      </c>
      <c r="O46" s="688">
        <f t="shared" si="4"/>
        <v>7200</v>
      </c>
      <c r="P46" s="693"/>
      <c r="Q46" s="696">
        <f t="shared" si="2"/>
        <v>3169.2307692307691</v>
      </c>
    </row>
    <row r="47" spans="1:17" ht="18.75" customHeight="1" x14ac:dyDescent="0.25">
      <c r="A47" s="956"/>
      <c r="B47" s="685">
        <v>0.42</v>
      </c>
      <c r="C47" s="679">
        <f t="shared" si="1"/>
        <v>700</v>
      </c>
      <c r="D47" s="680">
        <f t="shared" si="4"/>
        <v>1100</v>
      </c>
      <c r="E47" s="680">
        <f t="shared" si="4"/>
        <v>1400</v>
      </c>
      <c r="F47" s="680">
        <f t="shared" si="4"/>
        <v>1800</v>
      </c>
      <c r="G47" s="680">
        <f t="shared" si="4"/>
        <v>2100</v>
      </c>
      <c r="H47" s="680">
        <f t="shared" si="4"/>
        <v>2500</v>
      </c>
      <c r="I47" s="680">
        <f t="shared" si="4"/>
        <v>2800</v>
      </c>
      <c r="J47" s="680">
        <f t="shared" si="4"/>
        <v>3200</v>
      </c>
      <c r="K47" s="680">
        <f t="shared" si="4"/>
        <v>3500</v>
      </c>
      <c r="L47" s="680">
        <f t="shared" si="4"/>
        <v>3900</v>
      </c>
      <c r="M47" s="680">
        <f t="shared" si="4"/>
        <v>5600</v>
      </c>
      <c r="N47" s="680">
        <f t="shared" si="4"/>
        <v>6000</v>
      </c>
      <c r="O47" s="688">
        <f t="shared" si="4"/>
        <v>7400</v>
      </c>
      <c r="P47" s="693"/>
      <c r="Q47" s="696">
        <f t="shared" si="2"/>
        <v>3230.7692307692309</v>
      </c>
    </row>
    <row r="48" spans="1:17" ht="18.75" customHeight="1" x14ac:dyDescent="0.25">
      <c r="A48" s="956"/>
      <c r="B48" s="685">
        <v>0.43</v>
      </c>
      <c r="C48" s="679">
        <f t="shared" si="1"/>
        <v>800</v>
      </c>
      <c r="D48" s="680">
        <f t="shared" si="4"/>
        <v>1100</v>
      </c>
      <c r="E48" s="680">
        <f t="shared" si="4"/>
        <v>1500</v>
      </c>
      <c r="F48" s="680">
        <f t="shared" si="4"/>
        <v>1800</v>
      </c>
      <c r="G48" s="680">
        <f t="shared" si="4"/>
        <v>2200</v>
      </c>
      <c r="H48" s="680">
        <f t="shared" si="4"/>
        <v>2500</v>
      </c>
      <c r="I48" s="680">
        <f t="shared" si="4"/>
        <v>2900</v>
      </c>
      <c r="J48" s="680">
        <f t="shared" si="4"/>
        <v>3300</v>
      </c>
      <c r="K48" s="680">
        <f t="shared" si="4"/>
        <v>3600</v>
      </c>
      <c r="L48" s="680">
        <f t="shared" si="4"/>
        <v>4000</v>
      </c>
      <c r="M48" s="680">
        <f t="shared" si="4"/>
        <v>5800</v>
      </c>
      <c r="N48" s="680">
        <f t="shared" si="4"/>
        <v>6100</v>
      </c>
      <c r="O48" s="688">
        <f t="shared" si="4"/>
        <v>7500</v>
      </c>
      <c r="P48" s="693"/>
      <c r="Q48" s="696">
        <f t="shared" si="2"/>
        <v>3315.3846153846152</v>
      </c>
    </row>
    <row r="49" spans="1:17" ht="18.75" customHeight="1" x14ac:dyDescent="0.25">
      <c r="A49" s="956"/>
      <c r="B49" s="685">
        <v>0.44</v>
      </c>
      <c r="C49" s="679">
        <f t="shared" si="1"/>
        <v>800</v>
      </c>
      <c r="D49" s="680">
        <f t="shared" si="4"/>
        <v>1100</v>
      </c>
      <c r="E49" s="680">
        <f t="shared" si="4"/>
        <v>1500</v>
      </c>
      <c r="F49" s="680">
        <f t="shared" si="4"/>
        <v>1900</v>
      </c>
      <c r="G49" s="680">
        <f t="shared" si="4"/>
        <v>2200</v>
      </c>
      <c r="H49" s="680">
        <f t="shared" si="4"/>
        <v>2600</v>
      </c>
      <c r="I49" s="680">
        <f t="shared" si="4"/>
        <v>3000</v>
      </c>
      <c r="J49" s="680">
        <f t="shared" si="4"/>
        <v>3300</v>
      </c>
      <c r="K49" s="680">
        <f t="shared" si="4"/>
        <v>3700</v>
      </c>
      <c r="L49" s="680">
        <f t="shared" si="4"/>
        <v>4100</v>
      </c>
      <c r="M49" s="680">
        <f t="shared" si="4"/>
        <v>5900</v>
      </c>
      <c r="N49" s="680">
        <f t="shared" si="4"/>
        <v>6200</v>
      </c>
      <c r="O49" s="688">
        <f t="shared" si="4"/>
        <v>7700</v>
      </c>
      <c r="P49" s="693"/>
      <c r="Q49" s="696">
        <f t="shared" si="2"/>
        <v>3384.6153846153848</v>
      </c>
    </row>
    <row r="50" spans="1:17" ht="18.75" customHeight="1" x14ac:dyDescent="0.25">
      <c r="A50" s="956"/>
      <c r="B50" s="685">
        <v>0.45</v>
      </c>
      <c r="C50" s="679">
        <f t="shared" si="1"/>
        <v>800</v>
      </c>
      <c r="D50" s="680">
        <f t="shared" si="4"/>
        <v>1100</v>
      </c>
      <c r="E50" s="680">
        <f t="shared" si="4"/>
        <v>1500</v>
      </c>
      <c r="F50" s="680">
        <f t="shared" si="4"/>
        <v>1900</v>
      </c>
      <c r="G50" s="680">
        <f t="shared" si="4"/>
        <v>2300</v>
      </c>
      <c r="H50" s="680">
        <f t="shared" si="4"/>
        <v>2600</v>
      </c>
      <c r="I50" s="680">
        <f t="shared" si="4"/>
        <v>3000</v>
      </c>
      <c r="J50" s="680">
        <f t="shared" si="4"/>
        <v>3400</v>
      </c>
      <c r="K50" s="680">
        <f t="shared" si="4"/>
        <v>3800</v>
      </c>
      <c r="L50" s="680">
        <f t="shared" si="4"/>
        <v>4100</v>
      </c>
      <c r="M50" s="680">
        <f t="shared" si="4"/>
        <v>6000</v>
      </c>
      <c r="N50" s="680">
        <f t="shared" si="4"/>
        <v>6400</v>
      </c>
      <c r="O50" s="688">
        <f t="shared" si="4"/>
        <v>7900</v>
      </c>
      <c r="P50" s="693"/>
      <c r="Q50" s="696">
        <f t="shared" si="2"/>
        <v>3446.1538461538462</v>
      </c>
    </row>
    <row r="51" spans="1:17" ht="18.75" customHeight="1" x14ac:dyDescent="0.25">
      <c r="A51" s="956"/>
      <c r="B51" s="685">
        <v>0.46</v>
      </c>
      <c r="C51" s="679">
        <f t="shared" si="1"/>
        <v>800</v>
      </c>
      <c r="D51" s="680">
        <f t="shared" si="4"/>
        <v>1200</v>
      </c>
      <c r="E51" s="680">
        <f t="shared" si="4"/>
        <v>1500</v>
      </c>
      <c r="F51" s="680">
        <f t="shared" si="4"/>
        <v>1900</v>
      </c>
      <c r="G51" s="680">
        <f t="shared" si="4"/>
        <v>2300</v>
      </c>
      <c r="H51" s="680">
        <f t="shared" si="4"/>
        <v>2700</v>
      </c>
      <c r="I51" s="680">
        <f t="shared" si="4"/>
        <v>3100</v>
      </c>
      <c r="J51" s="680">
        <f t="shared" si="4"/>
        <v>3500</v>
      </c>
      <c r="K51" s="680">
        <f t="shared" si="4"/>
        <v>3800</v>
      </c>
      <c r="L51" s="680">
        <f t="shared" si="4"/>
        <v>4200</v>
      </c>
      <c r="M51" s="680">
        <f t="shared" si="4"/>
        <v>6100</v>
      </c>
      <c r="N51" s="680">
        <f t="shared" si="4"/>
        <v>6500</v>
      </c>
      <c r="O51" s="688">
        <f t="shared" si="4"/>
        <v>8000</v>
      </c>
      <c r="P51" s="693"/>
      <c r="Q51" s="696">
        <f t="shared" si="2"/>
        <v>3507.6923076923076</v>
      </c>
    </row>
    <row r="52" spans="1:17" ht="18.75" customHeight="1" x14ac:dyDescent="0.25">
      <c r="A52" s="956"/>
      <c r="B52" s="685">
        <v>0.47</v>
      </c>
      <c r="C52" s="679">
        <f t="shared" si="1"/>
        <v>800</v>
      </c>
      <c r="D52" s="680">
        <f t="shared" si="4"/>
        <v>1200</v>
      </c>
      <c r="E52" s="680">
        <f t="shared" si="4"/>
        <v>1600</v>
      </c>
      <c r="F52" s="680">
        <f t="shared" si="4"/>
        <v>2000</v>
      </c>
      <c r="G52" s="680">
        <f t="shared" si="4"/>
        <v>2400</v>
      </c>
      <c r="H52" s="680">
        <f t="shared" si="4"/>
        <v>2700</v>
      </c>
      <c r="I52" s="680">
        <f t="shared" si="4"/>
        <v>3100</v>
      </c>
      <c r="J52" s="680">
        <f t="shared" si="4"/>
        <v>3500</v>
      </c>
      <c r="K52" s="680">
        <f t="shared" si="4"/>
        <v>3900</v>
      </c>
      <c r="L52" s="680">
        <f t="shared" si="4"/>
        <v>4300</v>
      </c>
      <c r="M52" s="680">
        <f t="shared" si="4"/>
        <v>6300</v>
      </c>
      <c r="N52" s="680">
        <f t="shared" si="4"/>
        <v>6600</v>
      </c>
      <c r="O52" s="688">
        <f t="shared" si="4"/>
        <v>8200</v>
      </c>
      <c r="P52" s="693"/>
      <c r="Q52" s="696">
        <f t="shared" si="2"/>
        <v>3584.6153846153848</v>
      </c>
    </row>
    <row r="53" spans="1:17" ht="18.75" customHeight="1" x14ac:dyDescent="0.25">
      <c r="A53" s="956"/>
      <c r="B53" s="685">
        <v>0.48</v>
      </c>
      <c r="C53" s="679">
        <f t="shared" si="1"/>
        <v>800</v>
      </c>
      <c r="D53" s="680">
        <f t="shared" si="4"/>
        <v>1200</v>
      </c>
      <c r="E53" s="680">
        <f t="shared" si="4"/>
        <v>1600</v>
      </c>
      <c r="F53" s="680">
        <f t="shared" si="4"/>
        <v>2000</v>
      </c>
      <c r="G53" s="680">
        <f t="shared" si="4"/>
        <v>2400</v>
      </c>
      <c r="H53" s="680">
        <f t="shared" si="4"/>
        <v>2800</v>
      </c>
      <c r="I53" s="680">
        <f t="shared" si="4"/>
        <v>3200</v>
      </c>
      <c r="J53" s="680">
        <f t="shared" si="4"/>
        <v>3600</v>
      </c>
      <c r="K53" s="680">
        <f t="shared" si="4"/>
        <v>4000</v>
      </c>
      <c r="L53" s="680">
        <f t="shared" si="4"/>
        <v>4400</v>
      </c>
      <c r="M53" s="680">
        <f t="shared" si="4"/>
        <v>6400</v>
      </c>
      <c r="N53" s="680">
        <f t="shared" si="4"/>
        <v>6800</v>
      </c>
      <c r="O53" s="688">
        <f t="shared" si="4"/>
        <v>8400</v>
      </c>
      <c r="P53" s="693"/>
      <c r="Q53" s="696">
        <f t="shared" si="2"/>
        <v>3661.5384615384614</v>
      </c>
    </row>
    <row r="54" spans="1:17" ht="18.75" customHeight="1" x14ac:dyDescent="0.25">
      <c r="A54" s="956"/>
      <c r="B54" s="685">
        <v>0.49</v>
      </c>
      <c r="C54" s="679">
        <f t="shared" si="1"/>
        <v>800</v>
      </c>
      <c r="D54" s="680">
        <f t="shared" si="4"/>
        <v>1200</v>
      </c>
      <c r="E54" s="680">
        <f t="shared" si="4"/>
        <v>1600</v>
      </c>
      <c r="F54" s="680">
        <f t="shared" si="4"/>
        <v>2000</v>
      </c>
      <c r="G54" s="680">
        <f t="shared" si="4"/>
        <v>2400</v>
      </c>
      <c r="H54" s="680">
        <f t="shared" si="4"/>
        <v>2800</v>
      </c>
      <c r="I54" s="680">
        <f t="shared" si="4"/>
        <v>3200</v>
      </c>
      <c r="J54" s="680">
        <f t="shared" si="4"/>
        <v>3700</v>
      </c>
      <c r="K54" s="680">
        <f t="shared" si="4"/>
        <v>4100</v>
      </c>
      <c r="L54" s="680">
        <f t="shared" si="4"/>
        <v>4500</v>
      </c>
      <c r="M54" s="680">
        <f t="shared" si="4"/>
        <v>6500</v>
      </c>
      <c r="N54" s="680">
        <f t="shared" si="4"/>
        <v>6900</v>
      </c>
      <c r="O54" s="688">
        <f t="shared" si="4"/>
        <v>8500</v>
      </c>
      <c r="P54" s="693"/>
      <c r="Q54" s="696">
        <f t="shared" si="2"/>
        <v>3707.6923076923076</v>
      </c>
    </row>
    <row r="55" spans="1:17" ht="18.75" customHeight="1" thickBot="1" x14ac:dyDescent="0.3">
      <c r="A55" s="957"/>
      <c r="B55" s="686">
        <v>0.5</v>
      </c>
      <c r="C55" s="689">
        <f t="shared" si="1"/>
        <v>800</v>
      </c>
      <c r="D55" s="690">
        <f t="shared" si="4"/>
        <v>1200</v>
      </c>
      <c r="E55" s="690">
        <f t="shared" si="4"/>
        <v>1600</v>
      </c>
      <c r="F55" s="690">
        <f t="shared" si="4"/>
        <v>2100</v>
      </c>
      <c r="G55" s="690">
        <f t="shared" si="4"/>
        <v>2500</v>
      </c>
      <c r="H55" s="690">
        <f t="shared" si="4"/>
        <v>2900</v>
      </c>
      <c r="I55" s="690">
        <f t="shared" si="4"/>
        <v>3300</v>
      </c>
      <c r="J55" s="690">
        <f t="shared" si="4"/>
        <v>3700</v>
      </c>
      <c r="K55" s="690">
        <f t="shared" si="4"/>
        <v>4100</v>
      </c>
      <c r="L55" s="690">
        <f t="shared" si="4"/>
        <v>4600</v>
      </c>
      <c r="M55" s="690">
        <f t="shared" si="4"/>
        <v>6600</v>
      </c>
      <c r="N55" s="690">
        <f t="shared" si="4"/>
        <v>7000</v>
      </c>
      <c r="O55" s="691">
        <f t="shared" si="4"/>
        <v>8700</v>
      </c>
      <c r="P55" s="694"/>
      <c r="Q55" s="697">
        <f t="shared" si="2"/>
        <v>3776.9230769230771</v>
      </c>
    </row>
    <row r="56" spans="1:17" ht="7.5" customHeight="1" thickTop="1" x14ac:dyDescent="0.25">
      <c r="C56" s="698"/>
      <c r="D56" s="699"/>
      <c r="E56" s="699"/>
      <c r="F56" s="699"/>
      <c r="G56" s="699"/>
      <c r="H56" s="699"/>
      <c r="I56" s="699"/>
      <c r="J56" s="699"/>
      <c r="K56" s="699"/>
      <c r="L56" s="699"/>
      <c r="M56" s="699"/>
      <c r="N56" s="700"/>
      <c r="O56" s="700"/>
      <c r="P56" s="948">
        <f>AVERAGE(C57:O57,Q10:Q55)</f>
        <v>2259.3645484949834</v>
      </c>
      <c r="Q56" s="949"/>
    </row>
    <row r="57" spans="1:17" ht="15.75" thickBot="1" x14ac:dyDescent="0.3">
      <c r="A57" s="947"/>
      <c r="B57" s="947"/>
      <c r="C57" s="701">
        <f>AVERAGE(C10:C55)</f>
        <v>626.08695652173913</v>
      </c>
      <c r="D57" s="702">
        <f t="shared" ref="D57:O57" si="5">AVERAGE(D10:D55)</f>
        <v>850</v>
      </c>
      <c r="E57" s="702">
        <f t="shared" si="5"/>
        <v>1073.9130434782608</v>
      </c>
      <c r="F57" s="702">
        <f t="shared" si="5"/>
        <v>1317.391304347826</v>
      </c>
      <c r="G57" s="702">
        <f t="shared" si="5"/>
        <v>1541.304347826087</v>
      </c>
      <c r="H57" s="702">
        <f t="shared" si="5"/>
        <v>1750</v>
      </c>
      <c r="I57" s="702">
        <f t="shared" si="5"/>
        <v>1997.8260869565217</v>
      </c>
      <c r="J57" s="702">
        <f t="shared" si="5"/>
        <v>2232.608695652174</v>
      </c>
      <c r="K57" s="702">
        <f t="shared" si="5"/>
        <v>2450</v>
      </c>
      <c r="L57" s="702">
        <f t="shared" si="5"/>
        <v>2684.782608695652</v>
      </c>
      <c r="M57" s="702">
        <f t="shared" si="5"/>
        <v>3823.913043478261</v>
      </c>
      <c r="N57" s="702">
        <f t="shared" si="5"/>
        <v>4056.521739130435</v>
      </c>
      <c r="O57" s="703">
        <f t="shared" si="5"/>
        <v>4967.391304347826</v>
      </c>
      <c r="P57" s="950"/>
      <c r="Q57" s="951"/>
    </row>
  </sheetData>
  <sheetProtection algorithmName="SHA-512" hashValue="pqqzRjvWCRWqeCTPwRTiy9oeMx+k1jLxFWVbADUXXxddUkGUP6cyS5jPrf+LL8ZbdAbTvRbjLVCnEb7VKzRTjA==" saltValue="J9LzOOW76wSyAYrRvanTZw==" spinCount="100000" sheet="1" objects="1" scenarios="1"/>
  <mergeCells count="9">
    <mergeCell ref="A1:Q1"/>
    <mergeCell ref="A57:B57"/>
    <mergeCell ref="P56:Q57"/>
    <mergeCell ref="C8:O8"/>
    <mergeCell ref="A10:A55"/>
    <mergeCell ref="A6:C6"/>
    <mergeCell ref="A5:C5"/>
    <mergeCell ref="A4:C4"/>
    <mergeCell ref="A3:C3"/>
  </mergeCells>
  <pageMargins left="0.59055118110236227" right="0.59055118110236227" top="0.78740157480314965" bottom="0.59055118110236227" header="0.31496062992125984" footer="0.31496062992125984"/>
  <pageSetup paperSize="9" scale="77" fitToHeight="0" orientation="landscape" horizontalDpi="0" verticalDpi="0" r:id="rId1"/>
  <rowBreaks count="2" manualBreakCount="2">
    <brk id="34" max="16" man="1"/>
    <brk id="57" max="16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8"/>
  <sheetViews>
    <sheetView tabSelected="1" view="pageBreakPreview" topLeftCell="A10" zoomScaleNormal="100" zoomScaleSheetLayoutView="100" workbookViewId="0">
      <selection sqref="A1:F1"/>
    </sheetView>
  </sheetViews>
  <sheetFormatPr baseColWidth="10" defaultRowHeight="15" x14ac:dyDescent="0.25"/>
  <cols>
    <col min="1" max="1" width="13.5703125" bestFit="1" customWidth="1"/>
    <col min="3" max="3" width="11.5703125" bestFit="1" customWidth="1"/>
    <col min="4" max="7" width="13.140625" bestFit="1" customWidth="1"/>
  </cols>
  <sheetData>
    <row r="1" spans="1:8" s="39" customFormat="1" ht="27" thickBot="1" x14ac:dyDescent="0.3">
      <c r="A1" s="737" t="s">
        <v>257</v>
      </c>
      <c r="B1" s="738"/>
      <c r="C1" s="738"/>
      <c r="D1" s="738"/>
      <c r="E1" s="738"/>
      <c r="F1" s="739"/>
      <c r="G1" s="289"/>
      <c r="H1" s="289"/>
    </row>
    <row r="2" spans="1:8" ht="15.75" thickBot="1" x14ac:dyDescent="0.3"/>
    <row r="3" spans="1:8" ht="15.75" thickBot="1" x14ac:dyDescent="0.3">
      <c r="B3" s="643">
        <v>2018</v>
      </c>
      <c r="C3" s="644">
        <v>2019</v>
      </c>
      <c r="D3" s="644">
        <v>2020</v>
      </c>
      <c r="E3" s="644">
        <v>2021</v>
      </c>
      <c r="F3" s="645">
        <v>2022</v>
      </c>
    </row>
    <row r="4" spans="1:8" ht="15.75" thickTop="1" x14ac:dyDescent="0.25">
      <c r="A4" s="641" t="s">
        <v>255</v>
      </c>
      <c r="B4" s="646">
        <v>0</v>
      </c>
      <c r="C4" s="647">
        <f>Liquiditätsplan!Q36</f>
        <v>134053.63333333333</v>
      </c>
      <c r="D4" s="647">
        <f>Liquiditätsplan!V36</f>
        <v>281429.11111111112</v>
      </c>
      <c r="E4" s="647">
        <f>Liquiditätsplan!W36</f>
        <v>800751.33333333337</v>
      </c>
      <c r="F4" s="648">
        <f>Liquiditätsplan!X36</f>
        <v>1102651.3333333333</v>
      </c>
    </row>
    <row r="5" spans="1:8" ht="15.75" thickBot="1" x14ac:dyDescent="0.3">
      <c r="A5" s="655" t="s">
        <v>256</v>
      </c>
      <c r="B5" s="656">
        <v>0</v>
      </c>
      <c r="C5" s="657">
        <f>Liquiditätsplan!Q74</f>
        <v>478090.26748700743</v>
      </c>
      <c r="D5" s="657">
        <f>Liquiditätsplan!V74</f>
        <v>421409.21773144748</v>
      </c>
      <c r="E5" s="657">
        <f>Liquiditätsplan!W74</f>
        <v>467902.42708015023</v>
      </c>
      <c r="F5" s="658">
        <f>Liquiditätsplan!X74</f>
        <v>612237.86840210413</v>
      </c>
    </row>
    <row r="6" spans="1:8" ht="15.75" thickTop="1" x14ac:dyDescent="0.25">
      <c r="A6" s="651" t="s">
        <v>261</v>
      </c>
      <c r="B6" s="652">
        <v>0</v>
      </c>
      <c r="C6" s="653">
        <f>Liquiditätsplan!Q36</f>
        <v>134053.63333333333</v>
      </c>
      <c r="D6" s="653">
        <f>Liquiditätsplan!V36+C6</f>
        <v>415482.74444444443</v>
      </c>
      <c r="E6" s="653">
        <f>Liquiditätsplan!W36+D6</f>
        <v>1216234.0777777778</v>
      </c>
      <c r="F6" s="654">
        <f>Liquiditätsplan!X36+E6</f>
        <v>2318885.4111111108</v>
      </c>
    </row>
    <row r="7" spans="1:8" ht="15.75" thickBot="1" x14ac:dyDescent="0.3">
      <c r="A7" s="642" t="s">
        <v>262</v>
      </c>
      <c r="B7" s="649">
        <v>0</v>
      </c>
      <c r="C7" s="639">
        <f>Liquiditätsplan!Q74</f>
        <v>478090.26748700743</v>
      </c>
      <c r="D7" s="639">
        <f>Liquiditätsplan!V74+C7</f>
        <v>899499.48521845485</v>
      </c>
      <c r="E7" s="639">
        <f>Liquiditätsplan!W74+D7</f>
        <v>1367401.9122986051</v>
      </c>
      <c r="F7" s="640">
        <f>Liquiditätsplan!X74+E7</f>
        <v>1979639.7807007092</v>
      </c>
    </row>
    <row r="24" spans="1:6" ht="15.75" thickBot="1" x14ac:dyDescent="0.3"/>
    <row r="25" spans="1:6" ht="18.75" customHeight="1" thickBot="1" x14ac:dyDescent="0.3">
      <c r="A25" s="966" t="s">
        <v>258</v>
      </c>
      <c r="B25" s="967"/>
      <c r="C25" s="650">
        <f>MAX(C5-C4,D5-D4,E5-E4,F5-F4)</f>
        <v>344036.63415367412</v>
      </c>
    </row>
    <row r="28" spans="1:6" x14ac:dyDescent="0.25">
      <c r="B28" s="659"/>
      <c r="C28" s="659"/>
      <c r="D28" s="659"/>
      <c r="E28" s="659"/>
      <c r="F28" s="659"/>
    </row>
  </sheetData>
  <mergeCells count="2">
    <mergeCell ref="A1:F1"/>
    <mergeCell ref="A25:B25"/>
  </mergeCells>
  <pageMargins left="0.59055118110236227" right="0.59055118110236227" top="0.78740157480314965" bottom="0.59055118110236227" header="0.31496062992125984" footer="0.31496062992125984"/>
  <pageSetup paperSize="9" scale="95"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5"/>
  <sheetViews>
    <sheetView zoomScale="85" zoomScaleNormal="85" workbookViewId="0">
      <selection activeCell="J29" sqref="J29"/>
    </sheetView>
  </sheetViews>
  <sheetFormatPr baseColWidth="10" defaultRowHeight="15" x14ac:dyDescent="0.25"/>
  <cols>
    <col min="1" max="1" width="63.5703125" bestFit="1" customWidth="1"/>
  </cols>
  <sheetData>
    <row r="1" spans="1:7" ht="27" thickBot="1" x14ac:dyDescent="0.3">
      <c r="A1" s="737" t="s">
        <v>265</v>
      </c>
      <c r="B1" s="738"/>
      <c r="C1" s="738"/>
      <c r="D1" s="738"/>
      <c r="E1" s="738"/>
      <c r="F1" s="738"/>
      <c r="G1" s="739"/>
    </row>
    <row r="3" spans="1:7" x14ac:dyDescent="0.25">
      <c r="A3" s="665"/>
      <c r="B3" s="666" t="s">
        <v>20</v>
      </c>
      <c r="C3" s="666" t="s">
        <v>25</v>
      </c>
      <c r="D3" s="666" t="s">
        <v>26</v>
      </c>
      <c r="E3" s="666" t="s">
        <v>27</v>
      </c>
    </row>
    <row r="4" spans="1:7" x14ac:dyDescent="0.25">
      <c r="A4" s="665" t="str">
        <f>Liquiditätsplan!A40</f>
        <v>Personalkosten</v>
      </c>
      <c r="B4" s="667">
        <f>Liquiditätsplan!Q40</f>
        <v>223594.33333333334</v>
      </c>
      <c r="C4" s="667">
        <f>Liquiditätsplan!V40</f>
        <v>246415.2</v>
      </c>
      <c r="D4" s="667">
        <f>Liquiditätsplan!W40</f>
        <v>258627.96000000002</v>
      </c>
      <c r="E4" s="667">
        <f>Liquiditätsplan!X40</f>
        <v>271451.35800000007</v>
      </c>
    </row>
    <row r="5" spans="1:7" x14ac:dyDescent="0.25">
      <c r="A5" s="665" t="str">
        <f>Liquiditätsplan!A41</f>
        <v>Materialeinsatz</v>
      </c>
      <c r="B5" s="667">
        <f>Liquiditätsplan!Q41</f>
        <v>0</v>
      </c>
      <c r="C5" s="667">
        <f>Liquiditätsplan!V41</f>
        <v>0</v>
      </c>
      <c r="D5" s="667">
        <f>Liquiditätsplan!W41</f>
        <v>0</v>
      </c>
      <c r="E5" s="667">
        <f>Liquiditätsplan!X41</f>
        <v>0</v>
      </c>
    </row>
    <row r="6" spans="1:7" x14ac:dyDescent="0.25">
      <c r="A6" s="665" t="str">
        <f>Liquiditätsplan!A42</f>
        <v>Roh-, Betriebs- uns Hilfsstoffe</v>
      </c>
      <c r="B6" s="667">
        <f>Liquiditätsplan!Q42</f>
        <v>0</v>
      </c>
      <c r="C6" s="667">
        <f>Liquiditätsplan!V42</f>
        <v>0</v>
      </c>
      <c r="D6" s="667">
        <f>Liquiditätsplan!W42</f>
        <v>0</v>
      </c>
      <c r="E6" s="667">
        <f>Liquiditätsplan!X42</f>
        <v>0</v>
      </c>
    </row>
    <row r="7" spans="1:7" x14ac:dyDescent="0.25">
      <c r="A7" s="665" t="str">
        <f>Liquiditätsplan!A43</f>
        <v>Sonstige betriebliche Aufwendungen
(Miete, Pacht, Betriebskosten)</v>
      </c>
      <c r="B7" s="667">
        <f>Liquiditätsplan!Q43</f>
        <v>15252</v>
      </c>
      <c r="C7" s="667">
        <f>Liquiditätsplan!V43</f>
        <v>15252</v>
      </c>
      <c r="D7" s="667">
        <f>Liquiditätsplan!W43</f>
        <v>15252</v>
      </c>
      <c r="E7" s="667">
        <f>Liquiditätsplan!X43</f>
        <v>15252</v>
      </c>
    </row>
    <row r="8" spans="1:7" x14ac:dyDescent="0.25">
      <c r="A8" s="665" t="str">
        <f>Liquiditätsplan!A44</f>
        <v>Instandhaltung</v>
      </c>
      <c r="B8" s="667">
        <f>Liquiditätsplan!Q44</f>
        <v>2000</v>
      </c>
      <c r="C8" s="667">
        <f>Liquiditätsplan!V44</f>
        <v>2000</v>
      </c>
      <c r="D8" s="667">
        <f>Liquiditätsplan!W44</f>
        <v>2000</v>
      </c>
      <c r="E8" s="667">
        <f>Liquiditätsplan!X44</f>
        <v>2000</v>
      </c>
    </row>
    <row r="9" spans="1:7" x14ac:dyDescent="0.25">
      <c r="A9" s="665" t="str">
        <f>Liquiditätsplan!A45</f>
        <v>Kfz-Kosten und Reisekosten</v>
      </c>
      <c r="B9" s="667">
        <f>Liquiditätsplan!Q45</f>
        <v>7500</v>
      </c>
      <c r="C9" s="667">
        <f>Liquiditätsplan!V45</f>
        <v>7500</v>
      </c>
      <c r="D9" s="667">
        <f>Liquiditätsplan!W45</f>
        <v>7500</v>
      </c>
      <c r="E9" s="667">
        <f>Liquiditätsplan!X45</f>
        <v>7500</v>
      </c>
    </row>
    <row r="10" spans="1:7" x14ac:dyDescent="0.25">
      <c r="A10" s="665" t="str">
        <f>Liquiditätsplan!A46</f>
        <v>Büromaterial</v>
      </c>
      <c r="B10" s="667">
        <f>Liquiditätsplan!Q46</f>
        <v>26400</v>
      </c>
      <c r="C10" s="667">
        <f>Liquiditätsplan!V46</f>
        <v>26400</v>
      </c>
      <c r="D10" s="667">
        <f>Liquiditätsplan!W46</f>
        <v>26400</v>
      </c>
      <c r="E10" s="667">
        <f>Liquiditätsplan!X46</f>
        <v>26400</v>
      </c>
    </row>
    <row r="11" spans="1:7" x14ac:dyDescent="0.25">
      <c r="A11" s="665" t="str">
        <f>Liquiditätsplan!A47</f>
        <v>Telefon / Fax / Internet</v>
      </c>
      <c r="B11" s="667">
        <f>Liquiditätsplan!Q47</f>
        <v>4656</v>
      </c>
      <c r="C11" s="667">
        <f>Liquiditätsplan!V47</f>
        <v>4656</v>
      </c>
      <c r="D11" s="667">
        <f>Liquiditätsplan!W47</f>
        <v>4656</v>
      </c>
      <c r="E11" s="667">
        <f>Liquiditätsplan!X47</f>
        <v>4656</v>
      </c>
    </row>
    <row r="12" spans="1:7" x14ac:dyDescent="0.25">
      <c r="A12" s="665" t="str">
        <f>Liquiditätsplan!A48</f>
        <v>Steuer- und Rechtsberatung</v>
      </c>
      <c r="B12" s="667">
        <f>Liquiditätsplan!Q48</f>
        <v>8600</v>
      </c>
      <c r="C12" s="667">
        <f>Liquiditätsplan!V48</f>
        <v>6600</v>
      </c>
      <c r="D12" s="667">
        <f>Liquiditätsplan!W48</f>
        <v>6600</v>
      </c>
      <c r="E12" s="667">
        <f>Liquiditätsplan!X48</f>
        <v>6600</v>
      </c>
    </row>
    <row r="13" spans="1:7" x14ac:dyDescent="0.25">
      <c r="A13" s="665" t="str">
        <f>Liquiditätsplan!A49</f>
        <v>Werbungskosten</v>
      </c>
      <c r="B13" s="667">
        <f>Liquiditätsplan!Q49</f>
        <v>0</v>
      </c>
      <c r="C13" s="667">
        <f>Liquiditätsplan!V49</f>
        <v>0</v>
      </c>
      <c r="D13" s="667">
        <f>Liquiditätsplan!W49</f>
        <v>0</v>
      </c>
      <c r="E13" s="667">
        <f>Liquiditätsplan!X49</f>
        <v>0</v>
      </c>
    </row>
    <row r="14" spans="1:7" x14ac:dyDescent="0.25">
      <c r="A14" s="665" t="str">
        <f>Liquiditätsplan!A50</f>
        <v>Gebühren, Kammerbeiträge</v>
      </c>
      <c r="B14" s="667">
        <f>Liquiditätsplan!Q50</f>
        <v>1656.2646223300003</v>
      </c>
      <c r="C14" s="667">
        <f>Liquiditätsplan!V50</f>
        <v>1656.2646223300003</v>
      </c>
      <c r="D14" s="667">
        <f>Liquiditätsplan!W50</f>
        <v>1656.2646223300003</v>
      </c>
      <c r="E14" s="667">
        <f>Liquiditätsplan!X50</f>
        <v>1656.2646223300003</v>
      </c>
    </row>
    <row r="15" spans="1:7" x14ac:dyDescent="0.25">
      <c r="A15" s="665" t="str">
        <f>Liquiditätsplan!A51</f>
        <v>Betriebsversicherung</v>
      </c>
      <c r="B15" s="667">
        <f>Liquiditätsplan!Q51</f>
        <v>0</v>
      </c>
      <c r="C15" s="667">
        <f>Liquiditätsplan!V51</f>
        <v>0</v>
      </c>
      <c r="D15" s="667">
        <f>Liquiditätsplan!W51</f>
        <v>0</v>
      </c>
      <c r="E15" s="667">
        <f>Liquiditätsplan!X51</f>
        <v>0</v>
      </c>
    </row>
    <row r="16" spans="1:7" x14ac:dyDescent="0.25">
      <c r="A16" s="665" t="str">
        <f>Liquiditätsplan!A52</f>
        <v>Leasinggebühren</v>
      </c>
      <c r="B16" s="667">
        <f>Liquiditätsplan!Q52</f>
        <v>18000</v>
      </c>
      <c r="C16" s="667">
        <f>Liquiditätsplan!V52</f>
        <v>0</v>
      </c>
      <c r="D16" s="667">
        <f>Liquiditätsplan!W52</f>
        <v>0</v>
      </c>
      <c r="E16" s="667">
        <f>Liquiditätsplan!X52</f>
        <v>0</v>
      </c>
    </row>
    <row r="17" spans="1:5" x14ac:dyDescent="0.25">
      <c r="A17" s="665" t="str">
        <f>Liquiditätsplan!A53</f>
        <v>Spesen-, Bank-, Kreditgebühren</v>
      </c>
      <c r="B17" s="667">
        <f>Liquiditätsplan!Q53</f>
        <v>200</v>
      </c>
      <c r="C17" s="667">
        <f>Liquiditätsplan!V53</f>
        <v>200</v>
      </c>
      <c r="D17" s="667">
        <f>Liquiditätsplan!W53</f>
        <v>200</v>
      </c>
      <c r="E17" s="667">
        <f>Liquiditätsplan!X53</f>
        <v>200</v>
      </c>
    </row>
    <row r="18" spans="1:5" x14ac:dyDescent="0.25">
      <c r="A18" s="665" t="str">
        <f>Liquiditätsplan!A54</f>
        <v>Sonstige Kosten</v>
      </c>
      <c r="B18" s="667">
        <f>Liquiditätsplan!Q54</f>
        <v>15000</v>
      </c>
      <c r="C18" s="667">
        <f>Liquiditätsplan!V54</f>
        <v>15000</v>
      </c>
      <c r="D18" s="667">
        <f>Liquiditätsplan!W54</f>
        <v>15000</v>
      </c>
      <c r="E18" s="667">
        <f>Liquiditätsplan!X54</f>
        <v>15000</v>
      </c>
    </row>
    <row r="19" spans="1:5" x14ac:dyDescent="0.25">
      <c r="A19" s="665" t="str">
        <f>Liquiditätsplan!A59</f>
        <v>Vorsteuerabzugsfähige Investitionen</v>
      </c>
      <c r="B19" s="667">
        <f>Liquiditätsplan!Q59</f>
        <v>112200</v>
      </c>
      <c r="C19" s="667">
        <f>Liquiditätsplan!V59</f>
        <v>0</v>
      </c>
      <c r="D19" s="667">
        <f>Liquiditätsplan!W59</f>
        <v>0</v>
      </c>
      <c r="E19" s="667">
        <f>Liquiditätsplan!X59</f>
        <v>0</v>
      </c>
    </row>
    <row r="20" spans="1:5" x14ac:dyDescent="0.25">
      <c r="A20" s="665" t="str">
        <f>Liquiditätsplan!A60</f>
        <v>Nicht vorsteuerabzugsfähige Investitionen</v>
      </c>
      <c r="B20" s="667">
        <f>Liquiditätsplan!Q60</f>
        <v>35000</v>
      </c>
      <c r="C20" s="667">
        <f>Liquiditätsplan!V60</f>
        <v>35000</v>
      </c>
      <c r="D20" s="667">
        <f>Liquiditätsplan!W60</f>
        <v>0</v>
      </c>
      <c r="E20" s="667">
        <f>Liquiditätsplan!X60</f>
        <v>0</v>
      </c>
    </row>
    <row r="21" spans="1:5" x14ac:dyDescent="0.25">
      <c r="A21" s="665" t="str">
        <f>Liquiditätsplan!A65</f>
        <v>Sollzinsen Kontokorrentkredit</v>
      </c>
      <c r="B21" s="667">
        <f>Liquiditätsplan!Q65</f>
        <v>7531.6695313440014</v>
      </c>
      <c r="C21" s="667">
        <f>Liquiditätsplan!V65</f>
        <v>22929.75310911745</v>
      </c>
      <c r="D21" s="667">
        <f>Liquiditätsplan!W65</f>
        <v>7093.5357911534938</v>
      </c>
      <c r="E21" s="667">
        <f>Liquiditätsplan!X65</f>
        <v>28088.91244644062</v>
      </c>
    </row>
    <row r="22" spans="1:5" x14ac:dyDescent="0.25">
      <c r="A22" s="665" t="str">
        <f>Liquiditätsplan!A66</f>
        <v>Zinsen Einmalkredit</v>
      </c>
      <c r="B22" s="667">
        <f>Liquiditätsplan!Q66</f>
        <v>0</v>
      </c>
      <c r="C22" s="667">
        <f>Liquiditätsplan!V66</f>
        <v>0</v>
      </c>
      <c r="D22" s="667">
        <f>Liquiditätsplan!W66</f>
        <v>0</v>
      </c>
      <c r="E22" s="667">
        <f>Liquiditätsplan!X66</f>
        <v>0</v>
      </c>
    </row>
    <row r="23" spans="1:5" x14ac:dyDescent="0.25">
      <c r="A23" s="665" t="str">
        <f>Liquiditätsplan!A67</f>
        <v>KöSt. / Ertragssteuer (tatsächlich)</v>
      </c>
      <c r="B23" s="667">
        <f>Liquiditätsplan!Q67</f>
        <v>500.00000000000006</v>
      </c>
      <c r="C23" s="667">
        <f>Liquiditätsplan!V67</f>
        <v>500</v>
      </c>
      <c r="D23" s="667">
        <f>Liquiditätsplan!W67</f>
        <v>500</v>
      </c>
      <c r="E23" s="667">
        <f>Liquiditätsplan!X67</f>
        <v>60000</v>
      </c>
    </row>
    <row r="24" spans="1:5" x14ac:dyDescent="0.25">
      <c r="A24" s="665" t="str">
        <f>Liquiditätsplan!A68</f>
        <v>Kredittilgung</v>
      </c>
      <c r="B24" s="667">
        <f>Liquiditätsplan!Q68</f>
        <v>0</v>
      </c>
      <c r="C24" s="667">
        <f>Liquiditätsplan!V68</f>
        <v>0</v>
      </c>
      <c r="D24" s="667">
        <f>Liquiditätsplan!W68</f>
        <v>0</v>
      </c>
      <c r="E24" s="667">
        <f>Liquiditätsplan!X68</f>
        <v>0</v>
      </c>
    </row>
    <row r="25" spans="1:5" x14ac:dyDescent="0.25">
      <c r="A25" s="665" t="str">
        <f>Liquiditätsplan!A69</f>
        <v>Umsatzsteuer</v>
      </c>
      <c r="B25" s="667">
        <f>Liquiditätsplan!Q69</f>
        <v>0</v>
      </c>
      <c r="C25" s="667">
        <f>Liquiditätsplan!V69</f>
        <v>37300.000000000007</v>
      </c>
      <c r="D25" s="667">
        <f>Liquiditätsplan!W69</f>
        <v>122416.66666666669</v>
      </c>
      <c r="E25" s="667">
        <f>Liquiditätsplan!X69</f>
        <v>173433.33333333334</v>
      </c>
    </row>
  </sheetData>
  <sheetProtection algorithmName="SHA-512" hashValue="GGkNL207RJIKMydfGuQMIma/clg4p0BF35jY1arG5g4LuTfPBOrtmvPuM/c8QviZxVlhzi34KkXcAEYQyxVHKw==" saltValue="t7BtWEba3MhAvkxJfNnmvg==" spinCount="100000" sheet="1" objects="1" scenarios="1"/>
  <mergeCells count="1">
    <mergeCell ref="A1:G1"/>
  </mergeCells>
  <pageMargins left="0.7" right="0.7" top="0.78740157499999996" bottom="0.78740157499999996" header="0.3" footer="0.3"/>
  <pageSetup paperSize="9"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:F13"/>
  <sheetViews>
    <sheetView workbookViewId="0">
      <selection activeCell="F2" sqref="F2"/>
    </sheetView>
  </sheetViews>
  <sheetFormatPr baseColWidth="10" defaultRowHeight="15" x14ac:dyDescent="0.25"/>
  <sheetData>
    <row r="2" spans="2:6" x14ac:dyDescent="0.25">
      <c r="B2">
        <v>1</v>
      </c>
      <c r="C2">
        <v>1</v>
      </c>
      <c r="D2">
        <v>1</v>
      </c>
      <c r="E2">
        <v>1</v>
      </c>
      <c r="F2" t="s">
        <v>48</v>
      </c>
    </row>
    <row r="3" spans="2:6" x14ac:dyDescent="0.25">
      <c r="B3">
        <v>2</v>
      </c>
      <c r="C3">
        <v>2</v>
      </c>
      <c r="D3">
        <v>2</v>
      </c>
      <c r="E3">
        <v>2</v>
      </c>
    </row>
    <row r="4" spans="2:6" x14ac:dyDescent="0.25">
      <c r="B4">
        <v>3</v>
      </c>
      <c r="C4">
        <v>3</v>
      </c>
      <c r="D4">
        <v>3</v>
      </c>
    </row>
    <row r="5" spans="2:6" x14ac:dyDescent="0.25">
      <c r="B5">
        <v>4</v>
      </c>
      <c r="C5">
        <v>4</v>
      </c>
    </row>
    <row r="6" spans="2:6" x14ac:dyDescent="0.25">
      <c r="B6">
        <v>5</v>
      </c>
      <c r="C6">
        <v>5</v>
      </c>
    </row>
    <row r="7" spans="2:6" x14ac:dyDescent="0.25">
      <c r="B7">
        <v>6</v>
      </c>
      <c r="C7">
        <v>6</v>
      </c>
    </row>
    <row r="8" spans="2:6" x14ac:dyDescent="0.25">
      <c r="B8">
        <v>7</v>
      </c>
    </row>
    <row r="9" spans="2:6" x14ac:dyDescent="0.25">
      <c r="B9">
        <v>8</v>
      </c>
    </row>
    <row r="10" spans="2:6" x14ac:dyDescent="0.25">
      <c r="B10">
        <v>9</v>
      </c>
    </row>
    <row r="11" spans="2:6" x14ac:dyDescent="0.25">
      <c r="B11">
        <v>10</v>
      </c>
    </row>
    <row r="12" spans="2:6" x14ac:dyDescent="0.25">
      <c r="B12">
        <v>11</v>
      </c>
    </row>
    <row r="13" spans="2:6" x14ac:dyDescent="0.25">
      <c r="B13">
        <v>12</v>
      </c>
    </row>
  </sheetData>
  <sheetProtection algorithmName="SHA-512" hashValue="w62v+i2ATAhAwYhj2sfurj3mJeLoERQNPEaJfQJQemeIdu94y5/dTf5zEyBk9kqTlVo9plYzsTURTg1DczvBjg==" saltValue="isNRvj6bb25dLAZI71p16w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18</vt:i4>
      </vt:variant>
    </vt:vector>
  </HeadingPairs>
  <TitlesOfParts>
    <vt:vector size="31" baseType="lpstr">
      <vt:lpstr>Stammdaten</vt:lpstr>
      <vt:lpstr>Investitionsplan</vt:lpstr>
      <vt:lpstr>Plankosten</vt:lpstr>
      <vt:lpstr>Abschreibung</vt:lpstr>
      <vt:lpstr>Plan G&amp;V</vt:lpstr>
      <vt:lpstr>Liquiditätsplan</vt:lpstr>
      <vt:lpstr>Planbilanz</vt:lpstr>
      <vt:lpstr>Cash Flow</vt:lpstr>
      <vt:lpstr>Kennzahlen</vt:lpstr>
      <vt:lpstr>Lizenzgebühr</vt:lpstr>
      <vt:lpstr>Break-Even-Point</vt:lpstr>
      <vt:lpstr>Aufteilung Aufwände</vt:lpstr>
      <vt:lpstr>Auswahltabellen</vt:lpstr>
      <vt:lpstr>Anually</vt:lpstr>
      <vt:lpstr>Bimonthly</vt:lpstr>
      <vt:lpstr>Abschreibung!Druckbereich</vt:lpstr>
      <vt:lpstr>'Break-Even-Point'!Druckbereich</vt:lpstr>
      <vt:lpstr>'Cash Flow'!Druckbereich</vt:lpstr>
      <vt:lpstr>Investitionsplan!Druckbereich</vt:lpstr>
      <vt:lpstr>Kennzahlen!Druckbereich</vt:lpstr>
      <vt:lpstr>Liquiditätsplan!Druckbereich</vt:lpstr>
      <vt:lpstr>Lizenzgebühr!Druckbereich</vt:lpstr>
      <vt:lpstr>'Plan G&amp;V'!Druckbereich</vt:lpstr>
      <vt:lpstr>Planbilanz!Druckbereich</vt:lpstr>
      <vt:lpstr>Plankosten!Druckbereich</vt:lpstr>
      <vt:lpstr>Stammdaten!Druckbereich</vt:lpstr>
      <vt:lpstr>Monthly</vt:lpstr>
      <vt:lpstr>Quaterly</vt:lpstr>
      <vt:lpstr>SemiAnually</vt:lpstr>
      <vt:lpstr>x</vt:lpstr>
      <vt:lpstr>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</dc:creator>
  <cp:lastModifiedBy>Dominik</cp:lastModifiedBy>
  <cp:lastPrinted>2018-01-09T13:40:23Z</cp:lastPrinted>
  <dcterms:created xsi:type="dcterms:W3CDTF">2017-11-17T17:38:13Z</dcterms:created>
  <dcterms:modified xsi:type="dcterms:W3CDTF">2018-01-09T13:53:04Z</dcterms:modified>
</cp:coreProperties>
</file>