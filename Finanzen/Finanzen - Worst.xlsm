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348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Aufteilung Aufwände" sheetId="15" r:id="rId11"/>
    <sheet name="Lizenzgebühr" sheetId="16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Abschreibung!$A$1:$M$32</definedName>
    <definedName name="_xlnm.Print_Area" localSheetId="10">'Aufteilung Aufwände'!$A$1:$G$53</definedName>
    <definedName name="_xlnm.Print_Area" localSheetId="9">'Break-Even-Point'!$A$1:$F$27</definedName>
    <definedName name="_xlnm.Print_Area" localSheetId="7">'Cash Flow'!$A$1:$H$18</definedName>
    <definedName name="_xlnm.Print_Area" localSheetId="1">Investitionsplan!$A$1:$Y$32</definedName>
    <definedName name="_xlnm.Print_Area" localSheetId="8">Kennzahlen!$A$1:$H$14</definedName>
    <definedName name="_xlnm.Print_Area" localSheetId="5">Liquiditätsplan!$A$1:$X$86</definedName>
    <definedName name="_xlnm.Print_Area" localSheetId="11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8" l="1" a="1"/>
  <c r="A26" i="8"/>
  <c r="B26" i="8"/>
  <c r="C26" i="8"/>
  <c r="D26" i="8"/>
  <c r="A27" i="8"/>
  <c r="B27" i="8"/>
  <c r="C27" i="8"/>
  <c r="D27" i="8"/>
  <c r="A28" i="8"/>
  <c r="B28" i="8"/>
  <c r="C28" i="8"/>
  <c r="D28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X21" i="9"/>
  <c r="W21" i="9"/>
  <c r="X22" i="9"/>
  <c r="W22" i="9"/>
  <c r="X23" i="9"/>
  <c r="W23" i="9"/>
  <c r="T23" i="9"/>
  <c r="S22" i="9"/>
  <c r="T22" i="9"/>
  <c r="U22" i="9"/>
  <c r="R22" i="9"/>
  <c r="R21" i="9"/>
  <c r="X20" i="9"/>
  <c r="W20" i="9"/>
  <c r="U20" i="9"/>
  <c r="S20" i="9"/>
  <c r="O20" i="9"/>
  <c r="P22" i="9"/>
  <c r="F9" i="2"/>
  <c r="F5" i="2"/>
  <c r="F6" i="2"/>
  <c r="F7" i="2"/>
  <c r="F8" i="2"/>
  <c r="F10" i="2"/>
  <c r="F11" i="2"/>
  <c r="F12" i="2"/>
  <c r="F14" i="2"/>
  <c r="F17" i="2"/>
  <c r="F18" i="2"/>
  <c r="F20" i="2"/>
  <c r="F22" i="2"/>
  <c r="E59" i="9"/>
  <c r="F26" i="2"/>
  <c r="F27" i="2"/>
  <c r="F28" i="2"/>
  <c r="F30" i="2"/>
  <c r="E60" i="9"/>
  <c r="E62" i="9"/>
  <c r="E8" i="3"/>
  <c r="E9" i="3"/>
  <c r="E10" i="3"/>
  <c r="E11" i="3"/>
  <c r="E13" i="3"/>
  <c r="E16" i="3"/>
  <c r="E17" i="3"/>
  <c r="E19" i="3"/>
  <c r="E21" i="3"/>
  <c r="E25" i="3"/>
  <c r="F8" i="3"/>
  <c r="F9" i="3"/>
  <c r="F10" i="3"/>
  <c r="F11" i="3"/>
  <c r="F13" i="3"/>
  <c r="F16" i="3"/>
  <c r="F17" i="3"/>
  <c r="F19" i="3"/>
  <c r="F21" i="3"/>
  <c r="F25" i="3"/>
  <c r="G8" i="3"/>
  <c r="G9" i="3"/>
  <c r="G10" i="3"/>
  <c r="G11" i="3"/>
  <c r="G13" i="3"/>
  <c r="G16" i="3"/>
  <c r="G17" i="3"/>
  <c r="G19" i="3"/>
  <c r="G21" i="3"/>
  <c r="G25" i="3"/>
  <c r="H8" i="3"/>
  <c r="H9" i="3"/>
  <c r="H10" i="3"/>
  <c r="H11" i="3"/>
  <c r="H13" i="3"/>
  <c r="H16" i="3"/>
  <c r="H17" i="3"/>
  <c r="H19" i="3"/>
  <c r="H21" i="3"/>
  <c r="H25" i="3"/>
  <c r="I8" i="3"/>
  <c r="I9" i="3"/>
  <c r="I10" i="3"/>
  <c r="I11" i="3"/>
  <c r="I13" i="3"/>
  <c r="I16" i="3"/>
  <c r="I17" i="3"/>
  <c r="I19" i="3"/>
  <c r="I21" i="3"/>
  <c r="I25" i="3"/>
  <c r="J8" i="3"/>
  <c r="J9" i="3"/>
  <c r="J10" i="3"/>
  <c r="J11" i="3"/>
  <c r="J13" i="3"/>
  <c r="J16" i="3"/>
  <c r="J17" i="3"/>
  <c r="J19" i="3"/>
  <c r="J21" i="3"/>
  <c r="J25" i="3"/>
  <c r="K8" i="3"/>
  <c r="K9" i="3"/>
  <c r="K10" i="3"/>
  <c r="K11" i="3"/>
  <c r="K13" i="3"/>
  <c r="K16" i="3"/>
  <c r="K17" i="3"/>
  <c r="K19" i="3"/>
  <c r="K21" i="3"/>
  <c r="K25" i="3"/>
  <c r="L8" i="3"/>
  <c r="L9" i="3"/>
  <c r="L10" i="3"/>
  <c r="L11" i="3"/>
  <c r="L13" i="3"/>
  <c r="L16" i="3"/>
  <c r="L17" i="3"/>
  <c r="L19" i="3"/>
  <c r="L21" i="3"/>
  <c r="L25" i="3"/>
  <c r="M8" i="3"/>
  <c r="M9" i="3"/>
  <c r="M10" i="3"/>
  <c r="M11" i="3"/>
  <c r="M13" i="3"/>
  <c r="M16" i="3"/>
  <c r="M17" i="3"/>
  <c r="M19" i="3"/>
  <c r="M21" i="3"/>
  <c r="M25" i="3"/>
  <c r="N8" i="3"/>
  <c r="N9" i="3"/>
  <c r="N10" i="3"/>
  <c r="N11" i="3"/>
  <c r="N13" i="3"/>
  <c r="N16" i="3"/>
  <c r="N17" i="3"/>
  <c r="N19" i="3"/>
  <c r="N21" i="3"/>
  <c r="N25" i="3"/>
  <c r="O8" i="3"/>
  <c r="O9" i="3"/>
  <c r="O10" i="3"/>
  <c r="O11" i="3"/>
  <c r="O13" i="3"/>
  <c r="O16" i="3"/>
  <c r="O17" i="3"/>
  <c r="O19" i="3"/>
  <c r="O21" i="3"/>
  <c r="O25" i="3"/>
  <c r="P8" i="3"/>
  <c r="P9" i="3"/>
  <c r="P10" i="3"/>
  <c r="P11" i="3"/>
  <c r="P13" i="3"/>
  <c r="P16" i="3"/>
  <c r="P17" i="3"/>
  <c r="P19" i="3"/>
  <c r="P21" i="3"/>
  <c r="P25" i="3"/>
  <c r="Q25" i="3"/>
  <c r="E26" i="3"/>
  <c r="E27" i="3"/>
  <c r="E29" i="3"/>
  <c r="E40" i="9"/>
  <c r="E33" i="3"/>
  <c r="E34" i="3"/>
  <c r="E36" i="3"/>
  <c r="E41" i="9"/>
  <c r="E40" i="3"/>
  <c r="E41" i="3"/>
  <c r="E43" i="3"/>
  <c r="E42" i="9"/>
  <c r="E47" i="3"/>
  <c r="E48" i="3"/>
  <c r="E49" i="3"/>
  <c r="E50" i="3"/>
  <c r="E52" i="3"/>
  <c r="E43" i="9"/>
  <c r="E56" i="3"/>
  <c r="E57" i="3"/>
  <c r="E59" i="3"/>
  <c r="E44" i="9"/>
  <c r="E63" i="3"/>
  <c r="E65" i="3"/>
  <c r="E66" i="3"/>
  <c r="E68" i="3"/>
  <c r="E45" i="9"/>
  <c r="E72" i="3"/>
  <c r="E73" i="3"/>
  <c r="E74" i="3"/>
  <c r="E76" i="3"/>
  <c r="E46" i="9"/>
  <c r="E80" i="3"/>
  <c r="E81" i="3"/>
  <c r="E82" i="3"/>
  <c r="E84" i="3"/>
  <c r="E47" i="9"/>
  <c r="E88" i="3"/>
  <c r="E89" i="3"/>
  <c r="E90" i="3"/>
  <c r="E91" i="3"/>
  <c r="E93" i="3"/>
  <c r="E48" i="9"/>
  <c r="E97" i="3"/>
  <c r="E98" i="3"/>
  <c r="E99" i="3"/>
  <c r="E101" i="3"/>
  <c r="E49" i="9"/>
  <c r="E105" i="3"/>
  <c r="R8" i="3"/>
  <c r="R9" i="3"/>
  <c r="R10" i="3"/>
  <c r="R11" i="3"/>
  <c r="R13" i="3"/>
  <c r="R16" i="3"/>
  <c r="R17" i="3"/>
  <c r="R19" i="3"/>
  <c r="R21" i="3"/>
  <c r="R25" i="3"/>
  <c r="S8" i="3"/>
  <c r="S9" i="3"/>
  <c r="S10" i="3"/>
  <c r="S11" i="3"/>
  <c r="S13" i="3"/>
  <c r="S16" i="3"/>
  <c r="S17" i="3"/>
  <c r="S19" i="3"/>
  <c r="S21" i="3"/>
  <c r="S25" i="3"/>
  <c r="T8" i="3"/>
  <c r="T9" i="3"/>
  <c r="T10" i="3"/>
  <c r="T11" i="3"/>
  <c r="T13" i="3"/>
  <c r="T16" i="3"/>
  <c r="T17" i="3"/>
  <c r="T19" i="3"/>
  <c r="T21" i="3"/>
  <c r="T25" i="3"/>
  <c r="U8" i="3"/>
  <c r="U9" i="3"/>
  <c r="U10" i="3"/>
  <c r="U11" i="3"/>
  <c r="U13" i="3"/>
  <c r="U16" i="3"/>
  <c r="U17" i="3"/>
  <c r="U19" i="3"/>
  <c r="U21" i="3"/>
  <c r="U25" i="3"/>
  <c r="V25" i="3"/>
  <c r="W8" i="3"/>
  <c r="W9" i="3"/>
  <c r="W10" i="3"/>
  <c r="W11" i="3"/>
  <c r="W13" i="3"/>
  <c r="W16" i="3"/>
  <c r="W17" i="3"/>
  <c r="W19" i="3"/>
  <c r="W21" i="3"/>
  <c r="W25" i="3"/>
  <c r="X8" i="3"/>
  <c r="X9" i="3"/>
  <c r="X10" i="3"/>
  <c r="X11" i="3"/>
  <c r="X13" i="3"/>
  <c r="X16" i="3"/>
  <c r="X17" i="3"/>
  <c r="X19" i="3"/>
  <c r="X21" i="3"/>
  <c r="X25" i="3"/>
  <c r="Z25" i="3"/>
  <c r="B25" i="3"/>
  <c r="B106" i="3"/>
  <c r="E106" i="3"/>
  <c r="B107" i="3"/>
  <c r="E107" i="3"/>
  <c r="E108" i="3"/>
  <c r="E110" i="3"/>
  <c r="E50" i="9"/>
  <c r="E114" i="3"/>
  <c r="E115" i="3"/>
  <c r="E117" i="3"/>
  <c r="E51" i="9"/>
  <c r="E121" i="3"/>
  <c r="E122" i="3"/>
  <c r="E124" i="3"/>
  <c r="E52" i="9"/>
  <c r="E128" i="3"/>
  <c r="E129" i="3"/>
  <c r="E131" i="3"/>
  <c r="E53" i="9"/>
  <c r="E135" i="3"/>
  <c r="E136" i="3"/>
  <c r="E137" i="3"/>
  <c r="E139" i="3"/>
  <c r="E54" i="9"/>
  <c r="E56" i="9"/>
  <c r="E74" i="9"/>
  <c r="E76" i="9"/>
  <c r="E78" i="9"/>
  <c r="G9" i="2"/>
  <c r="G5" i="2"/>
  <c r="G6" i="2"/>
  <c r="G7" i="2"/>
  <c r="G8" i="2"/>
  <c r="G10" i="2"/>
  <c r="G11" i="2"/>
  <c r="G12" i="2"/>
  <c r="G14" i="2"/>
  <c r="G17" i="2"/>
  <c r="G18" i="2"/>
  <c r="G20" i="2"/>
  <c r="G22" i="2"/>
  <c r="F59" i="9"/>
  <c r="G26" i="2"/>
  <c r="G27" i="2"/>
  <c r="G28" i="2"/>
  <c r="G30" i="2"/>
  <c r="F60" i="9"/>
  <c r="F62" i="9"/>
  <c r="F26" i="3"/>
  <c r="F27" i="3"/>
  <c r="F29" i="3"/>
  <c r="F40" i="9"/>
  <c r="F33" i="3"/>
  <c r="F34" i="3"/>
  <c r="F36" i="3"/>
  <c r="F41" i="9"/>
  <c r="F40" i="3"/>
  <c r="F41" i="3"/>
  <c r="F43" i="3"/>
  <c r="F42" i="9"/>
  <c r="F47" i="3"/>
  <c r="F48" i="3"/>
  <c r="F49" i="3"/>
  <c r="F50" i="3"/>
  <c r="F52" i="3"/>
  <c r="F43" i="9"/>
  <c r="F56" i="3"/>
  <c r="F57" i="3"/>
  <c r="F59" i="3"/>
  <c r="F44" i="9"/>
  <c r="F63" i="3"/>
  <c r="F64" i="3"/>
  <c r="F65" i="3"/>
  <c r="F66" i="3"/>
  <c r="F68" i="3"/>
  <c r="F45" i="9"/>
  <c r="F72" i="3"/>
  <c r="F73" i="3"/>
  <c r="F74" i="3"/>
  <c r="F76" i="3"/>
  <c r="F46" i="9"/>
  <c r="F80" i="3"/>
  <c r="F81" i="3"/>
  <c r="F82" i="3"/>
  <c r="F84" i="3"/>
  <c r="F47" i="9"/>
  <c r="F88" i="3"/>
  <c r="F89" i="3"/>
  <c r="F90" i="3"/>
  <c r="F91" i="3"/>
  <c r="F93" i="3"/>
  <c r="F48" i="9"/>
  <c r="F97" i="3"/>
  <c r="F98" i="3"/>
  <c r="F99" i="3"/>
  <c r="F101" i="3"/>
  <c r="F49" i="9"/>
  <c r="F105" i="3"/>
  <c r="F106" i="3"/>
  <c r="F107" i="3"/>
  <c r="F108" i="3"/>
  <c r="F110" i="3"/>
  <c r="F50" i="9"/>
  <c r="F114" i="3"/>
  <c r="F115" i="3"/>
  <c r="F117" i="3"/>
  <c r="F51" i="9"/>
  <c r="F121" i="3"/>
  <c r="F122" i="3"/>
  <c r="F124" i="3"/>
  <c r="F52" i="9"/>
  <c r="F128" i="3"/>
  <c r="F129" i="3"/>
  <c r="F131" i="3"/>
  <c r="F53" i="9"/>
  <c r="F135" i="3"/>
  <c r="F136" i="3"/>
  <c r="F137" i="3"/>
  <c r="F139" i="3"/>
  <c r="F54" i="9"/>
  <c r="F56" i="9"/>
  <c r="F74" i="9"/>
  <c r="F76" i="9"/>
  <c r="F78" i="9"/>
  <c r="G30" i="9"/>
  <c r="G34" i="9"/>
  <c r="G36" i="9"/>
  <c r="H9" i="2"/>
  <c r="H5" i="2"/>
  <c r="H6" i="2"/>
  <c r="H7" i="2"/>
  <c r="H8" i="2"/>
  <c r="H10" i="2"/>
  <c r="H11" i="2"/>
  <c r="H12" i="2"/>
  <c r="H14" i="2"/>
  <c r="H17" i="2"/>
  <c r="H18" i="2"/>
  <c r="H20" i="2"/>
  <c r="H22" i="2"/>
  <c r="G59" i="9"/>
  <c r="H26" i="2"/>
  <c r="H27" i="2"/>
  <c r="H28" i="2"/>
  <c r="H30" i="2"/>
  <c r="G60" i="9"/>
  <c r="G62" i="9"/>
  <c r="G26" i="3"/>
  <c r="G27" i="3"/>
  <c r="G29" i="3"/>
  <c r="G40" i="9"/>
  <c r="G33" i="3"/>
  <c r="G34" i="3"/>
  <c r="G36" i="3"/>
  <c r="G41" i="9"/>
  <c r="G40" i="3"/>
  <c r="G41" i="3"/>
  <c r="G43" i="3"/>
  <c r="G42" i="9"/>
  <c r="G47" i="3"/>
  <c r="G48" i="3"/>
  <c r="G49" i="3"/>
  <c r="G50" i="3"/>
  <c r="G52" i="3"/>
  <c r="G43" i="9"/>
  <c r="G56" i="3"/>
  <c r="G57" i="3"/>
  <c r="G59" i="3"/>
  <c r="G44" i="9"/>
  <c r="G63" i="3"/>
  <c r="G64" i="3"/>
  <c r="G65" i="3"/>
  <c r="G66" i="3"/>
  <c r="G68" i="3"/>
  <c r="G45" i="9"/>
  <c r="G72" i="3"/>
  <c r="G73" i="3"/>
  <c r="G74" i="3"/>
  <c r="G76" i="3"/>
  <c r="G46" i="9"/>
  <c r="G80" i="3"/>
  <c r="G81" i="3"/>
  <c r="G82" i="3"/>
  <c r="G84" i="3"/>
  <c r="G47" i="9"/>
  <c r="G88" i="3"/>
  <c r="G89" i="3"/>
  <c r="G90" i="3"/>
  <c r="G91" i="3"/>
  <c r="G93" i="3"/>
  <c r="G48" i="9"/>
  <c r="G97" i="3"/>
  <c r="G98" i="3"/>
  <c r="G99" i="3"/>
  <c r="G101" i="3"/>
  <c r="G49" i="9"/>
  <c r="G105" i="3"/>
  <c r="G106" i="3"/>
  <c r="G107" i="3"/>
  <c r="G108" i="3"/>
  <c r="G110" i="3"/>
  <c r="G50" i="9"/>
  <c r="G114" i="3"/>
  <c r="G115" i="3"/>
  <c r="G117" i="3"/>
  <c r="G51" i="9"/>
  <c r="G121" i="3"/>
  <c r="G122" i="3"/>
  <c r="G124" i="3"/>
  <c r="G52" i="9"/>
  <c r="G128" i="3"/>
  <c r="G129" i="3"/>
  <c r="G131" i="3"/>
  <c r="G53" i="9"/>
  <c r="G135" i="3"/>
  <c r="G136" i="3"/>
  <c r="G137" i="3"/>
  <c r="G139" i="3"/>
  <c r="G54" i="9"/>
  <c r="G56" i="9"/>
  <c r="G74" i="9"/>
  <c r="G76" i="9"/>
  <c r="G78" i="9"/>
  <c r="E85" i="9"/>
  <c r="H29" i="9"/>
  <c r="H30" i="9"/>
  <c r="H34" i="9"/>
  <c r="H36" i="9"/>
  <c r="I9" i="2"/>
  <c r="I5" i="2"/>
  <c r="I6" i="2"/>
  <c r="I7" i="2"/>
  <c r="I8" i="2"/>
  <c r="I10" i="2"/>
  <c r="I11" i="2"/>
  <c r="I12" i="2"/>
  <c r="I14" i="2"/>
  <c r="I17" i="2"/>
  <c r="I18" i="2"/>
  <c r="I20" i="2"/>
  <c r="I22" i="2"/>
  <c r="H59" i="9"/>
  <c r="I26" i="2"/>
  <c r="I27" i="2"/>
  <c r="I28" i="2"/>
  <c r="I30" i="2"/>
  <c r="H60" i="9"/>
  <c r="H62" i="9"/>
  <c r="E84" i="9"/>
  <c r="H65" i="9"/>
  <c r="H72" i="9"/>
  <c r="H26" i="3"/>
  <c r="H27" i="3"/>
  <c r="H29" i="3"/>
  <c r="H40" i="9"/>
  <c r="H33" i="3"/>
  <c r="H34" i="3"/>
  <c r="H36" i="3"/>
  <c r="H41" i="9"/>
  <c r="H40" i="3"/>
  <c r="H41" i="3"/>
  <c r="H43" i="3"/>
  <c r="H42" i="9"/>
  <c r="H47" i="3"/>
  <c r="H48" i="3"/>
  <c r="H49" i="3"/>
  <c r="H50" i="3"/>
  <c r="H52" i="3"/>
  <c r="H43" i="9"/>
  <c r="H56" i="3"/>
  <c r="H57" i="3"/>
  <c r="H59" i="3"/>
  <c r="H44" i="9"/>
  <c r="H63" i="3"/>
  <c r="H64" i="3"/>
  <c r="H65" i="3"/>
  <c r="H66" i="3"/>
  <c r="H68" i="3"/>
  <c r="H45" i="9"/>
  <c r="H72" i="3"/>
  <c r="H73" i="3"/>
  <c r="H74" i="3"/>
  <c r="H76" i="3"/>
  <c r="H46" i="9"/>
  <c r="H80" i="3"/>
  <c r="H81" i="3"/>
  <c r="H82" i="3"/>
  <c r="H84" i="3"/>
  <c r="H47" i="9"/>
  <c r="H88" i="3"/>
  <c r="H89" i="3"/>
  <c r="H90" i="3"/>
  <c r="H91" i="3"/>
  <c r="H93" i="3"/>
  <c r="H48" i="9"/>
  <c r="H97" i="3"/>
  <c r="H98" i="3"/>
  <c r="H99" i="3"/>
  <c r="H101" i="3"/>
  <c r="H49" i="9"/>
  <c r="H105" i="3"/>
  <c r="H106" i="3"/>
  <c r="H107" i="3"/>
  <c r="H108" i="3"/>
  <c r="H110" i="3"/>
  <c r="H50" i="9"/>
  <c r="H114" i="3"/>
  <c r="H115" i="3"/>
  <c r="H117" i="3"/>
  <c r="H51" i="9"/>
  <c r="H121" i="3"/>
  <c r="H122" i="3"/>
  <c r="H124" i="3"/>
  <c r="H52" i="9"/>
  <c r="H128" i="3"/>
  <c r="H129" i="3"/>
  <c r="H131" i="3"/>
  <c r="H53" i="9"/>
  <c r="H135" i="3"/>
  <c r="H136" i="3"/>
  <c r="H137" i="3"/>
  <c r="H139" i="3"/>
  <c r="H54" i="9"/>
  <c r="H56" i="9"/>
  <c r="H74" i="9"/>
  <c r="H76" i="9"/>
  <c r="H78" i="9"/>
  <c r="I30" i="9"/>
  <c r="I34" i="9"/>
  <c r="I36" i="9"/>
  <c r="J9" i="2"/>
  <c r="J5" i="2"/>
  <c r="J6" i="2"/>
  <c r="J7" i="2"/>
  <c r="J8" i="2"/>
  <c r="J10" i="2"/>
  <c r="J11" i="2"/>
  <c r="J12" i="2"/>
  <c r="J14" i="2"/>
  <c r="J17" i="2"/>
  <c r="J18" i="2"/>
  <c r="J20" i="2"/>
  <c r="J22" i="2"/>
  <c r="I59" i="9"/>
  <c r="J26" i="2"/>
  <c r="J27" i="2"/>
  <c r="J28" i="2"/>
  <c r="J30" i="2"/>
  <c r="I60" i="9"/>
  <c r="I62" i="9"/>
  <c r="I26" i="3"/>
  <c r="I27" i="3"/>
  <c r="I29" i="3"/>
  <c r="I40" i="9"/>
  <c r="I33" i="3"/>
  <c r="I34" i="3"/>
  <c r="I36" i="3"/>
  <c r="I41" i="9"/>
  <c r="I40" i="3"/>
  <c r="I41" i="3"/>
  <c r="I43" i="3"/>
  <c r="I42" i="9"/>
  <c r="I47" i="3"/>
  <c r="I48" i="3"/>
  <c r="I49" i="3"/>
  <c r="I50" i="3"/>
  <c r="I52" i="3"/>
  <c r="I43" i="9"/>
  <c r="I56" i="3"/>
  <c r="I57" i="3"/>
  <c r="I59" i="3"/>
  <c r="I44" i="9"/>
  <c r="I63" i="3"/>
  <c r="I64" i="3"/>
  <c r="I65" i="3"/>
  <c r="I66" i="3"/>
  <c r="I68" i="3"/>
  <c r="I45" i="9"/>
  <c r="I72" i="3"/>
  <c r="I73" i="3"/>
  <c r="I74" i="3"/>
  <c r="I76" i="3"/>
  <c r="I46" i="9"/>
  <c r="I80" i="3"/>
  <c r="I81" i="3"/>
  <c r="I82" i="3"/>
  <c r="I84" i="3"/>
  <c r="I47" i="9"/>
  <c r="I88" i="3"/>
  <c r="I89" i="3"/>
  <c r="I90" i="3"/>
  <c r="I91" i="3"/>
  <c r="I93" i="3"/>
  <c r="I48" i="9"/>
  <c r="I97" i="3"/>
  <c r="I98" i="3"/>
  <c r="I99" i="3"/>
  <c r="I101" i="3"/>
  <c r="I49" i="9"/>
  <c r="I105" i="3"/>
  <c r="I106" i="3"/>
  <c r="I107" i="3"/>
  <c r="I108" i="3"/>
  <c r="I110" i="3"/>
  <c r="I50" i="9"/>
  <c r="I114" i="3"/>
  <c r="I115" i="3"/>
  <c r="I117" i="3"/>
  <c r="I51" i="9"/>
  <c r="I121" i="3"/>
  <c r="I122" i="3"/>
  <c r="I124" i="3"/>
  <c r="I52" i="9"/>
  <c r="I128" i="3"/>
  <c r="I129" i="3"/>
  <c r="I131" i="3"/>
  <c r="I53" i="9"/>
  <c r="I135" i="3"/>
  <c r="I136" i="3"/>
  <c r="I137" i="3"/>
  <c r="I139" i="3"/>
  <c r="I54" i="9"/>
  <c r="I56" i="9"/>
  <c r="I74" i="9"/>
  <c r="I76" i="9"/>
  <c r="I78" i="9"/>
  <c r="J30" i="9"/>
  <c r="J34" i="9"/>
  <c r="J36" i="9"/>
  <c r="K9" i="2"/>
  <c r="K5" i="2"/>
  <c r="K6" i="2"/>
  <c r="K7" i="2"/>
  <c r="K8" i="2"/>
  <c r="K10" i="2"/>
  <c r="K11" i="2"/>
  <c r="K12" i="2"/>
  <c r="K14" i="2"/>
  <c r="K17" i="2"/>
  <c r="K18" i="2"/>
  <c r="K20" i="2"/>
  <c r="K22" i="2"/>
  <c r="J59" i="9"/>
  <c r="K26" i="2"/>
  <c r="K27" i="2"/>
  <c r="K28" i="2"/>
  <c r="K30" i="2"/>
  <c r="J60" i="9"/>
  <c r="J62" i="9"/>
  <c r="J26" i="3"/>
  <c r="J27" i="3"/>
  <c r="J29" i="3"/>
  <c r="J40" i="9"/>
  <c r="J33" i="3"/>
  <c r="J34" i="3"/>
  <c r="J36" i="3"/>
  <c r="J41" i="9"/>
  <c r="J40" i="3"/>
  <c r="J41" i="3"/>
  <c r="J43" i="3"/>
  <c r="J42" i="9"/>
  <c r="J47" i="3"/>
  <c r="J48" i="3"/>
  <c r="J49" i="3"/>
  <c r="J50" i="3"/>
  <c r="J52" i="3"/>
  <c r="J43" i="9"/>
  <c r="J56" i="3"/>
  <c r="J57" i="3"/>
  <c r="J59" i="3"/>
  <c r="J44" i="9"/>
  <c r="J63" i="3"/>
  <c r="J64" i="3"/>
  <c r="J65" i="3"/>
  <c r="J66" i="3"/>
  <c r="J68" i="3"/>
  <c r="J45" i="9"/>
  <c r="J72" i="3"/>
  <c r="J73" i="3"/>
  <c r="J74" i="3"/>
  <c r="J76" i="3"/>
  <c r="J46" i="9"/>
  <c r="J80" i="3"/>
  <c r="J81" i="3"/>
  <c r="J82" i="3"/>
  <c r="J84" i="3"/>
  <c r="J47" i="9"/>
  <c r="J88" i="3"/>
  <c r="J89" i="3"/>
  <c r="J90" i="3"/>
  <c r="J91" i="3"/>
  <c r="J93" i="3"/>
  <c r="J48" i="9"/>
  <c r="J97" i="3"/>
  <c r="J98" i="3"/>
  <c r="J99" i="3"/>
  <c r="J101" i="3"/>
  <c r="J49" i="9"/>
  <c r="J105" i="3"/>
  <c r="J106" i="3"/>
  <c r="J107" i="3"/>
  <c r="J108" i="3"/>
  <c r="J110" i="3"/>
  <c r="J50" i="9"/>
  <c r="J114" i="3"/>
  <c r="J115" i="3"/>
  <c r="J117" i="3"/>
  <c r="J51" i="9"/>
  <c r="J121" i="3"/>
  <c r="J122" i="3"/>
  <c r="J124" i="3"/>
  <c r="J52" i="9"/>
  <c r="J128" i="3"/>
  <c r="J129" i="3"/>
  <c r="J131" i="3"/>
  <c r="J53" i="9"/>
  <c r="J135" i="3"/>
  <c r="J136" i="3"/>
  <c r="J137" i="3"/>
  <c r="J139" i="3"/>
  <c r="J54" i="9"/>
  <c r="J56" i="9"/>
  <c r="J74" i="9"/>
  <c r="J76" i="9"/>
  <c r="J78" i="9"/>
  <c r="H85" i="9"/>
  <c r="K29" i="9"/>
  <c r="K30" i="9"/>
  <c r="K34" i="9"/>
  <c r="K26" i="9"/>
  <c r="K36" i="9"/>
  <c r="L9" i="2"/>
  <c r="L5" i="2"/>
  <c r="L6" i="2"/>
  <c r="L7" i="2"/>
  <c r="L8" i="2"/>
  <c r="L10" i="2"/>
  <c r="L11" i="2"/>
  <c r="L12" i="2"/>
  <c r="L14" i="2"/>
  <c r="L17" i="2"/>
  <c r="L18" i="2"/>
  <c r="L20" i="2"/>
  <c r="L22" i="2"/>
  <c r="K59" i="9"/>
  <c r="L26" i="2"/>
  <c r="L27" i="2"/>
  <c r="L28" i="2"/>
  <c r="L30" i="2"/>
  <c r="K60" i="9"/>
  <c r="K62" i="9"/>
  <c r="H84" i="9"/>
  <c r="K65" i="9"/>
  <c r="K72" i="9"/>
  <c r="K26" i="3"/>
  <c r="K27" i="3"/>
  <c r="K29" i="3"/>
  <c r="K40" i="9"/>
  <c r="K33" i="3"/>
  <c r="K34" i="3"/>
  <c r="K36" i="3"/>
  <c r="K41" i="9"/>
  <c r="K40" i="3"/>
  <c r="K41" i="3"/>
  <c r="K43" i="3"/>
  <c r="K42" i="9"/>
  <c r="K47" i="3"/>
  <c r="K48" i="3"/>
  <c r="K49" i="3"/>
  <c r="K50" i="3"/>
  <c r="K52" i="3"/>
  <c r="K43" i="9"/>
  <c r="K56" i="3"/>
  <c r="K57" i="3"/>
  <c r="K59" i="3"/>
  <c r="K44" i="9"/>
  <c r="K63" i="3"/>
  <c r="K64" i="3"/>
  <c r="K65" i="3"/>
  <c r="K66" i="3"/>
  <c r="K68" i="3"/>
  <c r="K45" i="9"/>
  <c r="K72" i="3"/>
  <c r="K73" i="3"/>
  <c r="K74" i="3"/>
  <c r="K76" i="3"/>
  <c r="K46" i="9"/>
  <c r="K80" i="3"/>
  <c r="K81" i="3"/>
  <c r="K82" i="3"/>
  <c r="K84" i="3"/>
  <c r="K47" i="9"/>
  <c r="K88" i="3"/>
  <c r="K89" i="3"/>
  <c r="K90" i="3"/>
  <c r="K91" i="3"/>
  <c r="K93" i="3"/>
  <c r="K48" i="9"/>
  <c r="K97" i="3"/>
  <c r="K98" i="3"/>
  <c r="K99" i="3"/>
  <c r="K101" i="3"/>
  <c r="K49" i="9"/>
  <c r="K105" i="3"/>
  <c r="K106" i="3"/>
  <c r="K107" i="3"/>
  <c r="K108" i="3"/>
  <c r="K110" i="3"/>
  <c r="K50" i="9"/>
  <c r="K114" i="3"/>
  <c r="K115" i="3"/>
  <c r="K117" i="3"/>
  <c r="K51" i="9"/>
  <c r="K121" i="3"/>
  <c r="K122" i="3"/>
  <c r="K124" i="3"/>
  <c r="K52" i="9"/>
  <c r="K128" i="3"/>
  <c r="K129" i="3"/>
  <c r="K131" i="3"/>
  <c r="K53" i="9"/>
  <c r="K135" i="3"/>
  <c r="K136" i="3"/>
  <c r="K137" i="3"/>
  <c r="K139" i="3"/>
  <c r="K54" i="9"/>
  <c r="K56" i="9"/>
  <c r="K74" i="9"/>
  <c r="K76" i="9"/>
  <c r="K78" i="9"/>
  <c r="L30" i="9"/>
  <c r="L34" i="9"/>
  <c r="L36" i="9"/>
  <c r="M9" i="2"/>
  <c r="M5" i="2"/>
  <c r="M6" i="2"/>
  <c r="M7" i="2"/>
  <c r="M8" i="2"/>
  <c r="M10" i="2"/>
  <c r="M11" i="2"/>
  <c r="M12" i="2"/>
  <c r="M14" i="2"/>
  <c r="M17" i="2"/>
  <c r="M18" i="2"/>
  <c r="M20" i="2"/>
  <c r="M22" i="2"/>
  <c r="L59" i="9"/>
  <c r="M26" i="2"/>
  <c r="M27" i="2"/>
  <c r="M28" i="2"/>
  <c r="M30" i="2"/>
  <c r="L60" i="9"/>
  <c r="L62" i="9"/>
  <c r="L26" i="3"/>
  <c r="L27" i="3"/>
  <c r="L29" i="3"/>
  <c r="L40" i="9"/>
  <c r="L33" i="3"/>
  <c r="L34" i="3"/>
  <c r="L36" i="3"/>
  <c r="L41" i="9"/>
  <c r="L40" i="3"/>
  <c r="L41" i="3"/>
  <c r="L43" i="3"/>
  <c r="L42" i="9"/>
  <c r="L47" i="3"/>
  <c r="L48" i="3"/>
  <c r="L49" i="3"/>
  <c r="L50" i="3"/>
  <c r="L52" i="3"/>
  <c r="L43" i="9"/>
  <c r="L56" i="3"/>
  <c r="L57" i="3"/>
  <c r="L59" i="3"/>
  <c r="L44" i="9"/>
  <c r="L63" i="3"/>
  <c r="L64" i="3"/>
  <c r="L65" i="3"/>
  <c r="L66" i="3"/>
  <c r="L68" i="3"/>
  <c r="L45" i="9"/>
  <c r="L72" i="3"/>
  <c r="L73" i="3"/>
  <c r="L74" i="3"/>
  <c r="L76" i="3"/>
  <c r="L46" i="9"/>
  <c r="L80" i="3"/>
  <c r="L81" i="3"/>
  <c r="L82" i="3"/>
  <c r="L84" i="3"/>
  <c r="L47" i="9"/>
  <c r="L88" i="3"/>
  <c r="L89" i="3"/>
  <c r="L90" i="3"/>
  <c r="L91" i="3"/>
  <c r="L93" i="3"/>
  <c r="L48" i="9"/>
  <c r="L97" i="3"/>
  <c r="L98" i="3"/>
  <c r="L99" i="3"/>
  <c r="L101" i="3"/>
  <c r="L49" i="9"/>
  <c r="L105" i="3"/>
  <c r="L106" i="3"/>
  <c r="L107" i="3"/>
  <c r="L108" i="3"/>
  <c r="L110" i="3"/>
  <c r="L50" i="9"/>
  <c r="L114" i="3"/>
  <c r="L115" i="3"/>
  <c r="L117" i="3"/>
  <c r="L51" i="9"/>
  <c r="L121" i="3"/>
  <c r="L122" i="3"/>
  <c r="L124" i="3"/>
  <c r="L52" i="9"/>
  <c r="L128" i="3"/>
  <c r="L129" i="3"/>
  <c r="L131" i="3"/>
  <c r="L53" i="9"/>
  <c r="L135" i="3"/>
  <c r="L136" i="3"/>
  <c r="L137" i="3"/>
  <c r="L139" i="3"/>
  <c r="L54" i="9"/>
  <c r="L56" i="9"/>
  <c r="L74" i="9"/>
  <c r="L76" i="9"/>
  <c r="L78" i="9"/>
  <c r="M30" i="9"/>
  <c r="M34" i="9"/>
  <c r="M26" i="9"/>
  <c r="M36" i="9"/>
  <c r="N9" i="2"/>
  <c r="N5" i="2"/>
  <c r="N6" i="2"/>
  <c r="N7" i="2"/>
  <c r="N8" i="2"/>
  <c r="N10" i="2"/>
  <c r="N11" i="2"/>
  <c r="N12" i="2"/>
  <c r="N14" i="2"/>
  <c r="N17" i="2"/>
  <c r="N18" i="2"/>
  <c r="N20" i="2"/>
  <c r="N22" i="2"/>
  <c r="M59" i="9"/>
  <c r="N26" i="2"/>
  <c r="N27" i="2"/>
  <c r="N28" i="2"/>
  <c r="N30" i="2"/>
  <c r="M60" i="9"/>
  <c r="M62" i="9"/>
  <c r="M26" i="3"/>
  <c r="M27" i="3"/>
  <c r="M29" i="3"/>
  <c r="M40" i="9"/>
  <c r="M33" i="3"/>
  <c r="M34" i="3"/>
  <c r="M36" i="3"/>
  <c r="M41" i="9"/>
  <c r="M40" i="3"/>
  <c r="M41" i="3"/>
  <c r="M43" i="3"/>
  <c r="M42" i="9"/>
  <c r="M47" i="3"/>
  <c r="M48" i="3"/>
  <c r="M49" i="3"/>
  <c r="M50" i="3"/>
  <c r="M52" i="3"/>
  <c r="M43" i="9"/>
  <c r="M56" i="3"/>
  <c r="M57" i="3"/>
  <c r="M59" i="3"/>
  <c r="M44" i="9"/>
  <c r="M63" i="3"/>
  <c r="M64" i="3"/>
  <c r="M65" i="3"/>
  <c r="M66" i="3"/>
  <c r="M68" i="3"/>
  <c r="M45" i="9"/>
  <c r="M72" i="3"/>
  <c r="M73" i="3"/>
  <c r="M74" i="3"/>
  <c r="M76" i="3"/>
  <c r="M46" i="9"/>
  <c r="M80" i="3"/>
  <c r="M81" i="3"/>
  <c r="M82" i="3"/>
  <c r="M84" i="3"/>
  <c r="M47" i="9"/>
  <c r="M88" i="3"/>
  <c r="M89" i="3"/>
  <c r="M90" i="3"/>
  <c r="M91" i="3"/>
  <c r="M93" i="3"/>
  <c r="M48" i="9"/>
  <c r="M97" i="3"/>
  <c r="M98" i="3"/>
  <c r="M99" i="3"/>
  <c r="M101" i="3"/>
  <c r="M49" i="9"/>
  <c r="M105" i="3"/>
  <c r="M106" i="3"/>
  <c r="M107" i="3"/>
  <c r="M108" i="3"/>
  <c r="M110" i="3"/>
  <c r="M50" i="9"/>
  <c r="M114" i="3"/>
  <c r="M115" i="3"/>
  <c r="M117" i="3"/>
  <c r="M51" i="9"/>
  <c r="M121" i="3"/>
  <c r="M122" i="3"/>
  <c r="M124" i="3"/>
  <c r="M52" i="9"/>
  <c r="M128" i="3"/>
  <c r="M129" i="3"/>
  <c r="M131" i="3"/>
  <c r="M53" i="9"/>
  <c r="M135" i="3"/>
  <c r="M136" i="3"/>
  <c r="M137" i="3"/>
  <c r="M139" i="3"/>
  <c r="M54" i="9"/>
  <c r="M56" i="9"/>
  <c r="K15" i="9"/>
  <c r="M69" i="9"/>
  <c r="M72" i="9"/>
  <c r="M74" i="9"/>
  <c r="M76" i="9"/>
  <c r="M78" i="9"/>
  <c r="K85" i="9"/>
  <c r="N29" i="9"/>
  <c r="N30" i="9"/>
  <c r="N34" i="9"/>
  <c r="N36" i="9"/>
  <c r="O9" i="2"/>
  <c r="O5" i="2"/>
  <c r="O6" i="2"/>
  <c r="O7" i="2"/>
  <c r="O8" i="2"/>
  <c r="O10" i="2"/>
  <c r="O11" i="2"/>
  <c r="O12" i="2"/>
  <c r="O14" i="2"/>
  <c r="O17" i="2"/>
  <c r="O18" i="2"/>
  <c r="O20" i="2"/>
  <c r="O22" i="2"/>
  <c r="N59" i="9"/>
  <c r="O26" i="2"/>
  <c r="O27" i="2"/>
  <c r="O28" i="2"/>
  <c r="O30" i="2"/>
  <c r="N60" i="9"/>
  <c r="N62" i="9"/>
  <c r="K84" i="9"/>
  <c r="N65" i="9"/>
  <c r="N72" i="9"/>
  <c r="N26" i="3"/>
  <c r="N27" i="3"/>
  <c r="N29" i="3"/>
  <c r="N40" i="9"/>
  <c r="N33" i="3"/>
  <c r="N34" i="3"/>
  <c r="N36" i="3"/>
  <c r="N41" i="9"/>
  <c r="N40" i="3"/>
  <c r="N41" i="3"/>
  <c r="N43" i="3"/>
  <c r="N42" i="9"/>
  <c r="N47" i="3"/>
  <c r="N48" i="3"/>
  <c r="N49" i="3"/>
  <c r="N50" i="3"/>
  <c r="N52" i="3"/>
  <c r="N43" i="9"/>
  <c r="N56" i="3"/>
  <c r="N57" i="3"/>
  <c r="N59" i="3"/>
  <c r="N44" i="9"/>
  <c r="N63" i="3"/>
  <c r="N64" i="3"/>
  <c r="N65" i="3"/>
  <c r="N66" i="3"/>
  <c r="N68" i="3"/>
  <c r="N45" i="9"/>
  <c r="N72" i="3"/>
  <c r="N73" i="3"/>
  <c r="N74" i="3"/>
  <c r="N76" i="3"/>
  <c r="N46" i="9"/>
  <c r="N80" i="3"/>
  <c r="N81" i="3"/>
  <c r="N82" i="3"/>
  <c r="N84" i="3"/>
  <c r="N47" i="9"/>
  <c r="N88" i="3"/>
  <c r="N89" i="3"/>
  <c r="N90" i="3"/>
  <c r="N91" i="3"/>
  <c r="N93" i="3"/>
  <c r="N48" i="9"/>
  <c r="N97" i="3"/>
  <c r="N98" i="3"/>
  <c r="N99" i="3"/>
  <c r="N101" i="3"/>
  <c r="N49" i="9"/>
  <c r="N105" i="3"/>
  <c r="N106" i="3"/>
  <c r="N107" i="3"/>
  <c r="N108" i="3"/>
  <c r="N110" i="3"/>
  <c r="N50" i="9"/>
  <c r="N114" i="3"/>
  <c r="N115" i="3"/>
  <c r="N117" i="3"/>
  <c r="N51" i="9"/>
  <c r="N121" i="3"/>
  <c r="N122" i="3"/>
  <c r="N124" i="3"/>
  <c r="N52" i="9"/>
  <c r="N128" i="3"/>
  <c r="N129" i="3"/>
  <c r="N131" i="3"/>
  <c r="N53" i="9"/>
  <c r="N135" i="3"/>
  <c r="N136" i="3"/>
  <c r="N137" i="3"/>
  <c r="N139" i="3"/>
  <c r="N54" i="9"/>
  <c r="N56" i="9"/>
  <c r="N74" i="9"/>
  <c r="N76" i="9"/>
  <c r="N78" i="9"/>
  <c r="O30" i="9"/>
  <c r="O34" i="9"/>
  <c r="O26" i="9"/>
  <c r="O36" i="9"/>
  <c r="P9" i="2"/>
  <c r="P5" i="2"/>
  <c r="P6" i="2"/>
  <c r="P7" i="2"/>
  <c r="P8" i="2"/>
  <c r="P10" i="2"/>
  <c r="P11" i="2"/>
  <c r="P12" i="2"/>
  <c r="P14" i="2"/>
  <c r="P17" i="2"/>
  <c r="P18" i="2"/>
  <c r="P20" i="2"/>
  <c r="P22" i="2"/>
  <c r="O59" i="9"/>
  <c r="P26" i="2"/>
  <c r="P27" i="2"/>
  <c r="P28" i="2"/>
  <c r="P30" i="2"/>
  <c r="O60" i="9"/>
  <c r="O62" i="9"/>
  <c r="O26" i="3"/>
  <c r="O27" i="3"/>
  <c r="O29" i="3"/>
  <c r="O40" i="9"/>
  <c r="O33" i="3"/>
  <c r="O34" i="3"/>
  <c r="O36" i="3"/>
  <c r="O41" i="9"/>
  <c r="O40" i="3"/>
  <c r="O41" i="3"/>
  <c r="O43" i="3"/>
  <c r="O42" i="9"/>
  <c r="O47" i="3"/>
  <c r="O48" i="3"/>
  <c r="O49" i="3"/>
  <c r="O50" i="3"/>
  <c r="O52" i="3"/>
  <c r="O43" i="9"/>
  <c r="O56" i="3"/>
  <c r="O57" i="3"/>
  <c r="O59" i="3"/>
  <c r="O44" i="9"/>
  <c r="O63" i="3"/>
  <c r="O64" i="3"/>
  <c r="O65" i="3"/>
  <c r="O66" i="3"/>
  <c r="O68" i="3"/>
  <c r="O45" i="9"/>
  <c r="O72" i="3"/>
  <c r="O73" i="3"/>
  <c r="O74" i="3"/>
  <c r="O76" i="3"/>
  <c r="O46" i="9"/>
  <c r="O80" i="3"/>
  <c r="O81" i="3"/>
  <c r="O82" i="3"/>
  <c r="O84" i="3"/>
  <c r="O47" i="9"/>
  <c r="O88" i="3"/>
  <c r="O89" i="3"/>
  <c r="O90" i="3"/>
  <c r="O91" i="3"/>
  <c r="O93" i="3"/>
  <c r="O48" i="9"/>
  <c r="O97" i="3"/>
  <c r="O98" i="3"/>
  <c r="O99" i="3"/>
  <c r="O101" i="3"/>
  <c r="O49" i="9"/>
  <c r="O105" i="3"/>
  <c r="O106" i="3"/>
  <c r="O107" i="3"/>
  <c r="O108" i="3"/>
  <c r="O110" i="3"/>
  <c r="O50" i="9"/>
  <c r="O114" i="3"/>
  <c r="O115" i="3"/>
  <c r="O117" i="3"/>
  <c r="O51" i="9"/>
  <c r="O121" i="3"/>
  <c r="O122" i="3"/>
  <c r="O124" i="3"/>
  <c r="O52" i="9"/>
  <c r="O128" i="3"/>
  <c r="O129" i="3"/>
  <c r="O131" i="3"/>
  <c r="O53" i="9"/>
  <c r="O135" i="3"/>
  <c r="O136" i="3"/>
  <c r="O137" i="3"/>
  <c r="O139" i="3"/>
  <c r="O54" i="9"/>
  <c r="O56" i="9"/>
  <c r="M15" i="9"/>
  <c r="O69" i="9"/>
  <c r="O72" i="9"/>
  <c r="O74" i="9"/>
  <c r="O76" i="9"/>
  <c r="O78" i="9"/>
  <c r="P30" i="9"/>
  <c r="P34" i="9"/>
  <c r="P26" i="9"/>
  <c r="P36" i="9"/>
  <c r="Q9" i="2"/>
  <c r="Q5" i="2"/>
  <c r="Q6" i="2"/>
  <c r="Q7" i="2"/>
  <c r="Q8" i="2"/>
  <c r="Q10" i="2"/>
  <c r="Q11" i="2"/>
  <c r="Q12" i="2"/>
  <c r="Q14" i="2"/>
  <c r="Q17" i="2"/>
  <c r="Q18" i="2"/>
  <c r="Q20" i="2"/>
  <c r="Q22" i="2"/>
  <c r="P59" i="9"/>
  <c r="Q26" i="2"/>
  <c r="Q27" i="2"/>
  <c r="Q28" i="2"/>
  <c r="Q30" i="2"/>
  <c r="P60" i="9"/>
  <c r="P62" i="9"/>
  <c r="P26" i="3"/>
  <c r="P27" i="3"/>
  <c r="P29" i="3"/>
  <c r="P40" i="9"/>
  <c r="P33" i="3"/>
  <c r="P34" i="3"/>
  <c r="P36" i="3"/>
  <c r="P41" i="9"/>
  <c r="P40" i="3"/>
  <c r="P41" i="3"/>
  <c r="P43" i="3"/>
  <c r="P42" i="9"/>
  <c r="P47" i="3"/>
  <c r="P48" i="3"/>
  <c r="P49" i="3"/>
  <c r="P50" i="3"/>
  <c r="P52" i="3"/>
  <c r="P43" i="9"/>
  <c r="P56" i="3"/>
  <c r="P57" i="3"/>
  <c r="P59" i="3"/>
  <c r="P44" i="9"/>
  <c r="P63" i="3"/>
  <c r="P64" i="3"/>
  <c r="P65" i="3"/>
  <c r="P66" i="3"/>
  <c r="P68" i="3"/>
  <c r="P45" i="9"/>
  <c r="P72" i="3"/>
  <c r="P73" i="3"/>
  <c r="P74" i="3"/>
  <c r="P76" i="3"/>
  <c r="P46" i="9"/>
  <c r="P80" i="3"/>
  <c r="P81" i="3"/>
  <c r="P82" i="3"/>
  <c r="P84" i="3"/>
  <c r="P47" i="9"/>
  <c r="P88" i="3"/>
  <c r="P89" i="3"/>
  <c r="P90" i="3"/>
  <c r="P91" i="3"/>
  <c r="P93" i="3"/>
  <c r="P48" i="9"/>
  <c r="P97" i="3"/>
  <c r="P98" i="3"/>
  <c r="P99" i="3"/>
  <c r="P101" i="3"/>
  <c r="P49" i="9"/>
  <c r="P105" i="3"/>
  <c r="P106" i="3"/>
  <c r="P107" i="3"/>
  <c r="P108" i="3"/>
  <c r="P110" i="3"/>
  <c r="P50" i="9"/>
  <c r="P114" i="3"/>
  <c r="P115" i="3"/>
  <c r="P117" i="3"/>
  <c r="P51" i="9"/>
  <c r="P121" i="3"/>
  <c r="P122" i="3"/>
  <c r="P124" i="3"/>
  <c r="P52" i="9"/>
  <c r="P128" i="3"/>
  <c r="P129" i="3"/>
  <c r="P131" i="3"/>
  <c r="P53" i="9"/>
  <c r="P135" i="3"/>
  <c r="P136" i="3"/>
  <c r="P137" i="3"/>
  <c r="P139" i="3"/>
  <c r="P54" i="9"/>
  <c r="P56" i="9"/>
  <c r="P74" i="9"/>
  <c r="P76" i="9"/>
  <c r="P78" i="9"/>
  <c r="N85" i="9"/>
  <c r="R29" i="9"/>
  <c r="S9" i="2"/>
  <c r="S5" i="2"/>
  <c r="S6" i="2"/>
  <c r="S7" i="2"/>
  <c r="S8" i="2"/>
  <c r="S10" i="2"/>
  <c r="S11" i="2"/>
  <c r="S12" i="2"/>
  <c r="S14" i="2"/>
  <c r="S17" i="2"/>
  <c r="S18" i="2"/>
  <c r="S20" i="2"/>
  <c r="S22" i="2"/>
  <c r="R33" i="3"/>
  <c r="R34" i="3"/>
  <c r="R36" i="3"/>
  <c r="R41" i="9"/>
  <c r="R40" i="3"/>
  <c r="R41" i="3"/>
  <c r="R43" i="3"/>
  <c r="R42" i="9"/>
  <c r="R47" i="3"/>
  <c r="R48" i="3"/>
  <c r="R49" i="3"/>
  <c r="R50" i="3"/>
  <c r="R52" i="3"/>
  <c r="R43" i="9"/>
  <c r="R56" i="3"/>
  <c r="R57" i="3"/>
  <c r="R59" i="3"/>
  <c r="R44" i="9"/>
  <c r="R72" i="3"/>
  <c r="R73" i="3"/>
  <c r="R74" i="3"/>
  <c r="R76" i="3"/>
  <c r="R46" i="9"/>
  <c r="R80" i="3"/>
  <c r="R81" i="3"/>
  <c r="R82" i="3"/>
  <c r="R84" i="3"/>
  <c r="R47" i="9"/>
  <c r="R89" i="3"/>
  <c r="R90" i="3"/>
  <c r="R91" i="3"/>
  <c r="R93" i="3"/>
  <c r="R48" i="9"/>
  <c r="R97" i="3"/>
  <c r="R98" i="3"/>
  <c r="R99" i="3"/>
  <c r="R101" i="3"/>
  <c r="R49" i="9"/>
  <c r="R121" i="3"/>
  <c r="R122" i="3"/>
  <c r="R124" i="3"/>
  <c r="R52" i="9"/>
  <c r="R135" i="3"/>
  <c r="R136" i="3"/>
  <c r="R137" i="3"/>
  <c r="R139" i="3"/>
  <c r="R54" i="9"/>
  <c r="R30" i="9"/>
  <c r="R34" i="9"/>
  <c r="R26" i="9"/>
  <c r="R36" i="9"/>
  <c r="R59" i="9"/>
  <c r="S26" i="2"/>
  <c r="S27" i="2"/>
  <c r="S28" i="2"/>
  <c r="S30" i="2"/>
  <c r="R60" i="9"/>
  <c r="R62" i="9"/>
  <c r="N84" i="9"/>
  <c r="R65" i="9"/>
  <c r="R15" i="9"/>
  <c r="P15" i="9"/>
  <c r="R69" i="9"/>
  <c r="R72" i="9"/>
  <c r="R26" i="3"/>
  <c r="R27" i="3"/>
  <c r="R29" i="3"/>
  <c r="R40" i="9"/>
  <c r="R63" i="3"/>
  <c r="R64" i="3"/>
  <c r="R65" i="3"/>
  <c r="R66" i="3"/>
  <c r="R68" i="3"/>
  <c r="R45" i="9"/>
  <c r="R105" i="3"/>
  <c r="R106" i="3"/>
  <c r="R107" i="3"/>
  <c r="R108" i="3"/>
  <c r="R110" i="3"/>
  <c r="R50" i="9"/>
  <c r="R114" i="3"/>
  <c r="R115" i="3"/>
  <c r="R117" i="3"/>
  <c r="R51" i="9"/>
  <c r="R128" i="3"/>
  <c r="R129" i="3"/>
  <c r="R131" i="3"/>
  <c r="R53" i="9"/>
  <c r="R56" i="9"/>
  <c r="R74" i="9"/>
  <c r="R76" i="9"/>
  <c r="R78" i="9"/>
  <c r="R85" i="9"/>
  <c r="S29" i="9"/>
  <c r="T9" i="2"/>
  <c r="T5" i="2"/>
  <c r="T6" i="2"/>
  <c r="T7" i="2"/>
  <c r="T8" i="2"/>
  <c r="T10" i="2"/>
  <c r="T11" i="2"/>
  <c r="T12" i="2"/>
  <c r="T14" i="2"/>
  <c r="T17" i="2"/>
  <c r="T18" i="2"/>
  <c r="T20" i="2"/>
  <c r="T22" i="2"/>
  <c r="S33" i="3"/>
  <c r="S34" i="3"/>
  <c r="S36" i="3"/>
  <c r="S41" i="9"/>
  <c r="S40" i="3"/>
  <c r="S41" i="3"/>
  <c r="S43" i="3"/>
  <c r="S42" i="9"/>
  <c r="S47" i="3"/>
  <c r="S48" i="3"/>
  <c r="S49" i="3"/>
  <c r="S50" i="3"/>
  <c r="S52" i="3"/>
  <c r="S43" i="9"/>
  <c r="S56" i="3"/>
  <c r="S57" i="3"/>
  <c r="S59" i="3"/>
  <c r="S44" i="9"/>
  <c r="S72" i="3"/>
  <c r="S73" i="3"/>
  <c r="S74" i="3"/>
  <c r="S76" i="3"/>
  <c r="S46" i="9"/>
  <c r="S80" i="3"/>
  <c r="S81" i="3"/>
  <c r="S82" i="3"/>
  <c r="S84" i="3"/>
  <c r="S47" i="9"/>
  <c r="S89" i="3"/>
  <c r="S90" i="3"/>
  <c r="S91" i="3"/>
  <c r="S93" i="3"/>
  <c r="S48" i="9"/>
  <c r="S97" i="3"/>
  <c r="S98" i="3"/>
  <c r="S99" i="3"/>
  <c r="S101" i="3"/>
  <c r="S49" i="9"/>
  <c r="S121" i="3"/>
  <c r="S122" i="3"/>
  <c r="S124" i="3"/>
  <c r="S52" i="9"/>
  <c r="S135" i="3"/>
  <c r="S136" i="3"/>
  <c r="S137" i="3"/>
  <c r="S139" i="3"/>
  <c r="S54" i="9"/>
  <c r="S30" i="9"/>
  <c r="S34" i="9"/>
  <c r="S21" i="9"/>
  <c r="S26" i="9"/>
  <c r="S36" i="9"/>
  <c r="S59" i="9"/>
  <c r="T26" i="2"/>
  <c r="T27" i="2"/>
  <c r="T28" i="2"/>
  <c r="T30" i="2"/>
  <c r="S60" i="9"/>
  <c r="S62" i="9"/>
  <c r="R84" i="9"/>
  <c r="S65" i="9"/>
  <c r="S15" i="9"/>
  <c r="S69" i="9"/>
  <c r="S72" i="9"/>
  <c r="S26" i="3"/>
  <c r="S27" i="3"/>
  <c r="S29" i="3"/>
  <c r="S40" i="9"/>
  <c r="S63" i="3"/>
  <c r="S64" i="3"/>
  <c r="S65" i="3"/>
  <c r="S66" i="3"/>
  <c r="S68" i="3"/>
  <c r="S45" i="9"/>
  <c r="S105" i="3"/>
  <c r="S106" i="3"/>
  <c r="S107" i="3"/>
  <c r="S108" i="3"/>
  <c r="S110" i="3"/>
  <c r="S50" i="9"/>
  <c r="S114" i="3"/>
  <c r="S115" i="3"/>
  <c r="S117" i="3"/>
  <c r="S51" i="9"/>
  <c r="S128" i="3"/>
  <c r="S129" i="3"/>
  <c r="S131" i="3"/>
  <c r="S53" i="9"/>
  <c r="S56" i="9"/>
  <c r="S74" i="9"/>
  <c r="S76" i="9"/>
  <c r="S78" i="9"/>
  <c r="Q78" i="9"/>
  <c r="S85" i="9"/>
  <c r="T29" i="9"/>
  <c r="U9" i="2"/>
  <c r="U5" i="2"/>
  <c r="U6" i="2"/>
  <c r="U7" i="2"/>
  <c r="U8" i="2"/>
  <c r="U10" i="2"/>
  <c r="U11" i="2"/>
  <c r="U12" i="2"/>
  <c r="U14" i="2"/>
  <c r="U17" i="2"/>
  <c r="U18" i="2"/>
  <c r="U20" i="2"/>
  <c r="U22" i="2"/>
  <c r="T33" i="3"/>
  <c r="T34" i="3"/>
  <c r="T36" i="3"/>
  <c r="T41" i="9"/>
  <c r="T40" i="3"/>
  <c r="T41" i="3"/>
  <c r="T43" i="3"/>
  <c r="T42" i="9"/>
  <c r="T47" i="3"/>
  <c r="T48" i="3"/>
  <c r="T49" i="3"/>
  <c r="T50" i="3"/>
  <c r="T52" i="3"/>
  <c r="T43" i="9"/>
  <c r="T56" i="3"/>
  <c r="T57" i="3"/>
  <c r="T59" i="3"/>
  <c r="T44" i="9"/>
  <c r="T72" i="3"/>
  <c r="T73" i="3"/>
  <c r="T74" i="3"/>
  <c r="T76" i="3"/>
  <c r="T46" i="9"/>
  <c r="T80" i="3"/>
  <c r="T81" i="3"/>
  <c r="T82" i="3"/>
  <c r="T84" i="3"/>
  <c r="T47" i="9"/>
  <c r="T89" i="3"/>
  <c r="T90" i="3"/>
  <c r="T91" i="3"/>
  <c r="T93" i="3"/>
  <c r="T48" i="9"/>
  <c r="T97" i="3"/>
  <c r="T98" i="3"/>
  <c r="T99" i="3"/>
  <c r="T101" i="3"/>
  <c r="T49" i="9"/>
  <c r="T121" i="3"/>
  <c r="T122" i="3"/>
  <c r="T124" i="3"/>
  <c r="T52" i="9"/>
  <c r="T135" i="3"/>
  <c r="T136" i="3"/>
  <c r="T137" i="3"/>
  <c r="T139" i="3"/>
  <c r="T54" i="9"/>
  <c r="T30" i="9"/>
  <c r="T34" i="9"/>
  <c r="T21" i="9"/>
  <c r="T26" i="9"/>
  <c r="T36" i="9"/>
  <c r="T59" i="9"/>
  <c r="U26" i="2"/>
  <c r="U27" i="2"/>
  <c r="U28" i="2"/>
  <c r="U30" i="2"/>
  <c r="T60" i="9"/>
  <c r="T62" i="9"/>
  <c r="S84" i="9"/>
  <c r="T65" i="9"/>
  <c r="T15" i="9"/>
  <c r="T69" i="9"/>
  <c r="T72" i="9"/>
  <c r="T26" i="3"/>
  <c r="T27" i="3"/>
  <c r="T29" i="3"/>
  <c r="T40" i="9"/>
  <c r="T63" i="3"/>
  <c r="T64" i="3"/>
  <c r="T65" i="3"/>
  <c r="T66" i="3"/>
  <c r="T68" i="3"/>
  <c r="T45" i="9"/>
  <c r="T105" i="3"/>
  <c r="T106" i="3"/>
  <c r="T107" i="3"/>
  <c r="T108" i="3"/>
  <c r="T110" i="3"/>
  <c r="T50" i="9"/>
  <c r="T114" i="3"/>
  <c r="T115" i="3"/>
  <c r="T117" i="3"/>
  <c r="T51" i="9"/>
  <c r="T128" i="3"/>
  <c r="T129" i="3"/>
  <c r="T131" i="3"/>
  <c r="T53" i="9"/>
  <c r="T56" i="9"/>
  <c r="T74" i="9"/>
  <c r="T76" i="9"/>
  <c r="T78" i="9"/>
  <c r="T85" i="9"/>
  <c r="U29" i="9"/>
  <c r="V9" i="2"/>
  <c r="V5" i="2"/>
  <c r="V6" i="2"/>
  <c r="V7" i="2"/>
  <c r="V8" i="2"/>
  <c r="V10" i="2"/>
  <c r="V11" i="2"/>
  <c r="V12" i="2"/>
  <c r="V14" i="2"/>
  <c r="V17" i="2"/>
  <c r="V18" i="2"/>
  <c r="V20" i="2"/>
  <c r="V22" i="2"/>
  <c r="U33" i="3"/>
  <c r="U34" i="3"/>
  <c r="U36" i="3"/>
  <c r="U41" i="9"/>
  <c r="U40" i="3"/>
  <c r="U41" i="3"/>
  <c r="U43" i="3"/>
  <c r="U42" i="9"/>
  <c r="U47" i="3"/>
  <c r="U48" i="3"/>
  <c r="U49" i="3"/>
  <c r="U50" i="3"/>
  <c r="U52" i="3"/>
  <c r="U43" i="9"/>
  <c r="U56" i="3"/>
  <c r="U57" i="3"/>
  <c r="U59" i="3"/>
  <c r="U44" i="9"/>
  <c r="U72" i="3"/>
  <c r="U73" i="3"/>
  <c r="U74" i="3"/>
  <c r="U76" i="3"/>
  <c r="U46" i="9"/>
  <c r="U80" i="3"/>
  <c r="U81" i="3"/>
  <c r="U82" i="3"/>
  <c r="U84" i="3"/>
  <c r="U47" i="9"/>
  <c r="U89" i="3"/>
  <c r="U90" i="3"/>
  <c r="U91" i="3"/>
  <c r="U93" i="3"/>
  <c r="U48" i="9"/>
  <c r="U97" i="3"/>
  <c r="U98" i="3"/>
  <c r="U99" i="3"/>
  <c r="U101" i="3"/>
  <c r="U49" i="9"/>
  <c r="U121" i="3"/>
  <c r="U122" i="3"/>
  <c r="U124" i="3"/>
  <c r="U52" i="9"/>
  <c r="U135" i="3"/>
  <c r="U136" i="3"/>
  <c r="U137" i="3"/>
  <c r="U139" i="3"/>
  <c r="U54" i="9"/>
  <c r="U30" i="9"/>
  <c r="U34" i="9"/>
  <c r="U21" i="9"/>
  <c r="U26" i="9"/>
  <c r="U36" i="9"/>
  <c r="U59" i="9"/>
  <c r="V26" i="2"/>
  <c r="V27" i="2"/>
  <c r="V28" i="2"/>
  <c r="V30" i="2"/>
  <c r="U60" i="9"/>
  <c r="U62" i="9"/>
  <c r="T84" i="9"/>
  <c r="U65" i="9"/>
  <c r="U15" i="9"/>
  <c r="U69" i="9"/>
  <c r="U72" i="9"/>
  <c r="U26" i="3"/>
  <c r="U27" i="3"/>
  <c r="U29" i="3"/>
  <c r="U40" i="9"/>
  <c r="U63" i="3"/>
  <c r="U64" i="3"/>
  <c r="U65" i="3"/>
  <c r="U66" i="3"/>
  <c r="U68" i="3"/>
  <c r="U45" i="9"/>
  <c r="U105" i="3"/>
  <c r="U106" i="3"/>
  <c r="U107" i="3"/>
  <c r="U108" i="3"/>
  <c r="U110" i="3"/>
  <c r="U50" i="9"/>
  <c r="U114" i="3"/>
  <c r="U115" i="3"/>
  <c r="U117" i="3"/>
  <c r="U51" i="9"/>
  <c r="U128" i="3"/>
  <c r="U129" i="3"/>
  <c r="U131" i="3"/>
  <c r="U53" i="9"/>
  <c r="U56" i="9"/>
  <c r="U74" i="9"/>
  <c r="U76" i="9"/>
  <c r="U78" i="9"/>
  <c r="U85" i="9"/>
  <c r="W29" i="9"/>
  <c r="X9" i="2"/>
  <c r="X5" i="2"/>
  <c r="X6" i="2"/>
  <c r="X7" i="2"/>
  <c r="X8" i="2"/>
  <c r="X10" i="2"/>
  <c r="X11" i="2"/>
  <c r="X12" i="2"/>
  <c r="X14" i="2"/>
  <c r="X17" i="2"/>
  <c r="X18" i="2"/>
  <c r="X20" i="2"/>
  <c r="X22" i="2"/>
  <c r="W33" i="3"/>
  <c r="W34" i="3"/>
  <c r="W36" i="3"/>
  <c r="W41" i="9"/>
  <c r="W40" i="3"/>
  <c r="W41" i="3"/>
  <c r="W43" i="3"/>
  <c r="W42" i="9"/>
  <c r="W47" i="3"/>
  <c r="W48" i="3"/>
  <c r="W49" i="3"/>
  <c r="W50" i="3"/>
  <c r="W52" i="3"/>
  <c r="W43" i="9"/>
  <c r="W56" i="3"/>
  <c r="W57" i="3"/>
  <c r="W59" i="3"/>
  <c r="W44" i="9"/>
  <c r="W72" i="3"/>
  <c r="W73" i="3"/>
  <c r="W74" i="3"/>
  <c r="W76" i="3"/>
  <c r="W46" i="9"/>
  <c r="W80" i="3"/>
  <c r="W81" i="3"/>
  <c r="W82" i="3"/>
  <c r="W84" i="3"/>
  <c r="W47" i="9"/>
  <c r="W89" i="3"/>
  <c r="W90" i="3"/>
  <c r="W91" i="3"/>
  <c r="W93" i="3"/>
  <c r="W48" i="9"/>
  <c r="W97" i="3"/>
  <c r="W98" i="3"/>
  <c r="W99" i="3"/>
  <c r="W101" i="3"/>
  <c r="W49" i="9"/>
  <c r="W122" i="3"/>
  <c r="W124" i="3"/>
  <c r="W52" i="9"/>
  <c r="W135" i="3"/>
  <c r="W136" i="3"/>
  <c r="W137" i="3"/>
  <c r="W139" i="3"/>
  <c r="W54" i="9"/>
  <c r="W30" i="9"/>
  <c r="W34" i="9"/>
  <c r="W26" i="9"/>
  <c r="W36" i="9"/>
  <c r="W59" i="9"/>
  <c r="X26" i="2"/>
  <c r="X27" i="2"/>
  <c r="X28" i="2"/>
  <c r="X30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F11" i="8"/>
  <c r="G11" i="8"/>
  <c r="H11" i="8"/>
  <c r="I11" i="8"/>
  <c r="E12" i="8"/>
  <c r="F12" i="8"/>
  <c r="G12" i="8"/>
  <c r="H12" i="8"/>
  <c r="I12" i="8"/>
  <c r="I14" i="8"/>
  <c r="W36" i="6"/>
  <c r="W19" i="6"/>
  <c r="W20" i="6"/>
  <c r="W10" i="6"/>
  <c r="W12" i="6"/>
  <c r="W13" i="6"/>
  <c r="W14" i="6"/>
  <c r="W18" i="6"/>
  <c r="W22" i="6"/>
  <c r="W26" i="3"/>
  <c r="W27" i="3"/>
  <c r="W29" i="3"/>
  <c r="W23" i="6"/>
  <c r="W24" i="6"/>
  <c r="W25" i="6"/>
  <c r="W63" i="3"/>
  <c r="W64" i="3"/>
  <c r="W65" i="3"/>
  <c r="W66" i="3"/>
  <c r="W68" i="3"/>
  <c r="W26" i="6"/>
  <c r="W27" i="6"/>
  <c r="W28" i="6"/>
  <c r="W29" i="6"/>
  <c r="W30" i="6"/>
  <c r="W105" i="3"/>
  <c r="W106" i="3"/>
  <c r="W107" i="3"/>
  <c r="W108" i="3"/>
  <c r="W110" i="3"/>
  <c r="W31" i="6"/>
  <c r="W114" i="3"/>
  <c r="W115" i="3"/>
  <c r="W117" i="3"/>
  <c r="W32" i="6"/>
  <c r="W33" i="6"/>
  <c r="W128" i="3"/>
  <c r="W129" i="3"/>
  <c r="W13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4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10" i="6"/>
  <c r="K12" i="6"/>
  <c r="K13" i="6"/>
  <c r="K14" i="6"/>
  <c r="K18" i="6"/>
  <c r="K22" i="6"/>
  <c r="L19" i="6"/>
  <c r="L20" i="6"/>
  <c r="L22" i="6"/>
  <c r="M19" i="6"/>
  <c r="M20" i="6"/>
  <c r="M10" i="6"/>
  <c r="M12" i="6"/>
  <c r="M13" i="6"/>
  <c r="M14" i="6"/>
  <c r="M18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4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U10" i="6"/>
  <c r="T10" i="6"/>
  <c r="S10" i="6"/>
  <c r="R10" i="6"/>
  <c r="V10" i="6"/>
  <c r="V12" i="6"/>
  <c r="U12" i="6"/>
  <c r="U13" i="6"/>
  <c r="T12" i="6"/>
  <c r="T13" i="6"/>
  <c r="S12" i="6"/>
  <c r="S13" i="6"/>
  <c r="R12" i="6"/>
  <c r="R13" i="6"/>
  <c r="V13" i="6"/>
  <c r="U14" i="6"/>
  <c r="T14" i="6"/>
  <c r="S14" i="6"/>
  <c r="R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2" i="8"/>
  <c r="K12" i="8"/>
  <c r="K14" i="8"/>
  <c r="X36" i="6"/>
  <c r="X33" i="3"/>
  <c r="X34" i="3"/>
  <c r="X36" i="3"/>
  <c r="X19" i="6"/>
  <c r="X40" i="3"/>
  <c r="X41" i="3"/>
  <c r="X43" i="3"/>
  <c r="X20" i="6"/>
  <c r="X10" i="6"/>
  <c r="X12" i="6"/>
  <c r="X13" i="6"/>
  <c r="X14" i="6"/>
  <c r="X18" i="6"/>
  <c r="X22" i="6"/>
  <c r="X26" i="3"/>
  <c r="X27" i="3"/>
  <c r="X29" i="3"/>
  <c r="X23" i="6"/>
  <c r="X47" i="3"/>
  <c r="X48" i="3"/>
  <c r="X49" i="3"/>
  <c r="X50" i="3"/>
  <c r="X52" i="3"/>
  <c r="X24" i="6"/>
  <c r="X56" i="3"/>
  <c r="X57" i="3"/>
  <c r="X59" i="3"/>
  <c r="X25" i="6"/>
  <c r="X63" i="3"/>
  <c r="X64" i="3"/>
  <c r="X65" i="3"/>
  <c r="X66" i="3"/>
  <c r="X68" i="3"/>
  <c r="X26" i="6"/>
  <c r="X72" i="3"/>
  <c r="X73" i="3"/>
  <c r="X74" i="3"/>
  <c r="X76" i="3"/>
  <c r="X27" i="6"/>
  <c r="X80" i="3"/>
  <c r="X81" i="3"/>
  <c r="X82" i="3"/>
  <c r="X84" i="3"/>
  <c r="X28" i="6"/>
  <c r="X89" i="3"/>
  <c r="X90" i="3"/>
  <c r="X91" i="3"/>
  <c r="X93" i="3"/>
  <c r="X29" i="6"/>
  <c r="X97" i="3"/>
  <c r="X98" i="3"/>
  <c r="X99" i="3"/>
  <c r="X101" i="3"/>
  <c r="X30" i="6"/>
  <c r="X105" i="3"/>
  <c r="X106" i="3"/>
  <c r="X107" i="3"/>
  <c r="X108" i="3"/>
  <c r="X110" i="3"/>
  <c r="X31" i="6"/>
  <c r="X114" i="3"/>
  <c r="X115" i="3"/>
  <c r="X117" i="3"/>
  <c r="X32" i="6"/>
  <c r="X122" i="3"/>
  <c r="X124" i="3"/>
  <c r="X33" i="6"/>
  <c r="X128" i="3"/>
  <c r="X129" i="3"/>
  <c r="X131" i="3"/>
  <c r="X34" i="6"/>
  <c r="X135" i="3"/>
  <c r="X136" i="3"/>
  <c r="X137" i="3"/>
  <c r="X139" i="3"/>
  <c r="X35" i="6"/>
  <c r="X38" i="6"/>
  <c r="X44" i="6"/>
  <c r="H12" i="13"/>
  <c r="G12" i="13"/>
  <c r="F12" i="13"/>
  <c r="Q18" i="6"/>
  <c r="E12" i="13"/>
  <c r="X29" i="9"/>
  <c r="Y9" i="2"/>
  <c r="Y5" i="2"/>
  <c r="Y6" i="2"/>
  <c r="Y7" i="2"/>
  <c r="Y8" i="2"/>
  <c r="Y10" i="2"/>
  <c r="Y11" i="2"/>
  <c r="Y12" i="2"/>
  <c r="Y14" i="2"/>
  <c r="Y17" i="2"/>
  <c r="Y18" i="2"/>
  <c r="Y20" i="2"/>
  <c r="Y22" i="2"/>
  <c r="X41" i="9"/>
  <c r="X42" i="9"/>
  <c r="X43" i="9"/>
  <c r="X44" i="9"/>
  <c r="X46" i="9"/>
  <c r="X47" i="9"/>
  <c r="X48" i="9"/>
  <c r="X49" i="9"/>
  <c r="X52" i="9"/>
  <c r="X54" i="9"/>
  <c r="X30" i="9"/>
  <c r="X34" i="9"/>
  <c r="X26" i="9"/>
  <c r="X36" i="9"/>
  <c r="X59" i="9"/>
  <c r="Y26" i="2"/>
  <c r="Y27" i="2"/>
  <c r="Y28" i="2"/>
  <c r="Y30" i="2"/>
  <c r="X60" i="9"/>
  <c r="X62" i="9"/>
  <c r="X65" i="9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N10" i="6"/>
  <c r="O10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Q16" i="9"/>
  <c r="Q9" i="6"/>
  <c r="Q15" i="9"/>
  <c r="E16" i="11"/>
  <c r="E18" i="11"/>
  <c r="Q106" i="3"/>
  <c r="Q107" i="3"/>
  <c r="Q105" i="3"/>
  <c r="Q108" i="3"/>
  <c r="Q110" i="3"/>
  <c r="Q50" i="9"/>
  <c r="R9" i="2"/>
  <c r="R5" i="2"/>
  <c r="R6" i="2"/>
  <c r="R7" i="2"/>
  <c r="R8" i="2"/>
  <c r="R10" i="2"/>
  <c r="R11" i="2"/>
  <c r="R12" i="2"/>
  <c r="R14" i="2"/>
  <c r="R17" i="2"/>
  <c r="R18" i="2"/>
  <c r="R20" i="2"/>
  <c r="R22" i="2"/>
  <c r="R26" i="2"/>
  <c r="R27" i="2"/>
  <c r="R28" i="2"/>
  <c r="R30" i="2"/>
  <c r="R32" i="2"/>
  <c r="Q59" i="9"/>
  <c r="Q60" i="9"/>
  <c r="Q62" i="9"/>
  <c r="Q19" i="6"/>
  <c r="Q20" i="6"/>
  <c r="Q33" i="3"/>
  <c r="Q34" i="3"/>
  <c r="Q36" i="3"/>
  <c r="Q41" i="9"/>
  <c r="Q40" i="3"/>
  <c r="Q41" i="3"/>
  <c r="Q43" i="3"/>
  <c r="Q42" i="9"/>
  <c r="Q47" i="3"/>
  <c r="Q48" i="3"/>
  <c r="Q49" i="3"/>
  <c r="Q50" i="3"/>
  <c r="Q52" i="3"/>
  <c r="Q43" i="9"/>
  <c r="Q56" i="3"/>
  <c r="Q57" i="3"/>
  <c r="Q59" i="3"/>
  <c r="Q44" i="9"/>
  <c r="Q63" i="3"/>
  <c r="Q64" i="3"/>
  <c r="Q65" i="3"/>
  <c r="Q66" i="3"/>
  <c r="Q68" i="3"/>
  <c r="Q45" i="9"/>
  <c r="Q72" i="3"/>
  <c r="Q73" i="3"/>
  <c r="Q74" i="3"/>
  <c r="Q76" i="3"/>
  <c r="Q46" i="9"/>
  <c r="Q80" i="3"/>
  <c r="Q81" i="3"/>
  <c r="Q82" i="3"/>
  <c r="Q84" i="3"/>
  <c r="Q47" i="9"/>
  <c r="Q88" i="3"/>
  <c r="Q89" i="3"/>
  <c r="Q90" i="3"/>
  <c r="Q91" i="3"/>
  <c r="Q93" i="3"/>
  <c r="Q48" i="9"/>
  <c r="Q97" i="3"/>
  <c r="Q98" i="3"/>
  <c r="Q99" i="3"/>
  <c r="Q101" i="3"/>
  <c r="Q49" i="9"/>
  <c r="Q114" i="3"/>
  <c r="Q115" i="3"/>
  <c r="Q117" i="3"/>
  <c r="Q51" i="9"/>
  <c r="Q121" i="3"/>
  <c r="Q122" i="3"/>
  <c r="Q124" i="3"/>
  <c r="Q52" i="9"/>
  <c r="Q128" i="3"/>
  <c r="Q129" i="3"/>
  <c r="Q131" i="3"/>
  <c r="Q53" i="9"/>
  <c r="Q135" i="3"/>
  <c r="Q136" i="3"/>
  <c r="Q137" i="3"/>
  <c r="Q139" i="3"/>
  <c r="Q54" i="9"/>
  <c r="E34" i="11"/>
  <c r="E7" i="11"/>
  <c r="E8" i="11"/>
  <c r="E10" i="11"/>
  <c r="A17" i="8" a="1"/>
  <c r="B17" i="8"/>
  <c r="G17" i="8"/>
  <c r="E6" i="11"/>
  <c r="E26" i="8"/>
  <c r="F26" i="8"/>
  <c r="G26" i="8"/>
  <c r="E27" i="8"/>
  <c r="F27" i="8"/>
  <c r="G27" i="8"/>
  <c r="E28" i="8"/>
  <c r="F28" i="8"/>
  <c r="G28" i="8"/>
  <c r="G30" i="8"/>
  <c r="E9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06" i="3"/>
  <c r="V107" i="3"/>
  <c r="V105" i="3"/>
  <c r="V108" i="3"/>
  <c r="V110" i="3"/>
  <c r="V50" i="9"/>
  <c r="W9" i="2"/>
  <c r="W5" i="2"/>
  <c r="W6" i="2"/>
  <c r="W7" i="2"/>
  <c r="W8" i="2"/>
  <c r="W10" i="2"/>
  <c r="W11" i="2"/>
  <c r="W12" i="2"/>
  <c r="W14" i="2"/>
  <c r="W17" i="2"/>
  <c r="W18" i="2"/>
  <c r="W20" i="2"/>
  <c r="W22" i="2"/>
  <c r="W26" i="2"/>
  <c r="W27" i="2"/>
  <c r="W28" i="2"/>
  <c r="W30" i="2"/>
  <c r="W32" i="2"/>
  <c r="V59" i="9"/>
  <c r="V60" i="9"/>
  <c r="V62" i="9"/>
  <c r="V33" i="3"/>
  <c r="V34" i="3"/>
  <c r="V36" i="3"/>
  <c r="V41" i="9"/>
  <c r="V40" i="3"/>
  <c r="V41" i="3"/>
  <c r="V43" i="3"/>
  <c r="V42" i="9"/>
  <c r="V47" i="3"/>
  <c r="V48" i="3"/>
  <c r="V49" i="3"/>
  <c r="V50" i="3"/>
  <c r="V52" i="3"/>
  <c r="V43" i="9"/>
  <c r="V56" i="3"/>
  <c r="V57" i="3"/>
  <c r="V59" i="3"/>
  <c r="V44" i="9"/>
  <c r="V63" i="3"/>
  <c r="V64" i="3"/>
  <c r="V65" i="3"/>
  <c r="V66" i="3"/>
  <c r="V68" i="3"/>
  <c r="V45" i="9"/>
  <c r="V72" i="3"/>
  <c r="V73" i="3"/>
  <c r="V74" i="3"/>
  <c r="V76" i="3"/>
  <c r="V46" i="9"/>
  <c r="V80" i="3"/>
  <c r="V81" i="3"/>
  <c r="V82" i="3"/>
  <c r="V84" i="3"/>
  <c r="V47" i="9"/>
  <c r="V88" i="3"/>
  <c r="V89" i="3"/>
  <c r="V90" i="3"/>
  <c r="V91" i="3"/>
  <c r="V93" i="3"/>
  <c r="V48" i="9"/>
  <c r="V97" i="3"/>
  <c r="V98" i="3"/>
  <c r="V99" i="3"/>
  <c r="V101" i="3"/>
  <c r="V49" i="9"/>
  <c r="V114" i="3"/>
  <c r="V115" i="3"/>
  <c r="V117" i="3"/>
  <c r="V51" i="9"/>
  <c r="V122" i="3"/>
  <c r="V124" i="3"/>
  <c r="V52" i="9"/>
  <c r="V128" i="3"/>
  <c r="V129" i="3"/>
  <c r="V131" i="3"/>
  <c r="V53" i="9"/>
  <c r="V135" i="3"/>
  <c r="V136" i="3"/>
  <c r="V137" i="3"/>
  <c r="V139" i="3"/>
  <c r="V54" i="9"/>
  <c r="G34" i="11"/>
  <c r="G7" i="11"/>
  <c r="G8" i="11"/>
  <c r="G10" i="11"/>
  <c r="I17" i="8"/>
  <c r="G6" i="11"/>
  <c r="H26" i="8"/>
  <c r="I26" i="8"/>
  <c r="H27" i="8"/>
  <c r="I27" i="8"/>
  <c r="H28" i="8"/>
  <c r="I28" i="8"/>
  <c r="I30" i="8"/>
  <c r="G9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2" i="2"/>
  <c r="I34" i="11"/>
  <c r="I7" i="11"/>
  <c r="I8" i="11"/>
  <c r="I10" i="11"/>
  <c r="K17" i="8"/>
  <c r="I6" i="11"/>
  <c r="J26" i="8"/>
  <c r="K26" i="8"/>
  <c r="J27" i="8"/>
  <c r="K27" i="8"/>
  <c r="J28" i="8"/>
  <c r="K28" i="8"/>
  <c r="K30" i="8"/>
  <c r="I9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2" i="2"/>
  <c r="K34" i="11"/>
  <c r="L5" i="8"/>
  <c r="M5" i="8"/>
  <c r="L6" i="8"/>
  <c r="M6" i="8"/>
  <c r="K7" i="11"/>
  <c r="L11" i="8"/>
  <c r="M11" i="8"/>
  <c r="K8" i="11"/>
  <c r="L8" i="8"/>
  <c r="M8" i="8"/>
  <c r="L9" i="8"/>
  <c r="M9" i="8"/>
  <c r="L10" i="8"/>
  <c r="M10" i="8"/>
  <c r="K10" i="11"/>
  <c r="M17" i="8"/>
  <c r="K6" i="11"/>
  <c r="L26" i="8"/>
  <c r="M26" i="8"/>
  <c r="L27" i="8"/>
  <c r="M27" i="8"/>
  <c r="L28" i="8"/>
  <c r="M28" i="8"/>
  <c r="M30" i="8"/>
  <c r="K9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37" i="3"/>
  <c r="Z136" i="3"/>
  <c r="Z135" i="3"/>
  <c r="Z129" i="3"/>
  <c r="Z128" i="3"/>
  <c r="Z122" i="3"/>
  <c r="Z121" i="3"/>
  <c r="Z115" i="3"/>
  <c r="Z114" i="3"/>
  <c r="Z108" i="3"/>
  <c r="Z107" i="3"/>
  <c r="Z106" i="3"/>
  <c r="Z105" i="3"/>
  <c r="Z99" i="3"/>
  <c r="Z98" i="3"/>
  <c r="Z97" i="3"/>
  <c r="Z89" i="3"/>
  <c r="Z90" i="3"/>
  <c r="Z91" i="3"/>
  <c r="Z88" i="3"/>
  <c r="Z82" i="3"/>
  <c r="Z81" i="3"/>
  <c r="Z80" i="3"/>
  <c r="Z73" i="3"/>
  <c r="Z74" i="3"/>
  <c r="Z72" i="3"/>
  <c r="Z64" i="3"/>
  <c r="Z65" i="3"/>
  <c r="Z66" i="3"/>
  <c r="Z63" i="3"/>
  <c r="Z57" i="3"/>
  <c r="Z56" i="3"/>
  <c r="Z48" i="3"/>
  <c r="Z49" i="3"/>
  <c r="Z50" i="3"/>
  <c r="Z47" i="3"/>
  <c r="Z41" i="3"/>
  <c r="Z40" i="3"/>
  <c r="Z34" i="3"/>
  <c r="Z33" i="3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26" i="3"/>
  <c r="V27" i="3"/>
  <c r="V29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26" i="3"/>
  <c r="Q27" i="3"/>
  <c r="Q29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7" i="8"/>
  <c r="B20" i="2"/>
  <c r="C19" i="8"/>
  <c r="C18" i="8"/>
  <c r="C17" i="8"/>
  <c r="D19" i="8"/>
  <c r="D18" i="8"/>
  <c r="D17" i="8"/>
  <c r="B19" i="8"/>
  <c r="B18" i="8"/>
  <c r="A19" i="8"/>
  <c r="A18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0" i="8"/>
  <c r="B30" i="8"/>
  <c r="L12" i="8"/>
  <c r="K18" i="8"/>
  <c r="M18" i="8"/>
  <c r="I18" i="8"/>
  <c r="G18" i="8"/>
  <c r="B14" i="8"/>
  <c r="B22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2" i="8"/>
  <c r="L7" i="8"/>
  <c r="F11" i="12"/>
  <c r="J30" i="8"/>
  <c r="H30" i="8"/>
  <c r="M20" i="8"/>
  <c r="I20" i="8"/>
  <c r="K20" i="8"/>
  <c r="G20" i="8"/>
  <c r="J14" i="8"/>
  <c r="U18" i="6"/>
  <c r="Q10" i="6"/>
  <c r="Q12" i="6"/>
  <c r="B30" i="2"/>
  <c r="E11" i="12"/>
  <c r="F30" i="8"/>
  <c r="M7" i="8"/>
  <c r="G14" i="8"/>
  <c r="G22" i="8"/>
  <c r="J32" i="8"/>
  <c r="H32" i="8"/>
  <c r="T18" i="6"/>
  <c r="S18" i="6"/>
  <c r="R18" i="6"/>
  <c r="Q14" i="6"/>
  <c r="Q13" i="6"/>
  <c r="G32" i="8"/>
  <c r="F32" i="8"/>
  <c r="G5" i="12"/>
  <c r="F5" i="12"/>
  <c r="I22" i="8"/>
  <c r="I32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19" i="3"/>
  <c r="V13" i="3"/>
  <c r="Q19" i="3"/>
  <c r="Q13" i="3"/>
  <c r="L14" i="8"/>
  <c r="L30" i="8"/>
  <c r="H5" i="12"/>
  <c r="K22" i="8"/>
  <c r="K32" i="8"/>
  <c r="R22" i="6"/>
  <c r="L32" i="8"/>
  <c r="M14" i="8"/>
  <c r="M22" i="8"/>
  <c r="M32" i="8"/>
  <c r="B13" i="3"/>
  <c r="B19" i="3"/>
  <c r="Z27" i="3"/>
  <c r="B27" i="3"/>
  <c r="Q21" i="3"/>
  <c r="V21" i="3"/>
  <c r="Z139" i="3"/>
  <c r="B139" i="3"/>
  <c r="Z131" i="3"/>
  <c r="B131" i="3"/>
  <c r="Z124" i="3"/>
  <c r="B124" i="3"/>
  <c r="Z117" i="3"/>
  <c r="B117" i="3"/>
  <c r="Z101" i="3"/>
  <c r="B101" i="3"/>
  <c r="Z93" i="3"/>
  <c r="B93" i="3"/>
  <c r="Z84" i="3"/>
  <c r="B84" i="3"/>
  <c r="Z76" i="3"/>
  <c r="B76" i="3"/>
  <c r="Z68" i="3"/>
  <c r="B68" i="3"/>
  <c r="Z59" i="3"/>
  <c r="B59" i="3"/>
  <c r="Z43" i="3"/>
  <c r="B43" i="3"/>
  <c r="Z36" i="3"/>
  <c r="B36" i="3"/>
  <c r="S22" i="6"/>
  <c r="T22" i="6"/>
  <c r="U22" i="6"/>
  <c r="Z52" i="3"/>
  <c r="B52" i="3"/>
  <c r="B21" i="3"/>
  <c r="B14" i="2"/>
  <c r="B22" i="2"/>
  <c r="B32" i="2"/>
  <c r="L32" i="2"/>
  <c r="P32" i="2"/>
  <c r="H32" i="2"/>
  <c r="Q32" i="2"/>
  <c r="O32" i="2"/>
  <c r="K32" i="2"/>
  <c r="N32" i="2"/>
  <c r="J32" i="2"/>
  <c r="F32" i="2"/>
  <c r="M32" i="2"/>
  <c r="I32" i="2"/>
  <c r="T32" i="2"/>
  <c r="E4" i="13"/>
  <c r="F4" i="13"/>
  <c r="U32" i="2"/>
  <c r="G32" i="2"/>
  <c r="Q30" i="9"/>
  <c r="V32" i="2"/>
  <c r="S32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0" i="3"/>
  <c r="B110" i="3"/>
  <c r="Q56" i="9"/>
  <c r="N38" i="6"/>
  <c r="G38" i="6"/>
  <c r="T38" i="6"/>
  <c r="Z26" i="3"/>
  <c r="Z29" i="3"/>
  <c r="B29" i="3"/>
  <c r="B26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C6" i="14"/>
  <c r="C7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D6" i="14"/>
  <c r="E6" i="14"/>
  <c r="F6" i="14"/>
  <c r="D7" i="14"/>
  <c r="E7" i="14"/>
  <c r="F7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<sst xmlns="http://schemas.openxmlformats.org/spreadsheetml/2006/main" count="747" uniqueCount="279">
  <si>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</si>
  <si>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</si>
  <si>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</si>
  <si>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</si>
  <si>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</si>
  <si>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</si>
  <si>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</si>
  <si>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</si>
  <si>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</si>
  <si>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</si>
  <si>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</si>
  <si>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</si>
  <si>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</si>
  <si>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</si>
  <si>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</si>
  <si>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</si>
  <si>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</si>
  <si>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</si>
  <si>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</si>
  <si>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</si>
  <si>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</si>
  <si>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</si>
  <si>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</si>
  <si>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</si>
  <si>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</si>
  <si>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</si>
  <si>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</si>
  <si>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</si>
  <si>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</si>
  <si>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</si>
  <si>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</si>
  <si>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</si>
  <si>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</si>
  <si>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</si>
  <si>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</si>
  <si>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</si>
  <si>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</si>
  <si>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</si>
  <si>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</si>
  <si>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</si>
  <si>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</si>
  <si>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</si>
  <si>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</si>
  <si>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</si>
  <si>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</si>
  <si>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</si>
  <si>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</si>
  <si>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</si>
  <si>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</si>
  <si>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</si>
  <si>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</si>
  <si>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</si>
  <si>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</si>
  <si>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</si>
  <si>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</si>
  <si>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</si>
  <si>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</si>
  <si>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</si>
  <si>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</si>
  <si>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</si>
  <si>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</si>
  <si>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</si>
  <si>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</si>
  <si>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</si>
  <si>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</si>
  <si>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</si>
  <si>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</si>
  <si>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</si>
  <si>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</si>
  <si>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</si>
  <si>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</si>
  <si>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</si>
  <si>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</si>
  <si>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</si>
  <si>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</si>
  <si>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</si>
  <si>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</si>
  <si>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</si>
  <si>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</si>
  <si>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</si>
  <si>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</si>
  <si>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</si>
  <si>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</si>
  <si>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</si>
  <si>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</si>
  <si>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</si>
  <si>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</si>
  <si>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</si>
  <si>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</si>
  <si>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</si>
  <si>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Anpasssungsfaktor Personalkosten Arbeitgeber:</t>
  </si>
  <si>
    <t>Buchhaltung</t>
  </si>
  <si>
    <t>Buchhaltungssatz / Mitarbeiter / Monat:</t>
  </si>
  <si>
    <t>Vertriebsauto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</si>
  <si>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</si>
  <si>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</si>
  <si>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</si>
  <si>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</si>
  <si>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</si>
  <si>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</si>
  <si>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</si>
  <si>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</si>
  <si>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</si>
  <si>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</si>
  <si>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</si>
  <si>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</si>
  <si>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</si>
  <si>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</si>
  <si>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</si>
  <si>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</si>
  <si>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</si>
  <si>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</si>
  <si>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</si>
  <si>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</si>
  <si>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</si>
  <si>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</si>
  <si>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</si>
  <si>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</si>
  <si>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</si>
  <si>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</si>
  <si>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</si>
  <si>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</si>
  <si>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</si>
  <si>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</si>
  <si>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</si>
  <si>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</si>
  <si>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</si>
  <si>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</si>
  <si>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</si>
  <si>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</si>
  <si>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</si>
  <si>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</si>
  <si>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</si>
  <si>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</si>
  <si>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</si>
  <si>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</si>
  <si>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</si>
  <si>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</si>
  <si>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</si>
  <si>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</si>
  <si>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</si>
  <si>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</si>
  <si>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</si>
  <si>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</si>
  <si>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</si>
  <si>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</si>
  <si>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</si>
  <si>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</si>
  <si>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</si>
  <si>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</si>
  <si>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</si>
  <si>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</si>
  <si>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</si>
  <si>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</si>
  <si>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</si>
  <si>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</si>
  <si>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</si>
  <si>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</si>
  <si>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</si>
  <si>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</si>
  <si>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</si>
  <si>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</si>
  <si>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</si>
  <si>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</si>
  <si>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</si>
  <si>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</si>
  <si>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</si>
  <si>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</si>
  <si>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</si>
  <si>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</si>
  <si>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</si>
  <si>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</si>
  <si>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</si>
  <si>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</si>
  <si>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</si>
  <si>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</si>
  <si>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</si>
  <si>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</si>
  <si>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</si>
  <si>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</si>
  <si>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</si>
  <si>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</si>
  <si>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</si>
  <si>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</si>
  <si>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</si>
  <si>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</si>
  <si>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</si>
  <si>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</si>
  <si>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</si>
  <si>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</si>
  <si>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</si>
  <si>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</si>
  <si>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</si>
  <si>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</si>
  <si>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</si>
  <si>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</si>
  <si>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</si>
  <si>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</si>
  <si>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</si>
  <si>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</si>
  <si>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</si>
  <si>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</si>
  <si>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</si>
  <si>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</si>
  <si>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</si>
  <si>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</si>
  <si>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</si>
  <si>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</si>
  <si>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</si>
  <si>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</si>
  <si>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</si>
  <si>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</si>
  <si>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</si>
  <si>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</si>
  <si>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</si>
  <si>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</si>
  <si>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</si>
  <si>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</si>
  <si>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</si>
  <si>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</si>
  <si>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</si>
  <si>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</si>
  <si>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</si>
  <si>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</si>
  <si>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</si>
  <si>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</si>
  <si>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</si>
  <si>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</si>
  <si>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</si>
  <si>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</si>
  <si>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</si>
  <si>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</si>
  <si>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</si>
  <si>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</si>
  <si>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</si>
  <si>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</si>
  <si>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</si>
  <si>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</si>
  <si>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</si>
  <si>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</si>
  <si>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</si>
  <si>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</si>
  <si>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</si>
  <si>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</si>
  <si>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</si>
  <si>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</si>
  <si>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</si>
  <si>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</si>
  <si>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</si>
  <si>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</si>
  <si>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</si>
  <si>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</si>
  <si>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</si>
  <si>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</si>
  <si>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</si>
  <si>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</si>
  <si>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</si>
  <si>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</si>
  <si>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</si>
  <si>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</si>
  <si>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</si>
  <si>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</si>
  <si>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</si>
  <si>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</si>
  <si>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</si>
  <si>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</si>
  <si>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</si>
  <si>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</si>
  <si>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</si>
  <si>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</si>
  <si>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</si>
  <si>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</si>
  <si>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</si>
  <si>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</si>
  <si>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</si>
  <si>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</si>
  <si>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</si>
  <si>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</si>
  <si>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Blattschutz-Passwort: bwl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</si>
</sst>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9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306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310" xfId="0" applyNumberFormat="1" applyFont="1" applyBorder="1" applyAlignment="1">
      <alignment vertical="center"/>
    </xf>
    <xf numFmtId="164" fontId="6" fillId="0" borderId="313" xfId="0" applyNumberFormat="1" applyFont="1" applyBorder="1" applyAlignment="1">
      <alignment vertical="center"/>
    </xf>
    <xf numFmtId="0" fontId="6" fillId="0" borderId="314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315" xfId="0" applyFont="1" applyBorder="1" applyAlignment="1">
      <alignment horizontal="center" vertical="center"/>
    </xf>
    <xf numFmtId="0" fontId="0" fillId="0" borderId="308" xfId="0" applyBorder="1" applyAlignment="1">
      <alignment vertical="center"/>
    </xf>
    <xf numFmtId="0" fontId="0" fillId="0" borderId="316" xfId="0" applyBorder="1" applyAlignment="1">
      <alignment vertical="center"/>
    </xf>
    <xf numFmtId="0" fontId="0" fillId="0" borderId="311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17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307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308" xfId="0" applyFont="1" applyBorder="1" applyAlignment="1">
      <alignment horizontal="right" vertical="center"/>
    </xf>
    <xf numFmtId="0" fontId="6" fillId="0" borderId="309" xfId="0" applyFont="1" applyBorder="1" applyAlignment="1">
      <alignment horizontal="right" vertical="center"/>
    </xf>
    <xf numFmtId="0" fontId="6" fillId="0" borderId="311" xfId="0" applyFont="1" applyBorder="1" applyAlignment="1">
      <alignment horizontal="right" vertical="center"/>
    </xf>
    <xf numFmtId="0" fontId="6" fillId="0" borderId="3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164" fontId="0" fillId="0" borderId="23" xfId="0" applyNumberFormat="1" applyFill="1" applyBorder="1" applyAlignment="1" applyProtection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152363.63333333333</c:v>
                </c:pt>
                <c:pt idx="2">
                  <c:v>489881.6333333333</c:v>
                </c:pt>
                <c:pt idx="3">
                  <c:v>1091402.9666666668</c:v>
                </c:pt>
                <c:pt idx="4">
                  <c:v>2174220.9666666668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477438.68195278867</c:v>
                </c:pt>
                <c:pt idx="2">
                  <c:v>921413.98629899323</c:v>
                </c:pt>
                <c:pt idx="3">
                  <c:v>1379647.7170757148</c:v>
                </c:pt>
                <c:pt idx="4">
                  <c:v>1962097.2795647215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Aufwände'!$B$4:$B$24</c:f>
              <c:numCache>
                <c:formatCode>#,##0.00\ "€"</c:formatCode>
                <c:ptCount val="21"/>
                <c:pt idx="0">
                  <c:v>223594.33333333334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3456</c:v>
                </c:pt>
                <c:pt idx="8">
                  <c:v>8600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100200</c:v>
                </c:pt>
                <c:pt idx="16">
                  <c:v>35000</c:v>
                </c:pt>
                <c:pt idx="17">
                  <c:v>7080.0839971252517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Aufwände'!$C$4:$C$24</c:f>
              <c:numCache>
                <c:formatCode>#,##0.00\ "€"</c:formatCode>
                <c:ptCount val="21"/>
                <c:pt idx="0">
                  <c:v>246415.2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35000</c:v>
                </c:pt>
                <c:pt idx="17">
                  <c:v>21235.839723874567</c:v>
                </c:pt>
                <c:pt idx="18">
                  <c:v>0</c:v>
                </c:pt>
                <c:pt idx="19">
                  <c:v>4000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Aufwände'!$D$4:$D$24</c:f>
              <c:numCache>
                <c:formatCode>#,##0.00\ "€"</c:formatCode>
                <c:ptCount val="21"/>
                <c:pt idx="0">
                  <c:v>258627.96000000002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6375.1857669084766</c:v>
                </c:pt>
                <c:pt idx="18">
                  <c:v>0</c:v>
                </c:pt>
                <c:pt idx="19">
                  <c:v>3766.3203874831497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Aufwände'!$E$4:$E$24</c:f>
              <c:numCache>
                <c:formatCode>#,##0.00\ "€"</c:formatCode>
                <c:ptCount val="21"/>
                <c:pt idx="0">
                  <c:v>271451.35800000007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24938.649177939584</c:v>
                </c:pt>
                <c:pt idx="18">
                  <c:v>0</c:v>
                </c:pt>
                <c:pt idx="19">
                  <c:v>28708.624022070442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\ &quot;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A6" sqref="A6:B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6" ht="27" thickBot="1" x14ac:dyDescent="0.45">
      <c r="A1" s="747" t="s">
        <v>5</v>
      </c>
      <c r="B1" s="748"/>
      <c r="C1" s="748"/>
      <c r="D1" s="749"/>
      <c r="F1" s="171" t="s">
        <v>278</v>
      </c>
    </row>
    <row r="2" spans="1:6" ht="7.5" customHeight="1" thickBot="1" x14ac:dyDescent="0.3"/>
    <row r="3" spans="1:6" ht="16.5" thickBot="1" x14ac:dyDescent="0.3">
      <c r="A3" s="750" t="s">
        <v>0</v>
      </c>
      <c r="B3" s="751"/>
      <c r="C3" s="751"/>
      <c r="D3" s="752"/>
    </row>
    <row r="4" spans="1:6" ht="7.5" customHeight="1" x14ac:dyDescent="0.25">
      <c r="A4" s="519"/>
      <c r="B4" s="520"/>
      <c r="C4" s="520"/>
      <c r="D4" s="521"/>
    </row>
    <row r="5" spans="1:6" ht="18.75" customHeight="1" thickBot="1" x14ac:dyDescent="0.3">
      <c r="A5" s="744" t="s">
        <v>10</v>
      </c>
      <c r="B5" s="745"/>
      <c r="C5" s="522" t="s">
        <v>12</v>
      </c>
      <c r="D5" s="523" t="s">
        <v>13</v>
      </c>
    </row>
    <row r="6" spans="1:6" ht="30.75" thickTop="1" x14ac:dyDescent="0.25">
      <c r="A6" s="742" t="s">
        <v>1</v>
      </c>
      <c r="B6" s="743"/>
      <c r="C6" s="82" t="s">
        <v>35</v>
      </c>
      <c r="D6" s="83" t="s">
        <v>232</v>
      </c>
    </row>
    <row r="7" spans="1:6" ht="30" x14ac:dyDescent="0.25">
      <c r="A7" s="753" t="s">
        <v>2</v>
      </c>
      <c r="B7" s="754"/>
      <c r="C7" s="84" t="s">
        <v>36</v>
      </c>
      <c r="D7" s="85" t="s">
        <v>233</v>
      </c>
    </row>
    <row r="8" spans="1:6" ht="30" x14ac:dyDescent="0.25">
      <c r="A8" s="753" t="s">
        <v>3</v>
      </c>
      <c r="B8" s="754"/>
      <c r="C8" s="84" t="s">
        <v>37</v>
      </c>
      <c r="D8" s="85" t="s">
        <v>234</v>
      </c>
    </row>
    <row r="9" spans="1:6" ht="30" x14ac:dyDescent="0.25">
      <c r="A9" s="758" t="s">
        <v>4</v>
      </c>
      <c r="B9" s="759"/>
      <c r="C9" s="86" t="s">
        <v>38</v>
      </c>
      <c r="D9" s="87" t="s">
        <v>15</v>
      </c>
    </row>
    <row r="10" spans="1:6" ht="7.5" customHeight="1" thickBot="1" x14ac:dyDescent="0.3">
      <c r="A10" s="213"/>
      <c r="B10" s="214"/>
      <c r="C10" s="214"/>
      <c r="D10" s="524"/>
    </row>
    <row r="11" spans="1:6" ht="7.5" customHeight="1" thickBot="1" x14ac:dyDescent="0.3">
      <c r="A11" s="525"/>
      <c r="B11" s="525"/>
      <c r="C11" s="525"/>
      <c r="D11" s="525"/>
    </row>
    <row r="12" spans="1:6" ht="16.5" thickBot="1" x14ac:dyDescent="0.3">
      <c r="A12" s="750" t="s">
        <v>14</v>
      </c>
      <c r="B12" s="751"/>
      <c r="C12" s="751"/>
      <c r="D12" s="752"/>
    </row>
    <row r="13" spans="1:6" ht="7.5" customHeight="1" x14ac:dyDescent="0.25">
      <c r="A13" s="526"/>
      <c r="B13" s="527"/>
      <c r="C13" s="527"/>
      <c r="D13" s="528"/>
    </row>
    <row r="14" spans="1:6" ht="18.75" customHeight="1" x14ac:dyDescent="0.25">
      <c r="A14" s="529" t="s">
        <v>11</v>
      </c>
      <c r="B14" s="757" t="s">
        <v>6</v>
      </c>
      <c r="C14" s="757"/>
      <c r="D14" s="88"/>
    </row>
    <row r="15" spans="1:6" ht="37.5" customHeight="1" x14ac:dyDescent="0.25">
      <c r="A15" s="530" t="s">
        <v>16</v>
      </c>
      <c r="B15" s="756" t="s">
        <v>8</v>
      </c>
      <c r="C15" s="756"/>
      <c r="D15" s="89"/>
    </row>
    <row r="16" spans="1:6" ht="20.25" customHeight="1" x14ac:dyDescent="0.25">
      <c r="A16" s="530" t="s">
        <v>9</v>
      </c>
      <c r="B16" s="755" t="s">
        <v>7</v>
      </c>
      <c r="C16" s="755"/>
      <c r="D16" s="90"/>
    </row>
    <row r="17" spans="1:4" x14ac:dyDescent="0.25">
      <c r="A17" s="531" t="s">
        <v>17</v>
      </c>
      <c r="B17" s="746">
        <v>43282</v>
      </c>
      <c r="C17" s="746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250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235</v>
      </c>
    </row>
    <row r="25" spans="1:4" ht="15.75" thickBot="1" x14ac:dyDescent="0.3">
      <c r="B25" s="612"/>
      <c r="C25" s="613" t="s">
        <v>236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237</v>
      </c>
    </row>
    <row r="28" spans="1:4" ht="15.75" thickBot="1" x14ac:dyDescent="0.3">
      <c r="B28" s="615"/>
      <c r="C28" s="613" t="s">
        <v>238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239</v>
      </c>
    </row>
    <row r="31" spans="1:4" x14ac:dyDescent="0.25">
      <c r="B31" s="617"/>
      <c r="C31" s="618" t="s">
        <v>240</v>
      </c>
    </row>
    <row r="32" spans="1:4" ht="15.75" thickBot="1" x14ac:dyDescent="0.3">
      <c r="B32" s="619"/>
      <c r="C32" s="613" t="s">
        <v>241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245</v>
      </c>
    </row>
    <row r="35" spans="1:7" ht="16.5" thickTop="1" thickBot="1" x14ac:dyDescent="0.3">
      <c r="B35" s="213"/>
      <c r="C35" s="524"/>
    </row>
    <row r="40" spans="1:7" x14ac:dyDescent="0.25">
      <c r="A40" s="739" t="s">
        <v>39</v>
      </c>
      <c r="B40" s="740"/>
      <c r="C40" s="740"/>
      <c r="D40" s="741"/>
    </row>
    <row r="41" spans="1:7" ht="30" customHeight="1" x14ac:dyDescent="0.25">
      <c r="A41" s="733" t="s">
        <v>40</v>
      </c>
      <c r="B41" s="734"/>
      <c r="C41" s="734"/>
      <c r="D41" s="735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36" t="s">
        <v>41</v>
      </c>
      <c r="B43" s="737"/>
      <c r="C43" s="737"/>
      <c r="D43" s="738"/>
    </row>
    <row r="44" spans="1:7" x14ac:dyDescent="0.25">
      <c r="A44" s="536"/>
      <c r="B44" s="536"/>
      <c r="C44" s="536"/>
      <c r="D44" s="536"/>
    </row>
  </sheetData>
  <sheetProtection algorithmName="SHA-512" hashValue="NRAsNfCWfHJM6fRfBcruNjELdM6m3S1WQNkzjaUl+Ys9I6iqs6PjHU0TqqGSWVZPcGpp590h9pM+3P90DKemTQ==" saltValue="i3QnGKtcD+94EQ8zEodrIQ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2"/>
  <sheetViews>
    <sheetView showGridLines="0" view="pageBreakPreview" zoomScaleNormal="100" zoomScaleSheetLayoutView="100" workbookViewId="0">
      <pane xSplit="5" ySplit="1" topLeftCell="R14" activePane="bottomRight" state="frozen"/>
      <selection pane="topRight" activeCell="F1" sqref="F1"/>
      <selection pane="bottomLeft" activeCell="A2" sqref="A2"/>
      <selection pane="bottomRight" activeCell="A17" sqref="A1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79" t="s">
        <v>18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0"/>
      <c r="Y1" s="781"/>
    </row>
    <row r="2" spans="1:25" ht="7.5" customHeight="1" thickBot="1" x14ac:dyDescent="0.3"/>
    <row r="3" spans="1:25" x14ac:dyDescent="0.25">
      <c r="A3" s="766" t="s">
        <v>261</v>
      </c>
      <c r="B3" s="776" t="s">
        <v>19</v>
      </c>
      <c r="C3" s="776" t="s">
        <v>31</v>
      </c>
      <c r="D3" s="776" t="s">
        <v>242</v>
      </c>
      <c r="E3" s="774" t="s">
        <v>243</v>
      </c>
      <c r="F3" s="778" t="s">
        <v>20</v>
      </c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2" t="s">
        <v>20</v>
      </c>
      <c r="S3" s="760" t="s">
        <v>25</v>
      </c>
      <c r="T3" s="761"/>
      <c r="U3" s="761"/>
      <c r="V3" s="761"/>
      <c r="W3" s="762" t="s">
        <v>25</v>
      </c>
      <c r="X3" s="762" t="s">
        <v>26</v>
      </c>
      <c r="Y3" s="764" t="s">
        <v>27</v>
      </c>
    </row>
    <row r="4" spans="1:25" s="5" customFormat="1" ht="15" customHeight="1" thickBot="1" x14ac:dyDescent="0.3">
      <c r="A4" s="767"/>
      <c r="B4" s="777"/>
      <c r="C4" s="777"/>
      <c r="D4" s="777"/>
      <c r="E4" s="775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63"/>
      <c r="S4" s="4" t="s">
        <v>21</v>
      </c>
      <c r="T4" s="2" t="s">
        <v>22</v>
      </c>
      <c r="U4" s="2" t="s">
        <v>23</v>
      </c>
      <c r="V4" s="3" t="s">
        <v>24</v>
      </c>
      <c r="W4" s="763"/>
      <c r="X4" s="763"/>
      <c r="Y4" s="765"/>
    </row>
    <row r="5" spans="1:25" ht="18.75" customHeight="1" outlineLevel="2" thickTop="1" x14ac:dyDescent="0.25">
      <c r="A5" s="21" t="s">
        <v>59</v>
      </c>
      <c r="B5" s="105">
        <v>15000</v>
      </c>
      <c r="C5" s="19">
        <v>10</v>
      </c>
      <c r="D5" s="19">
        <v>1</v>
      </c>
      <c r="E5" s="20">
        <v>1</v>
      </c>
      <c r="F5" s="6">
        <f>IF($E5=F$4,$B5,"")</f>
        <v>15000</v>
      </c>
      <c r="G5" s="7" t="str">
        <f t="shared" ref="G5:Q12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15000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2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2" si="2">SUM(F6:Q6)</f>
        <v>3000</v>
      </c>
      <c r="S6" s="75" t="str">
        <f t="shared" ref="S6:S12" si="3">IF(AND($E6&gt;12,$E6&lt;=15),$B6,"")</f>
        <v/>
      </c>
      <c r="T6" s="76" t="str">
        <f t="shared" ref="T6:T12" si="4">IF(AND($E6&gt;15,$E6&lt;=18),$B6,"")</f>
        <v/>
      </c>
      <c r="U6" s="76" t="str">
        <f t="shared" ref="U6:U12" si="5">IF(AND($E6&gt;18,$E6&lt;=21),$B6,"")</f>
        <v/>
      </c>
      <c r="V6" s="298" t="str">
        <f t="shared" ref="V6:V12" si="6">IF(AND($E6&gt;21,$E6&lt;=24),$B6,"")</f>
        <v/>
      </c>
      <c r="W6" s="291">
        <f t="shared" ref="W6:W12" si="7">SUM(S6:V6)</f>
        <v>0</v>
      </c>
      <c r="X6" s="12">
        <f t="shared" ref="X6:X12" si="8">IF(AND($E6&gt;24,$E6&lt;=36),$B6,0)</f>
        <v>0</v>
      </c>
      <c r="Y6" s="13">
        <f t="shared" ref="Y6:Y12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0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0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3500</v>
      </c>
      <c r="C9" s="95">
        <v>4</v>
      </c>
      <c r="D9" s="95">
        <v>1</v>
      </c>
      <c r="E9" s="96">
        <v>1</v>
      </c>
      <c r="F9" s="10">
        <f t="shared" si="1"/>
        <v>3500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3500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22" t="s">
        <v>63</v>
      </c>
      <c r="B10" s="106">
        <v>10000</v>
      </c>
      <c r="C10" s="95">
        <v>4</v>
      </c>
      <c r="D10" s="95">
        <v>2</v>
      </c>
      <c r="E10" s="96">
        <v>3</v>
      </c>
      <c r="F10" s="10" t="str">
        <f t="shared" si="1"/>
        <v/>
      </c>
      <c r="G10" s="11" t="str">
        <f t="shared" si="0"/>
        <v/>
      </c>
      <c r="H10" s="11">
        <f t="shared" si="0"/>
        <v>10000</v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si="10"/>
        <v>10000</v>
      </c>
      <c r="S10" s="75" t="str">
        <f t="shared" si="3"/>
        <v/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si="11"/>
        <v>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3" t="s">
        <v>66</v>
      </c>
      <c r="B11" s="107">
        <v>10000</v>
      </c>
      <c r="C11" s="99">
        <v>5</v>
      </c>
      <c r="D11" s="99">
        <v>5</v>
      </c>
      <c r="E11" s="100">
        <v>6</v>
      </c>
      <c r="F11" s="14" t="str">
        <f t="shared" si="1"/>
        <v/>
      </c>
      <c r="G11" s="15" t="str">
        <f t="shared" si="0"/>
        <v/>
      </c>
      <c r="H11" s="15" t="str">
        <f t="shared" si="0"/>
        <v/>
      </c>
      <c r="I11" s="15" t="str">
        <f t="shared" si="0"/>
        <v/>
      </c>
      <c r="J11" s="15" t="str">
        <f t="shared" si="0"/>
        <v/>
      </c>
      <c r="K11" s="15">
        <f t="shared" si="0"/>
        <v>10000</v>
      </c>
      <c r="L11" s="15" t="str">
        <f t="shared" si="0"/>
        <v/>
      </c>
      <c r="M11" s="15" t="str">
        <f t="shared" si="0"/>
        <v/>
      </c>
      <c r="N11" s="15" t="str">
        <f t="shared" si="0"/>
        <v/>
      </c>
      <c r="O11" s="15" t="str">
        <f t="shared" si="0"/>
        <v/>
      </c>
      <c r="P11" s="15" t="str">
        <f t="shared" si="0"/>
        <v/>
      </c>
      <c r="Q11" s="648" t="str">
        <f t="shared" si="0"/>
        <v/>
      </c>
      <c r="R11" s="345">
        <f t="shared" ref="R11" si="12">SUM(F11:Q11)</f>
        <v>10000</v>
      </c>
      <c r="S11" s="79" t="str">
        <f t="shared" si="3"/>
        <v/>
      </c>
      <c r="T11" s="80" t="str">
        <f t="shared" si="4"/>
        <v/>
      </c>
      <c r="U11" s="80" t="str">
        <f t="shared" si="5"/>
        <v/>
      </c>
      <c r="V11" s="382" t="str">
        <f t="shared" si="6"/>
        <v/>
      </c>
      <c r="W11" s="345">
        <f t="shared" ref="W11" si="13">SUM(S11:V11)</f>
        <v>0</v>
      </c>
      <c r="X11" s="16">
        <f t="shared" si="8"/>
        <v>0</v>
      </c>
      <c r="Y11" s="17">
        <f t="shared" si="9"/>
        <v>0</v>
      </c>
    </row>
    <row r="12" spans="1:25" ht="18.75" customHeight="1" outlineLevel="2" thickBot="1" x14ac:dyDescent="0.3">
      <c r="A12" s="23"/>
      <c r="B12" s="107"/>
      <c r="C12" s="99"/>
      <c r="D12" s="99"/>
      <c r="E12" s="100"/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 t="str">
        <f t="shared" si="0"/>
        <v/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8" t="str">
        <f t="shared" si="0"/>
        <v/>
      </c>
      <c r="R12" s="345">
        <f t="shared" si="2"/>
        <v>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si="7"/>
        <v>0</v>
      </c>
      <c r="X12" s="16">
        <f t="shared" si="8"/>
        <v>0</v>
      </c>
      <c r="Y12" s="17">
        <f t="shared" si="9"/>
        <v>0</v>
      </c>
    </row>
    <row r="13" spans="1:25" ht="7.5" customHeight="1" outlineLevel="2" thickTop="1" thickBot="1" x14ac:dyDescent="0.3">
      <c r="A13" s="24"/>
      <c r="B13" s="25"/>
      <c r="C13" s="25"/>
      <c r="D13" s="25"/>
      <c r="E13" s="26"/>
      <c r="F13" s="27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9"/>
      <c r="R13" s="33"/>
      <c r="S13" s="31"/>
      <c r="T13" s="28"/>
      <c r="U13" s="28"/>
      <c r="V13" s="29"/>
      <c r="W13" s="33"/>
      <c r="X13" s="33"/>
      <c r="Y13" s="34"/>
    </row>
    <row r="14" spans="1:25" ht="18.75" customHeight="1" outlineLevel="1" thickBot="1" x14ac:dyDescent="0.3">
      <c r="A14" s="486" t="s">
        <v>28</v>
      </c>
      <c r="B14" s="538">
        <f>SUM(B5:B13)</f>
        <v>63500</v>
      </c>
      <c r="C14" s="40"/>
      <c r="D14" s="41"/>
      <c r="E14" s="42"/>
      <c r="F14" s="444">
        <f>SUM(F5:F13)</f>
        <v>43500</v>
      </c>
      <c r="G14" s="541">
        <f>SUM(G5:G13)</f>
        <v>0</v>
      </c>
      <c r="H14" s="541">
        <f>SUM(H5:H13)</f>
        <v>10000</v>
      </c>
      <c r="I14" s="541">
        <f>SUM(I5:I13)</f>
        <v>0</v>
      </c>
      <c r="J14" s="541">
        <f>SUM(J5:J13)</f>
        <v>0</v>
      </c>
      <c r="K14" s="541">
        <f>SUM(K5:K13)</f>
        <v>10000</v>
      </c>
      <c r="L14" s="541">
        <f>SUM(L5:L13)</f>
        <v>0</v>
      </c>
      <c r="M14" s="541">
        <f>SUM(M5:M13)</f>
        <v>0</v>
      </c>
      <c r="N14" s="541">
        <f>SUM(N5:N13)</f>
        <v>0</v>
      </c>
      <c r="O14" s="541">
        <f>SUM(O5:O13)</f>
        <v>0</v>
      </c>
      <c r="P14" s="541">
        <f>SUM(P5:P13)</f>
        <v>0</v>
      </c>
      <c r="Q14" s="538">
        <f>SUM(Q5:Q13)</f>
        <v>0</v>
      </c>
      <c r="R14" s="543">
        <f>SUM(R5:R13)</f>
        <v>63500</v>
      </c>
      <c r="S14" s="446">
        <f>SUM(S5:S13)</f>
        <v>0</v>
      </c>
      <c r="T14" s="541">
        <f>SUM(T5:T13)</f>
        <v>0</v>
      </c>
      <c r="U14" s="541">
        <f>SUM(U5:U13)</f>
        <v>0</v>
      </c>
      <c r="V14" s="538">
        <f>SUM(V5:V13)</f>
        <v>0</v>
      </c>
      <c r="W14" s="543">
        <f>SUM(W5:W13)</f>
        <v>0</v>
      </c>
      <c r="X14" s="543">
        <f>SUM(X5:X13)</f>
        <v>0</v>
      </c>
      <c r="Y14" s="498">
        <f>SUM(Y5:Y13)</f>
        <v>0</v>
      </c>
    </row>
    <row r="15" spans="1:25" ht="7.5" customHeight="1" outlineLevel="1" thickBot="1" x14ac:dyDescent="0.3">
      <c r="A15" s="768"/>
      <c r="B15" s="769"/>
      <c r="C15" s="769"/>
      <c r="D15" s="769"/>
      <c r="E15" s="769"/>
      <c r="F15" s="769"/>
      <c r="G15" s="769"/>
      <c r="H15" s="769"/>
      <c r="I15" s="769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69"/>
      <c r="X15" s="769"/>
      <c r="Y15" s="770"/>
    </row>
    <row r="16" spans="1:25" ht="18.75" customHeight="1" outlineLevel="1" thickBot="1" x14ac:dyDescent="0.3">
      <c r="A16" s="624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</row>
    <row r="17" spans="1:25" ht="18.75" customHeight="1" outlineLevel="2" thickTop="1" x14ac:dyDescent="0.25">
      <c r="A17" s="21" t="s">
        <v>138</v>
      </c>
      <c r="B17" s="551">
        <v>20000</v>
      </c>
      <c r="C17" s="552">
        <v>20</v>
      </c>
      <c r="D17" s="552">
        <v>1</v>
      </c>
      <c r="E17" s="553">
        <v>10</v>
      </c>
      <c r="F17" s="554" t="str">
        <f>IF($E17=F$4,$B17,"")</f>
        <v/>
      </c>
      <c r="G17" s="555" t="str">
        <f t="shared" ref="G17:Q18" si="14">IF($E17=G$4,$B17,"")</f>
        <v/>
      </c>
      <c r="H17" s="555" t="str">
        <f t="shared" si="14"/>
        <v/>
      </c>
      <c r="I17" s="555" t="str">
        <f t="shared" si="14"/>
        <v/>
      </c>
      <c r="J17" s="555" t="str">
        <f t="shared" si="14"/>
        <v/>
      </c>
      <c r="K17" s="555" t="str">
        <f t="shared" si="14"/>
        <v/>
      </c>
      <c r="L17" s="555" t="str">
        <f t="shared" si="14"/>
        <v/>
      </c>
      <c r="M17" s="555" t="str">
        <f t="shared" si="14"/>
        <v/>
      </c>
      <c r="N17" s="555" t="str">
        <f t="shared" si="14"/>
        <v/>
      </c>
      <c r="O17" s="555">
        <f t="shared" si="14"/>
        <v>20000</v>
      </c>
      <c r="P17" s="555" t="str">
        <f t="shared" si="14"/>
        <v/>
      </c>
      <c r="Q17" s="652" t="str">
        <f t="shared" si="14"/>
        <v/>
      </c>
      <c r="R17" s="654">
        <f>SUM(F17:Q17)</f>
        <v>20000</v>
      </c>
      <c r="S17" s="502" t="str">
        <f>IF(AND($E17&gt;12,$E17&lt;=15),$B17,"")</f>
        <v/>
      </c>
      <c r="T17" s="556" t="str">
        <f>IF(AND($E17&gt;15,$E17&lt;=18),$B17,"")</f>
        <v/>
      </c>
      <c r="U17" s="556" t="str">
        <f>IF(AND($E17&gt;18,$E17&lt;=21),$B17,"")</f>
        <v/>
      </c>
      <c r="V17" s="650" t="str">
        <f>IF(AND($E17&gt;21,$E17&lt;=24),$B17,"")</f>
        <v/>
      </c>
      <c r="W17" s="654">
        <f>SUM(S17:V17)</f>
        <v>0</v>
      </c>
      <c r="X17" s="557">
        <f>IF(AND($E17&gt;24,$E17&lt;=36),$B17,0)</f>
        <v>0</v>
      </c>
      <c r="Y17" s="235">
        <f>IF(AND($E17&gt;36,$E17&lt;=48),$B17,)</f>
        <v>0</v>
      </c>
    </row>
    <row r="18" spans="1:25" ht="18.75" customHeight="1" outlineLevel="2" thickBot="1" x14ac:dyDescent="0.3">
      <c r="A18" s="125"/>
      <c r="B18" s="139"/>
      <c r="C18" s="632"/>
      <c r="D18" s="632"/>
      <c r="E18" s="583"/>
      <c r="F18" s="128" t="str">
        <f>IF($E18=F$4,$B18,"")</f>
        <v/>
      </c>
      <c r="G18" s="129" t="str">
        <f t="shared" si="14"/>
        <v/>
      </c>
      <c r="H18" s="129" t="str">
        <f t="shared" si="14"/>
        <v/>
      </c>
      <c r="I18" s="129" t="str">
        <f t="shared" si="14"/>
        <v/>
      </c>
      <c r="J18" s="129" t="str">
        <f t="shared" si="14"/>
        <v/>
      </c>
      <c r="K18" s="129" t="str">
        <f t="shared" si="14"/>
        <v/>
      </c>
      <c r="L18" s="129" t="str">
        <f t="shared" si="14"/>
        <v/>
      </c>
      <c r="M18" s="129" t="str">
        <f t="shared" si="14"/>
        <v/>
      </c>
      <c r="N18" s="129" t="str">
        <f t="shared" si="14"/>
        <v/>
      </c>
      <c r="O18" s="129" t="str">
        <f t="shared" si="14"/>
        <v/>
      </c>
      <c r="P18" s="129" t="str">
        <f t="shared" si="14"/>
        <v/>
      </c>
      <c r="Q18" s="159" t="str">
        <f t="shared" si="14"/>
        <v/>
      </c>
      <c r="R18" s="346">
        <f>SUM(F18:Q18)</f>
        <v>0</v>
      </c>
      <c r="S18" s="131" t="str">
        <f>IF(AND($E18&gt;12,$E18&lt;=15),$B18,"")</f>
        <v/>
      </c>
      <c r="T18" s="132" t="str">
        <f>IF(AND($E18&gt;15,$E18&lt;=18),$B18,"")</f>
        <v/>
      </c>
      <c r="U18" s="132" t="str">
        <f>IF(AND($E18&gt;18,$E18&lt;=21),$B18,"")</f>
        <v/>
      </c>
      <c r="V18" s="651" t="str">
        <f>IF(AND($E18&gt;21,$E18&lt;=24),$B18,"")</f>
        <v/>
      </c>
      <c r="W18" s="346">
        <f>SUM(S18:V18)</f>
        <v>0</v>
      </c>
      <c r="X18" s="134">
        <f>IF(AND($E18&gt;24,$E18&lt;=36),$B18,0)</f>
        <v>0</v>
      </c>
      <c r="Y18" s="135">
        <f>IF(AND($E18&gt;36,$E18&lt;=48),$B18,0)</f>
        <v>0</v>
      </c>
    </row>
    <row r="19" spans="1:25" ht="7.5" customHeight="1" outlineLevel="2" thickTop="1" thickBot="1" x14ac:dyDescent="0.3">
      <c r="A19" s="24"/>
      <c r="B19" s="25"/>
      <c r="C19" s="25"/>
      <c r="D19" s="25"/>
      <c r="E19" s="26"/>
      <c r="F19" s="27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R19" s="33"/>
      <c r="S19" s="31"/>
      <c r="T19" s="28"/>
      <c r="U19" s="28"/>
      <c r="V19" s="29"/>
      <c r="W19" s="33"/>
      <c r="X19" s="33"/>
      <c r="Y19" s="34"/>
    </row>
    <row r="20" spans="1:25" ht="18.75" customHeight="1" outlineLevel="1" thickBot="1" x14ac:dyDescent="0.3">
      <c r="A20" s="486" t="s">
        <v>28</v>
      </c>
      <c r="B20" s="538">
        <f>SUM(B17:B19)</f>
        <v>20000</v>
      </c>
      <c r="C20" s="40"/>
      <c r="D20" s="41"/>
      <c r="E20" s="42"/>
      <c r="F20" s="444">
        <f t="shared" ref="F20:Y20" si="15">SUM(F17:F19)</f>
        <v>0</v>
      </c>
      <c r="G20" s="541">
        <f t="shared" si="15"/>
        <v>0</v>
      </c>
      <c r="H20" s="541">
        <f t="shared" si="15"/>
        <v>0</v>
      </c>
      <c r="I20" s="541">
        <f t="shared" si="15"/>
        <v>0</v>
      </c>
      <c r="J20" s="541">
        <f t="shared" si="15"/>
        <v>0</v>
      </c>
      <c r="K20" s="541">
        <f t="shared" si="15"/>
        <v>0</v>
      </c>
      <c r="L20" s="541">
        <f t="shared" si="15"/>
        <v>0</v>
      </c>
      <c r="M20" s="541">
        <f t="shared" si="15"/>
        <v>0</v>
      </c>
      <c r="N20" s="541">
        <f t="shared" si="15"/>
        <v>0</v>
      </c>
      <c r="O20" s="541">
        <f t="shared" si="15"/>
        <v>20000</v>
      </c>
      <c r="P20" s="541">
        <f t="shared" si="15"/>
        <v>0</v>
      </c>
      <c r="Q20" s="538">
        <f t="shared" si="15"/>
        <v>0</v>
      </c>
      <c r="R20" s="543">
        <f t="shared" si="15"/>
        <v>20000</v>
      </c>
      <c r="S20" s="446">
        <f t="shared" si="15"/>
        <v>0</v>
      </c>
      <c r="T20" s="541">
        <f t="shared" si="15"/>
        <v>0</v>
      </c>
      <c r="U20" s="541">
        <f t="shared" si="15"/>
        <v>0</v>
      </c>
      <c r="V20" s="538">
        <f t="shared" si="15"/>
        <v>0</v>
      </c>
      <c r="W20" s="543">
        <f t="shared" si="15"/>
        <v>0</v>
      </c>
      <c r="X20" s="543">
        <f t="shared" si="15"/>
        <v>0</v>
      </c>
      <c r="Y20" s="498">
        <f t="shared" si="15"/>
        <v>0</v>
      </c>
    </row>
    <row r="21" spans="1:25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</row>
    <row r="22" spans="1:25" s="47" customFormat="1" ht="18.75" customHeight="1" thickBot="1" x14ac:dyDescent="0.3">
      <c r="A22" s="544" t="s">
        <v>32</v>
      </c>
      <c r="B22" s="545">
        <f>B20+B14</f>
        <v>83500</v>
      </c>
      <c r="C22" s="50"/>
      <c r="D22" s="50"/>
      <c r="E22" s="124"/>
      <c r="F22" s="546">
        <f t="shared" ref="F22:Y22" si="16">F20+F14</f>
        <v>43500</v>
      </c>
      <c r="G22" s="547">
        <f t="shared" si="16"/>
        <v>0</v>
      </c>
      <c r="H22" s="547">
        <f t="shared" si="16"/>
        <v>10000</v>
      </c>
      <c r="I22" s="547">
        <f t="shared" si="16"/>
        <v>0</v>
      </c>
      <c r="J22" s="547">
        <f t="shared" si="16"/>
        <v>0</v>
      </c>
      <c r="K22" s="547">
        <f t="shared" si="16"/>
        <v>10000</v>
      </c>
      <c r="L22" s="547">
        <f t="shared" si="16"/>
        <v>0</v>
      </c>
      <c r="M22" s="547">
        <f t="shared" si="16"/>
        <v>0</v>
      </c>
      <c r="N22" s="547">
        <f t="shared" si="16"/>
        <v>0</v>
      </c>
      <c r="O22" s="547">
        <f t="shared" si="16"/>
        <v>20000</v>
      </c>
      <c r="P22" s="547">
        <f t="shared" si="16"/>
        <v>0</v>
      </c>
      <c r="Q22" s="607">
        <f t="shared" si="16"/>
        <v>0</v>
      </c>
      <c r="R22" s="333">
        <f t="shared" si="16"/>
        <v>83500</v>
      </c>
      <c r="S22" s="452">
        <f t="shared" si="16"/>
        <v>0</v>
      </c>
      <c r="T22" s="547">
        <f t="shared" si="16"/>
        <v>0</v>
      </c>
      <c r="U22" s="547">
        <f t="shared" si="16"/>
        <v>0</v>
      </c>
      <c r="V22" s="607">
        <f t="shared" si="16"/>
        <v>0</v>
      </c>
      <c r="W22" s="333">
        <f t="shared" si="16"/>
        <v>0</v>
      </c>
      <c r="X22" s="333">
        <f t="shared" si="16"/>
        <v>0</v>
      </c>
      <c r="Y22" s="334">
        <f t="shared" si="16"/>
        <v>0</v>
      </c>
    </row>
    <row r="23" spans="1:25" ht="7.5" customHeight="1" thickBot="1" x14ac:dyDescent="0.3">
      <c r="A23" s="771"/>
      <c r="B23" s="772"/>
      <c r="C23" s="772"/>
      <c r="D23" s="772"/>
      <c r="E23" s="772"/>
      <c r="F23" s="772"/>
      <c r="G23" s="772"/>
      <c r="H23" s="772"/>
      <c r="I23" s="772"/>
      <c r="J23" s="772"/>
      <c r="K23" s="772"/>
      <c r="L23" s="772"/>
      <c r="M23" s="772"/>
      <c r="N23" s="772"/>
      <c r="O23" s="772"/>
      <c r="P23" s="772"/>
      <c r="Q23" s="772"/>
      <c r="R23" s="772"/>
      <c r="S23" s="772"/>
      <c r="T23" s="772"/>
      <c r="U23" s="772"/>
      <c r="V23" s="772"/>
      <c r="W23" s="772"/>
      <c r="X23" s="772"/>
      <c r="Y23" s="773"/>
    </row>
    <row r="24" spans="1:25" ht="15" customHeight="1" x14ac:dyDescent="0.25">
      <c r="A24" s="766" t="s">
        <v>248</v>
      </c>
      <c r="B24" s="776" t="s">
        <v>19</v>
      </c>
      <c r="C24" s="776" t="s">
        <v>31</v>
      </c>
      <c r="D24" s="776" t="s">
        <v>242</v>
      </c>
      <c r="E24" s="774" t="s">
        <v>243</v>
      </c>
      <c r="F24" s="778" t="s">
        <v>20</v>
      </c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2" t="s">
        <v>20</v>
      </c>
      <c r="S24" s="760" t="s">
        <v>25</v>
      </c>
      <c r="T24" s="761"/>
      <c r="U24" s="761"/>
      <c r="V24" s="761"/>
      <c r="W24" s="762" t="s">
        <v>25</v>
      </c>
      <c r="X24" s="762" t="s">
        <v>26</v>
      </c>
      <c r="Y24" s="764" t="s">
        <v>27</v>
      </c>
    </row>
    <row r="25" spans="1:25" ht="15" customHeight="1" thickBot="1" x14ac:dyDescent="0.3">
      <c r="A25" s="767"/>
      <c r="B25" s="777"/>
      <c r="C25" s="777"/>
      <c r="D25" s="777"/>
      <c r="E25" s="775"/>
      <c r="F25" s="1">
        <v>1</v>
      </c>
      <c r="G25" s="2">
        <v>2</v>
      </c>
      <c r="H25" s="2">
        <v>3</v>
      </c>
      <c r="I25" s="2">
        <v>4</v>
      </c>
      <c r="J25" s="2">
        <v>5</v>
      </c>
      <c r="K25" s="2">
        <v>6</v>
      </c>
      <c r="L25" s="2">
        <v>7</v>
      </c>
      <c r="M25" s="2">
        <v>8</v>
      </c>
      <c r="N25" s="2">
        <v>9</v>
      </c>
      <c r="O25" s="2">
        <v>10</v>
      </c>
      <c r="P25" s="2">
        <v>11</v>
      </c>
      <c r="Q25" s="3">
        <v>12</v>
      </c>
      <c r="R25" s="763"/>
      <c r="S25" s="4" t="s">
        <v>21</v>
      </c>
      <c r="T25" s="2" t="s">
        <v>22</v>
      </c>
      <c r="U25" s="2" t="s">
        <v>23</v>
      </c>
      <c r="V25" s="3" t="s">
        <v>24</v>
      </c>
      <c r="W25" s="763"/>
      <c r="X25" s="763"/>
      <c r="Y25" s="765"/>
    </row>
    <row r="26" spans="1:25" ht="18.75" customHeight="1" outlineLevel="1" thickTop="1" x14ac:dyDescent="0.25">
      <c r="A26" s="21" t="s">
        <v>93</v>
      </c>
      <c r="B26" s="551">
        <v>35000</v>
      </c>
      <c r="C26" s="552">
        <v>4</v>
      </c>
      <c r="D26" s="552">
        <v>2</v>
      </c>
      <c r="E26" s="553">
        <v>3</v>
      </c>
      <c r="F26" s="554" t="str">
        <f t="shared" ref="F26:Q28" si="17">IF($E26=F$25,$B26,"")</f>
        <v/>
      </c>
      <c r="G26" s="555" t="str">
        <f t="shared" si="17"/>
        <v/>
      </c>
      <c r="H26" s="555">
        <f t="shared" si="17"/>
        <v>35000</v>
      </c>
      <c r="I26" s="555" t="str">
        <f t="shared" si="17"/>
        <v/>
      </c>
      <c r="J26" s="555" t="str">
        <f t="shared" si="17"/>
        <v/>
      </c>
      <c r="K26" s="555" t="str">
        <f t="shared" si="17"/>
        <v/>
      </c>
      <c r="L26" s="555" t="str">
        <f t="shared" si="17"/>
        <v/>
      </c>
      <c r="M26" s="555" t="str">
        <f t="shared" si="17"/>
        <v/>
      </c>
      <c r="N26" s="555" t="str">
        <f t="shared" si="17"/>
        <v/>
      </c>
      <c r="O26" s="555" t="str">
        <f t="shared" si="17"/>
        <v/>
      </c>
      <c r="P26" s="555" t="str">
        <f t="shared" si="17"/>
        <v/>
      </c>
      <c r="Q26" s="652" t="str">
        <f t="shared" si="17"/>
        <v/>
      </c>
      <c r="R26" s="654">
        <f>SUM(F26:Q26)</f>
        <v>35000</v>
      </c>
      <c r="S26" s="502" t="str">
        <f>IF(AND($E26&gt;12,$E26&lt;=15),$B26,"")</f>
        <v/>
      </c>
      <c r="T26" s="556" t="str">
        <f>IF(AND($E26&gt;15,$E26&lt;=18),$B26,"")</f>
        <v/>
      </c>
      <c r="U26" s="556" t="str">
        <f>IF(AND($E26&gt;18,$E26&lt;=21),$B26,"")</f>
        <v/>
      </c>
      <c r="V26" s="650" t="str">
        <f>IF(AND($E26&gt;21,$E26&lt;=24),$B26,"")</f>
        <v/>
      </c>
      <c r="W26" s="654">
        <f>SUM(S26:V26)</f>
        <v>0</v>
      </c>
      <c r="X26" s="557">
        <f>IF(AND($E26&gt;24,$E26&lt;=36),$B26,0)</f>
        <v>0</v>
      </c>
      <c r="Y26" s="235">
        <f>IF(AND($E26&gt;36,$E26&lt;=48),$B26,0)</f>
        <v>0</v>
      </c>
    </row>
    <row r="27" spans="1:25" ht="18.75" customHeight="1" outlineLevel="1" x14ac:dyDescent="0.25">
      <c r="A27" s="22" t="s">
        <v>93</v>
      </c>
      <c r="B27" s="94">
        <v>35000</v>
      </c>
      <c r="C27" s="95">
        <v>4</v>
      </c>
      <c r="D27" s="95">
        <v>13</v>
      </c>
      <c r="E27" s="96">
        <v>14</v>
      </c>
      <c r="F27" s="10" t="str">
        <f t="shared" si="17"/>
        <v/>
      </c>
      <c r="G27" s="11" t="str">
        <f t="shared" si="17"/>
        <v/>
      </c>
      <c r="H27" s="11" t="str">
        <f t="shared" si="17"/>
        <v/>
      </c>
      <c r="I27" s="11" t="str">
        <f t="shared" si="17"/>
        <v/>
      </c>
      <c r="J27" s="11" t="str">
        <f t="shared" si="17"/>
        <v/>
      </c>
      <c r="K27" s="11" t="str">
        <f t="shared" si="17"/>
        <v/>
      </c>
      <c r="L27" s="11" t="str">
        <f t="shared" si="17"/>
        <v/>
      </c>
      <c r="M27" s="11" t="str">
        <f t="shared" si="17"/>
        <v/>
      </c>
      <c r="N27" s="11" t="str">
        <f t="shared" si="17"/>
        <v/>
      </c>
      <c r="O27" s="11" t="str">
        <f t="shared" si="17"/>
        <v/>
      </c>
      <c r="P27" s="11" t="str">
        <f t="shared" si="17"/>
        <v/>
      </c>
      <c r="Q27" s="185" t="str">
        <f t="shared" si="17"/>
        <v/>
      </c>
      <c r="R27" s="291">
        <f t="shared" ref="R27:R28" si="18">SUM(F27:Q27)</f>
        <v>0</v>
      </c>
      <c r="S27" s="75">
        <f t="shared" ref="S27:S28" si="19">IF(AND($E27&gt;12,$E27&lt;=15),$B27,"")</f>
        <v>35000</v>
      </c>
      <c r="T27" s="76" t="str">
        <f t="shared" ref="T27:T28" si="20">IF(AND($E27&gt;15,$E27&lt;=18),$B27,"")</f>
        <v/>
      </c>
      <c r="U27" s="76" t="str">
        <f t="shared" ref="U27:U28" si="21">IF(AND($E27&gt;18,$E27&lt;=21),$B27,"")</f>
        <v/>
      </c>
      <c r="V27" s="298" t="str">
        <f t="shared" ref="V27:V28" si="22">IF(AND($E27&gt;21,$E27&lt;=24),$B27,"")</f>
        <v/>
      </c>
      <c r="W27" s="291">
        <f t="shared" ref="W27:W28" si="23">SUM(S27:V27)</f>
        <v>35000</v>
      </c>
      <c r="X27" s="12">
        <f t="shared" ref="X27:X28" si="24">IF(AND($E27&gt;24,$E27&lt;=36),$B27,0)</f>
        <v>0</v>
      </c>
      <c r="Y27" s="13">
        <f t="shared" ref="Y27:Y28" si="25">IF(AND($E27&gt;36,$E27&lt;=48),$B27,0)</f>
        <v>0</v>
      </c>
    </row>
    <row r="28" spans="1:25" ht="18.75" customHeight="1" outlineLevel="1" thickBot="1" x14ac:dyDescent="0.3">
      <c r="A28" s="125"/>
      <c r="B28" s="126"/>
      <c r="C28" s="126"/>
      <c r="D28" s="126"/>
      <c r="E28" s="127"/>
      <c r="F28" s="128" t="str">
        <f t="shared" si="17"/>
        <v/>
      </c>
      <c r="G28" s="129" t="str">
        <f t="shared" si="17"/>
        <v/>
      </c>
      <c r="H28" s="129" t="str">
        <f t="shared" si="17"/>
        <v/>
      </c>
      <c r="I28" s="129" t="str">
        <f t="shared" si="17"/>
        <v/>
      </c>
      <c r="J28" s="129" t="str">
        <f t="shared" si="17"/>
        <v/>
      </c>
      <c r="K28" s="129" t="str">
        <f t="shared" si="17"/>
        <v/>
      </c>
      <c r="L28" s="129" t="str">
        <f t="shared" si="17"/>
        <v/>
      </c>
      <c r="M28" s="129" t="str">
        <f t="shared" si="17"/>
        <v/>
      </c>
      <c r="N28" s="129" t="str">
        <f t="shared" si="17"/>
        <v/>
      </c>
      <c r="O28" s="129" t="str">
        <f t="shared" si="17"/>
        <v/>
      </c>
      <c r="P28" s="129" t="str">
        <f t="shared" si="17"/>
        <v/>
      </c>
      <c r="Q28" s="159" t="str">
        <f t="shared" si="17"/>
        <v/>
      </c>
      <c r="R28" s="346">
        <f t="shared" si="18"/>
        <v>0</v>
      </c>
      <c r="S28" s="131" t="str">
        <f t="shared" si="19"/>
        <v/>
      </c>
      <c r="T28" s="132" t="str">
        <f t="shared" si="20"/>
        <v/>
      </c>
      <c r="U28" s="132" t="str">
        <f t="shared" si="21"/>
        <v/>
      </c>
      <c r="V28" s="651" t="str">
        <f t="shared" si="22"/>
        <v/>
      </c>
      <c r="W28" s="346">
        <f t="shared" si="23"/>
        <v>0</v>
      </c>
      <c r="X28" s="134">
        <f t="shared" si="24"/>
        <v>0</v>
      </c>
      <c r="Y28" s="135">
        <f t="shared" si="25"/>
        <v>0</v>
      </c>
    </row>
    <row r="29" spans="1:25" ht="7.5" customHeight="1" outlineLevel="1" thickTop="1" thickBot="1" x14ac:dyDescent="0.3">
      <c r="A29" s="24"/>
      <c r="B29" s="25"/>
      <c r="C29" s="25"/>
      <c r="D29" s="25"/>
      <c r="E29" s="26"/>
      <c r="F29" s="27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9"/>
      <c r="R29" s="33"/>
      <c r="S29" s="31"/>
      <c r="T29" s="28"/>
      <c r="U29" s="28"/>
      <c r="V29" s="29"/>
      <c r="W29" s="33"/>
      <c r="X29" s="33"/>
      <c r="Y29" s="34"/>
    </row>
    <row r="30" spans="1:25" ht="18.75" customHeight="1" thickBot="1" x14ac:dyDescent="0.3">
      <c r="A30" s="35" t="s">
        <v>33</v>
      </c>
      <c r="B30" s="36">
        <f>SUM(B26:B29)</f>
        <v>70000</v>
      </c>
      <c r="C30" s="62"/>
      <c r="D30" s="63"/>
      <c r="E30" s="64"/>
      <c r="F30" s="548">
        <f>SUM(F26:F29)</f>
        <v>0</v>
      </c>
      <c r="G30" s="549">
        <f>SUM(G26:G29)</f>
        <v>0</v>
      </c>
      <c r="H30" s="549">
        <f>SUM(H26:H29)</f>
        <v>35000</v>
      </c>
      <c r="I30" s="549">
        <f>SUM(I26:I29)</f>
        <v>0</v>
      </c>
      <c r="J30" s="549">
        <f>SUM(J26:J29)</f>
        <v>0</v>
      </c>
      <c r="K30" s="549">
        <f>SUM(K26:K29)</f>
        <v>0</v>
      </c>
      <c r="L30" s="549">
        <f>SUM(L26:L29)</f>
        <v>0</v>
      </c>
      <c r="M30" s="549">
        <f>SUM(M26:M29)</f>
        <v>0</v>
      </c>
      <c r="N30" s="549">
        <f>SUM(N26:N29)</f>
        <v>0</v>
      </c>
      <c r="O30" s="549">
        <f>SUM(O26:O29)</f>
        <v>0</v>
      </c>
      <c r="P30" s="549">
        <f>SUM(P26:P29)</f>
        <v>0</v>
      </c>
      <c r="Q30" s="36">
        <f>SUM(Q26:Q29)</f>
        <v>0</v>
      </c>
      <c r="R30" s="37">
        <f>SUM(R26:R29)</f>
        <v>35000</v>
      </c>
      <c r="S30" s="550">
        <f>SUM(S26:S29)</f>
        <v>35000</v>
      </c>
      <c r="T30" s="549">
        <f>SUM(T26:T29)</f>
        <v>0</v>
      </c>
      <c r="U30" s="549">
        <f>SUM(U26:U29)</f>
        <v>0</v>
      </c>
      <c r="V30" s="36">
        <f>SUM(V26:V29)</f>
        <v>0</v>
      </c>
      <c r="W30" s="37">
        <f>SUM(W26:W29)</f>
        <v>35000</v>
      </c>
      <c r="X30" s="37">
        <f>SUM(X26:X29)</f>
        <v>0</v>
      </c>
      <c r="Y30" s="38">
        <f>SUM(Y26:Y29)</f>
        <v>0</v>
      </c>
    </row>
    <row r="31" spans="1:25" ht="7.5" customHeight="1" thickBot="1" x14ac:dyDescent="0.3">
      <c r="A31" s="768"/>
      <c r="B31" s="769"/>
      <c r="C31" s="769"/>
      <c r="D31" s="769"/>
      <c r="E31" s="769"/>
      <c r="F31" s="769"/>
      <c r="G31" s="769"/>
      <c r="H31" s="769"/>
      <c r="I31" s="769"/>
      <c r="J31" s="769"/>
      <c r="K31" s="769"/>
      <c r="L31" s="769"/>
      <c r="M31" s="769"/>
      <c r="N31" s="769"/>
      <c r="O31" s="769"/>
      <c r="P31" s="769"/>
      <c r="Q31" s="769"/>
      <c r="R31" s="769"/>
      <c r="S31" s="769"/>
      <c r="T31" s="769"/>
      <c r="U31" s="769"/>
      <c r="V31" s="769"/>
      <c r="W31" s="769"/>
      <c r="X31" s="769"/>
      <c r="Y31" s="770"/>
    </row>
    <row r="32" spans="1:25" ht="22.5" customHeight="1" thickBot="1" x14ac:dyDescent="0.3">
      <c r="A32" s="640" t="s">
        <v>34</v>
      </c>
      <c r="B32" s="60">
        <f>B30+B22</f>
        <v>153500</v>
      </c>
      <c r="C32" s="61"/>
      <c r="D32" s="61"/>
      <c r="E32" s="136"/>
      <c r="F32" s="54">
        <f>F30+F22</f>
        <v>43500</v>
      </c>
      <c r="G32" s="55">
        <f>G30+G22</f>
        <v>0</v>
      </c>
      <c r="H32" s="55">
        <f>H30+H22</f>
        <v>45000</v>
      </c>
      <c r="I32" s="55">
        <f>I30+I22</f>
        <v>0</v>
      </c>
      <c r="J32" s="55">
        <f>J30+J22</f>
        <v>0</v>
      </c>
      <c r="K32" s="55">
        <f>K30+K22</f>
        <v>10000</v>
      </c>
      <c r="L32" s="55">
        <f>L30+L22</f>
        <v>0</v>
      </c>
      <c r="M32" s="55">
        <f>M30+M22</f>
        <v>0</v>
      </c>
      <c r="N32" s="55">
        <f>N30+N22</f>
        <v>0</v>
      </c>
      <c r="O32" s="55">
        <f>O30+O22</f>
        <v>20000</v>
      </c>
      <c r="P32" s="55">
        <f>P30+P22</f>
        <v>0</v>
      </c>
      <c r="Q32" s="653">
        <f>Q30+Q22</f>
        <v>0</v>
      </c>
      <c r="R32" s="58">
        <f>R30+R22</f>
        <v>118500</v>
      </c>
      <c r="S32" s="57">
        <f>S30+S22</f>
        <v>35000</v>
      </c>
      <c r="T32" s="55">
        <f>T30+T22</f>
        <v>0</v>
      </c>
      <c r="U32" s="55">
        <f>U30+U22</f>
        <v>0</v>
      </c>
      <c r="V32" s="653">
        <f>V30+V22</f>
        <v>0</v>
      </c>
      <c r="W32" s="58">
        <f>W30+W22</f>
        <v>35000</v>
      </c>
      <c r="X32" s="58">
        <f>X30+X22</f>
        <v>0</v>
      </c>
      <c r="Y32" s="59">
        <f>Y30+Y22</f>
        <v>0</v>
      </c>
    </row>
  </sheetData>
  <sheetProtection algorithmName="SHA-512" hashValue="dsPI2o2B+EXC96XP3ogw4M0UAyR95j+GJjZS36zCgMSRsIcY5xbcIBlFP2sBDhKufI7vNOz0TUj8I6ZZTykAzA==" saltValue="VGE2mvRJv6c4UQ1Adfrf0w==" spinCount="100000" sheet="1" objects="1" scenarios="1" selectLockedCells="1"/>
  <mergeCells count="26">
    <mergeCell ref="A1:Y1"/>
    <mergeCell ref="R3:R4"/>
    <mergeCell ref="W3:W4"/>
    <mergeCell ref="S3:V3"/>
    <mergeCell ref="F3:Q3"/>
    <mergeCell ref="A15:Y15"/>
    <mergeCell ref="A23:Y23"/>
    <mergeCell ref="A31:Y31"/>
    <mergeCell ref="X3:X4"/>
    <mergeCell ref="Y3:Y4"/>
    <mergeCell ref="A3:A4"/>
    <mergeCell ref="E3:E4"/>
    <mergeCell ref="D3:D4"/>
    <mergeCell ref="C3:C4"/>
    <mergeCell ref="B3:B4"/>
    <mergeCell ref="B24:B25"/>
    <mergeCell ref="C24:C25"/>
    <mergeCell ref="D24:D25"/>
    <mergeCell ref="E24:E25"/>
    <mergeCell ref="F24:Q24"/>
    <mergeCell ref="R24:R25"/>
    <mergeCell ref="S24:V24"/>
    <mergeCell ref="W24:W25"/>
    <mergeCell ref="X24:X25"/>
    <mergeCell ref="Y24:Y25"/>
    <mergeCell ref="A24:A25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B99" sqref="B9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79" t="s">
        <v>42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1"/>
    </row>
    <row r="2" spans="1:24" ht="15.75" thickBot="1" x14ac:dyDescent="0.3"/>
    <row r="3" spans="1:24" x14ac:dyDescent="0.25">
      <c r="A3" s="558" t="s">
        <v>92</v>
      </c>
      <c r="B3" s="576">
        <v>30</v>
      </c>
    </row>
    <row r="4" spans="1:24" x14ac:dyDescent="0.25">
      <c r="A4" s="559" t="s">
        <v>90</v>
      </c>
      <c r="B4" s="149">
        <v>0.34</v>
      </c>
    </row>
    <row r="5" spans="1:24" ht="15.75" thickBot="1" x14ac:dyDescent="0.3">
      <c r="A5" s="560" t="s">
        <v>87</v>
      </c>
      <c r="B5" s="150">
        <v>0.05</v>
      </c>
    </row>
    <row r="6" spans="1:24" ht="22.5" customHeight="1" thickBot="1" x14ac:dyDescent="0.3">
      <c r="A6" s="561" t="s">
        <v>88</v>
      </c>
      <c r="B6" s="801" t="s">
        <v>53</v>
      </c>
      <c r="C6" s="802"/>
      <c r="D6" s="791" t="s">
        <v>244</v>
      </c>
      <c r="E6" s="761" t="s">
        <v>20</v>
      </c>
      <c r="F6" s="761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2" t="s">
        <v>20</v>
      </c>
      <c r="R6" s="760" t="s">
        <v>25</v>
      </c>
      <c r="S6" s="761"/>
      <c r="T6" s="761"/>
      <c r="U6" s="761"/>
      <c r="V6" s="762" t="s">
        <v>25</v>
      </c>
      <c r="W6" s="762" t="s">
        <v>26</v>
      </c>
      <c r="X6" s="764" t="s">
        <v>27</v>
      </c>
    </row>
    <row r="7" spans="1:24" ht="18.75" customHeight="1" thickBot="1" x14ac:dyDescent="0.3">
      <c r="A7" s="562" t="s">
        <v>51</v>
      </c>
      <c r="B7" s="803"/>
      <c r="C7" s="803"/>
      <c r="D7" s="792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63"/>
      <c r="R7" s="4" t="s">
        <v>21</v>
      </c>
      <c r="S7" s="2" t="s">
        <v>22</v>
      </c>
      <c r="T7" s="2" t="s">
        <v>23</v>
      </c>
      <c r="U7" s="3" t="s">
        <v>24</v>
      </c>
      <c r="V7" s="763"/>
      <c r="W7" s="763"/>
      <c r="X7" s="765"/>
    </row>
    <row r="8" spans="1:24" ht="18.75" customHeight="1" thickTop="1" x14ac:dyDescent="0.25">
      <c r="A8" s="92" t="s">
        <v>1</v>
      </c>
      <c r="B8" s="804">
        <v>2000</v>
      </c>
      <c r="C8" s="804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85">
        <v>2000</v>
      </c>
      <c r="C9" s="785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85">
        <v>2000</v>
      </c>
      <c r="C10" s="785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86">
        <v>2000</v>
      </c>
      <c r="C11" s="786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90"/>
      <c r="C12" s="790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89</v>
      </c>
      <c r="B13" s="788">
        <f>SUM(Q13,V13,W13,X13)/48</f>
        <v>8620.25</v>
      </c>
      <c r="C13" s="789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82"/>
      <c r="B14" s="783"/>
      <c r="C14" s="783"/>
      <c r="D14" s="783"/>
      <c r="E14" s="783"/>
      <c r="F14" s="783"/>
      <c r="G14" s="783"/>
      <c r="H14" s="783"/>
      <c r="I14" s="783"/>
      <c r="J14" s="783"/>
      <c r="K14" s="783"/>
      <c r="L14" s="783"/>
      <c r="M14" s="783"/>
      <c r="N14" s="783"/>
      <c r="O14" s="783"/>
      <c r="P14" s="783"/>
      <c r="Q14" s="783"/>
      <c r="R14" s="783"/>
      <c r="S14" s="783"/>
      <c r="T14" s="783"/>
      <c r="U14" s="783"/>
      <c r="V14" s="783"/>
      <c r="W14" s="783"/>
      <c r="X14" s="784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804">
        <v>1700</v>
      </c>
      <c r="C16" s="804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7" si="12">IF($D16="","",IF(AND($D16&lt;=15,$D16&gt;12),(15-$D16+1)*$B16*(1+$B$5)^1,IF(AND($D16&lt;=15,$D16&lt;=12),3*$B16*(1+$B$5)^1,"")))</f>
        <v>5355</v>
      </c>
      <c r="S16" s="7">
        <f t="shared" ref="S16:S17" si="13">IF($D16="","",IF(AND($D16&lt;=18,$D16&gt;15),(18-$D16+1)*$B16*(1+$B$5)^1,IF(AND($D16&lt;=18,$D16&lt;=15),3*$B16*(1+$B$5)^1,"")))</f>
        <v>5355</v>
      </c>
      <c r="T16" s="7">
        <f t="shared" ref="T16:T17" si="14">IF($D16="","",IF(AND($D16&lt;=21,$D16&gt;18),(21-$D16+1)*$B16*(1+$B$5)^1,IF(AND($D16&lt;=21,$D16&lt;=18),3*$B16*(1+$B$5)^1,"")))</f>
        <v>5355</v>
      </c>
      <c r="U16" s="180">
        <f t="shared" ref="U16:U17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85">
        <v>2700</v>
      </c>
      <c r="C17" s="785"/>
      <c r="D17" s="96">
        <v>3</v>
      </c>
      <c r="E17" s="10" t="str">
        <f t="shared" ref="E17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" si="19">SUM(R17:U17)</f>
        <v>34020</v>
      </c>
      <c r="W17" s="12">
        <f t="shared" ref="W17" si="20">IF($D17="","",IF(AND($D17&lt;=36,$D17&gt;24),(36-$D17+1)*$B17*(1+$B$5)^2,IF(AND($D17&lt;=36,$D17&lt;=24),(36-24)*$B17*(1+$B$5)^2,"")))</f>
        <v>35721</v>
      </c>
      <c r="X17" s="13">
        <f t="shared" ref="X17" si="21">IF($D17="","",IF(AND($D17&lt;=48,$D17&gt;36),(48-$D17+1)*$B17*(1+$B$5)^3,IF(AND($D17&lt;=48,$D17&lt;=36),(48-36)*$B17*(1+$B$5)^3,"")))</f>
        <v>37507.050000000003</v>
      </c>
    </row>
    <row r="18" spans="1:26" ht="7.5" customHeight="1" thickBot="1" x14ac:dyDescent="0.3">
      <c r="A18" s="581"/>
      <c r="B18" s="787"/>
      <c r="C18" s="787"/>
      <c r="D18" s="584"/>
      <c r="E18" s="340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341"/>
      <c r="Q18" s="327"/>
      <c r="R18" s="328"/>
      <c r="S18" s="325"/>
      <c r="T18" s="325"/>
      <c r="U18" s="343"/>
      <c r="V18" s="327"/>
      <c r="W18" s="327"/>
      <c r="X18" s="329"/>
    </row>
    <row r="19" spans="1:26" ht="18.75" customHeight="1" thickBot="1" x14ac:dyDescent="0.3">
      <c r="A19" s="629" t="s">
        <v>89</v>
      </c>
      <c r="B19" s="788">
        <f>SUM(Q19,V19,W19,X19)/48</f>
        <v>4593.2208333333338</v>
      </c>
      <c r="C19" s="789"/>
      <c r="D19" s="628"/>
      <c r="E19" s="602">
        <f>SUM(E16:E18)</f>
        <v>0</v>
      </c>
      <c r="F19" s="603">
        <f>SUM(F16:F18)</f>
        <v>1700</v>
      </c>
      <c r="G19" s="603">
        <f>SUM(G16:G18)</f>
        <v>4400</v>
      </c>
      <c r="H19" s="603">
        <f>SUM(H16:H18)</f>
        <v>4400</v>
      </c>
      <c r="I19" s="603">
        <f>SUM(I16:I18)</f>
        <v>4400</v>
      </c>
      <c r="J19" s="603">
        <f>SUM(J16:J18)</f>
        <v>4400</v>
      </c>
      <c r="K19" s="603">
        <f>SUM(K16:K18)</f>
        <v>4400</v>
      </c>
      <c r="L19" s="603">
        <f>SUM(L16:L18)</f>
        <v>4400</v>
      </c>
      <c r="M19" s="603">
        <f>SUM(M16:M18)</f>
        <v>4400</v>
      </c>
      <c r="N19" s="603">
        <f>SUM(N16:N18)</f>
        <v>4400</v>
      </c>
      <c r="O19" s="603">
        <f>SUM(O16:O18)</f>
        <v>4400</v>
      </c>
      <c r="P19" s="604">
        <f>SUM(P16:P18)</f>
        <v>4400</v>
      </c>
      <c r="Q19" s="543">
        <f>SUM(Q16:Q18)</f>
        <v>45700</v>
      </c>
      <c r="R19" s="605">
        <f>SUM(R16:R18)</f>
        <v>13860</v>
      </c>
      <c r="S19" s="603">
        <f>SUM(S16:S18)</f>
        <v>13860</v>
      </c>
      <c r="T19" s="603">
        <f>SUM(T16:T18)</f>
        <v>13860</v>
      </c>
      <c r="U19" s="604">
        <f>SUM(U16:U18)</f>
        <v>13860</v>
      </c>
      <c r="V19" s="543">
        <f>SUM(V16:V18)</f>
        <v>55440</v>
      </c>
      <c r="W19" s="630">
        <f>SUM(W16:W18)</f>
        <v>58212</v>
      </c>
      <c r="X19" s="606">
        <f>SUM(X16:X18)</f>
        <v>61122.600000000006</v>
      </c>
    </row>
    <row r="20" spans="1:26" ht="7.5" customHeight="1" thickBot="1" x14ac:dyDescent="0.3">
      <c r="A20" s="782"/>
      <c r="B20" s="783"/>
      <c r="C20" s="783"/>
      <c r="D20" s="783"/>
      <c r="E20" s="783"/>
      <c r="F20" s="783"/>
      <c r="G20" s="783"/>
      <c r="H20" s="783"/>
      <c r="I20" s="783"/>
      <c r="J20" s="783"/>
      <c r="K20" s="783"/>
      <c r="L20" s="783"/>
      <c r="M20" s="783"/>
      <c r="N20" s="783"/>
      <c r="O20" s="783"/>
      <c r="P20" s="783"/>
      <c r="Q20" s="783"/>
      <c r="R20" s="783"/>
      <c r="S20" s="783"/>
      <c r="T20" s="783"/>
      <c r="U20" s="783"/>
      <c r="V20" s="783"/>
      <c r="W20" s="783"/>
      <c r="X20" s="784"/>
    </row>
    <row r="21" spans="1:26" ht="18.75" customHeight="1" thickBot="1" x14ac:dyDescent="0.3">
      <c r="A21" s="566" t="s">
        <v>89</v>
      </c>
      <c r="B21" s="793">
        <f>SUM(Q21,V21,W21,X21)/48</f>
        <v>13213.470833333335</v>
      </c>
      <c r="C21" s="794"/>
      <c r="D21" s="631"/>
      <c r="E21" s="546">
        <f>SUM(E13+E19)</f>
        <v>8000</v>
      </c>
      <c r="F21" s="547">
        <f>SUM(F13+F19)</f>
        <v>9700</v>
      </c>
      <c r="G21" s="547">
        <f>SUM(G13+G19)</f>
        <v>12400</v>
      </c>
      <c r="H21" s="547">
        <f>SUM(H13+H19)</f>
        <v>12400</v>
      </c>
      <c r="I21" s="547">
        <f>SUM(I13+I19)</f>
        <v>12400</v>
      </c>
      <c r="J21" s="547">
        <f>SUM(J13+J19)</f>
        <v>12400</v>
      </c>
      <c r="K21" s="547">
        <f>SUM(K13+K19)</f>
        <v>12400</v>
      </c>
      <c r="L21" s="547">
        <f>SUM(L13+L19)</f>
        <v>12400</v>
      </c>
      <c r="M21" s="547">
        <f>SUM(M13+M19)</f>
        <v>12400</v>
      </c>
      <c r="N21" s="547">
        <f>SUM(N13+N19)</f>
        <v>12400</v>
      </c>
      <c r="O21" s="547">
        <f>SUM(O13+O19)</f>
        <v>12400</v>
      </c>
      <c r="P21" s="607">
        <f>SUM(P13+P19)</f>
        <v>12400</v>
      </c>
      <c r="Q21" s="333">
        <f>SUM(Q13+Q19)</f>
        <v>141700</v>
      </c>
      <c r="R21" s="452">
        <f>SUM(R13+R19)</f>
        <v>39060</v>
      </c>
      <c r="S21" s="547">
        <f>SUM(S13+S19)</f>
        <v>39060</v>
      </c>
      <c r="T21" s="547">
        <f>SUM(T13+T19)</f>
        <v>39060</v>
      </c>
      <c r="U21" s="607">
        <f>SUM(U13+U19)</f>
        <v>39060</v>
      </c>
      <c r="V21" s="333">
        <f>SUM(V13+V19)</f>
        <v>156240</v>
      </c>
      <c r="W21" s="333">
        <f>SUM(W13+W19)</f>
        <v>164052</v>
      </c>
      <c r="X21" s="334">
        <f>SUM(X13+X19)</f>
        <v>172254.60000000003</v>
      </c>
    </row>
    <row r="22" spans="1:26" ht="15.75" thickBot="1" x14ac:dyDescent="0.3">
      <c r="B22" s="567"/>
      <c r="C22" s="568"/>
    </row>
    <row r="23" spans="1:26" ht="15" customHeight="1" x14ac:dyDescent="0.25">
      <c r="A23" s="797" t="s">
        <v>110</v>
      </c>
      <c r="B23" s="795" t="s">
        <v>111</v>
      </c>
      <c r="C23" s="795" t="s">
        <v>44</v>
      </c>
      <c r="D23" s="799" t="s">
        <v>243</v>
      </c>
      <c r="E23" s="778" t="s">
        <v>20</v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2" t="s">
        <v>20</v>
      </c>
      <c r="R23" s="760" t="s">
        <v>25</v>
      </c>
      <c r="S23" s="761"/>
      <c r="T23" s="761"/>
      <c r="U23" s="761"/>
      <c r="V23" s="762" t="s">
        <v>25</v>
      </c>
      <c r="W23" s="762" t="s">
        <v>26</v>
      </c>
      <c r="X23" s="764" t="s">
        <v>27</v>
      </c>
      <c r="Z23" s="805" t="s">
        <v>49</v>
      </c>
    </row>
    <row r="24" spans="1:26" ht="15.75" thickBot="1" x14ac:dyDescent="0.3">
      <c r="A24" s="798"/>
      <c r="B24" s="796"/>
      <c r="C24" s="796"/>
      <c r="D24" s="800"/>
      <c r="E24" s="1">
        <v>1</v>
      </c>
      <c r="F24" s="2">
        <v>2</v>
      </c>
      <c r="G24" s="2">
        <v>3</v>
      </c>
      <c r="H24" s="2">
        <v>4</v>
      </c>
      <c r="I24" s="2">
        <v>5</v>
      </c>
      <c r="J24" s="2">
        <v>6</v>
      </c>
      <c r="K24" s="2">
        <v>7</v>
      </c>
      <c r="L24" s="2">
        <v>8</v>
      </c>
      <c r="M24" s="2">
        <v>9</v>
      </c>
      <c r="N24" s="2">
        <v>10</v>
      </c>
      <c r="O24" s="2">
        <v>11</v>
      </c>
      <c r="P24" s="3">
        <v>12</v>
      </c>
      <c r="Q24" s="763"/>
      <c r="R24" s="4" t="s">
        <v>21</v>
      </c>
      <c r="S24" s="2" t="s">
        <v>22</v>
      </c>
      <c r="T24" s="2" t="s">
        <v>23</v>
      </c>
      <c r="U24" s="3" t="s">
        <v>24</v>
      </c>
      <c r="V24" s="763"/>
      <c r="W24" s="763"/>
      <c r="X24" s="765"/>
      <c r="Z24" s="806"/>
    </row>
    <row r="25" spans="1:26" ht="18.75" customHeight="1" thickTop="1" x14ac:dyDescent="0.25">
      <c r="A25" s="117" t="s">
        <v>54</v>
      </c>
      <c r="B25" s="72">
        <f>Z25</f>
        <v>17706.050916666671</v>
      </c>
      <c r="C25" s="112" t="s">
        <v>45</v>
      </c>
      <c r="D25" s="113" t="s">
        <v>48</v>
      </c>
      <c r="E25" s="6">
        <f>E21*(1+$B$4)</f>
        <v>10720</v>
      </c>
      <c r="F25" s="7">
        <f t="shared" ref="F25:X25" si="22">F21*(1+$B$4)</f>
        <v>12998</v>
      </c>
      <c r="G25" s="7">
        <f t="shared" si="22"/>
        <v>16616</v>
      </c>
      <c r="H25" s="7">
        <f t="shared" si="22"/>
        <v>16616</v>
      </c>
      <c r="I25" s="7">
        <f t="shared" si="22"/>
        <v>16616</v>
      </c>
      <c r="J25" s="7">
        <f t="shared" si="22"/>
        <v>16616</v>
      </c>
      <c r="K25" s="7">
        <f t="shared" si="22"/>
        <v>16616</v>
      </c>
      <c r="L25" s="7">
        <f t="shared" si="22"/>
        <v>16616</v>
      </c>
      <c r="M25" s="7">
        <f t="shared" si="22"/>
        <v>16616</v>
      </c>
      <c r="N25" s="7">
        <f t="shared" si="22"/>
        <v>16616</v>
      </c>
      <c r="O25" s="7">
        <f t="shared" si="22"/>
        <v>16616</v>
      </c>
      <c r="P25" s="180">
        <f t="shared" si="22"/>
        <v>16616</v>
      </c>
      <c r="Q25" s="8">
        <f>SUM(E25:P25)</f>
        <v>189878</v>
      </c>
      <c r="R25" s="307">
        <f t="shared" si="22"/>
        <v>52340.4</v>
      </c>
      <c r="S25" s="307">
        <f t="shared" si="22"/>
        <v>52340.4</v>
      </c>
      <c r="T25" s="307">
        <f t="shared" si="22"/>
        <v>52340.4</v>
      </c>
      <c r="U25" s="264">
        <f t="shared" si="22"/>
        <v>52340.4</v>
      </c>
      <c r="V25" s="8">
        <f>SUM(R25:U25)</f>
        <v>209361.6</v>
      </c>
      <c r="W25" s="8">
        <f t="shared" si="22"/>
        <v>219829.68000000002</v>
      </c>
      <c r="X25" s="9">
        <f t="shared" si="22"/>
        <v>230821.16400000005</v>
      </c>
      <c r="Z25" s="569">
        <f>((Q25+V25+W25+X25)/4)/12</f>
        <v>17706.050916666671</v>
      </c>
    </row>
    <row r="26" spans="1:26" ht="18.75" customHeight="1" x14ac:dyDescent="0.25">
      <c r="A26" s="118" t="s">
        <v>55</v>
      </c>
      <c r="B26" s="76">
        <f>Z26</f>
        <v>2951.0084861111118</v>
      </c>
      <c r="C26" s="114" t="s">
        <v>46</v>
      </c>
      <c r="D26" s="96">
        <v>5</v>
      </c>
      <c r="E26" s="10">
        <f>($Q$25/12)*IF($D26=IF(MOD(E$24,6)=0,6,MOD(E$24,6)),1,0)</f>
        <v>0</v>
      </c>
      <c r="F26" s="11">
        <f t="shared" ref="F26:P26" si="23">($Q$25/12)*IF($D26=IF(MOD(F$24,6)=0,6,MOD(F$24,6)),1,0)</f>
        <v>0</v>
      </c>
      <c r="G26" s="11">
        <f t="shared" si="23"/>
        <v>0</v>
      </c>
      <c r="H26" s="11">
        <f t="shared" si="23"/>
        <v>0</v>
      </c>
      <c r="I26" s="11">
        <f t="shared" si="23"/>
        <v>15823.166666666666</v>
      </c>
      <c r="J26" s="11">
        <f t="shared" si="23"/>
        <v>0</v>
      </c>
      <c r="K26" s="11">
        <f t="shared" si="23"/>
        <v>0</v>
      </c>
      <c r="L26" s="11">
        <f t="shared" si="23"/>
        <v>0</v>
      </c>
      <c r="M26" s="11">
        <f t="shared" si="23"/>
        <v>0</v>
      </c>
      <c r="N26" s="11">
        <f t="shared" si="23"/>
        <v>0</v>
      </c>
      <c r="O26" s="11">
        <f t="shared" si="23"/>
        <v>15823.166666666666</v>
      </c>
      <c r="P26" s="185">
        <f t="shared" si="23"/>
        <v>0</v>
      </c>
      <c r="Q26" s="12">
        <f t="shared" ref="Q26" si="24">SUM(E26:P26)</f>
        <v>31646.333333333332</v>
      </c>
      <c r="R26" s="308" t="str">
        <f>IF(AND($D26&gt;=1,$D26&lt;=3),$V$25/12,"")</f>
        <v/>
      </c>
      <c r="S26" s="11">
        <f>IF(AND($D26&gt;=4,$D26&lt;=6),$V$25/12,"")</f>
        <v>17446.8</v>
      </c>
      <c r="T26" s="11" t="str">
        <f>IF(AND($D26&gt;=1,$D26&lt;=3),$V$25/12,"")</f>
        <v/>
      </c>
      <c r="U26" s="185">
        <f>IF(AND($D26&gt;=4,$D26&lt;=6),$V$25/12,"")</f>
        <v>17446.8</v>
      </c>
      <c r="V26" s="12">
        <f t="shared" ref="V26:V27" si="25">SUM(R26:U26)</f>
        <v>34893.599999999999</v>
      </c>
      <c r="W26" s="12">
        <f>W25/12*2</f>
        <v>36638.280000000006</v>
      </c>
      <c r="X26" s="13">
        <f>X25/12*2</f>
        <v>38470.19400000001</v>
      </c>
      <c r="Z26" s="570">
        <f>((Q26+V26+W26+X26)/4)/12</f>
        <v>2951.0084861111118</v>
      </c>
    </row>
    <row r="27" spans="1:26" ht="18.75" customHeight="1" thickBot="1" x14ac:dyDescent="0.3">
      <c r="A27" s="121" t="s">
        <v>91</v>
      </c>
      <c r="B27" s="110">
        <f>Z27</f>
        <v>178.125</v>
      </c>
      <c r="C27" s="122" t="s">
        <v>45</v>
      </c>
      <c r="D27" s="123" t="s">
        <v>48</v>
      </c>
      <c r="E27" s="14">
        <f>COUNT(E$8:E$12,E$16:E$18)*$B$3</f>
        <v>120</v>
      </c>
      <c r="F27" s="15">
        <f>COUNT(F$8:F$12,F$16:F$18)*$B$3</f>
        <v>150</v>
      </c>
      <c r="G27" s="15">
        <f>COUNT(G$8:G$12,G$16:G$18)*$B$3</f>
        <v>180</v>
      </c>
      <c r="H27" s="15">
        <f>COUNT(H$8:H$12,H$16:H$18)*$B$3</f>
        <v>180</v>
      </c>
      <c r="I27" s="15">
        <f>COUNT(I$8:I$12,I$16:I$18)*$B$3</f>
        <v>180</v>
      </c>
      <c r="J27" s="15">
        <f>COUNT(J$8:J$12,J$16:J$18)*$B$3</f>
        <v>180</v>
      </c>
      <c r="K27" s="15">
        <f>COUNT(K$8:K$12,K$16:K$18)*$B$3</f>
        <v>180</v>
      </c>
      <c r="L27" s="15">
        <f>COUNT(L$8:L$12,L$16:L$18)*$B$3</f>
        <v>180</v>
      </c>
      <c r="M27" s="15">
        <f>COUNT(M$8:M$12,M$16:M$18)*$B$3</f>
        <v>180</v>
      </c>
      <c r="N27" s="15">
        <f>COUNT(N$8:N$12,N$16:N$18)*$B$3</f>
        <v>180</v>
      </c>
      <c r="O27" s="15">
        <f>COUNT(O$8:O$12,O$16:O$18)*$B$3</f>
        <v>180</v>
      </c>
      <c r="P27" s="648">
        <f>COUNT(P$8:P$12,P$16:P$18)*$B$3</f>
        <v>180</v>
      </c>
      <c r="Q27" s="16">
        <f t="shared" ref="Q27" si="26">SUM(E27:P27)</f>
        <v>2070</v>
      </c>
      <c r="R27" s="565">
        <f>(COUNT(R$8:R$12,R$16:R$18)*3)*$B$3</f>
        <v>540</v>
      </c>
      <c r="S27" s="15">
        <f>(COUNT(S$8:S$12,S$16:S$18)*3)*$B$3</f>
        <v>540</v>
      </c>
      <c r="T27" s="15">
        <f>(COUNT(T$8:T$12,T$16:T$18)*3)*$B$3</f>
        <v>540</v>
      </c>
      <c r="U27" s="648">
        <f>(COUNT(U$8:U$12,U$16:U$18)*3)*$B$3</f>
        <v>540</v>
      </c>
      <c r="V27" s="16">
        <f t="shared" si="25"/>
        <v>2160</v>
      </c>
      <c r="W27" s="16">
        <f>(COUNT(W$8:W$12,W$16:W$18)*12)*$B$3</f>
        <v>2160</v>
      </c>
      <c r="X27" s="17">
        <f>(COUNT(X$8:X$12,X$16:X$18)*12)*$B$3</f>
        <v>2160</v>
      </c>
      <c r="Z27" s="570">
        <f>((Q27+V27+W27+X27)/4)/12</f>
        <v>178.125</v>
      </c>
    </row>
    <row r="28" spans="1:26" ht="7.5" customHeight="1" thickTop="1" thickBot="1" x14ac:dyDescent="0.3">
      <c r="A28" s="119"/>
      <c r="B28" s="120"/>
      <c r="C28" s="115"/>
      <c r="D28" s="116"/>
      <c r="E28" s="27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33"/>
      <c r="R28" s="31"/>
      <c r="S28" s="28"/>
      <c r="T28" s="28"/>
      <c r="U28" s="29"/>
      <c r="V28" s="33"/>
      <c r="W28" s="33"/>
      <c r="X28" s="34"/>
      <c r="Z28" s="571"/>
    </row>
    <row r="29" spans="1:26" s="625" customFormat="1" ht="18.75" customHeight="1" thickBot="1" x14ac:dyDescent="0.3">
      <c r="A29" s="572" t="s">
        <v>56</v>
      </c>
      <c r="B29" s="573">
        <f>Z29</f>
        <v>20835.184402777784</v>
      </c>
      <c r="D29" s="626"/>
      <c r="E29" s="627">
        <f>SUM(E25:E28)</f>
        <v>10840</v>
      </c>
      <c r="F29" s="549">
        <f t="shared" ref="F29:X29" si="27">SUM(F25:F28)</f>
        <v>13148</v>
      </c>
      <c r="G29" s="549">
        <f t="shared" si="27"/>
        <v>16796</v>
      </c>
      <c r="H29" s="549">
        <f t="shared" si="27"/>
        <v>16796</v>
      </c>
      <c r="I29" s="549">
        <f t="shared" si="27"/>
        <v>32619.166666666664</v>
      </c>
      <c r="J29" s="549">
        <f t="shared" si="27"/>
        <v>16796</v>
      </c>
      <c r="K29" s="549">
        <f t="shared" si="27"/>
        <v>16796</v>
      </c>
      <c r="L29" s="549">
        <f t="shared" si="27"/>
        <v>16796</v>
      </c>
      <c r="M29" s="549">
        <f t="shared" si="27"/>
        <v>16796</v>
      </c>
      <c r="N29" s="549">
        <f t="shared" si="27"/>
        <v>16796</v>
      </c>
      <c r="O29" s="549">
        <f t="shared" si="27"/>
        <v>32619.166666666664</v>
      </c>
      <c r="P29" s="36">
        <f t="shared" si="27"/>
        <v>16796</v>
      </c>
      <c r="Q29" s="37">
        <f t="shared" si="27"/>
        <v>223594.33333333334</v>
      </c>
      <c r="R29" s="548">
        <f t="shared" si="27"/>
        <v>52880.4</v>
      </c>
      <c r="S29" s="549">
        <f t="shared" si="27"/>
        <v>70327.199999999997</v>
      </c>
      <c r="T29" s="549">
        <f t="shared" si="27"/>
        <v>52880.4</v>
      </c>
      <c r="U29" s="36">
        <f t="shared" si="27"/>
        <v>70327.199999999997</v>
      </c>
      <c r="V29" s="37">
        <f t="shared" si="27"/>
        <v>246415.2</v>
      </c>
      <c r="W29" s="37">
        <f t="shared" si="27"/>
        <v>258627.96000000002</v>
      </c>
      <c r="X29" s="38">
        <f t="shared" si="27"/>
        <v>271451.35800000007</v>
      </c>
      <c r="Z29" s="574">
        <f>SUM(Z25:Z28)</f>
        <v>20835.184402777784</v>
      </c>
    </row>
    <row r="30" spans="1:26" ht="15.75" thickBot="1" x14ac:dyDescent="0.3">
      <c r="B30" s="567"/>
      <c r="C30" s="568"/>
    </row>
    <row r="31" spans="1:26" ht="15" customHeight="1" x14ac:dyDescent="0.25">
      <c r="A31" s="797" t="s">
        <v>43</v>
      </c>
      <c r="B31" s="795" t="s">
        <v>19</v>
      </c>
      <c r="C31" s="795" t="s">
        <v>44</v>
      </c>
      <c r="D31" s="799" t="s">
        <v>243</v>
      </c>
      <c r="E31" s="778" t="s">
        <v>20</v>
      </c>
      <c r="F31" s="761"/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2" t="s">
        <v>20</v>
      </c>
      <c r="R31" s="760" t="s">
        <v>25</v>
      </c>
      <c r="S31" s="761"/>
      <c r="T31" s="761"/>
      <c r="U31" s="761"/>
      <c r="V31" s="762" t="s">
        <v>25</v>
      </c>
      <c r="W31" s="762" t="s">
        <v>26</v>
      </c>
      <c r="X31" s="764" t="s">
        <v>27</v>
      </c>
      <c r="Z31" s="805" t="s">
        <v>49</v>
      </c>
    </row>
    <row r="32" spans="1:26" ht="15.75" thickBot="1" x14ac:dyDescent="0.3">
      <c r="A32" s="798"/>
      <c r="B32" s="796"/>
      <c r="C32" s="796"/>
      <c r="D32" s="800"/>
      <c r="E32" s="1">
        <v>1</v>
      </c>
      <c r="F32" s="2">
        <v>2</v>
      </c>
      <c r="G32" s="2">
        <v>3</v>
      </c>
      <c r="H32" s="2">
        <v>4</v>
      </c>
      <c r="I32" s="2">
        <v>5</v>
      </c>
      <c r="J32" s="2">
        <v>6</v>
      </c>
      <c r="K32" s="2">
        <v>7</v>
      </c>
      <c r="L32" s="2">
        <v>8</v>
      </c>
      <c r="M32" s="2">
        <v>9</v>
      </c>
      <c r="N32" s="2">
        <v>10</v>
      </c>
      <c r="O32" s="2">
        <v>11</v>
      </c>
      <c r="P32" s="3">
        <v>12</v>
      </c>
      <c r="Q32" s="763"/>
      <c r="R32" s="4" t="s">
        <v>21</v>
      </c>
      <c r="S32" s="2" t="s">
        <v>22</v>
      </c>
      <c r="T32" s="2" t="s">
        <v>23</v>
      </c>
      <c r="U32" s="3" t="s">
        <v>24</v>
      </c>
      <c r="V32" s="763"/>
      <c r="W32" s="763"/>
      <c r="X32" s="765"/>
      <c r="Z32" s="806"/>
    </row>
    <row r="33" spans="1:26" ht="18.75" customHeight="1" thickTop="1" x14ac:dyDescent="0.25">
      <c r="A33" s="92"/>
      <c r="B33" s="18"/>
      <c r="C33" s="19"/>
      <c r="D33" s="20"/>
      <c r="E33" s="6">
        <f>IF(AND($C33="j",$D33=E$32),$B33,IF($C33="h",$B33*IF($D33=IF(MOD(E$32,6)=0,6,MOD(E$32,6)),1,0),IF($C33="q",$B33*IF($D33=IF(MOD(E$32,3)=0,3,MOD(E$32,3)),1,0),IF($C33="z",$B33*IF($D33=IF(MOD(E$32,2)=0,2,MOD(E$32,2)),1,0),IF($C33="m",$B33,0)))))</f>
        <v>0</v>
      </c>
      <c r="F33" s="7">
        <f t="shared" ref="F33:P34" si="28">IF(AND($C33="j",$D33=F$32),$B33,IF($C33="h",$B33*IF($D33=IF(MOD(F$32,6)=0,6,MOD(F$32,6)),1,0),IF($C33="q",$B33*IF($D33=IF(MOD(F$32,3)=0,3,MOD(F$32,3)),1,0),IF($C33="z",$B33*IF($D33=IF(MOD(F$32,2)=0,2,MOD(F$32,2)),1,0),IF($C33="m",$B33,0)))))</f>
        <v>0</v>
      </c>
      <c r="G33" s="7">
        <f t="shared" si="28"/>
        <v>0</v>
      </c>
      <c r="H33" s="7">
        <f t="shared" si="28"/>
        <v>0</v>
      </c>
      <c r="I33" s="7">
        <f t="shared" si="28"/>
        <v>0</v>
      </c>
      <c r="J33" s="7">
        <f t="shared" si="28"/>
        <v>0</v>
      </c>
      <c r="K33" s="7">
        <f t="shared" si="28"/>
        <v>0</v>
      </c>
      <c r="L33" s="7">
        <f t="shared" si="28"/>
        <v>0</v>
      </c>
      <c r="M33" s="7">
        <f t="shared" si="28"/>
        <v>0</v>
      </c>
      <c r="N33" s="7">
        <f t="shared" si="28"/>
        <v>0</v>
      </c>
      <c r="O33" s="7">
        <f t="shared" si="28"/>
        <v>0</v>
      </c>
      <c r="P33" s="180">
        <f t="shared" si="28"/>
        <v>0</v>
      </c>
      <c r="Q33" s="8">
        <f>SUM(E33:P33)</f>
        <v>0</v>
      </c>
      <c r="R33" s="307">
        <f>IF(AND($C33="j",$D33&gt;=1,$D33&lt;=3),$B33,IF(AND($C33="h",$D33&gt;=1,$D33&lt;=3),$B33,IF(AND($C33="q",$D33&gt;=1,$D33&lt;=3),$B33,IF($C33="z",IF($D33=1,2*$B33,$B33),IF($C33="m",3*$B33,0)))))</f>
        <v>0</v>
      </c>
      <c r="S33" s="7">
        <f>IF(AND($C33="j",$D33&gt;=4,$D33&lt;=6),$B33,IF(AND($C33="h",$D33&gt;=4,$D33&lt;=6),$B33,IF(AND($C33="q",$D33&gt;=1,$D33&lt;=3),$B33,IF($C33="z",IF($D33=2,2*$B33,$B33),IF($C33="m",3*$B33,0)))))</f>
        <v>0</v>
      </c>
      <c r="T33" s="7">
        <f>IF(AND($C33="j",$D33&gt;=7,$D33&lt;=9),$B33,IF(AND($C33="h",$D33&gt;=1,$D33&lt;=3),$B33,IF(AND($C33="q",$D33&gt;=1,$D33&lt;=3),$B33,IF($C33="z",IF($D33=1,2*$B33,$B33),IF($C33="m",3*$B33,0)))))</f>
        <v>0</v>
      </c>
      <c r="U33" s="180">
        <f>IF(AND($C33="j",$D33&gt;=10,$D33&lt;=12),$B33,IF(AND($C33="h",$D33&gt;=4,$D33&lt;=6),$B33,IF(AND($C33="q",$D33&gt;=1,$D33&lt;=3),$B33,IF($C33="z",IF($D33=2,2*$B33,$B33),IF($C33="m",3*$B33,0)))))</f>
        <v>0</v>
      </c>
      <c r="V33" s="8">
        <f>SUM(R33:U33)</f>
        <v>0</v>
      </c>
      <c r="W33" s="8">
        <f>IF($C33="j",$B33,IF($C33="h",2*$B33,IF($C33="q",4*$B33,IF($C33="z",6*$B33,12*$B33))))</f>
        <v>0</v>
      </c>
      <c r="X33" s="9">
        <f>IF($C33="j",$B33,IF($C33="h",2*$B33,IF($C33="q",4*$B33,IF($C33="z",6*$B33,12*$B33))))</f>
        <v>0</v>
      </c>
      <c r="Z33" s="569">
        <f>((Q33+V33+W33+X33)/4)/12</f>
        <v>0</v>
      </c>
    </row>
    <row r="34" spans="1:26" ht="18.75" customHeight="1" thickBot="1" x14ac:dyDescent="0.3">
      <c r="A34" s="97"/>
      <c r="B34" s="98"/>
      <c r="C34" s="99"/>
      <c r="D34" s="100"/>
      <c r="E34" s="14">
        <f t="shared" ref="E34" si="29">IF(AND($C34="j",$D34=E$32),$B34,IF($C34="h",$B34*IF($D34=IF(MOD(E$32,6)=0,6,MOD(E$32,6)),1,0),IF($C34="q",$B34*IF($D34=IF(MOD(E$32,3)=0,3,MOD(E$32,3)),1,0),IF($C34="z",$B34*IF($D34=IF(MOD(E$32,2)=0,2,MOD(E$32,2)),1,0),IF($C34="m",$B34,0)))))</f>
        <v>0</v>
      </c>
      <c r="F34" s="15">
        <f t="shared" si="28"/>
        <v>0</v>
      </c>
      <c r="G34" s="15">
        <f t="shared" si="28"/>
        <v>0</v>
      </c>
      <c r="H34" s="15">
        <f t="shared" si="28"/>
        <v>0</v>
      </c>
      <c r="I34" s="15">
        <f t="shared" si="28"/>
        <v>0</v>
      </c>
      <c r="J34" s="15">
        <f t="shared" si="28"/>
        <v>0</v>
      </c>
      <c r="K34" s="15">
        <f t="shared" si="28"/>
        <v>0</v>
      </c>
      <c r="L34" s="15">
        <f t="shared" si="28"/>
        <v>0</v>
      </c>
      <c r="M34" s="15">
        <f t="shared" si="28"/>
        <v>0</v>
      </c>
      <c r="N34" s="15">
        <f t="shared" si="28"/>
        <v>0</v>
      </c>
      <c r="O34" s="15">
        <f t="shared" si="28"/>
        <v>0</v>
      </c>
      <c r="P34" s="648">
        <f t="shared" si="28"/>
        <v>0</v>
      </c>
      <c r="Q34" s="16">
        <f t="shared" ref="Q34" si="30">SUM(E34:P34)</f>
        <v>0</v>
      </c>
      <c r="R34" s="565">
        <f t="shared" ref="R34" si="31">IF(AND($C34="j",$D34&gt;=1,$D34&lt;=3),$B34,IF(AND($C34="h",$D34&gt;=1,$D34&lt;=3),$B34,IF(AND($C34="q",$D34&gt;=1,$D34&lt;=3),$B34,IF($C34="z",IF($D34=1,2*$B34,$B34),IF($C34="m",3*$B34,0)))))</f>
        <v>0</v>
      </c>
      <c r="S34" s="15">
        <f t="shared" ref="S34" si="32">IF(AND($C34="j",$D34&gt;=4,$D34&lt;=6),$B34,IF(AND($C34="h",$D34&gt;=4,$D34&lt;=6),$B34,IF(AND($C34="q",$D34&gt;=1,$D34&lt;=3),$B34,IF($C34="z",IF($D34=2,2*$B34,$B34),IF($C34="m",3*$B34,0)))))</f>
        <v>0</v>
      </c>
      <c r="T34" s="15">
        <f t="shared" ref="T34" si="33">IF(AND($C34="j",$D34&gt;=7,$D34&lt;=9),$B34,IF(AND($C34="h",$D34&gt;=1,$D34&lt;=3),$B34,IF(AND($C34="q",$D34&gt;=1,$D34&lt;=3),$B34,IF($C34="z",IF($D34=1,2*$B34,$B34),IF($C34="m",3*$B34,0)))))</f>
        <v>0</v>
      </c>
      <c r="U34" s="648">
        <f t="shared" ref="U34" si="34">IF(AND($C34="j",$D34&gt;=10,$D34&lt;=12),$B34,IF(AND($C34="h",$D34&gt;=4,$D34&lt;=6),$B34,IF(AND($C34="q",$D34&gt;=1,$D34&lt;=3),$B34,IF($C34="z",IF($D34=2,2*$B34,$B34),IF($C34="m",3*$B34,0)))))</f>
        <v>0</v>
      </c>
      <c r="V34" s="16">
        <f t="shared" ref="V34" si="35">SUM(R34:U34)</f>
        <v>0</v>
      </c>
      <c r="W34" s="16">
        <f t="shared" ref="W34:X34" si="36">IF($C34="j",$B34,IF($C34="h",2*$B34,IF($C34="q",4*$B34,IF($C34="z",6*$B34,12*$B34))))</f>
        <v>0</v>
      </c>
      <c r="X34" s="17">
        <f t="shared" si="36"/>
        <v>0</v>
      </c>
      <c r="Z34" s="575">
        <f>((Q34+V34+W34+X34)/4)/12</f>
        <v>0</v>
      </c>
    </row>
    <row r="35" spans="1:26" ht="7.5" customHeight="1" thickTop="1" thickBot="1" x14ac:dyDescent="0.3">
      <c r="A35" s="101"/>
      <c r="B35" s="102"/>
      <c r="C35" s="103"/>
      <c r="D35" s="104"/>
      <c r="E35" s="27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Q35" s="33"/>
      <c r="R35" s="31"/>
      <c r="S35" s="28"/>
      <c r="T35" s="28"/>
      <c r="U35" s="29"/>
      <c r="V35" s="33"/>
      <c r="W35" s="33"/>
      <c r="X35" s="34"/>
      <c r="Z35" s="571"/>
    </row>
    <row r="36" spans="1:26" s="625" customFormat="1" ht="18.75" customHeight="1" thickBot="1" x14ac:dyDescent="0.3">
      <c r="A36" s="572" t="s">
        <v>50</v>
      </c>
      <c r="B36" s="573">
        <f>Z36</f>
        <v>0</v>
      </c>
      <c r="D36" s="626"/>
      <c r="E36" s="627">
        <f>SUM(E33:E35)</f>
        <v>0</v>
      </c>
      <c r="F36" s="549">
        <f t="shared" ref="F36:X36" si="37">SUM(F33:F35)</f>
        <v>0</v>
      </c>
      <c r="G36" s="549">
        <f t="shared" si="37"/>
        <v>0</v>
      </c>
      <c r="H36" s="549">
        <f t="shared" si="37"/>
        <v>0</v>
      </c>
      <c r="I36" s="549">
        <f t="shared" si="37"/>
        <v>0</v>
      </c>
      <c r="J36" s="549">
        <f t="shared" si="37"/>
        <v>0</v>
      </c>
      <c r="K36" s="549">
        <f t="shared" si="37"/>
        <v>0</v>
      </c>
      <c r="L36" s="549">
        <f t="shared" si="37"/>
        <v>0</v>
      </c>
      <c r="M36" s="549">
        <f t="shared" si="37"/>
        <v>0</v>
      </c>
      <c r="N36" s="549">
        <f t="shared" si="37"/>
        <v>0</v>
      </c>
      <c r="O36" s="549">
        <f t="shared" si="37"/>
        <v>0</v>
      </c>
      <c r="P36" s="36">
        <f t="shared" si="37"/>
        <v>0</v>
      </c>
      <c r="Q36" s="37">
        <f t="shared" si="37"/>
        <v>0</v>
      </c>
      <c r="R36" s="548">
        <f t="shared" si="37"/>
        <v>0</v>
      </c>
      <c r="S36" s="549">
        <f t="shared" si="37"/>
        <v>0</v>
      </c>
      <c r="T36" s="549">
        <f t="shared" si="37"/>
        <v>0</v>
      </c>
      <c r="U36" s="36">
        <f t="shared" si="37"/>
        <v>0</v>
      </c>
      <c r="V36" s="37">
        <f t="shared" si="37"/>
        <v>0</v>
      </c>
      <c r="W36" s="37">
        <f t="shared" si="37"/>
        <v>0</v>
      </c>
      <c r="X36" s="38">
        <f t="shared" si="37"/>
        <v>0</v>
      </c>
      <c r="Z36" s="574">
        <f>SUM(Z33:Z34)</f>
        <v>0</v>
      </c>
    </row>
    <row r="37" spans="1:26" ht="15.75" thickBot="1" x14ac:dyDescent="0.3"/>
    <row r="38" spans="1:26" ht="15" customHeight="1" x14ac:dyDescent="0.25">
      <c r="A38" s="797" t="s">
        <v>57</v>
      </c>
      <c r="B38" s="795" t="s">
        <v>19</v>
      </c>
      <c r="C38" s="795" t="s">
        <v>44</v>
      </c>
      <c r="D38" s="799" t="s">
        <v>243</v>
      </c>
      <c r="E38" s="778" t="s">
        <v>20</v>
      </c>
      <c r="F38" s="761"/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2" t="s">
        <v>20</v>
      </c>
      <c r="R38" s="760" t="s">
        <v>25</v>
      </c>
      <c r="S38" s="761"/>
      <c r="T38" s="761"/>
      <c r="U38" s="761"/>
      <c r="V38" s="762" t="s">
        <v>25</v>
      </c>
      <c r="W38" s="762" t="s">
        <v>26</v>
      </c>
      <c r="X38" s="764" t="s">
        <v>27</v>
      </c>
      <c r="Z38" s="805" t="s">
        <v>49</v>
      </c>
    </row>
    <row r="39" spans="1:26" ht="15.75" thickBot="1" x14ac:dyDescent="0.3">
      <c r="A39" s="798"/>
      <c r="B39" s="796"/>
      <c r="C39" s="796"/>
      <c r="D39" s="800"/>
      <c r="E39" s="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63"/>
      <c r="R39" s="4" t="s">
        <v>21</v>
      </c>
      <c r="S39" s="2" t="s">
        <v>22</v>
      </c>
      <c r="T39" s="2" t="s">
        <v>23</v>
      </c>
      <c r="U39" s="3" t="s">
        <v>24</v>
      </c>
      <c r="V39" s="763"/>
      <c r="W39" s="763"/>
      <c r="X39" s="765"/>
      <c r="Z39" s="806"/>
    </row>
    <row r="40" spans="1:26" ht="18.75" customHeight="1" thickTop="1" x14ac:dyDescent="0.25">
      <c r="A40" s="92"/>
      <c r="B40" s="18"/>
      <c r="C40" s="19"/>
      <c r="D40" s="20"/>
      <c r="E40" s="6">
        <f>IF(AND($C40="j",$D40=E$32),$B40,IF($C40="h",$B40*IF($D40=IF(MOD(E$32,6)=0,6,MOD(E$32,6)),1,0),IF($C40="q",$B40*IF($D40=IF(MOD(E$32,3)=0,3,MOD(E$32,3)),1,0),IF($C40="z",$B40*IF($D40=IF(MOD(E$32,2)=0,2,MOD(E$32,2)),1,0),IF($C40="m",$B40,0)))))</f>
        <v>0</v>
      </c>
      <c r="F40" s="7">
        <f t="shared" ref="F40:P41" si="38">IF(AND($C40="j",$D40=F$32),$B40,IF($C40="h",$B40*IF($D40=IF(MOD(F$32,6)=0,6,MOD(F$32,6)),1,0),IF($C40="q",$B40*IF($D40=IF(MOD(F$32,3)=0,3,MOD(F$32,3)),1,0),IF($C40="z",$B40*IF($D40=IF(MOD(F$32,2)=0,2,MOD(F$32,2)),1,0),IF($C40="m",$B40,0)))))</f>
        <v>0</v>
      </c>
      <c r="G40" s="7">
        <f t="shared" si="38"/>
        <v>0</v>
      </c>
      <c r="H40" s="7">
        <f t="shared" si="38"/>
        <v>0</v>
      </c>
      <c r="I40" s="7">
        <f t="shared" si="38"/>
        <v>0</v>
      </c>
      <c r="J40" s="7">
        <f t="shared" si="38"/>
        <v>0</v>
      </c>
      <c r="K40" s="7">
        <f t="shared" si="38"/>
        <v>0</v>
      </c>
      <c r="L40" s="7">
        <f t="shared" si="38"/>
        <v>0</v>
      </c>
      <c r="M40" s="7">
        <f t="shared" si="38"/>
        <v>0</v>
      </c>
      <c r="N40" s="7">
        <f t="shared" si="38"/>
        <v>0</v>
      </c>
      <c r="O40" s="7">
        <f t="shared" si="38"/>
        <v>0</v>
      </c>
      <c r="P40" s="180">
        <f t="shared" si="38"/>
        <v>0</v>
      </c>
      <c r="Q40" s="8">
        <f>SUM(E40:P40)</f>
        <v>0</v>
      </c>
      <c r="R40" s="307">
        <f>IF(AND($C40="j",$D40&gt;=1,$D40&lt;=3),$B40,IF(AND($C40="h",$D40&gt;=1,$D40&lt;=3),$B40,IF(AND($C40="q",$D40&gt;=1,$D40&lt;=3),$B40,IF($C40="z",IF($D40=1,2*$B40,$B40),IF($C40="m",3*$B40,0)))))</f>
        <v>0</v>
      </c>
      <c r="S40" s="7">
        <f>IF(AND($C40="j",$D40&gt;=4,$D40&lt;=6),$B40,IF(AND($C40="h",$D40&gt;=4,$D40&lt;=6),$B40,IF(AND($C40="q",$D40&gt;=1,$D40&lt;=3),$B40,IF($C40="z",IF($D40=2,2*$B40,$B40),IF($C40="m",3*$B40,0)))))</f>
        <v>0</v>
      </c>
      <c r="T40" s="7">
        <f>IF(AND($C40="j",$D40&gt;=7,$D40&lt;=9),$B40,IF(AND($C40="h",$D40&gt;=1,$D40&lt;=3),$B40,IF(AND($C40="q",$D40&gt;=1,$D40&lt;=3),$B40,IF($C40="z",IF($D40=1,2*$B40,$B40),IF($C40="m",3*$B40,0)))))</f>
        <v>0</v>
      </c>
      <c r="U40" s="180">
        <f>IF(AND($C40="j",$D40&gt;=10,$D40&lt;=12),$B40,IF(AND($C40="h",$D40&gt;=4,$D40&lt;=6),$B40,IF(AND($C40="q",$D40&gt;=1,$D40&lt;=3),$B40,IF($C40="z",IF($D40=2,2*$B40,$B40),IF($C40="m",3*$B40,0)))))</f>
        <v>0</v>
      </c>
      <c r="V40" s="8">
        <f>SUM(R40:U40)</f>
        <v>0</v>
      </c>
      <c r="W40" s="8">
        <f>IF($C40="j",$B40,IF($C40="h",2*$B40,IF($C40="q",4*$B40,IF($C40="z",6*$B40,12*$B40))))</f>
        <v>0</v>
      </c>
      <c r="X40" s="9">
        <f>IF($C40="j",$B40,IF($C40="h",2*$B40,IF($C40="q",4*$B40,IF($C40="z",6*$B40,12*$B40))))</f>
        <v>0</v>
      </c>
      <c r="Z40" s="569">
        <f>((Q40+V40+W40+X40)/4)/12</f>
        <v>0</v>
      </c>
    </row>
    <row r="41" spans="1:26" ht="18.75" customHeight="1" thickBot="1" x14ac:dyDescent="0.3">
      <c r="A41" s="97"/>
      <c r="B41" s="98"/>
      <c r="C41" s="99"/>
      <c r="D41" s="100"/>
      <c r="E41" s="14">
        <f t="shared" ref="E41" si="39">IF(AND($C41="j",$D41=E$32),$B41,IF($C41="h",$B41*IF($D41=IF(MOD(E$32,6)=0,6,MOD(E$32,6)),1,0),IF($C41="q",$B41*IF($D41=IF(MOD(E$32,3)=0,3,MOD(E$32,3)),1,0),IF($C41="z",$B41*IF($D41=IF(MOD(E$32,2)=0,2,MOD(E$32,2)),1,0),IF($C41="m",$B41,0)))))</f>
        <v>0</v>
      </c>
      <c r="F41" s="15">
        <f t="shared" si="38"/>
        <v>0</v>
      </c>
      <c r="G41" s="15">
        <f t="shared" si="38"/>
        <v>0</v>
      </c>
      <c r="H41" s="15">
        <f t="shared" si="38"/>
        <v>0</v>
      </c>
      <c r="I41" s="15">
        <f t="shared" si="38"/>
        <v>0</v>
      </c>
      <c r="J41" s="15">
        <f t="shared" si="38"/>
        <v>0</v>
      </c>
      <c r="K41" s="15">
        <f t="shared" si="38"/>
        <v>0</v>
      </c>
      <c r="L41" s="15">
        <f t="shared" si="38"/>
        <v>0</v>
      </c>
      <c r="M41" s="15">
        <f t="shared" si="38"/>
        <v>0</v>
      </c>
      <c r="N41" s="15">
        <f t="shared" si="38"/>
        <v>0</v>
      </c>
      <c r="O41" s="15">
        <f t="shared" si="38"/>
        <v>0</v>
      </c>
      <c r="P41" s="648">
        <f t="shared" si="38"/>
        <v>0</v>
      </c>
      <c r="Q41" s="16">
        <f t="shared" ref="Q41" si="40">SUM(E41:P41)</f>
        <v>0</v>
      </c>
      <c r="R41" s="565">
        <f t="shared" ref="R41" si="41">IF(AND($C41="j",$D41&gt;=1,$D41&lt;=3),$B41,IF(AND($C41="h",$D41&gt;=1,$D41&lt;=3),$B41,IF(AND($C41="q",$D41&gt;=1,$D41&lt;=3),$B41,IF($C41="z",IF($D41=1,2*$B41,$B41),IF($C41="m",3*$B41,0)))))</f>
        <v>0</v>
      </c>
      <c r="S41" s="15">
        <f t="shared" ref="S41" si="42">IF(AND($C41="j",$D41&gt;=4,$D41&lt;=6),$B41,IF(AND($C41="h",$D41&gt;=4,$D41&lt;=6),$B41,IF(AND($C41="q",$D41&gt;=1,$D41&lt;=3),$B41,IF($C41="z",IF($D41=2,2*$B41,$B41),IF($C41="m",3*$B41,0)))))</f>
        <v>0</v>
      </c>
      <c r="T41" s="15">
        <f t="shared" ref="T41" si="43">IF(AND($C41="j",$D41&gt;=7,$D41&lt;=9),$B41,IF(AND($C41="h",$D41&gt;=1,$D41&lt;=3),$B41,IF(AND($C41="q",$D41&gt;=1,$D41&lt;=3),$B41,IF($C41="z",IF($D41=1,2*$B41,$B41),IF($C41="m",3*$B41,0)))))</f>
        <v>0</v>
      </c>
      <c r="U41" s="648">
        <f t="shared" ref="U41" si="44">IF(AND($C41="j",$D41&gt;=10,$D41&lt;=12),$B41,IF(AND($C41="h",$D41&gt;=4,$D41&lt;=6),$B41,IF(AND($C41="q",$D41&gt;=1,$D41&lt;=3),$B41,IF($C41="z",IF($D41=2,2*$B41,$B41),IF($C41="m",3*$B41,0)))))</f>
        <v>0</v>
      </c>
      <c r="V41" s="16">
        <f t="shared" ref="V41" si="45">SUM(R41:U41)</f>
        <v>0</v>
      </c>
      <c r="W41" s="16">
        <f t="shared" ref="W41:X41" si="46">IF($C41="j",$B41,IF($C41="h",2*$B41,IF($C41="q",4*$B41,IF($C41="z",6*$B41,12*$B41))))</f>
        <v>0</v>
      </c>
      <c r="X41" s="17">
        <f t="shared" si="46"/>
        <v>0</v>
      </c>
      <c r="Z41" s="575">
        <f>((Q41+V41+W41+X41)/4)/12</f>
        <v>0</v>
      </c>
    </row>
    <row r="42" spans="1:26" ht="7.5" customHeight="1" thickTop="1" thickBot="1" x14ac:dyDescent="0.3">
      <c r="A42" s="101"/>
      <c r="B42" s="102"/>
      <c r="C42" s="103"/>
      <c r="D42" s="104"/>
      <c r="E42" s="27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9"/>
      <c r="Q42" s="33"/>
      <c r="R42" s="31"/>
      <c r="S42" s="28"/>
      <c r="T42" s="28"/>
      <c r="U42" s="29"/>
      <c r="V42" s="33"/>
      <c r="W42" s="33"/>
      <c r="X42" s="34"/>
      <c r="Z42" s="571"/>
    </row>
    <row r="43" spans="1:26" s="625" customFormat="1" ht="18.75" customHeight="1" thickBot="1" x14ac:dyDescent="0.3">
      <c r="A43" s="572" t="s">
        <v>50</v>
      </c>
      <c r="B43" s="573">
        <f>Z43</f>
        <v>0</v>
      </c>
      <c r="D43" s="626"/>
      <c r="E43" s="627">
        <f>SUM(E40:E42)</f>
        <v>0</v>
      </c>
      <c r="F43" s="549">
        <f t="shared" ref="F43:X43" si="47">SUM(F40:F41)</f>
        <v>0</v>
      </c>
      <c r="G43" s="549">
        <f t="shared" si="47"/>
        <v>0</v>
      </c>
      <c r="H43" s="549">
        <f t="shared" si="47"/>
        <v>0</v>
      </c>
      <c r="I43" s="549">
        <f t="shared" si="47"/>
        <v>0</v>
      </c>
      <c r="J43" s="549">
        <f t="shared" si="47"/>
        <v>0</v>
      </c>
      <c r="K43" s="549">
        <f t="shared" si="47"/>
        <v>0</v>
      </c>
      <c r="L43" s="549">
        <f t="shared" si="47"/>
        <v>0</v>
      </c>
      <c r="M43" s="549">
        <f t="shared" si="47"/>
        <v>0</v>
      </c>
      <c r="N43" s="549">
        <f t="shared" si="47"/>
        <v>0</v>
      </c>
      <c r="O43" s="549">
        <f t="shared" si="47"/>
        <v>0</v>
      </c>
      <c r="P43" s="36">
        <f t="shared" si="47"/>
        <v>0</v>
      </c>
      <c r="Q43" s="37">
        <f t="shared" si="47"/>
        <v>0</v>
      </c>
      <c r="R43" s="548">
        <f t="shared" si="47"/>
        <v>0</v>
      </c>
      <c r="S43" s="549">
        <f t="shared" si="47"/>
        <v>0</v>
      </c>
      <c r="T43" s="549">
        <f t="shared" si="47"/>
        <v>0</v>
      </c>
      <c r="U43" s="36">
        <f t="shared" si="47"/>
        <v>0</v>
      </c>
      <c r="V43" s="37">
        <f t="shared" si="47"/>
        <v>0</v>
      </c>
      <c r="W43" s="37">
        <f t="shared" si="47"/>
        <v>0</v>
      </c>
      <c r="X43" s="38">
        <f t="shared" si="47"/>
        <v>0</v>
      </c>
      <c r="Z43" s="574">
        <f>SUM(Z40:Z41)</f>
        <v>0</v>
      </c>
    </row>
    <row r="44" spans="1:26" ht="15.75" thickBot="1" x14ac:dyDescent="0.3"/>
    <row r="45" spans="1:26" ht="15" customHeight="1" x14ac:dyDescent="0.25">
      <c r="A45" s="797" t="s">
        <v>58</v>
      </c>
      <c r="B45" s="795" t="s">
        <v>19</v>
      </c>
      <c r="C45" s="795" t="s">
        <v>44</v>
      </c>
      <c r="D45" s="799" t="s">
        <v>243</v>
      </c>
      <c r="E45" s="778" t="s">
        <v>20</v>
      </c>
      <c r="F45" s="761"/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2" t="s">
        <v>20</v>
      </c>
      <c r="R45" s="760" t="s">
        <v>25</v>
      </c>
      <c r="S45" s="761"/>
      <c r="T45" s="761"/>
      <c r="U45" s="761"/>
      <c r="V45" s="762" t="s">
        <v>25</v>
      </c>
      <c r="W45" s="762" t="s">
        <v>26</v>
      </c>
      <c r="X45" s="764" t="s">
        <v>27</v>
      </c>
      <c r="Z45" s="805" t="s">
        <v>49</v>
      </c>
    </row>
    <row r="46" spans="1:26" ht="15.75" thickBot="1" x14ac:dyDescent="0.3">
      <c r="A46" s="798"/>
      <c r="B46" s="796"/>
      <c r="C46" s="796"/>
      <c r="D46" s="800"/>
      <c r="E46" s="1">
        <v>1</v>
      </c>
      <c r="F46" s="2">
        <v>2</v>
      </c>
      <c r="G46" s="2">
        <v>3</v>
      </c>
      <c r="H46" s="2">
        <v>4</v>
      </c>
      <c r="I46" s="2">
        <v>5</v>
      </c>
      <c r="J46" s="2">
        <v>6</v>
      </c>
      <c r="K46" s="2">
        <v>7</v>
      </c>
      <c r="L46" s="2">
        <v>8</v>
      </c>
      <c r="M46" s="2">
        <v>9</v>
      </c>
      <c r="N46" s="2">
        <v>10</v>
      </c>
      <c r="O46" s="2">
        <v>11</v>
      </c>
      <c r="P46" s="3">
        <v>12</v>
      </c>
      <c r="Q46" s="763"/>
      <c r="R46" s="4" t="s">
        <v>21</v>
      </c>
      <c r="S46" s="2" t="s">
        <v>22</v>
      </c>
      <c r="T46" s="2" t="s">
        <v>23</v>
      </c>
      <c r="U46" s="3" t="s">
        <v>24</v>
      </c>
      <c r="V46" s="763"/>
      <c r="W46" s="763"/>
      <c r="X46" s="765"/>
      <c r="Z46" s="806"/>
    </row>
    <row r="47" spans="1:26" ht="18.75" customHeight="1" thickTop="1" x14ac:dyDescent="0.25">
      <c r="A47" s="92" t="s">
        <v>67</v>
      </c>
      <c r="B47" s="18">
        <v>1026</v>
      </c>
      <c r="C47" s="19" t="s">
        <v>45</v>
      </c>
      <c r="D47" s="20" t="s">
        <v>48</v>
      </c>
      <c r="E47" s="6">
        <f>IF(AND($C47="j",$D47=E$32),$B47,IF($C47="h",$B47*IF($D47=IF(MOD(E$32,6)=0,6,MOD(E$32,6)),1,0),IF($C47="q",$B47*IF($D47=IF(MOD(E$32,3)=0,3,MOD(E$32,3)),1,0),IF($C47="z",$B47*IF($D47=IF(MOD(E$32,2)=0,2,MOD(E$32,2)),1,0),IF($C47="m",$B47,0)))))</f>
        <v>1026</v>
      </c>
      <c r="F47" s="7">
        <f t="shared" ref="F47:P50" si="48">IF(AND($C47="j",$D47=F$32),$B47,IF($C47="h",$B47*IF($D47=IF(MOD(F$32,6)=0,6,MOD(F$32,6)),1,0),IF($C47="q",$B47*IF($D47=IF(MOD(F$32,3)=0,3,MOD(F$32,3)),1,0),IF($C47="z",$B47*IF($D47=IF(MOD(F$32,2)=0,2,MOD(F$32,2)),1,0),IF($C47="m",$B47,0)))))</f>
        <v>1026</v>
      </c>
      <c r="G47" s="7">
        <f t="shared" si="48"/>
        <v>1026</v>
      </c>
      <c r="H47" s="7">
        <f t="shared" si="48"/>
        <v>1026</v>
      </c>
      <c r="I47" s="7">
        <f t="shared" si="48"/>
        <v>1026</v>
      </c>
      <c r="J47" s="7">
        <f t="shared" si="48"/>
        <v>1026</v>
      </c>
      <c r="K47" s="7">
        <f t="shared" si="48"/>
        <v>1026</v>
      </c>
      <c r="L47" s="7">
        <f t="shared" si="48"/>
        <v>1026</v>
      </c>
      <c r="M47" s="7">
        <f t="shared" si="48"/>
        <v>1026</v>
      </c>
      <c r="N47" s="7">
        <f t="shared" si="48"/>
        <v>1026</v>
      </c>
      <c r="O47" s="7">
        <f t="shared" si="48"/>
        <v>1026</v>
      </c>
      <c r="P47" s="180">
        <f t="shared" si="48"/>
        <v>1026</v>
      </c>
      <c r="Q47" s="8">
        <f>SUM(E47:P47)</f>
        <v>12312</v>
      </c>
      <c r="R47" s="307">
        <f>IF(AND($C47="j",$D47&gt;=1,$D47&lt;=3),$B47,IF(AND($C47="h",$D47&gt;=1,$D47&lt;=3),$B47,IF(AND($C47="q",$D47&gt;=1,$D47&lt;=3),$B47,IF($C47="z",IF($D47=1,2*$B47,$B47),IF($C47="m",3*$B47,0)))))</f>
        <v>3078</v>
      </c>
      <c r="S47" s="7">
        <f>IF(AND($C47="j",$D47&gt;=4,$D47&lt;=6),$B47,IF(AND($C47="h",$D47&gt;=4,$D47&lt;=6),$B47,IF(AND($C47="q",$D47&gt;=1,$D47&lt;=3),$B47,IF($C47="z",IF($D47=2,2*$B47,$B47),IF($C47="m",3*$B47,0)))))</f>
        <v>3078</v>
      </c>
      <c r="T47" s="7">
        <f>IF(AND($C47="j",$D47&gt;=7,$D47&lt;=9),$B47,IF(AND($C47="h",$D47&gt;=1,$D47&lt;=3),$B47,IF(AND($C47="q",$D47&gt;=1,$D47&lt;=3),$B47,IF($C47="z",IF($D47=1,2*$B47,$B47),IF($C47="m",3*$B47,0)))))</f>
        <v>3078</v>
      </c>
      <c r="U47" s="180">
        <f>IF(AND($C47="j",$D47&gt;=10,$D47&lt;=12),$B47,IF(AND($C47="h",$D47&gt;=4,$D47&lt;=6),$B47,IF(AND($C47="q",$D47&gt;=1,$D47&lt;=3),$B47,IF($C47="z",IF($D47=2,2*$B47,$B47),IF($C47="m",3*$B47,0)))))</f>
        <v>3078</v>
      </c>
      <c r="V47" s="8">
        <f>SUM(R47:U47)</f>
        <v>12312</v>
      </c>
      <c r="W47" s="8">
        <f>IF($C47="j",$B47,IF($C47="h",2*$B47,IF($C47="q",4*$B47,IF($C47="z",6*$B47,12*$B47))))</f>
        <v>12312</v>
      </c>
      <c r="X47" s="9">
        <f>IF($C47="j",$B47,IF($C47="h",2*$B47,IF($C47="q",4*$B47,IF($C47="z",6*$B47,12*$B47))))</f>
        <v>12312</v>
      </c>
      <c r="Z47" s="569">
        <f>((Q47+V47+W47+X47)/4)/12</f>
        <v>1026</v>
      </c>
    </row>
    <row r="48" spans="1:26" ht="18.75" customHeight="1" x14ac:dyDescent="0.25">
      <c r="A48" s="93" t="s">
        <v>68</v>
      </c>
      <c r="B48" s="94">
        <v>45</v>
      </c>
      <c r="C48" s="95" t="s">
        <v>45</v>
      </c>
      <c r="D48" s="96" t="s">
        <v>48</v>
      </c>
      <c r="E48" s="10">
        <f t="shared" ref="E48:E50" si="49">IF(AND($C48="j",$D48=E$32),$B48,IF($C48="h",$B48*IF($D48=IF(MOD(E$32,6)=0,6,MOD(E$32,6)),1,0),IF($C48="q",$B48*IF($D48=IF(MOD(E$32,3)=0,3,MOD(E$32,3)),1,0),IF($C48="z",$B48*IF($D48=IF(MOD(E$32,2)=0,2,MOD(E$32,2)),1,0),IF($C48="m",$B48,0)))))</f>
        <v>45</v>
      </c>
      <c r="F48" s="11">
        <f t="shared" si="48"/>
        <v>45</v>
      </c>
      <c r="G48" s="11">
        <f t="shared" si="48"/>
        <v>45</v>
      </c>
      <c r="H48" s="11">
        <f t="shared" si="48"/>
        <v>45</v>
      </c>
      <c r="I48" s="11">
        <f t="shared" si="48"/>
        <v>45</v>
      </c>
      <c r="J48" s="11">
        <f t="shared" si="48"/>
        <v>45</v>
      </c>
      <c r="K48" s="11">
        <f t="shared" si="48"/>
        <v>45</v>
      </c>
      <c r="L48" s="11">
        <f t="shared" si="48"/>
        <v>45</v>
      </c>
      <c r="M48" s="11">
        <f t="shared" si="48"/>
        <v>45</v>
      </c>
      <c r="N48" s="11">
        <f t="shared" si="48"/>
        <v>45</v>
      </c>
      <c r="O48" s="11">
        <f t="shared" si="48"/>
        <v>45</v>
      </c>
      <c r="P48" s="185">
        <f t="shared" si="48"/>
        <v>45</v>
      </c>
      <c r="Q48" s="12">
        <f t="shared" ref="Q48:Q50" si="50">SUM(E48:P48)</f>
        <v>540</v>
      </c>
      <c r="R48" s="308">
        <f t="shared" ref="R48:R50" si="51">IF(AND($C48="j",$D48&gt;=1,$D48&lt;=3),$B48,IF(AND($C48="h",$D48&gt;=1,$D48&lt;=3),$B48,IF(AND($C48="q",$D48&gt;=1,$D48&lt;=3),$B48,IF($C48="z",IF($D48=1,2*$B48,$B48),IF($C48="m",3*$B48,0)))))</f>
        <v>135</v>
      </c>
      <c r="S48" s="11">
        <f t="shared" ref="S48:S50" si="52">IF(AND($C48="j",$D48&gt;=4,$D48&lt;=6),$B48,IF(AND($C48="h",$D48&gt;=4,$D48&lt;=6),$B48,IF(AND($C48="q",$D48&gt;=1,$D48&lt;=3),$B48,IF($C48="z",IF($D48=2,2*$B48,$B48),IF($C48="m",3*$B48,0)))))</f>
        <v>135</v>
      </c>
      <c r="T48" s="11">
        <f t="shared" ref="T48:T50" si="53">IF(AND($C48="j",$D48&gt;=7,$D48&lt;=9),$B48,IF(AND($C48="h",$D48&gt;=1,$D48&lt;=3),$B48,IF(AND($C48="q",$D48&gt;=1,$D48&lt;=3),$B48,IF($C48="z",IF($D48=1,2*$B48,$B48),IF($C48="m",3*$B48,0)))))</f>
        <v>135</v>
      </c>
      <c r="U48" s="185">
        <f t="shared" ref="U48:U50" si="54">IF(AND($C48="j",$D48&gt;=10,$D48&lt;=12),$B48,IF(AND($C48="h",$D48&gt;=4,$D48&lt;=6),$B48,IF(AND($C48="q",$D48&gt;=1,$D48&lt;=3),$B48,IF($C48="z",IF($D48=2,2*$B48,$B48),IF($C48="m",3*$B48,0)))))</f>
        <v>135</v>
      </c>
      <c r="V48" s="12">
        <f t="shared" ref="V48:V50" si="55">SUM(R48:U48)</f>
        <v>540</v>
      </c>
      <c r="W48" s="12">
        <f t="shared" ref="W48:X50" si="56">IF($C48="j",$B48,IF($C48="h",2*$B48,IF($C48="q",4*$B48,IF($C48="z",6*$B48,12*$B48))))</f>
        <v>540</v>
      </c>
      <c r="X48" s="13">
        <f t="shared" si="56"/>
        <v>540</v>
      </c>
      <c r="Z48" s="570">
        <f t="shared" ref="Z48:Z50" si="57">((Q48+V48+W48+X48)/4)/12</f>
        <v>45</v>
      </c>
    </row>
    <row r="49" spans="1:26" ht="18.75" customHeight="1" x14ac:dyDescent="0.25">
      <c r="A49" s="93" t="s">
        <v>112</v>
      </c>
      <c r="B49" s="94">
        <v>200</v>
      </c>
      <c r="C49" s="95" t="s">
        <v>45</v>
      </c>
      <c r="D49" s="96" t="s">
        <v>48</v>
      </c>
      <c r="E49" s="10">
        <f t="shared" si="49"/>
        <v>200</v>
      </c>
      <c r="F49" s="11">
        <f t="shared" si="48"/>
        <v>200</v>
      </c>
      <c r="G49" s="11">
        <f t="shared" si="48"/>
        <v>200</v>
      </c>
      <c r="H49" s="11">
        <f t="shared" si="48"/>
        <v>200</v>
      </c>
      <c r="I49" s="11">
        <f t="shared" si="48"/>
        <v>200</v>
      </c>
      <c r="J49" s="11">
        <f t="shared" si="48"/>
        <v>200</v>
      </c>
      <c r="K49" s="11">
        <f t="shared" si="48"/>
        <v>200</v>
      </c>
      <c r="L49" s="11">
        <f t="shared" si="48"/>
        <v>200</v>
      </c>
      <c r="M49" s="11">
        <f t="shared" si="48"/>
        <v>200</v>
      </c>
      <c r="N49" s="11">
        <f t="shared" si="48"/>
        <v>200</v>
      </c>
      <c r="O49" s="11">
        <f t="shared" si="48"/>
        <v>200</v>
      </c>
      <c r="P49" s="185">
        <f t="shared" si="48"/>
        <v>200</v>
      </c>
      <c r="Q49" s="12">
        <f t="shared" si="50"/>
        <v>2400</v>
      </c>
      <c r="R49" s="308">
        <f t="shared" si="51"/>
        <v>600</v>
      </c>
      <c r="S49" s="11">
        <f t="shared" si="52"/>
        <v>600</v>
      </c>
      <c r="T49" s="11">
        <f t="shared" si="53"/>
        <v>600</v>
      </c>
      <c r="U49" s="185">
        <f t="shared" si="54"/>
        <v>600</v>
      </c>
      <c r="V49" s="12">
        <f t="shared" si="55"/>
        <v>2400</v>
      </c>
      <c r="W49" s="12">
        <f t="shared" si="56"/>
        <v>2400</v>
      </c>
      <c r="X49" s="13">
        <f t="shared" si="56"/>
        <v>2400</v>
      </c>
      <c r="Z49" s="570">
        <f t="shared" si="57"/>
        <v>200</v>
      </c>
    </row>
    <row r="50" spans="1:26" ht="18.75" customHeight="1" thickBot="1" x14ac:dyDescent="0.3">
      <c r="A50" s="97"/>
      <c r="B50" s="98"/>
      <c r="C50" s="99"/>
      <c r="D50" s="100"/>
      <c r="E50" s="14">
        <f t="shared" si="49"/>
        <v>0</v>
      </c>
      <c r="F50" s="15">
        <f t="shared" si="48"/>
        <v>0</v>
      </c>
      <c r="G50" s="15">
        <f t="shared" si="48"/>
        <v>0</v>
      </c>
      <c r="H50" s="15">
        <f t="shared" si="48"/>
        <v>0</v>
      </c>
      <c r="I50" s="15">
        <f t="shared" si="48"/>
        <v>0</v>
      </c>
      <c r="J50" s="15">
        <f t="shared" si="48"/>
        <v>0</v>
      </c>
      <c r="K50" s="15">
        <f t="shared" si="48"/>
        <v>0</v>
      </c>
      <c r="L50" s="15">
        <f t="shared" si="48"/>
        <v>0</v>
      </c>
      <c r="M50" s="15">
        <f t="shared" si="48"/>
        <v>0</v>
      </c>
      <c r="N50" s="15">
        <f t="shared" si="48"/>
        <v>0</v>
      </c>
      <c r="O50" s="15">
        <f t="shared" si="48"/>
        <v>0</v>
      </c>
      <c r="P50" s="648">
        <f t="shared" si="48"/>
        <v>0</v>
      </c>
      <c r="Q50" s="16">
        <f t="shared" si="50"/>
        <v>0</v>
      </c>
      <c r="R50" s="565">
        <f t="shared" si="51"/>
        <v>0</v>
      </c>
      <c r="S50" s="15">
        <f t="shared" si="52"/>
        <v>0</v>
      </c>
      <c r="T50" s="15">
        <f t="shared" si="53"/>
        <v>0</v>
      </c>
      <c r="U50" s="648">
        <f t="shared" si="54"/>
        <v>0</v>
      </c>
      <c r="V50" s="16">
        <f t="shared" si="55"/>
        <v>0</v>
      </c>
      <c r="W50" s="16">
        <f t="shared" si="56"/>
        <v>0</v>
      </c>
      <c r="X50" s="17">
        <f t="shared" si="56"/>
        <v>0</v>
      </c>
      <c r="Z50" s="575">
        <f t="shared" si="57"/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71"/>
    </row>
    <row r="52" spans="1:26" s="625" customFormat="1" ht="18.75" customHeight="1" thickBot="1" x14ac:dyDescent="0.3">
      <c r="A52" s="572" t="s">
        <v>50</v>
      </c>
      <c r="B52" s="573">
        <f>Z52</f>
        <v>1271</v>
      </c>
      <c r="D52" s="626"/>
      <c r="E52" s="627">
        <f>SUM(E47:E51)</f>
        <v>1271</v>
      </c>
      <c r="F52" s="549">
        <f t="shared" ref="F52:X52" si="58">SUM(F47:F51)</f>
        <v>1271</v>
      </c>
      <c r="G52" s="549">
        <f t="shared" si="58"/>
        <v>1271</v>
      </c>
      <c r="H52" s="549">
        <f t="shared" si="58"/>
        <v>1271</v>
      </c>
      <c r="I52" s="549">
        <f t="shared" si="58"/>
        <v>1271</v>
      </c>
      <c r="J52" s="549">
        <f t="shared" si="58"/>
        <v>1271</v>
      </c>
      <c r="K52" s="549">
        <f t="shared" si="58"/>
        <v>1271</v>
      </c>
      <c r="L52" s="549">
        <f t="shared" si="58"/>
        <v>1271</v>
      </c>
      <c r="M52" s="549">
        <f t="shared" si="58"/>
        <v>1271</v>
      </c>
      <c r="N52" s="549">
        <f t="shared" si="58"/>
        <v>1271</v>
      </c>
      <c r="O52" s="549">
        <f t="shared" si="58"/>
        <v>1271</v>
      </c>
      <c r="P52" s="36">
        <f t="shared" si="58"/>
        <v>1271</v>
      </c>
      <c r="Q52" s="37">
        <f t="shared" si="58"/>
        <v>15252</v>
      </c>
      <c r="R52" s="548">
        <f t="shared" si="58"/>
        <v>3813</v>
      </c>
      <c r="S52" s="549">
        <f t="shared" si="58"/>
        <v>3813</v>
      </c>
      <c r="T52" s="549">
        <f t="shared" si="58"/>
        <v>3813</v>
      </c>
      <c r="U52" s="36">
        <f t="shared" si="58"/>
        <v>3813</v>
      </c>
      <c r="V52" s="37">
        <f t="shared" si="58"/>
        <v>15252</v>
      </c>
      <c r="W52" s="37">
        <f t="shared" si="58"/>
        <v>15252</v>
      </c>
      <c r="X52" s="38">
        <f t="shared" si="58"/>
        <v>15252</v>
      </c>
      <c r="Z52" s="574">
        <f>SUM(Z47:Z51)</f>
        <v>1271</v>
      </c>
    </row>
    <row r="53" spans="1:26" ht="15.75" thickBot="1" x14ac:dyDescent="0.3"/>
    <row r="54" spans="1:26" ht="15" customHeight="1" x14ac:dyDescent="0.25">
      <c r="A54" s="797" t="s">
        <v>69</v>
      </c>
      <c r="B54" s="795" t="s">
        <v>19</v>
      </c>
      <c r="C54" s="795" t="s">
        <v>44</v>
      </c>
      <c r="D54" s="799" t="s">
        <v>243</v>
      </c>
      <c r="E54" s="778" t="s">
        <v>20</v>
      </c>
      <c r="F54" s="761"/>
      <c r="G54" s="761"/>
      <c r="H54" s="761"/>
      <c r="I54" s="761"/>
      <c r="J54" s="761"/>
      <c r="K54" s="761"/>
      <c r="L54" s="761"/>
      <c r="M54" s="761"/>
      <c r="N54" s="761"/>
      <c r="O54" s="761"/>
      <c r="P54" s="761"/>
      <c r="Q54" s="762" t="s">
        <v>20</v>
      </c>
      <c r="R54" s="760" t="s">
        <v>25</v>
      </c>
      <c r="S54" s="761"/>
      <c r="T54" s="761"/>
      <c r="U54" s="761"/>
      <c r="V54" s="762" t="s">
        <v>25</v>
      </c>
      <c r="W54" s="762" t="s">
        <v>26</v>
      </c>
      <c r="X54" s="764" t="s">
        <v>27</v>
      </c>
      <c r="Z54" s="805" t="s">
        <v>49</v>
      </c>
    </row>
    <row r="55" spans="1:26" ht="15.75" thickBot="1" x14ac:dyDescent="0.3">
      <c r="A55" s="798"/>
      <c r="B55" s="796"/>
      <c r="C55" s="796"/>
      <c r="D55" s="800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63"/>
      <c r="R55" s="4" t="s">
        <v>21</v>
      </c>
      <c r="S55" s="2" t="s">
        <v>22</v>
      </c>
      <c r="T55" s="2" t="s">
        <v>23</v>
      </c>
      <c r="U55" s="3" t="s">
        <v>24</v>
      </c>
      <c r="V55" s="763"/>
      <c r="W55" s="763"/>
      <c r="X55" s="765"/>
      <c r="Z55" s="806"/>
    </row>
    <row r="56" spans="1:26" ht="18.75" customHeight="1" thickTop="1" x14ac:dyDescent="0.25">
      <c r="A56" s="92" t="s">
        <v>113</v>
      </c>
      <c r="B56" s="18">
        <v>2000</v>
      </c>
      <c r="C56" s="19" t="s">
        <v>47</v>
      </c>
      <c r="D56" s="20">
        <v>12</v>
      </c>
      <c r="E56" s="6">
        <f>IF(AND($C56="j",$D56=E$32),$B56,IF($C56="h",$B56*IF($D56=IF(MOD(E$32,6)=0,6,MOD(E$32,6)),1,0),IF($C56="q",$B56*IF($D56=IF(MOD(E$32,3)=0,3,MOD(E$32,3)),1,0),IF($C56="z",$B56*IF($D56=IF(MOD(E$32,2)=0,2,MOD(E$32,2)),1,0),IF($C56="m",$B56,0)))))</f>
        <v>0</v>
      </c>
      <c r="F56" s="7">
        <f t="shared" ref="F56:P57" si="59">IF(AND($C56="j",$D56=F$32),$B56,IF($C56="h",$B56*IF($D56=IF(MOD(F$32,6)=0,6,MOD(F$32,6)),1,0),IF($C56="q",$B56*IF($D56=IF(MOD(F$32,3)=0,3,MOD(F$32,3)),1,0),IF($C56="z",$B56*IF($D56=IF(MOD(F$32,2)=0,2,MOD(F$32,2)),1,0),IF($C56="m",$B56,0)))))</f>
        <v>0</v>
      </c>
      <c r="G56" s="7">
        <f t="shared" si="59"/>
        <v>0</v>
      </c>
      <c r="H56" s="7">
        <f t="shared" si="59"/>
        <v>0</v>
      </c>
      <c r="I56" s="7">
        <f t="shared" si="59"/>
        <v>0</v>
      </c>
      <c r="J56" s="7">
        <f t="shared" si="59"/>
        <v>0</v>
      </c>
      <c r="K56" s="7">
        <f t="shared" si="59"/>
        <v>0</v>
      </c>
      <c r="L56" s="7">
        <f t="shared" si="59"/>
        <v>0</v>
      </c>
      <c r="M56" s="7">
        <f t="shared" si="59"/>
        <v>0</v>
      </c>
      <c r="N56" s="7">
        <f t="shared" si="59"/>
        <v>0</v>
      </c>
      <c r="O56" s="7">
        <f t="shared" si="59"/>
        <v>0</v>
      </c>
      <c r="P56" s="180">
        <f t="shared" si="59"/>
        <v>2000</v>
      </c>
      <c r="Q56" s="8">
        <f>SUM(E56:P56)</f>
        <v>2000</v>
      </c>
      <c r="R56" s="307">
        <f>IF(AND($C56="j",$D56&gt;=1,$D56&lt;=3),$B56,IF(AND($C56="h",$D56&gt;=1,$D56&lt;=3),$B56,IF(AND($C56="q",$D56&gt;=1,$D56&lt;=3),$B56,IF($C56="z",IF($D56=1,2*$B56,$B56),IF($C56="m",3*$B56,0)))))</f>
        <v>0</v>
      </c>
      <c r="S56" s="7">
        <f>IF(AND($C56="j",$D56&gt;=4,$D56&lt;=6),$B56,IF(AND($C56="h",$D56&gt;=4,$D56&lt;=6),$B56,IF(AND($C56="q",$D56&gt;=1,$D56&lt;=3),$B56,IF($C56="z",IF($D56=2,2*$B56,$B56),IF($C56="m",3*$B56,0)))))</f>
        <v>0</v>
      </c>
      <c r="T56" s="7">
        <f>IF(AND($C56="j",$D56&gt;=7,$D56&lt;=9),$B56,IF(AND($C56="h",$D56&gt;=1,$D56&lt;=3),$B56,IF(AND($C56="q",$D56&gt;=1,$D56&lt;=3),$B56,IF($C56="z",IF($D56=1,2*$B56,$B56),IF($C56="m",3*$B56,0)))))</f>
        <v>0</v>
      </c>
      <c r="U56" s="180">
        <f>IF(AND($C56="j",$D56&gt;=10,$D56&lt;=12),$B56,IF(AND($C56="h",$D56&gt;=4,$D56&lt;=6),$B56,IF(AND($C56="q",$D56&gt;=1,$D56&lt;=3),$B56,IF($C56="z",IF($D56=2,2*$B56,$B56),IF($C56="m",3*$B56,0)))))</f>
        <v>2000</v>
      </c>
      <c r="V56" s="8">
        <f>SUM(R56:U56)</f>
        <v>2000</v>
      </c>
      <c r="W56" s="8">
        <f>IF($C56="j",$B56,IF($C56="h",2*$B56,IF($C56="q",4*$B56,IF($C56="z",6*$B56,12*$B56))))</f>
        <v>2000</v>
      </c>
      <c r="X56" s="9">
        <f>IF($C56="j",$B56,IF($C56="h",2*$B56,IF($C56="q",4*$B56,IF($C56="z",6*$B56,12*$B56))))</f>
        <v>2000</v>
      </c>
      <c r="Z56" s="569">
        <f>((Q56+V56+W56+X56)/4)/12</f>
        <v>166.66666666666666</v>
      </c>
    </row>
    <row r="57" spans="1:26" ht="18.75" customHeight="1" thickBot="1" x14ac:dyDescent="0.3">
      <c r="A57" s="97"/>
      <c r="B57" s="98"/>
      <c r="C57" s="99"/>
      <c r="D57" s="100"/>
      <c r="E57" s="14">
        <f t="shared" ref="E57" si="60">IF(AND($C57="j",$D57=E$32),$B57,IF($C57="h",$B57*IF($D57=IF(MOD(E$32,6)=0,6,MOD(E$32,6)),1,0),IF($C57="q",$B57*IF($D57=IF(MOD(E$32,3)=0,3,MOD(E$32,3)),1,0),IF($C57="z",$B57*IF($D57=IF(MOD(E$32,2)=0,2,MOD(E$32,2)),1,0),IF($C57="m",$B57,0)))))</f>
        <v>0</v>
      </c>
      <c r="F57" s="15">
        <f t="shared" si="59"/>
        <v>0</v>
      </c>
      <c r="G57" s="15">
        <f t="shared" si="59"/>
        <v>0</v>
      </c>
      <c r="H57" s="15">
        <f t="shared" si="59"/>
        <v>0</v>
      </c>
      <c r="I57" s="15">
        <f t="shared" si="59"/>
        <v>0</v>
      </c>
      <c r="J57" s="15">
        <f t="shared" si="59"/>
        <v>0</v>
      </c>
      <c r="K57" s="15">
        <f t="shared" si="59"/>
        <v>0</v>
      </c>
      <c r="L57" s="15">
        <f t="shared" si="59"/>
        <v>0</v>
      </c>
      <c r="M57" s="15">
        <f t="shared" si="59"/>
        <v>0</v>
      </c>
      <c r="N57" s="15">
        <f t="shared" si="59"/>
        <v>0</v>
      </c>
      <c r="O57" s="15">
        <f t="shared" si="59"/>
        <v>0</v>
      </c>
      <c r="P57" s="648">
        <f t="shared" si="59"/>
        <v>0</v>
      </c>
      <c r="Q57" s="16">
        <f t="shared" ref="Q57" si="61">SUM(E57:P57)</f>
        <v>0</v>
      </c>
      <c r="R57" s="565">
        <f t="shared" ref="R57" si="62">IF(AND($C57="j",$D57&gt;=1,$D57&lt;=3),$B57,IF(AND($C57="h",$D57&gt;=1,$D57&lt;=3),$B57,IF(AND($C57="q",$D57&gt;=1,$D57&lt;=3),$B57,IF($C57="z",IF($D57=1,2*$B57,$B57),IF($C57="m",3*$B57,0)))))</f>
        <v>0</v>
      </c>
      <c r="S57" s="15">
        <f t="shared" ref="S57" si="63">IF(AND($C57="j",$D57&gt;=4,$D57&lt;=6),$B57,IF(AND($C57="h",$D57&gt;=4,$D57&lt;=6),$B57,IF(AND($C57="q",$D57&gt;=1,$D57&lt;=3),$B57,IF($C57="z",IF($D57=2,2*$B57,$B57),IF($C57="m",3*$B57,0)))))</f>
        <v>0</v>
      </c>
      <c r="T57" s="15">
        <f t="shared" ref="T57" si="64">IF(AND($C57="j",$D57&gt;=7,$D57&lt;=9),$B57,IF(AND($C57="h",$D57&gt;=1,$D57&lt;=3),$B57,IF(AND($C57="q",$D57&gt;=1,$D57&lt;=3),$B57,IF($C57="z",IF($D57=1,2*$B57,$B57),IF($C57="m",3*$B57,0)))))</f>
        <v>0</v>
      </c>
      <c r="U57" s="648">
        <f t="shared" ref="U57" si="65">IF(AND($C57="j",$D57&gt;=10,$D57&lt;=12),$B57,IF(AND($C57="h",$D57&gt;=4,$D57&lt;=6),$B57,IF(AND($C57="q",$D57&gt;=1,$D57&lt;=3),$B57,IF($C57="z",IF($D57=2,2*$B57,$B57),IF($C57="m",3*$B57,0)))))</f>
        <v>0</v>
      </c>
      <c r="V57" s="16">
        <f t="shared" ref="V57" si="66">SUM(R57:U57)</f>
        <v>0</v>
      </c>
      <c r="W57" s="16">
        <f t="shared" ref="W57:X57" si="67">IF($C57="j",$B57,IF($C57="h",2*$B57,IF($C57="q",4*$B57,IF($C57="z",6*$B57,12*$B57))))</f>
        <v>0</v>
      </c>
      <c r="X57" s="17">
        <f t="shared" si="67"/>
        <v>0</v>
      </c>
      <c r="Z57" s="575">
        <f>((Q57+V57+W57+X57)/4)/12</f>
        <v>0</v>
      </c>
    </row>
    <row r="58" spans="1:26" ht="7.5" customHeight="1" thickTop="1" thickBot="1" x14ac:dyDescent="0.3">
      <c r="A58" s="101"/>
      <c r="B58" s="102"/>
      <c r="C58" s="103"/>
      <c r="D58" s="104"/>
      <c r="E58" s="27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9"/>
      <c r="Q58" s="33"/>
      <c r="R58" s="31"/>
      <c r="S58" s="28"/>
      <c r="T58" s="28"/>
      <c r="U58" s="29"/>
      <c r="V58" s="33"/>
      <c r="W58" s="33"/>
      <c r="X58" s="34"/>
      <c r="Z58" s="571"/>
    </row>
    <row r="59" spans="1:26" s="625" customFormat="1" ht="18.75" customHeight="1" thickBot="1" x14ac:dyDescent="0.3">
      <c r="A59" s="572" t="s">
        <v>50</v>
      </c>
      <c r="B59" s="573">
        <f>Z59</f>
        <v>166.66666666666666</v>
      </c>
      <c r="D59" s="626"/>
      <c r="E59" s="627">
        <f>SUM(E56:E58)</f>
        <v>0</v>
      </c>
      <c r="F59" s="549">
        <f t="shared" ref="F59:X59" si="68">SUM(F56:F58)</f>
        <v>0</v>
      </c>
      <c r="G59" s="549">
        <f t="shared" si="68"/>
        <v>0</v>
      </c>
      <c r="H59" s="549">
        <f t="shared" si="68"/>
        <v>0</v>
      </c>
      <c r="I59" s="549">
        <f t="shared" si="68"/>
        <v>0</v>
      </c>
      <c r="J59" s="549">
        <f t="shared" si="68"/>
        <v>0</v>
      </c>
      <c r="K59" s="549">
        <f t="shared" si="68"/>
        <v>0</v>
      </c>
      <c r="L59" s="549">
        <f t="shared" si="68"/>
        <v>0</v>
      </c>
      <c r="M59" s="549">
        <f t="shared" si="68"/>
        <v>0</v>
      </c>
      <c r="N59" s="549">
        <f t="shared" si="68"/>
        <v>0</v>
      </c>
      <c r="O59" s="549">
        <f t="shared" si="68"/>
        <v>0</v>
      </c>
      <c r="P59" s="36">
        <f t="shared" si="68"/>
        <v>2000</v>
      </c>
      <c r="Q59" s="37">
        <f t="shared" si="68"/>
        <v>2000</v>
      </c>
      <c r="R59" s="548">
        <f t="shared" si="68"/>
        <v>0</v>
      </c>
      <c r="S59" s="549">
        <f t="shared" si="68"/>
        <v>0</v>
      </c>
      <c r="T59" s="549">
        <f t="shared" si="68"/>
        <v>0</v>
      </c>
      <c r="U59" s="36">
        <f t="shared" si="68"/>
        <v>2000</v>
      </c>
      <c r="V59" s="37">
        <f t="shared" si="68"/>
        <v>2000</v>
      </c>
      <c r="W59" s="37">
        <f t="shared" si="68"/>
        <v>2000</v>
      </c>
      <c r="X59" s="38">
        <f t="shared" si="68"/>
        <v>2000</v>
      </c>
      <c r="Z59" s="574">
        <f>SUM(Z56:Z57)</f>
        <v>166.66666666666666</v>
      </c>
    </row>
    <row r="60" spans="1:26" ht="15.75" thickBot="1" x14ac:dyDescent="0.3"/>
    <row r="61" spans="1:26" ht="15" customHeight="1" x14ac:dyDescent="0.25">
      <c r="A61" s="797" t="s">
        <v>70</v>
      </c>
      <c r="B61" s="795" t="s">
        <v>71</v>
      </c>
      <c r="C61" s="795" t="s">
        <v>44</v>
      </c>
      <c r="D61" s="799" t="s">
        <v>243</v>
      </c>
      <c r="E61" s="778" t="s">
        <v>20</v>
      </c>
      <c r="F61" s="761"/>
      <c r="G61" s="761"/>
      <c r="H61" s="761"/>
      <c r="I61" s="761"/>
      <c r="J61" s="761"/>
      <c r="K61" s="761"/>
      <c r="L61" s="761"/>
      <c r="M61" s="761"/>
      <c r="N61" s="761"/>
      <c r="O61" s="761"/>
      <c r="P61" s="761"/>
      <c r="Q61" s="762" t="s">
        <v>20</v>
      </c>
      <c r="R61" s="760" t="s">
        <v>25</v>
      </c>
      <c r="S61" s="761"/>
      <c r="T61" s="761"/>
      <c r="U61" s="761"/>
      <c r="V61" s="762" t="s">
        <v>25</v>
      </c>
      <c r="W61" s="762" t="s">
        <v>26</v>
      </c>
      <c r="X61" s="764" t="s">
        <v>27</v>
      </c>
      <c r="Z61" s="805" t="s">
        <v>49</v>
      </c>
    </row>
    <row r="62" spans="1:26" ht="15.75" thickBot="1" x14ac:dyDescent="0.3">
      <c r="A62" s="798"/>
      <c r="B62" s="796"/>
      <c r="C62" s="796"/>
      <c r="D62" s="800"/>
      <c r="E62" s="1">
        <v>1</v>
      </c>
      <c r="F62" s="2">
        <v>2</v>
      </c>
      <c r="G62" s="2">
        <v>3</v>
      </c>
      <c r="H62" s="2">
        <v>4</v>
      </c>
      <c r="I62" s="2">
        <v>5</v>
      </c>
      <c r="J62" s="2">
        <v>6</v>
      </c>
      <c r="K62" s="2">
        <v>7</v>
      </c>
      <c r="L62" s="2">
        <v>8</v>
      </c>
      <c r="M62" s="2">
        <v>9</v>
      </c>
      <c r="N62" s="2">
        <v>10</v>
      </c>
      <c r="O62" s="2">
        <v>11</v>
      </c>
      <c r="P62" s="3">
        <v>12</v>
      </c>
      <c r="Q62" s="763"/>
      <c r="R62" s="4" t="s">
        <v>21</v>
      </c>
      <c r="S62" s="2" t="s">
        <v>22</v>
      </c>
      <c r="T62" s="2" t="s">
        <v>23</v>
      </c>
      <c r="U62" s="3" t="s">
        <v>24</v>
      </c>
      <c r="V62" s="763"/>
      <c r="W62" s="763"/>
      <c r="X62" s="765"/>
      <c r="Z62" s="806"/>
    </row>
    <row r="63" spans="1:26" ht="18.75" customHeight="1" thickTop="1" x14ac:dyDescent="0.25">
      <c r="A63" s="92" t="s">
        <v>272</v>
      </c>
      <c r="B63" s="18">
        <v>1500</v>
      </c>
      <c r="C63" s="19" t="s">
        <v>47</v>
      </c>
      <c r="D63" s="20">
        <v>1</v>
      </c>
      <c r="E63" s="6">
        <f t="shared" ref="E63:P66" si="69">IF(AND($C63="j",$D63=E$32),$B63,IF($C63="h",$B63*IF($D63=IF(MOD(E$32,6)=0,6,MOD(E$32,6)),1,0),IF($C63="q",$B63*IF($D63=IF(MOD(E$32,3)=0,3,MOD(E$32,3)),1,0),IF($C63="z",$B63*IF($D63=IF(MOD(E$32,2)=0,2,MOD(E$32,2)),1,0),IF($C63="m",$B63,0)))))</f>
        <v>1500</v>
      </c>
      <c r="F63" s="7">
        <f t="shared" si="69"/>
        <v>0</v>
      </c>
      <c r="G63" s="7">
        <f t="shared" si="69"/>
        <v>0</v>
      </c>
      <c r="H63" s="7">
        <f t="shared" si="69"/>
        <v>0</v>
      </c>
      <c r="I63" s="7">
        <f t="shared" si="69"/>
        <v>0</v>
      </c>
      <c r="J63" s="7">
        <f t="shared" si="69"/>
        <v>0</v>
      </c>
      <c r="K63" s="7">
        <f t="shared" si="69"/>
        <v>0</v>
      </c>
      <c r="L63" s="7">
        <f t="shared" si="69"/>
        <v>0</v>
      </c>
      <c r="M63" s="7">
        <f t="shared" si="69"/>
        <v>0</v>
      </c>
      <c r="N63" s="7">
        <f t="shared" si="69"/>
        <v>0</v>
      </c>
      <c r="O63" s="7">
        <f t="shared" si="69"/>
        <v>0</v>
      </c>
      <c r="P63" s="180">
        <f t="shared" si="69"/>
        <v>0</v>
      </c>
      <c r="Q63" s="8">
        <f>SUM(E63:P63)</f>
        <v>1500</v>
      </c>
      <c r="R63" s="307">
        <f>IF(AND($C63="j",$D63&gt;=1,$D63&lt;=3),$B63,IF(AND($C63="h",$D63&gt;=1,$D63&lt;=3),$B63,IF(AND($C63="q",$D63&gt;=1,$D63&lt;=3),$B63,IF($C63="z",IF($D63=1,2*$B63,$B63),IF($C63="m",3*$B63,0)))))</f>
        <v>1500</v>
      </c>
      <c r="S63" s="7">
        <f>IF(AND($C63="j",$D63&gt;=4,$D63&lt;=6),$B63,IF(AND($C63="h",$D63&gt;=4,$D63&lt;=6),$B63,IF(AND($C63="q",$D63&gt;=1,$D63&lt;=3),$B63,IF($C63="z",IF($D63=2,2*$B63,$B63),IF($C63="m",3*$B63,0)))))</f>
        <v>0</v>
      </c>
      <c r="T63" s="7">
        <f>IF(AND($C63="j",$D63&gt;=7,$D63&lt;=9),$B63,IF(AND($C63="h",$D63&gt;=1,$D63&lt;=3),$B63,IF(AND($C63="q",$D63&gt;=1,$D63&lt;=3),$B63,IF($C63="z",IF($D63=1,2*$B63,$B63),IF($C63="m",3*$B63,0)))))</f>
        <v>0</v>
      </c>
      <c r="U63" s="180">
        <f>IF(AND($C63="j",$D63&gt;=10,$D63&lt;=12),$B63,IF(AND($C63="h",$D63&gt;=4,$D63&lt;=6),$B63,IF(AND($C63="q",$D63&gt;=1,$D63&lt;=3),$B63,IF($C63="z",IF($D63=2,2*$B63,$B63),IF($C63="m",3*$B63,0)))))</f>
        <v>0</v>
      </c>
      <c r="V63" s="8">
        <f>SUM(R63:U63)</f>
        <v>1500</v>
      </c>
      <c r="W63" s="8">
        <f>IF($C63="j",$B63,IF($C63="h",2*$B63,IF($C63="q",4*$B63,IF($C63="z",6*$B63,12*$B63))))</f>
        <v>1500</v>
      </c>
      <c r="X63" s="9">
        <f>IF($C63="j",$B63,IF($C63="h",2*$B63,IF($C63="q",4*$B63,IF($C63="z",6*$B63,12*$B63))))</f>
        <v>1500</v>
      </c>
      <c r="Z63" s="569">
        <f>((Q63+V63+W63+X63)/4)/12</f>
        <v>125</v>
      </c>
    </row>
    <row r="64" spans="1:26" ht="18.75" customHeight="1" x14ac:dyDescent="0.25">
      <c r="A64" s="696" t="s">
        <v>273</v>
      </c>
      <c r="B64" s="697">
        <v>1500</v>
      </c>
      <c r="C64" s="698" t="s">
        <v>47</v>
      </c>
      <c r="D64" s="699">
        <v>1</v>
      </c>
      <c r="E64" s="335">
        <v>0</v>
      </c>
      <c r="F64" s="336">
        <f t="shared" si="69"/>
        <v>0</v>
      </c>
      <c r="G64" s="336">
        <f t="shared" si="69"/>
        <v>0</v>
      </c>
      <c r="H64" s="336">
        <f t="shared" si="69"/>
        <v>0</v>
      </c>
      <c r="I64" s="336">
        <f t="shared" si="69"/>
        <v>0</v>
      </c>
      <c r="J64" s="336">
        <f t="shared" si="69"/>
        <v>0</v>
      </c>
      <c r="K64" s="336">
        <f t="shared" si="69"/>
        <v>0</v>
      </c>
      <c r="L64" s="336">
        <f t="shared" si="69"/>
        <v>0</v>
      </c>
      <c r="M64" s="336">
        <f t="shared" si="69"/>
        <v>0</v>
      </c>
      <c r="N64" s="336">
        <f t="shared" si="69"/>
        <v>0</v>
      </c>
      <c r="O64" s="336">
        <f t="shared" si="69"/>
        <v>0</v>
      </c>
      <c r="P64" s="337">
        <f t="shared" si="69"/>
        <v>0</v>
      </c>
      <c r="Q64" s="331">
        <f>SUM(E64:P64)</f>
        <v>0</v>
      </c>
      <c r="R64" s="700">
        <f>IF(AND($C64="j",$D64&gt;=1,$D64&lt;=3),$B64,IF(AND($C64="h",$D64&gt;=1,$D64&lt;=3),$B64,IF(AND($C64="q",$D64&gt;=1,$D64&lt;=3),$B64,IF($C64="z",IF($D64=1,2*$B64,$B64),IF($C64="m",3*$B64,0)))))</f>
        <v>1500</v>
      </c>
      <c r="S64" s="336">
        <f>IF(AND($C64="j",$D64&gt;=4,$D64&lt;=6),$B64,IF(AND($C64="h",$D64&gt;=4,$D64&lt;=6),$B64,IF(AND($C64="q",$D64&gt;=1,$D64&lt;=3),$B64,IF($C64="z",IF($D64=2,2*$B64,$B64),IF($C64="m",3*$B64,0)))))</f>
        <v>0</v>
      </c>
      <c r="T64" s="336">
        <f>IF(AND($C64="j",$D64&gt;=7,$D64&lt;=9),$B64,IF(AND($C64="h",$D64&gt;=1,$D64&lt;=3),$B64,IF(AND($C64="q",$D64&gt;=1,$D64&lt;=3),$B64,IF($C64="z",IF($D64=1,2*$B64,$B64),IF($C64="m",3*$B64,0)))))</f>
        <v>0</v>
      </c>
      <c r="U64" s="337">
        <f>IF(AND($C64="j",$D64&gt;=10,$D64&lt;=12),$B64,IF(AND($C64="h",$D64&gt;=4,$D64&lt;=6),$B64,IF(AND($C64="q",$D64&gt;=1,$D64&lt;=3),$B64,IF($C64="z",IF($D64=2,2*$B64,$B64),IF($C64="m",3*$B64,0)))))</f>
        <v>0</v>
      </c>
      <c r="V64" s="331">
        <f>SUM(R64:U64)</f>
        <v>1500</v>
      </c>
      <c r="W64" s="331">
        <f>IF($C64="j",$B64,IF($C64="h",2*$B64,IF($C64="q",4*$B64,IF($C64="z",6*$B64,12*$B64))))</f>
        <v>1500</v>
      </c>
      <c r="X64" s="245">
        <f>IF($C64="j",$B64,IF($C64="h",2*$B64,IF($C64="q",4*$B64,IF($C64="z",6*$B64,12*$B64))))</f>
        <v>1500</v>
      </c>
      <c r="Z64" s="570">
        <f t="shared" ref="Z64:Z66" si="70">((Q64+V64+W64+X64)/4)/12</f>
        <v>93.75</v>
      </c>
    </row>
    <row r="65" spans="1:26" ht="18.75" customHeight="1" x14ac:dyDescent="0.25">
      <c r="A65" s="93" t="s">
        <v>78</v>
      </c>
      <c r="B65" s="94">
        <v>500</v>
      </c>
      <c r="C65" s="95" t="s">
        <v>45</v>
      </c>
      <c r="D65" s="96" t="s">
        <v>48</v>
      </c>
      <c r="E65" s="10">
        <f t="shared" si="69"/>
        <v>500</v>
      </c>
      <c r="F65" s="11">
        <f t="shared" si="69"/>
        <v>500</v>
      </c>
      <c r="G65" s="11">
        <f t="shared" si="69"/>
        <v>500</v>
      </c>
      <c r="H65" s="11">
        <f t="shared" si="69"/>
        <v>500</v>
      </c>
      <c r="I65" s="11">
        <f t="shared" si="69"/>
        <v>500</v>
      </c>
      <c r="J65" s="11">
        <f t="shared" si="69"/>
        <v>500</v>
      </c>
      <c r="K65" s="11">
        <f t="shared" si="69"/>
        <v>500</v>
      </c>
      <c r="L65" s="11">
        <f t="shared" si="69"/>
        <v>500</v>
      </c>
      <c r="M65" s="11">
        <f t="shared" si="69"/>
        <v>500</v>
      </c>
      <c r="N65" s="11">
        <f t="shared" si="69"/>
        <v>500</v>
      </c>
      <c r="O65" s="11">
        <f t="shared" si="69"/>
        <v>500</v>
      </c>
      <c r="P65" s="185">
        <f t="shared" si="69"/>
        <v>500</v>
      </c>
      <c r="Q65" s="12">
        <f t="shared" ref="Q65:Q66" si="71">SUM(E65:P65)</f>
        <v>6000</v>
      </c>
      <c r="R65" s="308">
        <f t="shared" ref="R65:R66" si="72">IF(AND($C65="j",$D65&gt;=1,$D65&lt;=3),$B65,IF(AND($C65="h",$D65&gt;=1,$D65&lt;=3),$B65,IF(AND($C65="q",$D65&gt;=1,$D65&lt;=3),$B65,IF($C65="z",IF($D65=1,2*$B65,$B65),IF($C65="m",3*$B65,0)))))</f>
        <v>1500</v>
      </c>
      <c r="S65" s="11">
        <f t="shared" ref="S65:S66" si="73">IF(AND($C65="j",$D65&gt;=4,$D65&lt;=6),$B65,IF(AND($C65="h",$D65&gt;=4,$D65&lt;=6),$B65,IF(AND($C65="q",$D65&gt;=1,$D65&lt;=3),$B65,IF($C65="z",IF($D65=2,2*$B65,$B65),IF($C65="m",3*$B65,0)))))</f>
        <v>1500</v>
      </c>
      <c r="T65" s="11">
        <f t="shared" ref="T65:T66" si="74">IF(AND($C65="j",$D65&gt;=7,$D65&lt;=9),$B65,IF(AND($C65="h",$D65&gt;=1,$D65&lt;=3),$B65,IF(AND($C65="q",$D65&gt;=1,$D65&lt;=3),$B65,IF($C65="z",IF($D65=1,2*$B65,$B65),IF($C65="m",3*$B65,0)))))</f>
        <v>1500</v>
      </c>
      <c r="U65" s="185">
        <f t="shared" ref="U65:U66" si="75">IF(AND($C65="j",$D65&gt;=10,$D65&lt;=12),$B65,IF(AND($C65="h",$D65&gt;=4,$D65&lt;=6),$B65,IF(AND($C65="q",$D65&gt;=1,$D65&lt;=3),$B65,IF($C65="z",IF($D65=2,2*$B65,$B65),IF($C65="m",3*$B65,0)))))</f>
        <v>1500</v>
      </c>
      <c r="V65" s="12">
        <f t="shared" ref="V65:V66" si="76">SUM(R65:U65)</f>
        <v>6000</v>
      </c>
      <c r="W65" s="12">
        <f t="shared" ref="W65:X66" si="77">IF($C65="j",$B65,IF($C65="h",2*$B65,IF($C65="q",4*$B65,IF($C65="z",6*$B65,12*$B65))))</f>
        <v>6000</v>
      </c>
      <c r="X65" s="13">
        <f t="shared" si="77"/>
        <v>6000</v>
      </c>
      <c r="Z65" s="570">
        <f t="shared" si="70"/>
        <v>500</v>
      </c>
    </row>
    <row r="66" spans="1:26" ht="18.75" customHeight="1" thickBot="1" x14ac:dyDescent="0.3">
      <c r="A66" s="97"/>
      <c r="B66" s="98"/>
      <c r="C66" s="99"/>
      <c r="D66" s="100"/>
      <c r="E66" s="14">
        <f t="shared" si="69"/>
        <v>0</v>
      </c>
      <c r="F66" s="15">
        <f t="shared" si="69"/>
        <v>0</v>
      </c>
      <c r="G66" s="15">
        <f t="shared" si="69"/>
        <v>0</v>
      </c>
      <c r="H66" s="15">
        <f t="shared" si="69"/>
        <v>0</v>
      </c>
      <c r="I66" s="15">
        <f t="shared" si="69"/>
        <v>0</v>
      </c>
      <c r="J66" s="15">
        <f t="shared" si="69"/>
        <v>0</v>
      </c>
      <c r="K66" s="15">
        <f t="shared" si="69"/>
        <v>0</v>
      </c>
      <c r="L66" s="15">
        <f t="shared" si="69"/>
        <v>0</v>
      </c>
      <c r="M66" s="15">
        <f t="shared" si="69"/>
        <v>0</v>
      </c>
      <c r="N66" s="15">
        <f t="shared" si="69"/>
        <v>0</v>
      </c>
      <c r="O66" s="15">
        <f t="shared" si="69"/>
        <v>0</v>
      </c>
      <c r="P66" s="648">
        <f t="shared" si="69"/>
        <v>0</v>
      </c>
      <c r="Q66" s="16">
        <f t="shared" si="71"/>
        <v>0</v>
      </c>
      <c r="R66" s="565">
        <f t="shared" si="72"/>
        <v>0</v>
      </c>
      <c r="S66" s="15">
        <f t="shared" si="73"/>
        <v>0</v>
      </c>
      <c r="T66" s="15">
        <f t="shared" si="74"/>
        <v>0</v>
      </c>
      <c r="U66" s="648">
        <f t="shared" si="75"/>
        <v>0</v>
      </c>
      <c r="V66" s="16">
        <f t="shared" si="76"/>
        <v>0</v>
      </c>
      <c r="W66" s="16">
        <f t="shared" si="77"/>
        <v>0</v>
      </c>
      <c r="X66" s="17">
        <f t="shared" si="77"/>
        <v>0</v>
      </c>
      <c r="Z66" s="575">
        <f t="shared" si="70"/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71"/>
    </row>
    <row r="68" spans="1:26" s="625" customFormat="1" ht="18.75" customHeight="1" thickBot="1" x14ac:dyDescent="0.3">
      <c r="A68" s="572" t="s">
        <v>50</v>
      </c>
      <c r="B68" s="573">
        <f>Z68</f>
        <v>718.75</v>
      </c>
      <c r="D68" s="626"/>
      <c r="E68" s="627">
        <f t="shared" ref="E68:X68" si="78">SUM(E63:E67)</f>
        <v>2000</v>
      </c>
      <c r="F68" s="549">
        <f t="shared" si="78"/>
        <v>500</v>
      </c>
      <c r="G68" s="549">
        <f t="shared" si="78"/>
        <v>500</v>
      </c>
      <c r="H68" s="549">
        <f t="shared" si="78"/>
        <v>500</v>
      </c>
      <c r="I68" s="549">
        <f t="shared" si="78"/>
        <v>500</v>
      </c>
      <c r="J68" s="549">
        <f t="shared" si="78"/>
        <v>500</v>
      </c>
      <c r="K68" s="549">
        <f t="shared" si="78"/>
        <v>500</v>
      </c>
      <c r="L68" s="549">
        <f t="shared" si="78"/>
        <v>500</v>
      </c>
      <c r="M68" s="549">
        <f t="shared" si="78"/>
        <v>500</v>
      </c>
      <c r="N68" s="549">
        <f t="shared" si="78"/>
        <v>500</v>
      </c>
      <c r="O68" s="549">
        <f t="shared" si="78"/>
        <v>500</v>
      </c>
      <c r="P68" s="36">
        <f t="shared" si="78"/>
        <v>500</v>
      </c>
      <c r="Q68" s="37">
        <f t="shared" si="78"/>
        <v>7500</v>
      </c>
      <c r="R68" s="548">
        <f t="shared" si="78"/>
        <v>4500</v>
      </c>
      <c r="S68" s="549">
        <f t="shared" si="78"/>
        <v>1500</v>
      </c>
      <c r="T68" s="549">
        <f t="shared" si="78"/>
        <v>1500</v>
      </c>
      <c r="U68" s="36">
        <f t="shared" si="78"/>
        <v>1500</v>
      </c>
      <c r="V68" s="37">
        <f t="shared" si="78"/>
        <v>9000</v>
      </c>
      <c r="W68" s="37">
        <f t="shared" si="78"/>
        <v>9000</v>
      </c>
      <c r="X68" s="38">
        <f t="shared" si="78"/>
        <v>9000</v>
      </c>
      <c r="Z68" s="574">
        <f>SUM(Z63:Z66)</f>
        <v>718.75</v>
      </c>
    </row>
    <row r="69" spans="1:26" ht="15.75" thickBot="1" x14ac:dyDescent="0.3"/>
    <row r="70" spans="1:26" ht="15" customHeight="1" x14ac:dyDescent="0.25">
      <c r="A70" s="797" t="s">
        <v>72</v>
      </c>
      <c r="B70" s="795" t="s">
        <v>19</v>
      </c>
      <c r="C70" s="795" t="s">
        <v>44</v>
      </c>
      <c r="D70" s="799" t="s">
        <v>243</v>
      </c>
      <c r="E70" s="778" t="s">
        <v>20</v>
      </c>
      <c r="F70" s="761"/>
      <c r="G70" s="761"/>
      <c r="H70" s="761"/>
      <c r="I70" s="761"/>
      <c r="J70" s="761"/>
      <c r="K70" s="761"/>
      <c r="L70" s="761"/>
      <c r="M70" s="761"/>
      <c r="N70" s="761"/>
      <c r="O70" s="761"/>
      <c r="P70" s="761"/>
      <c r="Q70" s="762" t="s">
        <v>20</v>
      </c>
      <c r="R70" s="760" t="s">
        <v>25</v>
      </c>
      <c r="S70" s="761"/>
      <c r="T70" s="761"/>
      <c r="U70" s="761"/>
      <c r="V70" s="762" t="s">
        <v>25</v>
      </c>
      <c r="W70" s="762" t="s">
        <v>26</v>
      </c>
      <c r="X70" s="764" t="s">
        <v>27</v>
      </c>
      <c r="Z70" s="805" t="s">
        <v>49</v>
      </c>
    </row>
    <row r="71" spans="1:26" ht="15.75" thickBot="1" x14ac:dyDescent="0.3">
      <c r="A71" s="798"/>
      <c r="B71" s="796"/>
      <c r="C71" s="796"/>
      <c r="D71" s="800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63"/>
      <c r="R71" s="4" t="s">
        <v>21</v>
      </c>
      <c r="S71" s="2" t="s">
        <v>22</v>
      </c>
      <c r="T71" s="2" t="s">
        <v>23</v>
      </c>
      <c r="U71" s="3" t="s">
        <v>24</v>
      </c>
      <c r="V71" s="763"/>
      <c r="W71" s="763"/>
      <c r="X71" s="765"/>
      <c r="Z71" s="806"/>
    </row>
    <row r="72" spans="1:26" ht="18.75" customHeight="1" thickTop="1" x14ac:dyDescent="0.25">
      <c r="A72" s="92" t="s">
        <v>130</v>
      </c>
      <c r="B72" s="18">
        <v>2000</v>
      </c>
      <c r="C72" s="19" t="s">
        <v>45</v>
      </c>
      <c r="D72" s="20" t="s">
        <v>48</v>
      </c>
      <c r="E72" s="6">
        <f t="shared" ref="E72:P74" si="79">IF(AND($C72="j",$D72=E$32),$B72,IF($C72="h",$B72*IF($D72=IF(MOD(E$32,6)=0,6,MOD(E$32,6)),1,0),IF($C72="q",$B72*IF($D72=IF(MOD(E$32,3)=0,3,MOD(E$32,3)),1,0),IF($C72="z",$B72*IF($D72=IF(MOD(E$32,2)=0,2,MOD(E$32,2)),1,0),IF($C72="m",$B72,0)))))</f>
        <v>2000</v>
      </c>
      <c r="F72" s="7">
        <f t="shared" si="79"/>
        <v>2000</v>
      </c>
      <c r="G72" s="7">
        <f t="shared" si="79"/>
        <v>2000</v>
      </c>
      <c r="H72" s="7">
        <f t="shared" si="79"/>
        <v>2000</v>
      </c>
      <c r="I72" s="7">
        <f t="shared" si="79"/>
        <v>2000</v>
      </c>
      <c r="J72" s="7">
        <f t="shared" si="79"/>
        <v>2000</v>
      </c>
      <c r="K72" s="7">
        <f t="shared" si="79"/>
        <v>2000</v>
      </c>
      <c r="L72" s="7">
        <f t="shared" si="79"/>
        <v>2000</v>
      </c>
      <c r="M72" s="7">
        <f t="shared" si="79"/>
        <v>2000</v>
      </c>
      <c r="N72" s="7">
        <f t="shared" si="79"/>
        <v>2000</v>
      </c>
      <c r="O72" s="7">
        <f t="shared" si="79"/>
        <v>2000</v>
      </c>
      <c r="P72" s="180">
        <f t="shared" si="79"/>
        <v>2000</v>
      </c>
      <c r="Q72" s="8">
        <f>SUM(E72:P72)</f>
        <v>24000</v>
      </c>
      <c r="R72" s="307">
        <f>IF(AND($C72="j",$D72&gt;=1,$D72&lt;=3),$B72,IF(AND($C72="h",$D72&gt;=1,$D72&lt;=3),$B72,IF(AND($C72="q",$D72&gt;=1,$D72&lt;=3),$B72,IF($C72="z",IF($D72=1,2*$B72,$B72),IF($C72="m",3*$B72,0)))))</f>
        <v>6000</v>
      </c>
      <c r="S72" s="7">
        <f>IF(AND($C72="j",$D72&gt;=4,$D72&lt;=6),$B72,IF(AND($C72="h",$D72&gt;=4,$D72&lt;=6),$B72,IF(AND($C72="q",$D72&gt;=1,$D72&lt;=3),$B72,IF($C72="z",IF($D72=2,2*$B72,$B72),IF($C72="m",3*$B72,0)))))</f>
        <v>6000</v>
      </c>
      <c r="T72" s="7">
        <f>IF(AND($C72="j",$D72&gt;=7,$D72&lt;=9),$B72,IF(AND($C72="h",$D72&gt;=1,$D72&lt;=3),$B72,IF(AND($C72="q",$D72&gt;=1,$D72&lt;=3),$B72,IF($C72="z",IF($D72=1,2*$B72,$B72),IF($C72="m",3*$B72,0)))))</f>
        <v>6000</v>
      </c>
      <c r="U72" s="180">
        <f>IF(AND($C72="j",$D72&gt;=10,$D72&lt;=12),$B72,IF(AND($C72="h",$D72&gt;=4,$D72&lt;=6),$B72,IF(AND($C72="q",$D72&gt;=1,$D72&lt;=3),$B72,IF($C72="z",IF($D72=2,2*$B72,$B72),IF($C72="m",3*$B72,0)))))</f>
        <v>6000</v>
      </c>
      <c r="V72" s="8">
        <f>SUM(R72:U72)</f>
        <v>24000</v>
      </c>
      <c r="W72" s="8">
        <f>IF($C72="j",$B72,IF($C72="h",2*$B72,IF($C72="q",4*$B72,IF($C72="z",6*$B72,12*$B72))))</f>
        <v>24000</v>
      </c>
      <c r="X72" s="9">
        <f>IF($C72="j",$B72,IF($C72="h",2*$B72,IF($C72="q",4*$B72,IF($C72="z",6*$B72,12*$B72))))</f>
        <v>24000</v>
      </c>
      <c r="Z72" s="569">
        <f>((Q72+V72+W72+X72)/4)/12</f>
        <v>2000</v>
      </c>
    </row>
    <row r="73" spans="1:26" ht="18.75" customHeight="1" x14ac:dyDescent="0.25">
      <c r="A73" s="93" t="s">
        <v>113</v>
      </c>
      <c r="B73" s="94">
        <v>200</v>
      </c>
      <c r="C73" s="95" t="s">
        <v>45</v>
      </c>
      <c r="D73" s="96" t="s">
        <v>48</v>
      </c>
      <c r="E73" s="10">
        <f t="shared" si="79"/>
        <v>200</v>
      </c>
      <c r="F73" s="11">
        <f t="shared" si="79"/>
        <v>200</v>
      </c>
      <c r="G73" s="11">
        <f t="shared" si="79"/>
        <v>200</v>
      </c>
      <c r="H73" s="11">
        <f t="shared" si="79"/>
        <v>200</v>
      </c>
      <c r="I73" s="11">
        <f t="shared" si="79"/>
        <v>200</v>
      </c>
      <c r="J73" s="11">
        <f t="shared" si="79"/>
        <v>200</v>
      </c>
      <c r="K73" s="11">
        <f t="shared" si="79"/>
        <v>200</v>
      </c>
      <c r="L73" s="11">
        <f t="shared" si="79"/>
        <v>200</v>
      </c>
      <c r="M73" s="11">
        <f t="shared" si="79"/>
        <v>200</v>
      </c>
      <c r="N73" s="11">
        <f t="shared" si="79"/>
        <v>200</v>
      </c>
      <c r="O73" s="11">
        <f t="shared" si="79"/>
        <v>200</v>
      </c>
      <c r="P73" s="185">
        <f t="shared" si="79"/>
        <v>200</v>
      </c>
      <c r="Q73" s="12">
        <f t="shared" ref="Q73:Q74" si="80">SUM(E73:P73)</f>
        <v>2400</v>
      </c>
      <c r="R73" s="308">
        <f t="shared" ref="R73:R74" si="81">IF(AND($C73="j",$D73&gt;=1,$D73&lt;=3),$B73,IF(AND($C73="h",$D73&gt;=1,$D73&lt;=3),$B73,IF(AND($C73="q",$D73&gt;=1,$D73&lt;=3),$B73,IF($C73="z",IF($D73=1,2*$B73,$B73),IF($C73="m",3*$B73,0)))))</f>
        <v>600</v>
      </c>
      <c r="S73" s="11">
        <f t="shared" ref="S73:S74" si="82">IF(AND($C73="j",$D73&gt;=4,$D73&lt;=6),$B73,IF(AND($C73="h",$D73&gt;=4,$D73&lt;=6),$B73,IF(AND($C73="q",$D73&gt;=1,$D73&lt;=3),$B73,IF($C73="z",IF($D73=2,2*$B73,$B73),IF($C73="m",3*$B73,0)))))</f>
        <v>600</v>
      </c>
      <c r="T73" s="11">
        <f t="shared" ref="T73:T74" si="83">IF(AND($C73="j",$D73&gt;=7,$D73&lt;=9),$B73,IF(AND($C73="h",$D73&gt;=1,$D73&lt;=3),$B73,IF(AND($C73="q",$D73&gt;=1,$D73&lt;=3),$B73,IF($C73="z",IF($D73=1,2*$B73,$B73),IF($C73="m",3*$B73,0)))))</f>
        <v>600</v>
      </c>
      <c r="U73" s="185">
        <f t="shared" ref="U73:U74" si="84">IF(AND($C73="j",$D73&gt;=10,$D73&lt;=12),$B73,IF(AND($C73="h",$D73&gt;=4,$D73&lt;=6),$B73,IF(AND($C73="q",$D73&gt;=1,$D73&lt;=3),$B73,IF($C73="z",IF($D73=2,2*$B73,$B73),IF($C73="m",3*$B73,0)))))</f>
        <v>600</v>
      </c>
      <c r="V73" s="12">
        <f t="shared" ref="V73:V74" si="85">SUM(R73:U73)</f>
        <v>2400</v>
      </c>
      <c r="W73" s="12">
        <f t="shared" ref="W73:X74" si="86">IF($C73="j",$B73,IF($C73="h",2*$B73,IF($C73="q",4*$B73,IF($C73="z",6*$B73,12*$B73))))</f>
        <v>2400</v>
      </c>
      <c r="X73" s="13">
        <f t="shared" si="86"/>
        <v>2400</v>
      </c>
      <c r="Z73" s="570">
        <f t="shared" ref="Z73:Z74" si="87">((Q73+V73+W73+X73)/4)/12</f>
        <v>200</v>
      </c>
    </row>
    <row r="74" spans="1:26" ht="18.75" customHeight="1" thickBot="1" x14ac:dyDescent="0.3">
      <c r="A74" s="97"/>
      <c r="B74" s="98"/>
      <c r="C74" s="99"/>
      <c r="D74" s="100"/>
      <c r="E74" s="14">
        <f t="shared" si="79"/>
        <v>0</v>
      </c>
      <c r="F74" s="15">
        <f t="shared" si="79"/>
        <v>0</v>
      </c>
      <c r="G74" s="15">
        <f t="shared" si="79"/>
        <v>0</v>
      </c>
      <c r="H74" s="15">
        <f t="shared" si="79"/>
        <v>0</v>
      </c>
      <c r="I74" s="15">
        <f t="shared" si="79"/>
        <v>0</v>
      </c>
      <c r="J74" s="15">
        <f t="shared" si="79"/>
        <v>0</v>
      </c>
      <c r="K74" s="15">
        <f t="shared" si="79"/>
        <v>0</v>
      </c>
      <c r="L74" s="15">
        <f t="shared" si="79"/>
        <v>0</v>
      </c>
      <c r="M74" s="15">
        <f t="shared" si="79"/>
        <v>0</v>
      </c>
      <c r="N74" s="15">
        <f t="shared" si="79"/>
        <v>0</v>
      </c>
      <c r="O74" s="15">
        <f t="shared" si="79"/>
        <v>0</v>
      </c>
      <c r="P74" s="648">
        <f t="shared" si="79"/>
        <v>0</v>
      </c>
      <c r="Q74" s="16">
        <f t="shared" si="80"/>
        <v>0</v>
      </c>
      <c r="R74" s="565">
        <f t="shared" si="81"/>
        <v>0</v>
      </c>
      <c r="S74" s="15">
        <f t="shared" si="82"/>
        <v>0</v>
      </c>
      <c r="T74" s="15">
        <f t="shared" si="83"/>
        <v>0</v>
      </c>
      <c r="U74" s="648">
        <f t="shared" si="84"/>
        <v>0</v>
      </c>
      <c r="V74" s="16">
        <f t="shared" si="85"/>
        <v>0</v>
      </c>
      <c r="W74" s="16">
        <f t="shared" si="86"/>
        <v>0</v>
      </c>
      <c r="X74" s="17">
        <f t="shared" si="86"/>
        <v>0</v>
      </c>
      <c r="Z74" s="575">
        <f t="shared" si="87"/>
        <v>0</v>
      </c>
    </row>
    <row r="75" spans="1:26" ht="7.5" customHeight="1" thickTop="1" thickBot="1" x14ac:dyDescent="0.3">
      <c r="A75" s="101"/>
      <c r="B75" s="102"/>
      <c r="C75" s="103"/>
      <c r="D75" s="104"/>
      <c r="E75" s="27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9"/>
      <c r="Q75" s="33"/>
      <c r="R75" s="31"/>
      <c r="S75" s="28"/>
      <c r="T75" s="28"/>
      <c r="U75" s="29"/>
      <c r="V75" s="33"/>
      <c r="W75" s="33"/>
      <c r="X75" s="34"/>
      <c r="Z75" s="571"/>
    </row>
    <row r="76" spans="1:26" s="625" customFormat="1" ht="18.75" customHeight="1" thickBot="1" x14ac:dyDescent="0.3">
      <c r="A76" s="572" t="s">
        <v>50</v>
      </c>
      <c r="B76" s="573">
        <f>Z76</f>
        <v>2200</v>
      </c>
      <c r="D76" s="626"/>
      <c r="E76" s="627">
        <f t="shared" ref="E76:X76" si="88">SUM(E72:E75)</f>
        <v>2200</v>
      </c>
      <c r="F76" s="549">
        <f t="shared" si="88"/>
        <v>2200</v>
      </c>
      <c r="G76" s="549">
        <f t="shared" si="88"/>
        <v>2200</v>
      </c>
      <c r="H76" s="549">
        <f t="shared" si="88"/>
        <v>2200</v>
      </c>
      <c r="I76" s="549">
        <f t="shared" si="88"/>
        <v>2200</v>
      </c>
      <c r="J76" s="549">
        <f t="shared" si="88"/>
        <v>2200</v>
      </c>
      <c r="K76" s="549">
        <f t="shared" si="88"/>
        <v>2200</v>
      </c>
      <c r="L76" s="549">
        <f t="shared" si="88"/>
        <v>2200</v>
      </c>
      <c r="M76" s="549">
        <f t="shared" si="88"/>
        <v>2200</v>
      </c>
      <c r="N76" s="549">
        <f t="shared" si="88"/>
        <v>2200</v>
      </c>
      <c r="O76" s="549">
        <f t="shared" si="88"/>
        <v>2200</v>
      </c>
      <c r="P76" s="36">
        <f t="shared" si="88"/>
        <v>2200</v>
      </c>
      <c r="Q76" s="37">
        <f t="shared" si="88"/>
        <v>26400</v>
      </c>
      <c r="R76" s="548">
        <f t="shared" si="88"/>
        <v>6600</v>
      </c>
      <c r="S76" s="549">
        <f t="shared" si="88"/>
        <v>6600</v>
      </c>
      <c r="T76" s="549">
        <f t="shared" si="88"/>
        <v>6600</v>
      </c>
      <c r="U76" s="36">
        <f t="shared" si="88"/>
        <v>6600</v>
      </c>
      <c r="V76" s="37">
        <f t="shared" si="88"/>
        <v>26400</v>
      </c>
      <c r="W76" s="37">
        <f t="shared" si="88"/>
        <v>26400</v>
      </c>
      <c r="X76" s="38">
        <f t="shared" si="88"/>
        <v>26400</v>
      </c>
      <c r="Z76" s="574">
        <f>SUM(Z72:Z74)</f>
        <v>2200</v>
      </c>
    </row>
    <row r="77" spans="1:26" ht="15.75" thickBot="1" x14ac:dyDescent="0.3"/>
    <row r="78" spans="1:26" ht="15" customHeight="1" x14ac:dyDescent="0.25">
      <c r="A78" s="797" t="s">
        <v>74</v>
      </c>
      <c r="B78" s="795" t="s">
        <v>19</v>
      </c>
      <c r="C78" s="795" t="s">
        <v>44</v>
      </c>
      <c r="D78" s="799" t="s">
        <v>243</v>
      </c>
      <c r="E78" s="778" t="s">
        <v>20</v>
      </c>
      <c r="F78" s="761"/>
      <c r="G78" s="761"/>
      <c r="H78" s="761"/>
      <c r="I78" s="761"/>
      <c r="J78" s="761"/>
      <c r="K78" s="761"/>
      <c r="L78" s="761"/>
      <c r="M78" s="761"/>
      <c r="N78" s="761"/>
      <c r="O78" s="761"/>
      <c r="P78" s="761"/>
      <c r="Q78" s="762" t="s">
        <v>20</v>
      </c>
      <c r="R78" s="760" t="s">
        <v>25</v>
      </c>
      <c r="S78" s="761"/>
      <c r="T78" s="761"/>
      <c r="U78" s="761"/>
      <c r="V78" s="762" t="s">
        <v>25</v>
      </c>
      <c r="W78" s="762" t="s">
        <v>26</v>
      </c>
      <c r="X78" s="764" t="s">
        <v>27</v>
      </c>
      <c r="Z78" s="805" t="s">
        <v>49</v>
      </c>
    </row>
    <row r="79" spans="1:26" ht="15.75" thickBot="1" x14ac:dyDescent="0.3">
      <c r="A79" s="798"/>
      <c r="B79" s="796"/>
      <c r="C79" s="796"/>
      <c r="D79" s="800"/>
      <c r="E79" s="1">
        <v>1</v>
      </c>
      <c r="F79" s="2">
        <v>2</v>
      </c>
      <c r="G79" s="2">
        <v>3</v>
      </c>
      <c r="H79" s="2">
        <v>4</v>
      </c>
      <c r="I79" s="2">
        <v>5</v>
      </c>
      <c r="J79" s="2">
        <v>6</v>
      </c>
      <c r="K79" s="2">
        <v>7</v>
      </c>
      <c r="L79" s="2">
        <v>8</v>
      </c>
      <c r="M79" s="2">
        <v>9</v>
      </c>
      <c r="N79" s="2">
        <v>10</v>
      </c>
      <c r="O79" s="2">
        <v>11</v>
      </c>
      <c r="P79" s="3">
        <v>12</v>
      </c>
      <c r="Q79" s="763"/>
      <c r="R79" s="4" t="s">
        <v>21</v>
      </c>
      <c r="S79" s="2" t="s">
        <v>22</v>
      </c>
      <c r="T79" s="2" t="s">
        <v>23</v>
      </c>
      <c r="U79" s="3" t="s">
        <v>24</v>
      </c>
      <c r="V79" s="763"/>
      <c r="W79" s="763"/>
      <c r="X79" s="765"/>
      <c r="Z79" s="806"/>
    </row>
    <row r="80" spans="1:26" ht="18.75" customHeight="1" thickTop="1" x14ac:dyDescent="0.25">
      <c r="A80" s="92" t="s">
        <v>75</v>
      </c>
      <c r="B80" s="18">
        <v>88</v>
      </c>
      <c r="C80" s="19" t="s">
        <v>45</v>
      </c>
      <c r="D80" s="20" t="s">
        <v>48</v>
      </c>
      <c r="E80" s="6">
        <f t="shared" ref="E80:P82" si="89">IF(AND($C80="j",$D80=E$32),$B80,IF($C80="h",$B80*IF($D80=IF(MOD(E$32,6)=0,6,MOD(E$32,6)),1,0),IF($C80="q",$B80*IF($D80=IF(MOD(E$32,3)=0,3,MOD(E$32,3)),1,0),IF($C80="z",$B80*IF($D80=IF(MOD(E$32,2)=0,2,MOD(E$32,2)),1,0),IF($C80="m",$B80,0)))))</f>
        <v>88</v>
      </c>
      <c r="F80" s="7">
        <f t="shared" si="89"/>
        <v>88</v>
      </c>
      <c r="G80" s="7">
        <f t="shared" si="89"/>
        <v>88</v>
      </c>
      <c r="H80" s="7">
        <f t="shared" si="89"/>
        <v>88</v>
      </c>
      <c r="I80" s="7">
        <f t="shared" si="89"/>
        <v>88</v>
      </c>
      <c r="J80" s="7">
        <f t="shared" si="89"/>
        <v>88</v>
      </c>
      <c r="K80" s="7">
        <f t="shared" si="89"/>
        <v>88</v>
      </c>
      <c r="L80" s="7">
        <f t="shared" si="89"/>
        <v>88</v>
      </c>
      <c r="M80" s="7">
        <f t="shared" si="89"/>
        <v>88</v>
      </c>
      <c r="N80" s="7">
        <f t="shared" si="89"/>
        <v>88</v>
      </c>
      <c r="O80" s="7">
        <f t="shared" si="89"/>
        <v>88</v>
      </c>
      <c r="P80" s="180">
        <f t="shared" si="89"/>
        <v>88</v>
      </c>
      <c r="Q80" s="8">
        <f>SUM(E80:P80)</f>
        <v>1056</v>
      </c>
      <c r="R80" s="307">
        <f>IF(AND($C80="j",$D80&gt;=1,$D80&lt;=3),$B80,IF(AND($C80="h",$D80&gt;=1,$D80&lt;=3),$B80,IF(AND($C80="q",$D80&gt;=1,$D80&lt;=3),$B80,IF($C80="z",IF($D80=1,2*$B80,$B80),IF($C80="m",3*$B80,0)))))</f>
        <v>264</v>
      </c>
      <c r="S80" s="7">
        <f>IF(AND($C80="j",$D80&gt;=4,$D80&lt;=6),$B80,IF(AND($C80="h",$D80&gt;=4,$D80&lt;=6),$B80,IF(AND($C80="q",$D80&gt;=1,$D80&lt;=3),$B80,IF($C80="z",IF($D80=2,2*$B80,$B80),IF($C80="m",3*$B80,0)))))</f>
        <v>264</v>
      </c>
      <c r="T80" s="7">
        <f>IF(AND($C80="j",$D80&gt;=7,$D80&lt;=9),$B80,IF(AND($C80="h",$D80&gt;=1,$D80&lt;=3),$B80,IF(AND($C80="q",$D80&gt;=1,$D80&lt;=3),$B80,IF($C80="z",IF($D80=1,2*$B80,$B80),IF($C80="m",3*$B80,0)))))</f>
        <v>264</v>
      </c>
      <c r="U80" s="180">
        <f>IF(AND($C80="j",$D80&gt;=10,$D80&lt;=12),$B80,IF(AND($C80="h",$D80&gt;=4,$D80&lt;=6),$B80,IF(AND($C80="q",$D80&gt;=1,$D80&lt;=3),$B80,IF($C80="z",IF($D80=2,2*$B80,$B80),IF($C80="m",3*$B80,0)))))</f>
        <v>264</v>
      </c>
      <c r="V80" s="8">
        <f>SUM(R80:U80)</f>
        <v>1056</v>
      </c>
      <c r="W80" s="8">
        <f>IF($C80="j",$B80,IF($C80="h",2*$B80,IF($C80="q",4*$B80,IF($C80="z",6*$B80,12*$B80))))</f>
        <v>1056</v>
      </c>
      <c r="X80" s="9">
        <f>IF($C80="j",$B80,IF($C80="h",2*$B80,IF($C80="q",4*$B80,IF($C80="z",6*$B80,12*$B80))))</f>
        <v>1056</v>
      </c>
      <c r="Z80" s="569">
        <f>((Q80+V80+W80+X80)/4)/12</f>
        <v>88</v>
      </c>
    </row>
    <row r="81" spans="1:26" ht="18.75" customHeight="1" x14ac:dyDescent="0.25">
      <c r="A81" s="93" t="s">
        <v>76</v>
      </c>
      <c r="B81" s="94">
        <v>200</v>
      </c>
      <c r="C81" s="95" t="s">
        <v>45</v>
      </c>
      <c r="D81" s="96" t="s">
        <v>48</v>
      </c>
      <c r="E81" s="10">
        <f t="shared" si="89"/>
        <v>200</v>
      </c>
      <c r="F81" s="11">
        <f t="shared" si="89"/>
        <v>200</v>
      </c>
      <c r="G81" s="11">
        <f t="shared" si="89"/>
        <v>200</v>
      </c>
      <c r="H81" s="11">
        <f t="shared" si="89"/>
        <v>200</v>
      </c>
      <c r="I81" s="11">
        <f t="shared" si="89"/>
        <v>200</v>
      </c>
      <c r="J81" s="11">
        <f t="shared" si="89"/>
        <v>200</v>
      </c>
      <c r="K81" s="11">
        <f t="shared" si="89"/>
        <v>200</v>
      </c>
      <c r="L81" s="11">
        <f t="shared" si="89"/>
        <v>200</v>
      </c>
      <c r="M81" s="11">
        <f t="shared" si="89"/>
        <v>200</v>
      </c>
      <c r="N81" s="11">
        <f t="shared" si="89"/>
        <v>200</v>
      </c>
      <c r="O81" s="11">
        <f t="shared" si="89"/>
        <v>200</v>
      </c>
      <c r="P81" s="185">
        <f t="shared" si="89"/>
        <v>200</v>
      </c>
      <c r="Q81" s="12">
        <f t="shared" ref="Q81:Q82" si="90">SUM(E81:P81)</f>
        <v>2400</v>
      </c>
      <c r="R81" s="308">
        <f t="shared" ref="R81:R82" si="91">IF(AND($C81="j",$D81&gt;=1,$D81&lt;=3),$B81,IF(AND($C81="h",$D81&gt;=1,$D81&lt;=3),$B81,IF(AND($C81="q",$D81&gt;=1,$D81&lt;=3),$B81,IF($C81="z",IF($D81=1,2*$B81,$B81),IF($C81="m",3*$B81,0)))))</f>
        <v>600</v>
      </c>
      <c r="S81" s="11">
        <f t="shared" ref="S81:S82" si="92">IF(AND($C81="j",$D81&gt;=4,$D81&lt;=6),$B81,IF(AND($C81="h",$D81&gt;=4,$D81&lt;=6),$B81,IF(AND($C81="q",$D81&gt;=1,$D81&lt;=3),$B81,IF($C81="z",IF($D81=2,2*$B81,$B81),IF($C81="m",3*$B81,0)))))</f>
        <v>600</v>
      </c>
      <c r="T81" s="11">
        <f t="shared" ref="T81:T82" si="93">IF(AND($C81="j",$D81&gt;=7,$D81&lt;=9),$B81,IF(AND($C81="h",$D81&gt;=1,$D81&lt;=3),$B81,IF(AND($C81="q",$D81&gt;=1,$D81&lt;=3),$B81,IF($C81="z",IF($D81=1,2*$B81,$B81),IF($C81="m",3*$B81,0)))))</f>
        <v>600</v>
      </c>
      <c r="U81" s="185">
        <f t="shared" ref="U81:U82" si="94">IF(AND($C81="j",$D81&gt;=10,$D81&lt;=12),$B81,IF(AND($C81="h",$D81&gt;=4,$D81&lt;=6),$B81,IF(AND($C81="q",$D81&gt;=1,$D81&lt;=3),$B81,IF($C81="z",IF($D81=2,2*$B81,$B81),IF($C81="m",3*$B81,0)))))</f>
        <v>600</v>
      </c>
      <c r="V81" s="12">
        <f t="shared" ref="V81:V82" si="95">SUM(R81:U81)</f>
        <v>2400</v>
      </c>
      <c r="W81" s="12">
        <f t="shared" ref="W81:X82" si="96">IF($C81="j",$B81,IF($C81="h",2*$B81,IF($C81="q",4*$B81,IF($C81="z",6*$B81,12*$B81))))</f>
        <v>2400</v>
      </c>
      <c r="X81" s="13">
        <f t="shared" si="96"/>
        <v>2400</v>
      </c>
      <c r="Z81" s="570">
        <f t="shared" ref="Z81:Z82" si="97">((Q81+V81+W81+X81)/4)/12</f>
        <v>200</v>
      </c>
    </row>
    <row r="82" spans="1:26" ht="18.75" customHeight="1" thickBot="1" x14ac:dyDescent="0.3">
      <c r="A82" s="97"/>
      <c r="B82" s="98"/>
      <c r="C82" s="99"/>
      <c r="D82" s="100"/>
      <c r="E82" s="14">
        <f t="shared" si="89"/>
        <v>0</v>
      </c>
      <c r="F82" s="15">
        <f t="shared" si="89"/>
        <v>0</v>
      </c>
      <c r="G82" s="15">
        <f t="shared" si="89"/>
        <v>0</v>
      </c>
      <c r="H82" s="15">
        <f t="shared" si="89"/>
        <v>0</v>
      </c>
      <c r="I82" s="15">
        <f t="shared" si="89"/>
        <v>0</v>
      </c>
      <c r="J82" s="15">
        <f t="shared" si="89"/>
        <v>0</v>
      </c>
      <c r="K82" s="15">
        <f t="shared" si="89"/>
        <v>0</v>
      </c>
      <c r="L82" s="15">
        <f t="shared" si="89"/>
        <v>0</v>
      </c>
      <c r="M82" s="15">
        <f t="shared" si="89"/>
        <v>0</v>
      </c>
      <c r="N82" s="15">
        <f t="shared" si="89"/>
        <v>0</v>
      </c>
      <c r="O82" s="15">
        <f t="shared" si="89"/>
        <v>0</v>
      </c>
      <c r="P82" s="648">
        <f t="shared" si="89"/>
        <v>0</v>
      </c>
      <c r="Q82" s="16">
        <f t="shared" si="90"/>
        <v>0</v>
      </c>
      <c r="R82" s="565">
        <f t="shared" si="91"/>
        <v>0</v>
      </c>
      <c r="S82" s="15">
        <f t="shared" si="92"/>
        <v>0</v>
      </c>
      <c r="T82" s="15">
        <f t="shared" si="93"/>
        <v>0</v>
      </c>
      <c r="U82" s="648">
        <f t="shared" si="94"/>
        <v>0</v>
      </c>
      <c r="V82" s="16">
        <f t="shared" si="95"/>
        <v>0</v>
      </c>
      <c r="W82" s="16">
        <f t="shared" si="96"/>
        <v>0</v>
      </c>
      <c r="X82" s="17">
        <f t="shared" si="96"/>
        <v>0</v>
      </c>
      <c r="Z82" s="575">
        <f t="shared" si="97"/>
        <v>0</v>
      </c>
    </row>
    <row r="83" spans="1:26" ht="7.5" customHeight="1" thickTop="1" thickBot="1" x14ac:dyDescent="0.3">
      <c r="A83" s="101"/>
      <c r="B83" s="102"/>
      <c r="C83" s="103"/>
      <c r="D83" s="104"/>
      <c r="E83" s="27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9"/>
      <c r="Q83" s="33"/>
      <c r="R83" s="31"/>
      <c r="S83" s="28"/>
      <c r="T83" s="28"/>
      <c r="U83" s="29"/>
      <c r="V83" s="33"/>
      <c r="W83" s="33"/>
      <c r="X83" s="34"/>
      <c r="Z83" s="571"/>
    </row>
    <row r="84" spans="1:26" s="625" customFormat="1" ht="18.75" customHeight="1" thickBot="1" x14ac:dyDescent="0.3">
      <c r="A84" s="572" t="s">
        <v>50</v>
      </c>
      <c r="B84" s="573">
        <f>Z84</f>
        <v>288</v>
      </c>
      <c r="D84" s="626"/>
      <c r="E84" s="627">
        <f t="shared" ref="E84:X84" si="98">SUM(E80:E83)</f>
        <v>288</v>
      </c>
      <c r="F84" s="549">
        <f t="shared" si="98"/>
        <v>288</v>
      </c>
      <c r="G84" s="549">
        <f t="shared" si="98"/>
        <v>288</v>
      </c>
      <c r="H84" s="549">
        <f t="shared" si="98"/>
        <v>288</v>
      </c>
      <c r="I84" s="549">
        <f t="shared" si="98"/>
        <v>288</v>
      </c>
      <c r="J84" s="549">
        <f t="shared" si="98"/>
        <v>288</v>
      </c>
      <c r="K84" s="549">
        <f t="shared" si="98"/>
        <v>288</v>
      </c>
      <c r="L84" s="549">
        <f t="shared" si="98"/>
        <v>288</v>
      </c>
      <c r="M84" s="549">
        <f t="shared" si="98"/>
        <v>288</v>
      </c>
      <c r="N84" s="549">
        <f t="shared" si="98"/>
        <v>288</v>
      </c>
      <c r="O84" s="549">
        <f t="shared" si="98"/>
        <v>288</v>
      </c>
      <c r="P84" s="36">
        <f t="shared" si="98"/>
        <v>288</v>
      </c>
      <c r="Q84" s="37">
        <f t="shared" si="98"/>
        <v>3456</v>
      </c>
      <c r="R84" s="548">
        <f t="shared" si="98"/>
        <v>864</v>
      </c>
      <c r="S84" s="549">
        <f t="shared" si="98"/>
        <v>864</v>
      </c>
      <c r="T84" s="549">
        <f t="shared" si="98"/>
        <v>864</v>
      </c>
      <c r="U84" s="36">
        <f t="shared" si="98"/>
        <v>864</v>
      </c>
      <c r="V84" s="37">
        <f t="shared" si="98"/>
        <v>3456</v>
      </c>
      <c r="W84" s="37">
        <f t="shared" si="98"/>
        <v>3456</v>
      </c>
      <c r="X84" s="38">
        <f t="shared" si="98"/>
        <v>3456</v>
      </c>
      <c r="Z84" s="574">
        <f>SUM(Z80:Z82)</f>
        <v>288</v>
      </c>
    </row>
    <row r="85" spans="1:26" ht="15.75" thickBot="1" x14ac:dyDescent="0.3">
      <c r="V85" s="655"/>
    </row>
    <row r="86" spans="1:26" ht="15" customHeight="1" x14ac:dyDescent="0.25">
      <c r="A86" s="797" t="s">
        <v>77</v>
      </c>
      <c r="B86" s="795" t="s">
        <v>19</v>
      </c>
      <c r="C86" s="795" t="s">
        <v>44</v>
      </c>
      <c r="D86" s="799" t="s">
        <v>243</v>
      </c>
      <c r="E86" s="778" t="s">
        <v>20</v>
      </c>
      <c r="F86" s="761"/>
      <c r="G86" s="761"/>
      <c r="H86" s="761"/>
      <c r="I86" s="761"/>
      <c r="J86" s="761"/>
      <c r="K86" s="761"/>
      <c r="L86" s="761"/>
      <c r="M86" s="761"/>
      <c r="N86" s="761"/>
      <c r="O86" s="761"/>
      <c r="P86" s="761"/>
      <c r="Q86" s="762" t="s">
        <v>20</v>
      </c>
      <c r="R86" s="760" t="s">
        <v>25</v>
      </c>
      <c r="S86" s="761"/>
      <c r="T86" s="761"/>
      <c r="U86" s="761"/>
      <c r="V86" s="762" t="s">
        <v>25</v>
      </c>
      <c r="W86" s="762" t="s">
        <v>26</v>
      </c>
      <c r="X86" s="764" t="s">
        <v>27</v>
      </c>
      <c r="Z86" s="805" t="s">
        <v>49</v>
      </c>
    </row>
    <row r="87" spans="1:26" ht="15.75" thickBot="1" x14ac:dyDescent="0.3">
      <c r="A87" s="798"/>
      <c r="B87" s="796"/>
      <c r="C87" s="796"/>
      <c r="D87" s="800"/>
      <c r="E87" s="1">
        <v>1</v>
      </c>
      <c r="F87" s="2">
        <v>2</v>
      </c>
      <c r="G87" s="2">
        <v>3</v>
      </c>
      <c r="H87" s="2">
        <v>4</v>
      </c>
      <c r="I87" s="2">
        <v>5</v>
      </c>
      <c r="J87" s="2">
        <v>6</v>
      </c>
      <c r="K87" s="2">
        <v>7</v>
      </c>
      <c r="L87" s="2">
        <v>8</v>
      </c>
      <c r="M87" s="2">
        <v>9</v>
      </c>
      <c r="N87" s="2">
        <v>10</v>
      </c>
      <c r="O87" s="2">
        <v>11</v>
      </c>
      <c r="P87" s="3">
        <v>12</v>
      </c>
      <c r="Q87" s="763"/>
      <c r="R87" s="4" t="s">
        <v>21</v>
      </c>
      <c r="S87" s="2" t="s">
        <v>22</v>
      </c>
      <c r="T87" s="2" t="s">
        <v>23</v>
      </c>
      <c r="U87" s="3" t="s">
        <v>24</v>
      </c>
      <c r="V87" s="763"/>
      <c r="W87" s="763"/>
      <c r="X87" s="765"/>
      <c r="Z87" s="806"/>
    </row>
    <row r="88" spans="1:26" ht="18.75" customHeight="1" thickTop="1" x14ac:dyDescent="0.25">
      <c r="A88" s="117" t="s">
        <v>85</v>
      </c>
      <c r="B88" s="18">
        <v>2000</v>
      </c>
      <c r="C88" s="112" t="s">
        <v>47</v>
      </c>
      <c r="D88" s="113">
        <v>3</v>
      </c>
      <c r="E88" s="6">
        <f>IF(AND($C88="j",$D88=E$32),$B88,IF($C88="h",$B88*IF($D88=IF(MOD(E$32,6)=0,6,MOD(E$32,6)),1,0),IF($C88="q",$B88*IF($D88=IF(MOD(E$32,3)=0,3,MOD(E$32,3)),1,0),IF($C88="z",$B88*IF($D88=IF(MOD(E$32,2)=0,2,MOD(E$32,2)),1,0),IF($C88="m",$B88,0)))))</f>
        <v>0</v>
      </c>
      <c r="F88" s="7">
        <f t="shared" ref="F88:P91" si="99">IF(AND($C88="j",$D88=F$32),$B88,IF($C88="h",$B88*IF($D88=IF(MOD(F$32,6)=0,6,MOD(F$32,6)),1,0),IF($C88="q",$B88*IF($D88=IF(MOD(F$32,3)=0,3,MOD(F$32,3)),1,0),IF($C88="z",$B88*IF($D88=IF(MOD(F$32,2)=0,2,MOD(F$32,2)),1,0),IF($C88="m",$B88,0)))))</f>
        <v>0</v>
      </c>
      <c r="G88" s="7">
        <f t="shared" si="99"/>
        <v>2000</v>
      </c>
      <c r="H88" s="7">
        <f t="shared" si="99"/>
        <v>0</v>
      </c>
      <c r="I88" s="7">
        <f t="shared" si="99"/>
        <v>0</v>
      </c>
      <c r="J88" s="7">
        <f t="shared" si="99"/>
        <v>0</v>
      </c>
      <c r="K88" s="7">
        <f t="shared" si="99"/>
        <v>0</v>
      </c>
      <c r="L88" s="7">
        <f t="shared" si="99"/>
        <v>0</v>
      </c>
      <c r="M88" s="7">
        <f t="shared" si="99"/>
        <v>0</v>
      </c>
      <c r="N88" s="7">
        <f t="shared" si="99"/>
        <v>0</v>
      </c>
      <c r="O88" s="7">
        <f t="shared" si="99"/>
        <v>0</v>
      </c>
      <c r="P88" s="180">
        <f t="shared" si="99"/>
        <v>0</v>
      </c>
      <c r="Q88" s="8">
        <f>SUM(E88:P88)</f>
        <v>2000</v>
      </c>
      <c r="R88" s="307">
        <v>0</v>
      </c>
      <c r="S88" s="7">
        <v>0</v>
      </c>
      <c r="T88" s="7">
        <v>0</v>
      </c>
      <c r="U88" s="180">
        <v>0</v>
      </c>
      <c r="V88" s="8">
        <f>SUM(R88:U88)</f>
        <v>0</v>
      </c>
      <c r="W88" s="8">
        <v>0</v>
      </c>
      <c r="X88" s="9">
        <v>0</v>
      </c>
      <c r="Z88" s="569">
        <f>((Q88+V88+W88+X88)/4)/12</f>
        <v>41.666666666666664</v>
      </c>
    </row>
    <row r="89" spans="1:26" ht="18.75" customHeight="1" x14ac:dyDescent="0.25">
      <c r="A89" s="93" t="s">
        <v>86</v>
      </c>
      <c r="B89" s="94">
        <v>3000</v>
      </c>
      <c r="C89" s="95" t="s">
        <v>47</v>
      </c>
      <c r="D89" s="96">
        <v>10</v>
      </c>
      <c r="E89" s="10">
        <f t="shared" ref="E89:P91" si="100">IF(AND($C89="j",$D89=E$32),$B89,IF($C89="h",$B89*IF($D89=IF(MOD(E$32,6)=0,6,MOD(E$32,6)),1,0),IF($C89="q",$B89*IF($D89=IF(MOD(E$32,3)=0,3,MOD(E$32,3)),1,0),IF($C89="z",$B89*IF($D89=IF(MOD(E$32,2)=0,2,MOD(E$32,2)),1,0),IF($C89="m",$B89,0)))))</f>
        <v>0</v>
      </c>
      <c r="F89" s="11">
        <f t="shared" si="99"/>
        <v>0</v>
      </c>
      <c r="G89" s="11">
        <f t="shared" si="99"/>
        <v>0</v>
      </c>
      <c r="H89" s="11">
        <f t="shared" si="99"/>
        <v>0</v>
      </c>
      <c r="I89" s="11">
        <f t="shared" si="99"/>
        <v>0</v>
      </c>
      <c r="J89" s="11">
        <f t="shared" si="99"/>
        <v>0</v>
      </c>
      <c r="K89" s="11">
        <f t="shared" si="99"/>
        <v>0</v>
      </c>
      <c r="L89" s="11">
        <f t="shared" si="99"/>
        <v>0</v>
      </c>
      <c r="M89" s="11">
        <f t="shared" si="99"/>
        <v>0</v>
      </c>
      <c r="N89" s="11">
        <f t="shared" si="99"/>
        <v>3000</v>
      </c>
      <c r="O89" s="11">
        <f t="shared" si="99"/>
        <v>0</v>
      </c>
      <c r="P89" s="185">
        <f t="shared" si="99"/>
        <v>0</v>
      </c>
      <c r="Q89" s="12">
        <f t="shared" ref="Q89:Q91" si="101">SUM(E89:P89)</f>
        <v>3000</v>
      </c>
      <c r="R89" s="308">
        <f t="shared" ref="R89:R91" si="102">IF(AND($C89="j",$D89&gt;=1,$D89&lt;=3),$B89,IF(AND($C89="h",$D89&gt;=1,$D89&lt;=3),$B89,IF(AND($C89="q",$D89&gt;=1,$D89&lt;=3),$B89,IF($C89="z",IF($D89=1,2*$B89,$B89),IF($C89="m",3*$B89,0)))))</f>
        <v>0</v>
      </c>
      <c r="S89" s="11">
        <f t="shared" ref="S89:S91" si="103">IF(AND($C89="j",$D89&gt;=4,$D89&lt;=6),$B89,IF(AND($C89="h",$D89&gt;=4,$D89&lt;=6),$B89,IF(AND($C89="q",$D89&gt;=1,$D89&lt;=3),$B89,IF($C89="z",IF($D89=2,2*$B89,$B89),IF($C89="m",3*$B89,0)))))</f>
        <v>0</v>
      </c>
      <c r="T89" s="11">
        <f t="shared" ref="T89:T91" si="104">IF(AND($C89="j",$D89&gt;=7,$D89&lt;=9),$B89,IF(AND($C89="h",$D89&gt;=1,$D89&lt;=3),$B89,IF(AND($C89="q",$D89&gt;=1,$D89&lt;=3),$B89,IF($C89="z",IF($D89=1,2*$B89,$B89),IF($C89="m",3*$B89,0)))))</f>
        <v>0</v>
      </c>
      <c r="U89" s="185">
        <f t="shared" ref="U89:U91" si="105">IF(AND($C89="j",$D89&gt;=10,$D89&lt;=12),$B89,IF(AND($C89="h",$D89&gt;=4,$D89&lt;=6),$B89,IF(AND($C89="q",$D89&gt;=1,$D89&lt;=3),$B89,IF($C89="z",IF($D89=2,2*$B89,$B89),IF($C89="m",3*$B89,0)))))</f>
        <v>3000</v>
      </c>
      <c r="V89" s="12">
        <f t="shared" ref="V89:V91" si="106">SUM(R89:U89)</f>
        <v>3000</v>
      </c>
      <c r="W89" s="12">
        <f t="shared" ref="W89:X91" si="107">IF($C89="j",$B89,IF($C89="h",2*$B89,IF($C89="q",4*$B89,IF($C89="z",6*$B89,12*$B89))))</f>
        <v>3000</v>
      </c>
      <c r="X89" s="13">
        <f t="shared" si="107"/>
        <v>3000</v>
      </c>
      <c r="Z89" s="570">
        <f t="shared" ref="Z89:Z91" si="108">((Q89+V89+W89+X89)/4)/12</f>
        <v>250</v>
      </c>
    </row>
    <row r="90" spans="1:26" ht="18.75" customHeight="1" x14ac:dyDescent="0.25">
      <c r="A90" s="97" t="s">
        <v>91</v>
      </c>
      <c r="B90" s="98">
        <v>300</v>
      </c>
      <c r="C90" s="99" t="s">
        <v>45</v>
      </c>
      <c r="D90" s="100" t="s">
        <v>48</v>
      </c>
      <c r="E90" s="10">
        <f t="shared" si="100"/>
        <v>300</v>
      </c>
      <c r="F90" s="15">
        <f t="shared" si="100"/>
        <v>300</v>
      </c>
      <c r="G90" s="15">
        <f t="shared" si="100"/>
        <v>300</v>
      </c>
      <c r="H90" s="15">
        <f t="shared" si="100"/>
        <v>300</v>
      </c>
      <c r="I90" s="15">
        <f t="shared" si="100"/>
        <v>300</v>
      </c>
      <c r="J90" s="15">
        <f t="shared" si="100"/>
        <v>300</v>
      </c>
      <c r="K90" s="15">
        <f t="shared" si="100"/>
        <v>300</v>
      </c>
      <c r="L90" s="15">
        <f t="shared" si="100"/>
        <v>300</v>
      </c>
      <c r="M90" s="15">
        <f t="shared" si="100"/>
        <v>300</v>
      </c>
      <c r="N90" s="15">
        <f t="shared" si="100"/>
        <v>300</v>
      </c>
      <c r="O90" s="15">
        <f t="shared" si="100"/>
        <v>300</v>
      </c>
      <c r="P90" s="648">
        <f t="shared" si="100"/>
        <v>300</v>
      </c>
      <c r="Q90" s="12">
        <f t="shared" si="101"/>
        <v>3600</v>
      </c>
      <c r="R90" s="308">
        <f t="shared" si="102"/>
        <v>900</v>
      </c>
      <c r="S90" s="11">
        <f t="shared" si="103"/>
        <v>900</v>
      </c>
      <c r="T90" s="11">
        <f t="shared" si="104"/>
        <v>900</v>
      </c>
      <c r="U90" s="185">
        <f t="shared" si="105"/>
        <v>900</v>
      </c>
      <c r="V90" s="12">
        <f t="shared" si="106"/>
        <v>3600</v>
      </c>
      <c r="W90" s="12">
        <f t="shared" si="107"/>
        <v>3600</v>
      </c>
      <c r="X90" s="13">
        <f t="shared" si="107"/>
        <v>3600</v>
      </c>
      <c r="Z90" s="570">
        <f t="shared" si="108"/>
        <v>300</v>
      </c>
    </row>
    <row r="91" spans="1:26" ht="18.75" customHeight="1" thickBot="1" x14ac:dyDescent="0.3">
      <c r="A91" s="97"/>
      <c r="B91" s="98"/>
      <c r="C91" s="99"/>
      <c r="D91" s="100"/>
      <c r="E91" s="14">
        <f t="shared" si="100"/>
        <v>0</v>
      </c>
      <c r="F91" s="15">
        <f t="shared" si="99"/>
        <v>0</v>
      </c>
      <c r="G91" s="15">
        <f t="shared" si="99"/>
        <v>0</v>
      </c>
      <c r="H91" s="15">
        <f t="shared" si="99"/>
        <v>0</v>
      </c>
      <c r="I91" s="15">
        <f t="shared" si="99"/>
        <v>0</v>
      </c>
      <c r="J91" s="15">
        <f t="shared" si="99"/>
        <v>0</v>
      </c>
      <c r="K91" s="15">
        <f t="shared" si="99"/>
        <v>0</v>
      </c>
      <c r="L91" s="15">
        <f t="shared" si="99"/>
        <v>0</v>
      </c>
      <c r="M91" s="15">
        <f t="shared" si="99"/>
        <v>0</v>
      </c>
      <c r="N91" s="15">
        <f t="shared" si="99"/>
        <v>0</v>
      </c>
      <c r="O91" s="15">
        <f t="shared" si="99"/>
        <v>0</v>
      </c>
      <c r="P91" s="648">
        <f t="shared" si="99"/>
        <v>0</v>
      </c>
      <c r="Q91" s="16">
        <f t="shared" si="101"/>
        <v>0</v>
      </c>
      <c r="R91" s="565">
        <f t="shared" si="102"/>
        <v>0</v>
      </c>
      <c r="S91" s="15">
        <f t="shared" si="103"/>
        <v>0</v>
      </c>
      <c r="T91" s="15">
        <f t="shared" si="104"/>
        <v>0</v>
      </c>
      <c r="U91" s="648">
        <f t="shared" si="105"/>
        <v>0</v>
      </c>
      <c r="V91" s="16">
        <f t="shared" si="106"/>
        <v>0</v>
      </c>
      <c r="W91" s="16">
        <f t="shared" si="107"/>
        <v>0</v>
      </c>
      <c r="X91" s="17">
        <f t="shared" si="107"/>
        <v>0</v>
      </c>
      <c r="Z91" s="575">
        <f t="shared" si="108"/>
        <v>0</v>
      </c>
    </row>
    <row r="92" spans="1:26" ht="7.5" customHeight="1" thickTop="1" thickBot="1" x14ac:dyDescent="0.3">
      <c r="A92" s="101"/>
      <c r="B92" s="102"/>
      <c r="C92" s="103"/>
      <c r="D92" s="104"/>
      <c r="E92" s="27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9"/>
      <c r="Q92" s="33"/>
      <c r="R92" s="31"/>
      <c r="S92" s="28"/>
      <c r="T92" s="28"/>
      <c r="U92" s="29"/>
      <c r="V92" s="33"/>
      <c r="W92" s="33"/>
      <c r="X92" s="34"/>
      <c r="Z92" s="571"/>
    </row>
    <row r="93" spans="1:26" s="625" customFormat="1" ht="18.75" customHeight="1" thickBot="1" x14ac:dyDescent="0.3">
      <c r="A93" s="572" t="s">
        <v>50</v>
      </c>
      <c r="B93" s="573">
        <f>Z93</f>
        <v>591.66666666666674</v>
      </c>
      <c r="D93" s="626"/>
      <c r="E93" s="627">
        <f>SUM(E88:E92)</f>
        <v>300</v>
      </c>
      <c r="F93" s="549">
        <f t="shared" ref="F93:X93" si="109">SUM(F88:F92)</f>
        <v>300</v>
      </c>
      <c r="G93" s="549">
        <f t="shared" si="109"/>
        <v>2300</v>
      </c>
      <c r="H93" s="549">
        <f t="shared" si="109"/>
        <v>300</v>
      </c>
      <c r="I93" s="549">
        <f t="shared" si="109"/>
        <v>300</v>
      </c>
      <c r="J93" s="549">
        <f t="shared" si="109"/>
        <v>300</v>
      </c>
      <c r="K93" s="549">
        <f t="shared" si="109"/>
        <v>300</v>
      </c>
      <c r="L93" s="549">
        <f t="shared" si="109"/>
        <v>300</v>
      </c>
      <c r="M93" s="549">
        <f t="shared" si="109"/>
        <v>300</v>
      </c>
      <c r="N93" s="549">
        <f t="shared" si="109"/>
        <v>3300</v>
      </c>
      <c r="O93" s="549">
        <f t="shared" si="109"/>
        <v>300</v>
      </c>
      <c r="P93" s="36">
        <f t="shared" si="109"/>
        <v>300</v>
      </c>
      <c r="Q93" s="37">
        <f t="shared" si="109"/>
        <v>8600</v>
      </c>
      <c r="R93" s="548">
        <f t="shared" si="109"/>
        <v>900</v>
      </c>
      <c r="S93" s="549">
        <f t="shared" si="109"/>
        <v>900</v>
      </c>
      <c r="T93" s="549">
        <f t="shared" si="109"/>
        <v>900</v>
      </c>
      <c r="U93" s="36">
        <f t="shared" si="109"/>
        <v>3900</v>
      </c>
      <c r="V93" s="37">
        <f t="shared" si="109"/>
        <v>6600</v>
      </c>
      <c r="W93" s="37">
        <f t="shared" si="109"/>
        <v>6600</v>
      </c>
      <c r="X93" s="38">
        <f t="shared" si="109"/>
        <v>6600</v>
      </c>
      <c r="Z93" s="574">
        <f>SUM(Z88:Z91)</f>
        <v>591.66666666666674</v>
      </c>
    </row>
    <row r="94" spans="1:26" ht="15.75" thickBot="1" x14ac:dyDescent="0.3"/>
    <row r="95" spans="1:26" ht="15" customHeight="1" x14ac:dyDescent="0.25">
      <c r="A95" s="797" t="s">
        <v>79</v>
      </c>
      <c r="B95" s="795" t="s">
        <v>19</v>
      </c>
      <c r="C95" s="795" t="s">
        <v>44</v>
      </c>
      <c r="D95" s="799" t="s">
        <v>243</v>
      </c>
      <c r="E95" s="778" t="s">
        <v>20</v>
      </c>
      <c r="F95" s="761"/>
      <c r="G95" s="761"/>
      <c r="H95" s="761"/>
      <c r="I95" s="761"/>
      <c r="J95" s="761"/>
      <c r="K95" s="761"/>
      <c r="L95" s="761"/>
      <c r="M95" s="761"/>
      <c r="N95" s="761"/>
      <c r="O95" s="761"/>
      <c r="P95" s="761"/>
      <c r="Q95" s="762" t="s">
        <v>20</v>
      </c>
      <c r="R95" s="760" t="s">
        <v>25</v>
      </c>
      <c r="S95" s="761"/>
      <c r="T95" s="761"/>
      <c r="U95" s="761"/>
      <c r="V95" s="762" t="s">
        <v>25</v>
      </c>
      <c r="W95" s="762" t="s">
        <v>26</v>
      </c>
      <c r="X95" s="764" t="s">
        <v>27</v>
      </c>
      <c r="Z95" s="805" t="s">
        <v>49</v>
      </c>
    </row>
    <row r="96" spans="1:26" ht="15.75" thickBot="1" x14ac:dyDescent="0.3">
      <c r="A96" s="798"/>
      <c r="B96" s="796"/>
      <c r="C96" s="796"/>
      <c r="D96" s="800"/>
      <c r="E96" s="1">
        <v>1</v>
      </c>
      <c r="F96" s="2">
        <v>2</v>
      </c>
      <c r="G96" s="2">
        <v>3</v>
      </c>
      <c r="H96" s="2">
        <v>4</v>
      </c>
      <c r="I96" s="2">
        <v>5</v>
      </c>
      <c r="J96" s="2">
        <v>6</v>
      </c>
      <c r="K96" s="2">
        <v>7</v>
      </c>
      <c r="L96" s="2">
        <v>8</v>
      </c>
      <c r="M96" s="2">
        <v>9</v>
      </c>
      <c r="N96" s="2">
        <v>10</v>
      </c>
      <c r="O96" s="2">
        <v>11</v>
      </c>
      <c r="P96" s="3">
        <v>12</v>
      </c>
      <c r="Q96" s="763"/>
      <c r="R96" s="4" t="s">
        <v>21</v>
      </c>
      <c r="S96" s="2" t="s">
        <v>22</v>
      </c>
      <c r="T96" s="2" t="s">
        <v>23</v>
      </c>
      <c r="U96" s="3" t="s">
        <v>24</v>
      </c>
      <c r="V96" s="763"/>
      <c r="W96" s="763"/>
      <c r="X96" s="765"/>
      <c r="Z96" s="806"/>
    </row>
    <row r="97" spans="1:26" ht="18.75" customHeight="1" thickTop="1" x14ac:dyDescent="0.25">
      <c r="A97" s="92" t="s">
        <v>270</v>
      </c>
      <c r="B97" s="18">
        <v>10000</v>
      </c>
      <c r="C97" s="19" t="s">
        <v>47</v>
      </c>
      <c r="D97" s="20">
        <v>12</v>
      </c>
      <c r="E97" s="6">
        <f t="shared" ref="E97:P99" si="110">IF(AND($C97="j",$D97=E$32),$B97,IF($C97="h",$B97*IF($D97=IF(MOD(E$32,6)=0,6,MOD(E$32,6)),1,0),IF($C97="q",$B97*IF($D97=IF(MOD(E$32,3)=0,3,MOD(E$32,3)),1,0),IF($C97="z",$B97*IF($D97=IF(MOD(E$32,2)=0,2,MOD(E$32,2)),1,0),IF($C97="m",$B97,0)))))</f>
        <v>0</v>
      </c>
      <c r="F97" s="7">
        <f t="shared" si="110"/>
        <v>0</v>
      </c>
      <c r="G97" s="7">
        <f t="shared" si="110"/>
        <v>0</v>
      </c>
      <c r="H97" s="7">
        <f t="shared" si="110"/>
        <v>0</v>
      </c>
      <c r="I97" s="7">
        <f t="shared" si="110"/>
        <v>0</v>
      </c>
      <c r="J97" s="7">
        <f t="shared" si="110"/>
        <v>0</v>
      </c>
      <c r="K97" s="7">
        <f t="shared" si="110"/>
        <v>0</v>
      </c>
      <c r="L97" s="7">
        <f t="shared" si="110"/>
        <v>0</v>
      </c>
      <c r="M97" s="7">
        <f t="shared" si="110"/>
        <v>0</v>
      </c>
      <c r="N97" s="7">
        <f t="shared" si="110"/>
        <v>0</v>
      </c>
      <c r="O97" s="7">
        <f t="shared" si="110"/>
        <v>0</v>
      </c>
      <c r="P97" s="180">
        <f t="shared" si="110"/>
        <v>10000</v>
      </c>
      <c r="Q97" s="8">
        <f>SUM(E97:P97)</f>
        <v>10000</v>
      </c>
      <c r="R97" s="307">
        <f>IF(AND($C97="j",$D97&gt;=1,$D97&lt;=3),$B97,IF(AND($C97="h",$D97&gt;=1,$D97&lt;=3),$B97,IF(AND($C97="q",$D97&gt;=1,$D97&lt;=3),$B97,IF($C97="z",IF($D97=1,2*$B97,$B97),IF($C97="m",3*$B97,0)))))</f>
        <v>0</v>
      </c>
      <c r="S97" s="7">
        <f>IF(AND($C97="j",$D97&gt;=4,$D97&lt;=6),$B97,IF(AND($C97="h",$D97&gt;=4,$D97&lt;=6),$B97,IF(AND($C97="q",$D97&gt;=1,$D97&lt;=3),$B97,IF($C97="z",IF($D97=2,2*$B97,$B97),IF($C97="m",3*$B97,0)))))</f>
        <v>0</v>
      </c>
      <c r="T97" s="7">
        <f>IF(AND($C97="j",$D97&gt;=7,$D97&lt;=9),$B97,IF(AND($C97="h",$D97&gt;=1,$D97&lt;=3),$B97,IF(AND($C97="q",$D97&gt;=1,$D97&lt;=3),$B97,IF($C97="z",IF($D97=1,2*$B97,$B97),IF($C97="m",3*$B97,0)))))</f>
        <v>0</v>
      </c>
      <c r="U97" s="180">
        <f>IF(AND($C97="j",$D97&gt;=10,$D97&lt;=12),$B97,IF(AND($C97="h",$D97&gt;=4,$D97&lt;=6),$B97,IF(AND($C97="q",$D97&gt;=1,$D97&lt;=3),$B97,IF($C97="z",IF($D97=2,2*$B97,$B97),IF($C97="m",3*$B97,0)))))</f>
        <v>10000</v>
      </c>
      <c r="V97" s="8">
        <f>SUM(R97:U97)</f>
        <v>10000</v>
      </c>
      <c r="W97" s="8">
        <f>IF($C97="j",$B97,IF($C97="h",2*$B97,IF($C97="q",4*$B97,IF($C97="z",6*$B97,12*$B97))))</f>
        <v>10000</v>
      </c>
      <c r="X97" s="9">
        <f>IF($C97="j",$B97,IF($C97="h",2*$B97,IF($C97="q",4*$B97,IF($C97="z",6*$B97,12*$B97))))</f>
        <v>10000</v>
      </c>
      <c r="Z97" s="569">
        <f>((Q97+V97+W97+X97)/4)/12</f>
        <v>833.33333333333337</v>
      </c>
    </row>
    <row r="98" spans="1:26" ht="18.75" customHeight="1" x14ac:dyDescent="0.25">
      <c r="A98" s="581" t="s">
        <v>271</v>
      </c>
      <c r="B98" s="108">
        <v>3000</v>
      </c>
      <c r="C98" s="690" t="s">
        <v>47</v>
      </c>
      <c r="D98" s="691">
        <v>12</v>
      </c>
      <c r="E98" s="692">
        <f t="shared" si="110"/>
        <v>0</v>
      </c>
      <c r="F98" s="109">
        <f t="shared" si="110"/>
        <v>0</v>
      </c>
      <c r="G98" s="109">
        <f t="shared" si="110"/>
        <v>0</v>
      </c>
      <c r="H98" s="109">
        <f t="shared" si="110"/>
        <v>0</v>
      </c>
      <c r="I98" s="109">
        <f t="shared" si="110"/>
        <v>0</v>
      </c>
      <c r="J98" s="109">
        <f t="shared" si="110"/>
        <v>0</v>
      </c>
      <c r="K98" s="109">
        <f t="shared" si="110"/>
        <v>0</v>
      </c>
      <c r="L98" s="109">
        <f t="shared" si="110"/>
        <v>0</v>
      </c>
      <c r="M98" s="109">
        <f t="shared" si="110"/>
        <v>0</v>
      </c>
      <c r="N98" s="109">
        <f t="shared" si="110"/>
        <v>0</v>
      </c>
      <c r="O98" s="109">
        <f t="shared" si="110"/>
        <v>0</v>
      </c>
      <c r="P98" s="341">
        <f t="shared" si="110"/>
        <v>3000</v>
      </c>
      <c r="Q98" s="693">
        <f>SUM(E98:P98)</f>
        <v>3000</v>
      </c>
      <c r="R98" s="694">
        <f>IF(AND($C98="j",$D98&gt;=1,$D98&lt;=3),$B98,IF(AND($C98="h",$D98&gt;=1,$D98&lt;=3),$B98,IF(AND($C98="q",$D98&gt;=1,$D98&lt;=3),$B98,IF($C98="z",IF($D98=1,2*$B98,$B98),IF($C98="m",3*$B98,0)))))</f>
        <v>0</v>
      </c>
      <c r="S98" s="109">
        <f>IF(AND($C98="j",$D98&gt;=4,$D98&lt;=6),$B98,IF(AND($C98="h",$D98&gt;=4,$D98&lt;=6),$B98,IF(AND($C98="q",$D98&gt;=1,$D98&lt;=3),$B98,IF($C98="z",IF($D98=2,2*$B98,$B98),IF($C98="m",3*$B98,0)))))</f>
        <v>0</v>
      </c>
      <c r="T98" s="109">
        <f>IF(AND($C98="j",$D98&gt;=7,$D98&lt;=9),$B98,IF(AND($C98="h",$D98&gt;=1,$D98&lt;=3),$B98,IF(AND($C98="q",$D98&gt;=1,$D98&lt;=3),$B98,IF($C98="z",IF($D98=1,2*$B98,$B98),IF($C98="m",3*$B98,0)))))</f>
        <v>0</v>
      </c>
      <c r="U98" s="341">
        <f>IF(AND($C98="j",$D98&gt;=10,$D98&lt;=12),$B98,IF(AND($C98="h",$D98&gt;=4,$D98&lt;=6),$B98,IF(AND($C98="q",$D98&gt;=1,$D98&lt;=3),$B98,IF($C98="z",IF($D98=2,2*$B98,$B98),IF($C98="m",3*$B98,0)))))</f>
        <v>3000</v>
      </c>
      <c r="V98" s="693">
        <f>SUM(R98:U98)</f>
        <v>3000</v>
      </c>
      <c r="W98" s="693">
        <f>IF($C98="j",$B98,IF($C98="h",2*$B98,IF($C98="q",4*$B98,IF($C98="z",6*$B98,12*$B98))))</f>
        <v>3000</v>
      </c>
      <c r="X98" s="695">
        <f>IF($C98="j",$B98,IF($C98="h",2*$B98,IF($C98="q",4*$B98,IF($C98="z",6*$B98,12*$B98))))</f>
        <v>3000</v>
      </c>
      <c r="Z98" s="570">
        <f t="shared" ref="Z98:Z99" si="111">((Q98+V98+W98+X98)/4)/12</f>
        <v>250</v>
      </c>
    </row>
    <row r="99" spans="1:26" ht="18.75" customHeight="1" thickBot="1" x14ac:dyDescent="0.3">
      <c r="A99" s="97"/>
      <c r="B99" s="98"/>
      <c r="C99" s="99"/>
      <c r="D99" s="100"/>
      <c r="E99" s="14">
        <f t="shared" si="110"/>
        <v>0</v>
      </c>
      <c r="F99" s="15">
        <f t="shared" si="110"/>
        <v>0</v>
      </c>
      <c r="G99" s="15">
        <f t="shared" si="110"/>
        <v>0</v>
      </c>
      <c r="H99" s="15">
        <f t="shared" si="110"/>
        <v>0</v>
      </c>
      <c r="I99" s="15">
        <f t="shared" si="110"/>
        <v>0</v>
      </c>
      <c r="J99" s="15">
        <f t="shared" si="110"/>
        <v>0</v>
      </c>
      <c r="K99" s="15">
        <f t="shared" si="110"/>
        <v>0</v>
      </c>
      <c r="L99" s="15">
        <f t="shared" si="110"/>
        <v>0</v>
      </c>
      <c r="M99" s="15">
        <f t="shared" si="110"/>
        <v>0</v>
      </c>
      <c r="N99" s="15">
        <f t="shared" si="110"/>
        <v>0</v>
      </c>
      <c r="O99" s="15">
        <f t="shared" si="110"/>
        <v>0</v>
      </c>
      <c r="P99" s="648">
        <f t="shared" si="110"/>
        <v>0</v>
      </c>
      <c r="Q99" s="16">
        <f t="shared" ref="Q99" si="112">SUM(E99:P99)</f>
        <v>0</v>
      </c>
      <c r="R99" s="565">
        <f t="shared" ref="R99" si="113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4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15">IF(AND($C99="j",$D99&gt;=7,$D99&lt;=9),$B99,IF(AND($C99="h",$D99&gt;=1,$D99&lt;=3),$B99,IF(AND($C99="q",$D99&gt;=1,$D99&lt;=3),$B99,IF($C99="z",IF($D99=1,2*$B99,$B99),IF($C99="m",3*$B99,0)))))</f>
        <v>0</v>
      </c>
      <c r="U99" s="648">
        <f t="shared" ref="U99" si="116">IF(AND($C99="j",$D99&gt;=10,$D99&lt;=12),$B99,IF(AND($C99="h",$D99&gt;=4,$D99&lt;=6),$B99,IF(AND($C99="q",$D99&gt;=1,$D99&lt;=3),$B99,IF($C99="z",IF($D99=2,2*$B99,$B99),IF($C99="m",3*$B99,0)))))</f>
        <v>0</v>
      </c>
      <c r="V99" s="16">
        <f t="shared" ref="V99" si="117">SUM(R99:U99)</f>
        <v>0</v>
      </c>
      <c r="W99" s="16">
        <f t="shared" ref="W99:X99" si="118">IF($C99="j",$B99,IF($C99="h",2*$B99,IF($C99="q",4*$B99,IF($C99="z",6*$B99,12*$B99))))</f>
        <v>0</v>
      </c>
      <c r="X99" s="17">
        <f t="shared" si="118"/>
        <v>0</v>
      </c>
      <c r="Z99" s="575">
        <f t="shared" si="111"/>
        <v>0</v>
      </c>
    </row>
    <row r="100" spans="1:26" ht="7.5" customHeight="1" thickTop="1" thickBot="1" x14ac:dyDescent="0.3">
      <c r="A100" s="101"/>
      <c r="B100" s="102"/>
      <c r="C100" s="103"/>
      <c r="D100" s="104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3"/>
      <c r="R100" s="31"/>
      <c r="S100" s="28"/>
      <c r="T100" s="28"/>
      <c r="U100" s="29"/>
      <c r="V100" s="33"/>
      <c r="W100" s="33"/>
      <c r="X100" s="34"/>
      <c r="Z100" s="571"/>
    </row>
    <row r="101" spans="1:26" s="625" customFormat="1" ht="18.75" customHeight="1" thickBot="1" x14ac:dyDescent="0.3">
      <c r="A101" s="572" t="s">
        <v>50</v>
      </c>
      <c r="B101" s="573">
        <f>Z101</f>
        <v>1083.3333333333335</v>
      </c>
      <c r="D101" s="626"/>
      <c r="E101" s="627">
        <f t="shared" ref="E101:X101" si="119">SUM(E97:E100)</f>
        <v>0</v>
      </c>
      <c r="F101" s="549">
        <f t="shared" si="119"/>
        <v>0</v>
      </c>
      <c r="G101" s="549">
        <f t="shared" si="119"/>
        <v>0</v>
      </c>
      <c r="H101" s="549">
        <f t="shared" si="119"/>
        <v>0</v>
      </c>
      <c r="I101" s="549">
        <f t="shared" si="119"/>
        <v>0</v>
      </c>
      <c r="J101" s="549">
        <f t="shared" si="119"/>
        <v>0</v>
      </c>
      <c r="K101" s="549">
        <f t="shared" si="119"/>
        <v>0</v>
      </c>
      <c r="L101" s="549">
        <f t="shared" si="119"/>
        <v>0</v>
      </c>
      <c r="M101" s="549">
        <f t="shared" si="119"/>
        <v>0</v>
      </c>
      <c r="N101" s="549">
        <f t="shared" si="119"/>
        <v>0</v>
      </c>
      <c r="O101" s="549">
        <f t="shared" si="119"/>
        <v>0</v>
      </c>
      <c r="P101" s="36">
        <f t="shared" si="119"/>
        <v>13000</v>
      </c>
      <c r="Q101" s="37">
        <f t="shared" si="119"/>
        <v>13000</v>
      </c>
      <c r="R101" s="548">
        <f t="shared" si="119"/>
        <v>0</v>
      </c>
      <c r="S101" s="549">
        <f t="shared" si="119"/>
        <v>0</v>
      </c>
      <c r="T101" s="549">
        <f t="shared" si="119"/>
        <v>0</v>
      </c>
      <c r="U101" s="36">
        <f t="shared" si="119"/>
        <v>13000</v>
      </c>
      <c r="V101" s="37">
        <f t="shared" si="119"/>
        <v>13000</v>
      </c>
      <c r="W101" s="37">
        <f t="shared" si="119"/>
        <v>13000</v>
      </c>
      <c r="X101" s="38">
        <f t="shared" si="119"/>
        <v>13000</v>
      </c>
      <c r="Z101" s="574">
        <f>SUM(Z97:Z99)</f>
        <v>1083.3333333333335</v>
      </c>
    </row>
    <row r="102" spans="1:26" ht="15.75" thickBot="1" x14ac:dyDescent="0.3"/>
    <row r="103" spans="1:26" ht="15" customHeight="1" x14ac:dyDescent="0.25">
      <c r="A103" s="797" t="s">
        <v>80</v>
      </c>
      <c r="B103" s="795" t="s">
        <v>19</v>
      </c>
      <c r="C103" s="795" t="s">
        <v>44</v>
      </c>
      <c r="D103" s="799" t="s">
        <v>243</v>
      </c>
      <c r="E103" s="778" t="s">
        <v>20</v>
      </c>
      <c r="F103" s="761"/>
      <c r="G103" s="761"/>
      <c r="H103" s="761"/>
      <c r="I103" s="761"/>
      <c r="J103" s="761"/>
      <c r="K103" s="761"/>
      <c r="L103" s="761"/>
      <c r="M103" s="761"/>
      <c r="N103" s="761"/>
      <c r="O103" s="761"/>
      <c r="P103" s="761"/>
      <c r="Q103" s="762" t="s">
        <v>20</v>
      </c>
      <c r="R103" s="760" t="s">
        <v>25</v>
      </c>
      <c r="S103" s="761"/>
      <c r="T103" s="761"/>
      <c r="U103" s="761"/>
      <c r="V103" s="762" t="s">
        <v>25</v>
      </c>
      <c r="W103" s="762" t="s">
        <v>26</v>
      </c>
      <c r="X103" s="764" t="s">
        <v>27</v>
      </c>
      <c r="Z103" s="805" t="s">
        <v>49</v>
      </c>
    </row>
    <row r="104" spans="1:26" ht="15.75" thickBot="1" x14ac:dyDescent="0.3">
      <c r="A104" s="798"/>
      <c r="B104" s="796"/>
      <c r="C104" s="796"/>
      <c r="D104" s="800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63"/>
      <c r="R104" s="4" t="s">
        <v>21</v>
      </c>
      <c r="S104" s="2" t="s">
        <v>22</v>
      </c>
      <c r="T104" s="2" t="s">
        <v>23</v>
      </c>
      <c r="U104" s="3" t="s">
        <v>24</v>
      </c>
      <c r="V104" s="763"/>
      <c r="W104" s="763"/>
      <c r="X104" s="765"/>
      <c r="Z104" s="806"/>
    </row>
    <row r="105" spans="1:26" ht="18.75" customHeight="1" thickTop="1" x14ac:dyDescent="0.25">
      <c r="A105" s="92" t="s">
        <v>115</v>
      </c>
      <c r="B105" s="18">
        <v>200</v>
      </c>
      <c r="C105" s="19" t="s">
        <v>118</v>
      </c>
      <c r="D105" s="20">
        <v>2</v>
      </c>
      <c r="E105" s="6">
        <f>IF(AND($C105="j",$D105=E$32),$B105,IF($C105="h",$B105*IF($D105=IF(MOD(E$32,6)=0,6,MOD(E$32,6)),1,0),IF($C105="q",$B105*IF($D105=IF(MOD(E$32,3)=0,3,MOD(E$32,3)),1,0),IF($C105="z",$B105*IF($D105=IF(MOD(E$32,2)=0,2,MOD(E$32,2)),1,0),IF($C105="m",$B105,0)))))</f>
        <v>0</v>
      </c>
      <c r="F105" s="7">
        <f t="shared" ref="F105:P108" si="120">IF(AND($C105="j",$D105=F$32),$B105,IF($C105="h",$B105*IF($D105=IF(MOD(F$32,6)=0,6,MOD(F$32,6)),1,0),IF($C105="q",$B105*IF($D105=IF(MOD(F$32,3)=0,3,MOD(F$32,3)),1,0),IF($C105="z",$B105*IF($D105=IF(MOD(F$32,2)=0,2,MOD(F$32,2)),1,0),IF($C105="m",$B105,0)))))</f>
        <v>200</v>
      </c>
      <c r="G105" s="7">
        <f t="shared" si="120"/>
        <v>0</v>
      </c>
      <c r="H105" s="7">
        <f t="shared" si="120"/>
        <v>0</v>
      </c>
      <c r="I105" s="7">
        <f t="shared" si="120"/>
        <v>200</v>
      </c>
      <c r="J105" s="7">
        <f t="shared" si="120"/>
        <v>0</v>
      </c>
      <c r="K105" s="7">
        <f t="shared" si="120"/>
        <v>0</v>
      </c>
      <c r="L105" s="7">
        <f t="shared" si="120"/>
        <v>200</v>
      </c>
      <c r="M105" s="7">
        <f t="shared" si="120"/>
        <v>0</v>
      </c>
      <c r="N105" s="7">
        <f t="shared" si="120"/>
        <v>0</v>
      </c>
      <c r="O105" s="7">
        <f t="shared" si="120"/>
        <v>200</v>
      </c>
      <c r="P105" s="180">
        <f t="shared" si="120"/>
        <v>0</v>
      </c>
      <c r="Q105" s="8">
        <f>SUM(E105:P105)</f>
        <v>800</v>
      </c>
      <c r="R105" s="307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180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8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69">
        <f>((Q105+V105+W105+X105)/4)/12</f>
        <v>66.666666666666671</v>
      </c>
    </row>
    <row r="106" spans="1:26" ht="18.75" customHeight="1" x14ac:dyDescent="0.25">
      <c r="A106" s="93" t="s">
        <v>116</v>
      </c>
      <c r="B106" s="94">
        <f>B25*0.36%</f>
        <v>63.741783300000016</v>
      </c>
      <c r="C106" s="95" t="s">
        <v>45</v>
      </c>
      <c r="D106" s="96" t="s">
        <v>48</v>
      </c>
      <c r="E106" s="10">
        <f t="shared" ref="E106:E108" si="121">IF(AND($C106="j",$D106=E$32),$B106,IF($C106="h",$B106*IF($D106=IF(MOD(E$32,6)=0,6,MOD(E$32,6)),1,0),IF($C106="q",$B106*IF($D106=IF(MOD(E$32,3)=0,3,MOD(E$32,3)),1,0),IF($C106="z",$B106*IF($D106=IF(MOD(E$32,2)=0,2,MOD(E$32,2)),1,0),IF($C106="m",$B106,0)))))</f>
        <v>63.741783300000016</v>
      </c>
      <c r="F106" s="11">
        <f t="shared" si="120"/>
        <v>63.741783300000016</v>
      </c>
      <c r="G106" s="11">
        <f t="shared" si="120"/>
        <v>63.741783300000016</v>
      </c>
      <c r="H106" s="11">
        <f t="shared" si="120"/>
        <v>63.741783300000016</v>
      </c>
      <c r="I106" s="11">
        <f t="shared" si="120"/>
        <v>63.741783300000016</v>
      </c>
      <c r="J106" s="11">
        <f t="shared" si="120"/>
        <v>63.741783300000016</v>
      </c>
      <c r="K106" s="11">
        <f t="shared" si="120"/>
        <v>63.741783300000016</v>
      </c>
      <c r="L106" s="11">
        <f t="shared" si="120"/>
        <v>63.741783300000016</v>
      </c>
      <c r="M106" s="11">
        <f t="shared" si="120"/>
        <v>63.741783300000016</v>
      </c>
      <c r="N106" s="11">
        <f t="shared" si="120"/>
        <v>63.741783300000016</v>
      </c>
      <c r="O106" s="11">
        <f t="shared" si="120"/>
        <v>63.741783300000016</v>
      </c>
      <c r="P106" s="185">
        <f t="shared" si="120"/>
        <v>63.741783300000016</v>
      </c>
      <c r="Q106" s="12">
        <f t="shared" ref="Q106:Q108" si="122">SUM(E106:P106)</f>
        <v>764.90139960000033</v>
      </c>
      <c r="R106" s="308">
        <f t="shared" ref="R106:R108" si="123">IF(AND($C106="j",$D106&gt;=1,$D106&lt;=3),$B106,IF(AND($C106="h",$D106&gt;=1,$D106&lt;=3),$B106,IF(AND($C106="q",$D106&gt;=1,$D106&lt;=3),$B106,IF($C106="z",IF($D106=1,2*$B106,$B106),IF($C106="m",3*$B106,0)))))</f>
        <v>191.22534990000005</v>
      </c>
      <c r="S106" s="11">
        <f t="shared" ref="S106:S108" si="124">IF(AND($C106="j",$D106&gt;=4,$D106&lt;=6),$B106,IF(AND($C106="h",$D106&gt;=4,$D106&lt;=6),$B106,IF(AND($C106="q",$D106&gt;=1,$D106&lt;=3),$B106,IF($C106="z",IF($D106=2,2*$B106,$B106),IF($C106="m",3*$B106,0)))))</f>
        <v>191.22534990000005</v>
      </c>
      <c r="T106" s="11">
        <f t="shared" ref="T106:T108" si="125">IF(AND($C106="j",$D106&gt;=7,$D106&lt;=9),$B106,IF(AND($C106="h",$D106&gt;=1,$D106&lt;=3),$B106,IF(AND($C106="q",$D106&gt;=1,$D106&lt;=3),$B106,IF($C106="z",IF($D106=1,2*$B106,$B106),IF($C106="m",3*$B106,0)))))</f>
        <v>191.22534990000005</v>
      </c>
      <c r="U106" s="185">
        <f t="shared" ref="U106:U108" si="126">IF(AND($C106="j",$D106&gt;=10,$D106&lt;=12),$B106,IF(AND($C106="h",$D106&gt;=4,$D106&lt;=6),$B106,IF(AND($C106="q",$D106&gt;=1,$D106&lt;=3),$B106,IF($C106="z",IF($D106=2,2*$B106,$B106),IF($C106="m",3*$B106,0)))))</f>
        <v>191.22534990000005</v>
      </c>
      <c r="V106" s="12">
        <f t="shared" ref="V106:V108" si="127">SUM(R106:U106)</f>
        <v>764.90139960000022</v>
      </c>
      <c r="W106" s="12">
        <f t="shared" ref="W106:X108" si="128">IF($C106="j",$B106,IF($C106="h",2*$B106,IF($C106="q",4*$B106,IF($C106="z",6*$B106,12*$B106))))</f>
        <v>764.90139960000022</v>
      </c>
      <c r="X106" s="13">
        <f t="shared" si="128"/>
        <v>764.90139960000022</v>
      </c>
      <c r="Z106" s="570">
        <f t="shared" ref="Z106:Z108" si="129">((Q106+V106+W106+X106)/4)/12</f>
        <v>63.74178330000003</v>
      </c>
    </row>
    <row r="107" spans="1:26" ht="18.75" customHeight="1" x14ac:dyDescent="0.25">
      <c r="A107" s="93" t="s">
        <v>117</v>
      </c>
      <c r="B107" s="94">
        <f>B25*0.043%</f>
        <v>7.6136018941666679</v>
      </c>
      <c r="C107" s="95" t="s">
        <v>45</v>
      </c>
      <c r="D107" s="96" t="s">
        <v>48</v>
      </c>
      <c r="E107" s="10">
        <f t="shared" si="121"/>
        <v>7.6136018941666679</v>
      </c>
      <c r="F107" s="11">
        <f t="shared" si="120"/>
        <v>7.6136018941666679</v>
      </c>
      <c r="G107" s="11">
        <f t="shared" si="120"/>
        <v>7.6136018941666679</v>
      </c>
      <c r="H107" s="11">
        <f t="shared" si="120"/>
        <v>7.6136018941666679</v>
      </c>
      <c r="I107" s="11">
        <f t="shared" si="120"/>
        <v>7.6136018941666679</v>
      </c>
      <c r="J107" s="11">
        <f t="shared" si="120"/>
        <v>7.6136018941666679</v>
      </c>
      <c r="K107" s="11">
        <f t="shared" si="120"/>
        <v>7.6136018941666679</v>
      </c>
      <c r="L107" s="11">
        <f t="shared" si="120"/>
        <v>7.6136018941666679</v>
      </c>
      <c r="M107" s="11">
        <f t="shared" si="120"/>
        <v>7.6136018941666679</v>
      </c>
      <c r="N107" s="11">
        <f t="shared" si="120"/>
        <v>7.6136018941666679</v>
      </c>
      <c r="O107" s="11">
        <f t="shared" si="120"/>
        <v>7.6136018941666679</v>
      </c>
      <c r="P107" s="185">
        <f t="shared" si="120"/>
        <v>7.6136018941666679</v>
      </c>
      <c r="Q107" s="12">
        <f t="shared" si="122"/>
        <v>91.363222730000004</v>
      </c>
      <c r="R107" s="308">
        <f t="shared" si="123"/>
        <v>22.840805682500005</v>
      </c>
      <c r="S107" s="11">
        <f t="shared" si="124"/>
        <v>22.840805682500005</v>
      </c>
      <c r="T107" s="11">
        <f t="shared" si="125"/>
        <v>22.840805682500005</v>
      </c>
      <c r="U107" s="185">
        <f t="shared" si="126"/>
        <v>22.840805682500005</v>
      </c>
      <c r="V107" s="12">
        <f t="shared" si="127"/>
        <v>91.363222730000018</v>
      </c>
      <c r="W107" s="12">
        <f t="shared" si="128"/>
        <v>91.363222730000018</v>
      </c>
      <c r="X107" s="13">
        <f t="shared" si="128"/>
        <v>91.363222730000018</v>
      </c>
      <c r="Z107" s="570">
        <f t="shared" si="129"/>
        <v>7.6136018941666679</v>
      </c>
    </row>
    <row r="108" spans="1:26" ht="18.75" customHeight="1" thickBot="1" x14ac:dyDescent="0.3">
      <c r="A108" s="97"/>
      <c r="B108" s="98"/>
      <c r="C108" s="99"/>
      <c r="D108" s="100"/>
      <c r="E108" s="14">
        <f t="shared" si="121"/>
        <v>0</v>
      </c>
      <c r="F108" s="15">
        <f t="shared" si="120"/>
        <v>0</v>
      </c>
      <c r="G108" s="15">
        <f t="shared" si="120"/>
        <v>0</v>
      </c>
      <c r="H108" s="15">
        <f t="shared" si="120"/>
        <v>0</v>
      </c>
      <c r="I108" s="15">
        <f t="shared" si="120"/>
        <v>0</v>
      </c>
      <c r="J108" s="15">
        <f t="shared" si="120"/>
        <v>0</v>
      </c>
      <c r="K108" s="15">
        <f t="shared" si="120"/>
        <v>0</v>
      </c>
      <c r="L108" s="15">
        <f t="shared" si="120"/>
        <v>0</v>
      </c>
      <c r="M108" s="15">
        <f t="shared" si="120"/>
        <v>0</v>
      </c>
      <c r="N108" s="15">
        <f t="shared" si="120"/>
        <v>0</v>
      </c>
      <c r="O108" s="15">
        <f t="shared" si="120"/>
        <v>0</v>
      </c>
      <c r="P108" s="648">
        <f t="shared" si="120"/>
        <v>0</v>
      </c>
      <c r="Q108" s="16">
        <f t="shared" si="122"/>
        <v>0</v>
      </c>
      <c r="R108" s="565">
        <f t="shared" si="123"/>
        <v>0</v>
      </c>
      <c r="S108" s="15">
        <f t="shared" si="124"/>
        <v>0</v>
      </c>
      <c r="T108" s="15">
        <f t="shared" si="125"/>
        <v>0</v>
      </c>
      <c r="U108" s="648">
        <f t="shared" si="126"/>
        <v>0</v>
      </c>
      <c r="V108" s="16">
        <f t="shared" si="127"/>
        <v>0</v>
      </c>
      <c r="W108" s="16">
        <f t="shared" si="128"/>
        <v>0</v>
      </c>
      <c r="X108" s="17">
        <f t="shared" si="128"/>
        <v>0</v>
      </c>
      <c r="Z108" s="575">
        <f t="shared" si="129"/>
        <v>0</v>
      </c>
    </row>
    <row r="109" spans="1:26" ht="7.5" customHeight="1" thickTop="1" thickBot="1" x14ac:dyDescent="0.3">
      <c r="A109" s="101"/>
      <c r="B109" s="102"/>
      <c r="C109" s="103"/>
      <c r="D109" s="104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9"/>
      <c r="Q109" s="33"/>
      <c r="R109" s="31"/>
      <c r="S109" s="28"/>
      <c r="T109" s="28"/>
      <c r="U109" s="29"/>
      <c r="V109" s="33"/>
      <c r="W109" s="33"/>
      <c r="X109" s="34"/>
      <c r="Z109" s="571"/>
    </row>
    <row r="110" spans="1:26" s="625" customFormat="1" ht="18.75" customHeight="1" thickBot="1" x14ac:dyDescent="0.3">
      <c r="A110" s="572" t="s">
        <v>50</v>
      </c>
      <c r="B110" s="573">
        <f>Z110</f>
        <v>138.02205186083336</v>
      </c>
      <c r="D110" s="626"/>
      <c r="E110" s="627">
        <f>SUM(E105:E109)</f>
        <v>71.355385194166686</v>
      </c>
      <c r="F110" s="549">
        <f t="shared" ref="F110:X110" si="130">SUM(F105:F109)</f>
        <v>271.35538519416667</v>
      </c>
      <c r="G110" s="549">
        <f t="shared" si="130"/>
        <v>71.355385194166686</v>
      </c>
      <c r="H110" s="549">
        <f t="shared" si="130"/>
        <v>71.355385194166686</v>
      </c>
      <c r="I110" s="549">
        <f t="shared" si="130"/>
        <v>271.35538519416667</v>
      </c>
      <c r="J110" s="549">
        <f t="shared" si="130"/>
        <v>71.355385194166686</v>
      </c>
      <c r="K110" s="549">
        <f t="shared" si="130"/>
        <v>71.355385194166686</v>
      </c>
      <c r="L110" s="549">
        <f t="shared" si="130"/>
        <v>271.35538519416667</v>
      </c>
      <c r="M110" s="549">
        <f t="shared" si="130"/>
        <v>71.355385194166686</v>
      </c>
      <c r="N110" s="549">
        <f t="shared" si="130"/>
        <v>71.355385194166686</v>
      </c>
      <c r="O110" s="549">
        <f t="shared" si="130"/>
        <v>271.35538519416667</v>
      </c>
      <c r="P110" s="36">
        <f t="shared" si="130"/>
        <v>71.355385194166686</v>
      </c>
      <c r="Q110" s="37">
        <f t="shared" si="130"/>
        <v>1656.2646223300003</v>
      </c>
      <c r="R110" s="548">
        <f t="shared" si="130"/>
        <v>414.06615558250007</v>
      </c>
      <c r="S110" s="549">
        <f t="shared" si="130"/>
        <v>414.06615558250007</v>
      </c>
      <c r="T110" s="549">
        <f t="shared" si="130"/>
        <v>414.06615558250007</v>
      </c>
      <c r="U110" s="36">
        <f t="shared" si="130"/>
        <v>414.06615558250007</v>
      </c>
      <c r="V110" s="37">
        <f t="shared" si="130"/>
        <v>1656.2646223300003</v>
      </c>
      <c r="W110" s="37">
        <f t="shared" si="130"/>
        <v>1656.2646223300003</v>
      </c>
      <c r="X110" s="38">
        <f t="shared" si="130"/>
        <v>1656.2646223300003</v>
      </c>
      <c r="Z110" s="574">
        <f>SUM(Z105:Z108)</f>
        <v>138.02205186083336</v>
      </c>
    </row>
    <row r="111" spans="1:26" ht="15.75" thickBot="1" x14ac:dyDescent="0.3"/>
    <row r="112" spans="1:26" ht="15" customHeight="1" x14ac:dyDescent="0.25">
      <c r="A112" s="797" t="s">
        <v>81</v>
      </c>
      <c r="B112" s="795" t="s">
        <v>19</v>
      </c>
      <c r="C112" s="795" t="s">
        <v>44</v>
      </c>
      <c r="D112" s="799" t="s">
        <v>243</v>
      </c>
      <c r="E112" s="778" t="s">
        <v>20</v>
      </c>
      <c r="F112" s="761"/>
      <c r="G112" s="761"/>
      <c r="H112" s="761"/>
      <c r="I112" s="761"/>
      <c r="J112" s="761"/>
      <c r="K112" s="761"/>
      <c r="L112" s="761"/>
      <c r="M112" s="761"/>
      <c r="N112" s="761"/>
      <c r="O112" s="761"/>
      <c r="P112" s="761"/>
      <c r="Q112" s="762" t="s">
        <v>20</v>
      </c>
      <c r="R112" s="760" t="s">
        <v>25</v>
      </c>
      <c r="S112" s="761"/>
      <c r="T112" s="761"/>
      <c r="U112" s="761"/>
      <c r="V112" s="762" t="s">
        <v>25</v>
      </c>
      <c r="W112" s="762" t="s">
        <v>26</v>
      </c>
      <c r="X112" s="764" t="s">
        <v>27</v>
      </c>
      <c r="Z112" s="805" t="s">
        <v>49</v>
      </c>
    </row>
    <row r="113" spans="1:26" ht="15.75" thickBot="1" x14ac:dyDescent="0.3">
      <c r="A113" s="798"/>
      <c r="B113" s="796"/>
      <c r="C113" s="796"/>
      <c r="D113" s="800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63"/>
      <c r="R113" s="4" t="s">
        <v>21</v>
      </c>
      <c r="S113" s="2" t="s">
        <v>22</v>
      </c>
      <c r="T113" s="2" t="s">
        <v>23</v>
      </c>
      <c r="U113" s="3" t="s">
        <v>24</v>
      </c>
      <c r="V113" s="763"/>
      <c r="W113" s="763"/>
      <c r="X113" s="765"/>
      <c r="Z113" s="806"/>
    </row>
    <row r="114" spans="1:26" ht="18.75" customHeight="1" thickTop="1" x14ac:dyDescent="0.25">
      <c r="A114" s="92"/>
      <c r="B114" s="18"/>
      <c r="C114" s="19"/>
      <c r="D114" s="20"/>
      <c r="E114" s="6">
        <f t="shared" ref="E114:P115" si="131">IF(AND($C114="j",$D114=E$32),$B114,IF($C114="h",$B114*IF($D114=IF(MOD(E$32,6)=0,6,MOD(E$32,6)),1,0),IF($C114="q",$B114*IF($D114=IF(MOD(E$32,3)=0,3,MOD(E$32,3)),1,0),IF($C114="z",$B114*IF($D114=IF(MOD(E$32,2)=0,2,MOD(E$32,2)),1,0),IF($C114="m",$B114,0)))))</f>
        <v>0</v>
      </c>
      <c r="F114" s="7">
        <f t="shared" si="131"/>
        <v>0</v>
      </c>
      <c r="G114" s="7">
        <f t="shared" si="131"/>
        <v>0</v>
      </c>
      <c r="H114" s="7">
        <f t="shared" si="131"/>
        <v>0</v>
      </c>
      <c r="I114" s="7">
        <f t="shared" si="131"/>
        <v>0</v>
      </c>
      <c r="J114" s="7">
        <f t="shared" si="131"/>
        <v>0</v>
      </c>
      <c r="K114" s="7">
        <f t="shared" si="131"/>
        <v>0</v>
      </c>
      <c r="L114" s="7">
        <f t="shared" si="131"/>
        <v>0</v>
      </c>
      <c r="M114" s="7">
        <f t="shared" si="131"/>
        <v>0</v>
      </c>
      <c r="N114" s="7">
        <f t="shared" si="131"/>
        <v>0</v>
      </c>
      <c r="O114" s="7">
        <f t="shared" si="131"/>
        <v>0</v>
      </c>
      <c r="P114" s="180">
        <f t="shared" si="131"/>
        <v>0</v>
      </c>
      <c r="Q114" s="8">
        <f>SUM(E114:P114)</f>
        <v>0</v>
      </c>
      <c r="R114" s="307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18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8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69">
        <f>((Q114+V114+W114+X114)/4)/12</f>
        <v>0</v>
      </c>
    </row>
    <row r="115" spans="1:26" ht="18.75" customHeight="1" thickBot="1" x14ac:dyDescent="0.3">
      <c r="A115" s="97"/>
      <c r="B115" s="98"/>
      <c r="C115" s="99"/>
      <c r="D115" s="100"/>
      <c r="E115" s="14">
        <f t="shared" si="131"/>
        <v>0</v>
      </c>
      <c r="F115" s="15">
        <f t="shared" si="131"/>
        <v>0</v>
      </c>
      <c r="G115" s="15">
        <f t="shared" si="131"/>
        <v>0</v>
      </c>
      <c r="H115" s="15">
        <f t="shared" si="131"/>
        <v>0</v>
      </c>
      <c r="I115" s="15">
        <f t="shared" si="131"/>
        <v>0</v>
      </c>
      <c r="J115" s="15">
        <f t="shared" si="131"/>
        <v>0</v>
      </c>
      <c r="K115" s="15">
        <f t="shared" si="131"/>
        <v>0</v>
      </c>
      <c r="L115" s="15">
        <f t="shared" si="131"/>
        <v>0</v>
      </c>
      <c r="M115" s="15">
        <f t="shared" si="131"/>
        <v>0</v>
      </c>
      <c r="N115" s="15">
        <f t="shared" si="131"/>
        <v>0</v>
      </c>
      <c r="O115" s="15">
        <f t="shared" si="131"/>
        <v>0</v>
      </c>
      <c r="P115" s="648">
        <f t="shared" si="131"/>
        <v>0</v>
      </c>
      <c r="Q115" s="16">
        <f t="shared" ref="Q115" si="132">SUM(E115:P115)</f>
        <v>0</v>
      </c>
      <c r="R115" s="565">
        <f t="shared" ref="R115" si="133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34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35">IF(AND($C115="j",$D115&gt;=7,$D115&lt;=9),$B115,IF(AND($C115="h",$D115&gt;=1,$D115&lt;=3),$B115,IF(AND($C115="q",$D115&gt;=1,$D115&lt;=3),$B115,IF($C115="z",IF($D115=1,2*$B115,$B115),IF($C115="m",3*$B115,0)))))</f>
        <v>0</v>
      </c>
      <c r="U115" s="648">
        <f t="shared" ref="U115" si="136">IF(AND($C115="j",$D115&gt;=10,$D115&lt;=12),$B115,IF(AND($C115="h",$D115&gt;=4,$D115&lt;=6),$B115,IF(AND($C115="q",$D115&gt;=1,$D115&lt;=3),$B115,IF($C115="z",IF($D115=2,2*$B115,$B115),IF($C115="m",3*$B115,0)))))</f>
        <v>0</v>
      </c>
      <c r="V115" s="16">
        <f t="shared" ref="V115" si="137">SUM(R115:U115)</f>
        <v>0</v>
      </c>
      <c r="W115" s="16">
        <f t="shared" ref="W115:X115" si="138">IF($C115="j",$B115,IF($C115="h",2*$B115,IF($C115="q",4*$B115,IF($C115="z",6*$B115,12*$B115))))</f>
        <v>0</v>
      </c>
      <c r="X115" s="17">
        <f t="shared" si="138"/>
        <v>0</v>
      </c>
      <c r="Z115" s="575">
        <f>((Q115+V115+W115+X115)/4)/12</f>
        <v>0</v>
      </c>
    </row>
    <row r="116" spans="1:26" ht="7.5" customHeight="1" thickTop="1" thickBot="1" x14ac:dyDescent="0.3">
      <c r="A116" s="101"/>
      <c r="B116" s="102"/>
      <c r="C116" s="103"/>
      <c r="D116" s="104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3"/>
      <c r="R116" s="31"/>
      <c r="S116" s="28"/>
      <c r="T116" s="28"/>
      <c r="U116" s="29"/>
      <c r="V116" s="33"/>
      <c r="W116" s="33"/>
      <c r="X116" s="34"/>
      <c r="Z116" s="571"/>
    </row>
    <row r="117" spans="1:26" s="625" customFormat="1" ht="18.75" customHeight="1" thickBot="1" x14ac:dyDescent="0.3">
      <c r="A117" s="572" t="s">
        <v>50</v>
      </c>
      <c r="B117" s="573">
        <f>Z117</f>
        <v>0</v>
      </c>
      <c r="D117" s="626"/>
      <c r="E117" s="627">
        <f t="shared" ref="E117:X117" si="139">SUM(E114:E116)</f>
        <v>0</v>
      </c>
      <c r="F117" s="549">
        <f t="shared" si="139"/>
        <v>0</v>
      </c>
      <c r="G117" s="549">
        <f t="shared" si="139"/>
        <v>0</v>
      </c>
      <c r="H117" s="549">
        <f t="shared" si="139"/>
        <v>0</v>
      </c>
      <c r="I117" s="549">
        <f t="shared" si="139"/>
        <v>0</v>
      </c>
      <c r="J117" s="549">
        <f t="shared" si="139"/>
        <v>0</v>
      </c>
      <c r="K117" s="549">
        <f t="shared" si="139"/>
        <v>0</v>
      </c>
      <c r="L117" s="549">
        <f t="shared" si="139"/>
        <v>0</v>
      </c>
      <c r="M117" s="549">
        <f t="shared" si="139"/>
        <v>0</v>
      </c>
      <c r="N117" s="549">
        <f t="shared" si="139"/>
        <v>0</v>
      </c>
      <c r="O117" s="549">
        <f t="shared" si="139"/>
        <v>0</v>
      </c>
      <c r="P117" s="36">
        <f t="shared" si="139"/>
        <v>0</v>
      </c>
      <c r="Q117" s="37">
        <f t="shared" si="139"/>
        <v>0</v>
      </c>
      <c r="R117" s="548">
        <f t="shared" si="139"/>
        <v>0</v>
      </c>
      <c r="S117" s="549">
        <f t="shared" si="139"/>
        <v>0</v>
      </c>
      <c r="T117" s="549">
        <f t="shared" si="139"/>
        <v>0</v>
      </c>
      <c r="U117" s="36">
        <f t="shared" si="139"/>
        <v>0</v>
      </c>
      <c r="V117" s="37">
        <f t="shared" si="139"/>
        <v>0</v>
      </c>
      <c r="W117" s="37">
        <f t="shared" si="139"/>
        <v>0</v>
      </c>
      <c r="X117" s="38">
        <f t="shared" si="139"/>
        <v>0</v>
      </c>
      <c r="Z117" s="574">
        <f>SUM(Z114:Z115)</f>
        <v>0</v>
      </c>
    </row>
    <row r="118" spans="1:26" ht="15.75" thickBot="1" x14ac:dyDescent="0.3"/>
    <row r="119" spans="1:26" ht="15" customHeight="1" x14ac:dyDescent="0.25">
      <c r="A119" s="797" t="s">
        <v>82</v>
      </c>
      <c r="B119" s="795" t="s">
        <v>19</v>
      </c>
      <c r="C119" s="795" t="s">
        <v>44</v>
      </c>
      <c r="D119" s="799" t="s">
        <v>243</v>
      </c>
      <c r="E119" s="778" t="s">
        <v>20</v>
      </c>
      <c r="F119" s="761"/>
      <c r="G119" s="761"/>
      <c r="H119" s="761"/>
      <c r="I119" s="761"/>
      <c r="J119" s="761"/>
      <c r="K119" s="761"/>
      <c r="L119" s="761"/>
      <c r="M119" s="761"/>
      <c r="N119" s="761"/>
      <c r="O119" s="761"/>
      <c r="P119" s="761"/>
      <c r="Q119" s="762" t="s">
        <v>20</v>
      </c>
      <c r="R119" s="760" t="s">
        <v>25</v>
      </c>
      <c r="S119" s="761"/>
      <c r="T119" s="761"/>
      <c r="U119" s="761"/>
      <c r="V119" s="762" t="s">
        <v>25</v>
      </c>
      <c r="W119" s="762" t="s">
        <v>26</v>
      </c>
      <c r="X119" s="764" t="s">
        <v>27</v>
      </c>
      <c r="Z119" s="805" t="s">
        <v>49</v>
      </c>
    </row>
    <row r="120" spans="1:26" ht="15.75" thickBot="1" x14ac:dyDescent="0.3">
      <c r="A120" s="798"/>
      <c r="B120" s="796"/>
      <c r="C120" s="796"/>
      <c r="D120" s="800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63"/>
      <c r="R120" s="4" t="s">
        <v>21</v>
      </c>
      <c r="S120" s="2" t="s">
        <v>22</v>
      </c>
      <c r="T120" s="2" t="s">
        <v>23</v>
      </c>
      <c r="U120" s="3" t="s">
        <v>24</v>
      </c>
      <c r="V120" s="763"/>
      <c r="W120" s="763"/>
      <c r="X120" s="765"/>
      <c r="Z120" s="806"/>
    </row>
    <row r="121" spans="1:26" ht="18.75" customHeight="1" thickTop="1" x14ac:dyDescent="0.25">
      <c r="A121" s="92" t="s">
        <v>131</v>
      </c>
      <c r="B121" s="18">
        <v>1500</v>
      </c>
      <c r="C121" s="19" t="s">
        <v>45</v>
      </c>
      <c r="D121" s="20" t="s">
        <v>48</v>
      </c>
      <c r="E121" s="6">
        <f t="shared" ref="E121:P122" si="140">IF(AND($C121="j",$D121=E$32),$B121,IF($C121="h",$B121*IF($D121=IF(MOD(E$32,6)=0,6,MOD(E$32,6)),1,0),IF($C121="q",$B121*IF($D121=IF(MOD(E$32,3)=0,3,MOD(E$32,3)),1,0),IF($C121="z",$B121*IF($D121=IF(MOD(E$32,2)=0,2,MOD(E$32,2)),1,0),IF($C121="m",$B121,0)))))</f>
        <v>1500</v>
      </c>
      <c r="F121" s="7">
        <f t="shared" si="140"/>
        <v>1500</v>
      </c>
      <c r="G121" s="7">
        <f t="shared" si="140"/>
        <v>1500</v>
      </c>
      <c r="H121" s="7">
        <f t="shared" si="140"/>
        <v>1500</v>
      </c>
      <c r="I121" s="7">
        <f t="shared" si="140"/>
        <v>1500</v>
      </c>
      <c r="J121" s="7">
        <f t="shared" si="140"/>
        <v>1500</v>
      </c>
      <c r="K121" s="7">
        <f t="shared" si="140"/>
        <v>1500</v>
      </c>
      <c r="L121" s="7">
        <f t="shared" si="140"/>
        <v>1500</v>
      </c>
      <c r="M121" s="7">
        <f t="shared" si="140"/>
        <v>1500</v>
      </c>
      <c r="N121" s="7">
        <f t="shared" si="140"/>
        <v>1500</v>
      </c>
      <c r="O121" s="7">
        <f t="shared" si="140"/>
        <v>1500</v>
      </c>
      <c r="P121" s="180">
        <f t="shared" si="140"/>
        <v>1500</v>
      </c>
      <c r="Q121" s="8">
        <f>SUM(E121:P121)</f>
        <v>18000</v>
      </c>
      <c r="R121" s="307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180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8">
        <v>0</v>
      </c>
      <c r="W121" s="8">
        <v>0</v>
      </c>
      <c r="X121" s="9">
        <v>0</v>
      </c>
      <c r="Z121" s="569">
        <f>((Q121+V121+W121+X121)/4)/12</f>
        <v>375</v>
      </c>
    </row>
    <row r="122" spans="1:26" ht="18.75" customHeight="1" thickBot="1" x14ac:dyDescent="0.3">
      <c r="A122" s="97"/>
      <c r="B122" s="98"/>
      <c r="C122" s="99"/>
      <c r="D122" s="100"/>
      <c r="E122" s="14">
        <f t="shared" si="140"/>
        <v>0</v>
      </c>
      <c r="F122" s="15">
        <f t="shared" si="140"/>
        <v>0</v>
      </c>
      <c r="G122" s="15">
        <f t="shared" si="140"/>
        <v>0</v>
      </c>
      <c r="H122" s="15">
        <f t="shared" si="140"/>
        <v>0</v>
      </c>
      <c r="I122" s="15">
        <f t="shared" si="140"/>
        <v>0</v>
      </c>
      <c r="J122" s="15">
        <f t="shared" si="140"/>
        <v>0</v>
      </c>
      <c r="K122" s="15">
        <f t="shared" si="140"/>
        <v>0</v>
      </c>
      <c r="L122" s="15">
        <f t="shared" si="140"/>
        <v>0</v>
      </c>
      <c r="M122" s="15">
        <f t="shared" si="140"/>
        <v>0</v>
      </c>
      <c r="N122" s="15">
        <f t="shared" si="140"/>
        <v>0</v>
      </c>
      <c r="O122" s="15">
        <f t="shared" si="140"/>
        <v>0</v>
      </c>
      <c r="P122" s="648">
        <f t="shared" si="140"/>
        <v>0</v>
      </c>
      <c r="Q122" s="16">
        <f t="shared" ref="Q122" si="141">SUM(E122:P122)</f>
        <v>0</v>
      </c>
      <c r="R122" s="565">
        <f t="shared" ref="R122" si="142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43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4">IF(AND($C122="j",$D122&gt;=7,$D122&lt;=9),$B122,IF(AND($C122="h",$D122&gt;=1,$D122&lt;=3),$B122,IF(AND($C122="q",$D122&gt;=1,$D122&lt;=3),$B122,IF($C122="z",IF($D122=1,2*$B122,$B122),IF($C122="m",3*$B122,0)))))</f>
        <v>0</v>
      </c>
      <c r="U122" s="648">
        <f t="shared" ref="U122" si="145">IF(AND($C122="j",$D122&gt;=10,$D122&lt;=12),$B122,IF(AND($C122="h",$D122&gt;=4,$D122&lt;=6),$B122,IF(AND($C122="q",$D122&gt;=1,$D122&lt;=3),$B122,IF($C122="z",IF($D122=2,2*$B122,$B122),IF($C122="m",3*$B122,0)))))</f>
        <v>0</v>
      </c>
      <c r="V122" s="16">
        <f t="shared" ref="V122" si="146">SUM(R122:U122)</f>
        <v>0</v>
      </c>
      <c r="W122" s="16">
        <f t="shared" ref="W122:X122" si="147">IF($C122="j",$B122,IF($C122="h",2*$B122,IF($C122="q",4*$B122,IF($C122="z",6*$B122,12*$B122))))</f>
        <v>0</v>
      </c>
      <c r="X122" s="17">
        <f t="shared" si="147"/>
        <v>0</v>
      </c>
      <c r="Z122" s="575">
        <f>((Q122+V122+W122+X122)/4)/12</f>
        <v>0</v>
      </c>
    </row>
    <row r="123" spans="1:26" ht="7.5" customHeight="1" thickTop="1" thickBot="1" x14ac:dyDescent="0.3">
      <c r="A123" s="101"/>
      <c r="B123" s="102"/>
      <c r="C123" s="103"/>
      <c r="D123" s="104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3"/>
      <c r="R123" s="31"/>
      <c r="S123" s="28"/>
      <c r="T123" s="28"/>
      <c r="U123" s="29"/>
      <c r="V123" s="33"/>
      <c r="W123" s="33"/>
      <c r="X123" s="34"/>
      <c r="Z123" s="571"/>
    </row>
    <row r="124" spans="1:26" s="625" customFormat="1" ht="18.75" customHeight="1" thickBot="1" x14ac:dyDescent="0.3">
      <c r="A124" s="572" t="s">
        <v>50</v>
      </c>
      <c r="B124" s="573">
        <f>Z124</f>
        <v>375</v>
      </c>
      <c r="D124" s="626"/>
      <c r="E124" s="627">
        <f>SUM(E121:E123)</f>
        <v>1500</v>
      </c>
      <c r="F124" s="549">
        <f t="shared" ref="F124:X124" si="148">SUM(F121:F123)</f>
        <v>1500</v>
      </c>
      <c r="G124" s="549">
        <f t="shared" si="148"/>
        <v>1500</v>
      </c>
      <c r="H124" s="549">
        <f t="shared" si="148"/>
        <v>1500</v>
      </c>
      <c r="I124" s="549">
        <f t="shared" si="148"/>
        <v>1500</v>
      </c>
      <c r="J124" s="549">
        <f t="shared" si="148"/>
        <v>1500</v>
      </c>
      <c r="K124" s="549">
        <f t="shared" si="148"/>
        <v>1500</v>
      </c>
      <c r="L124" s="549">
        <f t="shared" si="148"/>
        <v>1500</v>
      </c>
      <c r="M124" s="549">
        <f t="shared" si="148"/>
        <v>1500</v>
      </c>
      <c r="N124" s="549">
        <f t="shared" si="148"/>
        <v>1500</v>
      </c>
      <c r="O124" s="549">
        <f t="shared" si="148"/>
        <v>1500</v>
      </c>
      <c r="P124" s="36">
        <f t="shared" si="148"/>
        <v>1500</v>
      </c>
      <c r="Q124" s="37">
        <f t="shared" si="148"/>
        <v>18000</v>
      </c>
      <c r="R124" s="548">
        <f t="shared" si="148"/>
        <v>4500</v>
      </c>
      <c r="S124" s="549">
        <f t="shared" si="148"/>
        <v>4500</v>
      </c>
      <c r="T124" s="549">
        <f t="shared" si="148"/>
        <v>4500</v>
      </c>
      <c r="U124" s="36">
        <f t="shared" si="148"/>
        <v>4500</v>
      </c>
      <c r="V124" s="37">
        <f t="shared" si="148"/>
        <v>0</v>
      </c>
      <c r="W124" s="37">
        <f t="shared" si="148"/>
        <v>0</v>
      </c>
      <c r="X124" s="38">
        <f t="shared" si="148"/>
        <v>0</v>
      </c>
      <c r="Z124" s="574">
        <f>SUM(Z121:Z122)</f>
        <v>375</v>
      </c>
    </row>
    <row r="125" spans="1:26" ht="15.75" thickBot="1" x14ac:dyDescent="0.3"/>
    <row r="126" spans="1:26" ht="15" customHeight="1" x14ac:dyDescent="0.25">
      <c r="A126" s="797" t="s">
        <v>83</v>
      </c>
      <c r="B126" s="795" t="s">
        <v>19</v>
      </c>
      <c r="C126" s="795" t="s">
        <v>44</v>
      </c>
      <c r="D126" s="799" t="s">
        <v>243</v>
      </c>
      <c r="E126" s="778" t="s">
        <v>20</v>
      </c>
      <c r="F126" s="761"/>
      <c r="G126" s="761"/>
      <c r="H126" s="761"/>
      <c r="I126" s="761"/>
      <c r="J126" s="761"/>
      <c r="K126" s="761"/>
      <c r="L126" s="761"/>
      <c r="M126" s="761"/>
      <c r="N126" s="761"/>
      <c r="O126" s="761"/>
      <c r="P126" s="761"/>
      <c r="Q126" s="762" t="s">
        <v>20</v>
      </c>
      <c r="R126" s="760" t="s">
        <v>25</v>
      </c>
      <c r="S126" s="761"/>
      <c r="T126" s="761"/>
      <c r="U126" s="761"/>
      <c r="V126" s="762" t="s">
        <v>25</v>
      </c>
      <c r="W126" s="762" t="s">
        <v>26</v>
      </c>
      <c r="X126" s="764" t="s">
        <v>27</v>
      </c>
      <c r="Z126" s="805" t="s">
        <v>49</v>
      </c>
    </row>
    <row r="127" spans="1:26" ht="15.75" thickBot="1" x14ac:dyDescent="0.3">
      <c r="A127" s="798"/>
      <c r="B127" s="796"/>
      <c r="C127" s="796"/>
      <c r="D127" s="800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63"/>
      <c r="R127" s="4" t="s">
        <v>21</v>
      </c>
      <c r="S127" s="2" t="s">
        <v>22</v>
      </c>
      <c r="T127" s="2" t="s">
        <v>23</v>
      </c>
      <c r="U127" s="3" t="s">
        <v>24</v>
      </c>
      <c r="V127" s="763"/>
      <c r="W127" s="763"/>
      <c r="X127" s="765"/>
      <c r="Z127" s="806"/>
    </row>
    <row r="128" spans="1:26" ht="18.75" customHeight="1" thickTop="1" x14ac:dyDescent="0.25">
      <c r="A128" s="92" t="s">
        <v>143</v>
      </c>
      <c r="B128" s="18">
        <v>50</v>
      </c>
      <c r="C128" s="19" t="s">
        <v>118</v>
      </c>
      <c r="D128" s="20">
        <v>1</v>
      </c>
      <c r="E128" s="6">
        <f>IF(AND($C128="j",$D128=E$32),$B128,IF($C128="h",$B128*IF($D128=IF(MOD(E$32,6)=0,6,MOD(E$32,6)),1,0),IF($C128="q",$B128*IF($D128=IF(MOD(E$32,3)=0,3,MOD(E$32,3)),1,0),IF($C128="z",$B128*IF($D128=IF(MOD(E$32,2)=0,2,MOD(E$32,2)),1,0),IF($C128="m",$B128,0)))))</f>
        <v>50</v>
      </c>
      <c r="F128" s="7">
        <f t="shared" ref="F128:P129" si="149">IF(AND($C128="j",$D128=F$32),$B128,IF($C128="h",$B128*IF($D128=IF(MOD(F$32,6)=0,6,MOD(F$32,6)),1,0),IF($C128="q",$B128*IF($D128=IF(MOD(F$32,3)=0,3,MOD(F$32,3)),1,0),IF($C128="z",$B128*IF($D128=IF(MOD(F$32,2)=0,2,MOD(F$32,2)),1,0),IF($C128="m",$B128,0)))))</f>
        <v>0</v>
      </c>
      <c r="G128" s="7">
        <f t="shared" si="149"/>
        <v>0</v>
      </c>
      <c r="H128" s="7">
        <f t="shared" si="149"/>
        <v>50</v>
      </c>
      <c r="I128" s="7">
        <f t="shared" si="149"/>
        <v>0</v>
      </c>
      <c r="J128" s="7">
        <f t="shared" si="149"/>
        <v>0</v>
      </c>
      <c r="K128" s="7">
        <f t="shared" si="149"/>
        <v>50</v>
      </c>
      <c r="L128" s="7">
        <f t="shared" si="149"/>
        <v>0</v>
      </c>
      <c r="M128" s="7">
        <f t="shared" si="149"/>
        <v>0</v>
      </c>
      <c r="N128" s="7">
        <f t="shared" si="149"/>
        <v>50</v>
      </c>
      <c r="O128" s="7">
        <f t="shared" si="149"/>
        <v>0</v>
      </c>
      <c r="P128" s="180">
        <f t="shared" si="149"/>
        <v>0</v>
      </c>
      <c r="Q128" s="8">
        <f>SUM(E128:P128)</f>
        <v>200</v>
      </c>
      <c r="R128" s="307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180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8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69">
        <f>((Q128+V128+W128+X128)/4)/12</f>
        <v>16.666666666666668</v>
      </c>
    </row>
    <row r="129" spans="1:26" ht="18.75" customHeight="1" thickBot="1" x14ac:dyDescent="0.3">
      <c r="A129" s="97"/>
      <c r="B129" s="98"/>
      <c r="C129" s="99"/>
      <c r="D129" s="100"/>
      <c r="E129" s="14">
        <f t="shared" ref="E129" si="150">IF(AND($C129="j",$D129=E$32),$B129,IF($C129="h",$B129*IF($D129=IF(MOD(E$32,6)=0,6,MOD(E$32,6)),1,0),IF($C129="q",$B129*IF($D129=IF(MOD(E$32,3)=0,3,MOD(E$32,3)),1,0),IF($C129="z",$B129*IF($D129=IF(MOD(E$32,2)=0,2,MOD(E$32,2)),1,0),IF($C129="m",$B129,0)))))</f>
        <v>0</v>
      </c>
      <c r="F129" s="15">
        <f t="shared" si="149"/>
        <v>0</v>
      </c>
      <c r="G129" s="15">
        <f t="shared" si="149"/>
        <v>0</v>
      </c>
      <c r="H129" s="15">
        <f t="shared" si="149"/>
        <v>0</v>
      </c>
      <c r="I129" s="15">
        <f t="shared" si="149"/>
        <v>0</v>
      </c>
      <c r="J129" s="15">
        <f t="shared" si="149"/>
        <v>0</v>
      </c>
      <c r="K129" s="15">
        <f t="shared" si="149"/>
        <v>0</v>
      </c>
      <c r="L129" s="15">
        <f t="shared" si="149"/>
        <v>0</v>
      </c>
      <c r="M129" s="15">
        <f t="shared" si="149"/>
        <v>0</v>
      </c>
      <c r="N129" s="15">
        <f t="shared" si="149"/>
        <v>0</v>
      </c>
      <c r="O129" s="15">
        <f t="shared" si="149"/>
        <v>0</v>
      </c>
      <c r="P129" s="648">
        <f t="shared" si="149"/>
        <v>0</v>
      </c>
      <c r="Q129" s="16">
        <f t="shared" ref="Q129" si="151">SUM(E129:P129)</f>
        <v>0</v>
      </c>
      <c r="R129" s="565">
        <f t="shared" ref="R129" si="152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53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54">IF(AND($C129="j",$D129&gt;=7,$D129&lt;=9),$B129,IF(AND($C129="h",$D129&gt;=1,$D129&lt;=3),$B129,IF(AND($C129="q",$D129&gt;=1,$D129&lt;=3),$B129,IF($C129="z",IF($D129=1,2*$B129,$B129),IF($C129="m",3*$B129,0)))))</f>
        <v>0</v>
      </c>
      <c r="U129" s="648">
        <f t="shared" ref="U129" si="155">IF(AND($C129="j",$D129&gt;=10,$D129&lt;=12),$B129,IF(AND($C129="h",$D129&gt;=4,$D129&lt;=6),$B129,IF(AND($C129="q",$D129&gt;=1,$D129&lt;=3),$B129,IF($C129="z",IF($D129=2,2*$B129,$B129),IF($C129="m",3*$B129,0)))))</f>
        <v>0</v>
      </c>
      <c r="V129" s="16">
        <f t="shared" ref="V129" si="156">SUM(R129:U129)</f>
        <v>0</v>
      </c>
      <c r="W129" s="16">
        <f t="shared" ref="W129:X129" si="157">IF($C129="j",$B129,IF($C129="h",2*$B129,IF($C129="q",4*$B129,IF($C129="z",6*$B129,12*$B129))))</f>
        <v>0</v>
      </c>
      <c r="X129" s="17">
        <f t="shared" si="157"/>
        <v>0</v>
      </c>
      <c r="Z129" s="575">
        <f>((Q129+V129+W129+X129)/4)/12</f>
        <v>0</v>
      </c>
    </row>
    <row r="130" spans="1:26" ht="7.5" customHeight="1" thickTop="1" thickBot="1" x14ac:dyDescent="0.3">
      <c r="A130" s="101"/>
      <c r="B130" s="102"/>
      <c r="C130" s="103"/>
      <c r="D130" s="104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3"/>
      <c r="R130" s="31"/>
      <c r="S130" s="28"/>
      <c r="T130" s="28"/>
      <c r="U130" s="29"/>
      <c r="V130" s="33"/>
      <c r="W130" s="33"/>
      <c r="X130" s="34"/>
      <c r="Z130" s="571"/>
    </row>
    <row r="131" spans="1:26" s="625" customFormat="1" ht="18.75" customHeight="1" thickBot="1" x14ac:dyDescent="0.3">
      <c r="A131" s="572" t="s">
        <v>50</v>
      </c>
      <c r="B131" s="573">
        <f>Z131</f>
        <v>16.666666666666668</v>
      </c>
      <c r="D131" s="626"/>
      <c r="E131" s="627">
        <f>SUM(E128:E130)</f>
        <v>50</v>
      </c>
      <c r="F131" s="549">
        <f t="shared" ref="F131:X131" si="158">SUM(F128:F130)</f>
        <v>0</v>
      </c>
      <c r="G131" s="549">
        <f t="shared" si="158"/>
        <v>0</v>
      </c>
      <c r="H131" s="549">
        <f t="shared" si="158"/>
        <v>50</v>
      </c>
      <c r="I131" s="549">
        <f t="shared" si="158"/>
        <v>0</v>
      </c>
      <c r="J131" s="549">
        <f t="shared" si="158"/>
        <v>0</v>
      </c>
      <c r="K131" s="549">
        <f t="shared" si="158"/>
        <v>50</v>
      </c>
      <c r="L131" s="549">
        <f t="shared" si="158"/>
        <v>0</v>
      </c>
      <c r="M131" s="549">
        <f t="shared" si="158"/>
        <v>0</v>
      </c>
      <c r="N131" s="549">
        <f t="shared" si="158"/>
        <v>50</v>
      </c>
      <c r="O131" s="549">
        <f t="shared" si="158"/>
        <v>0</v>
      </c>
      <c r="P131" s="36">
        <f t="shared" si="158"/>
        <v>0</v>
      </c>
      <c r="Q131" s="37">
        <f t="shared" si="158"/>
        <v>200</v>
      </c>
      <c r="R131" s="548">
        <f t="shared" si="158"/>
        <v>50</v>
      </c>
      <c r="S131" s="549">
        <f t="shared" si="158"/>
        <v>50</v>
      </c>
      <c r="T131" s="549">
        <f t="shared" si="158"/>
        <v>50</v>
      </c>
      <c r="U131" s="36">
        <f t="shared" si="158"/>
        <v>50</v>
      </c>
      <c r="V131" s="37">
        <f t="shared" si="158"/>
        <v>200</v>
      </c>
      <c r="W131" s="37">
        <f t="shared" si="158"/>
        <v>200</v>
      </c>
      <c r="X131" s="38">
        <f t="shared" si="158"/>
        <v>200</v>
      </c>
      <c r="Z131" s="574">
        <f>SUM(Z128:Z129)</f>
        <v>16.666666666666668</v>
      </c>
    </row>
    <row r="132" spans="1:26" ht="15.75" thickBot="1" x14ac:dyDescent="0.3"/>
    <row r="133" spans="1:26" ht="15" customHeight="1" x14ac:dyDescent="0.25">
      <c r="A133" s="797" t="s">
        <v>84</v>
      </c>
      <c r="B133" s="795" t="s">
        <v>19</v>
      </c>
      <c r="C133" s="795" t="s">
        <v>44</v>
      </c>
      <c r="D133" s="799" t="s">
        <v>243</v>
      </c>
      <c r="E133" s="778" t="s">
        <v>20</v>
      </c>
      <c r="F133" s="761"/>
      <c r="G133" s="761"/>
      <c r="H133" s="761"/>
      <c r="I133" s="761"/>
      <c r="J133" s="761"/>
      <c r="K133" s="761"/>
      <c r="L133" s="761"/>
      <c r="M133" s="761"/>
      <c r="N133" s="761"/>
      <c r="O133" s="761"/>
      <c r="P133" s="761"/>
      <c r="Q133" s="762" t="s">
        <v>20</v>
      </c>
      <c r="R133" s="760" t="s">
        <v>25</v>
      </c>
      <c r="S133" s="761"/>
      <c r="T133" s="761"/>
      <c r="U133" s="761"/>
      <c r="V133" s="762" t="s">
        <v>25</v>
      </c>
      <c r="W133" s="762" t="s">
        <v>26</v>
      </c>
      <c r="X133" s="764" t="s">
        <v>27</v>
      </c>
      <c r="Z133" s="805" t="s">
        <v>49</v>
      </c>
    </row>
    <row r="134" spans="1:26" ht="15.75" thickBot="1" x14ac:dyDescent="0.3">
      <c r="A134" s="798"/>
      <c r="B134" s="796"/>
      <c r="C134" s="796"/>
      <c r="D134" s="800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63"/>
      <c r="R134" s="4" t="s">
        <v>21</v>
      </c>
      <c r="S134" s="2" t="s">
        <v>22</v>
      </c>
      <c r="T134" s="2" t="s">
        <v>23</v>
      </c>
      <c r="U134" s="3" t="s">
        <v>24</v>
      </c>
      <c r="V134" s="763"/>
      <c r="W134" s="763"/>
      <c r="X134" s="765"/>
      <c r="Z134" s="806"/>
    </row>
    <row r="135" spans="1:26" ht="18.75" customHeight="1" thickTop="1" x14ac:dyDescent="0.25">
      <c r="A135" s="92" t="s">
        <v>136</v>
      </c>
      <c r="B135" s="18">
        <v>5000</v>
      </c>
      <c r="C135" s="19" t="s">
        <v>47</v>
      </c>
      <c r="D135" s="20">
        <v>5</v>
      </c>
      <c r="E135" s="6">
        <f>IF(AND($C135="j",$D135=E$32),$B135,IF($C135="h",$B135*IF($D135=IF(MOD(E$32,6)=0,6,MOD(E$32,6)),1,0),IF($C135="q",$B135*IF($D135=IF(MOD(E$32,3)=0,3,MOD(E$32,3)),1,0),IF($C135="z",$B135*IF($D135=IF(MOD(E$32,2)=0,2,MOD(E$32,2)),1,0),IF($C135="m",$B135,0)))))</f>
        <v>0</v>
      </c>
      <c r="F135" s="7">
        <f t="shared" ref="F135:P137" si="159">IF(AND($C135="j",$D135=F$32),$B135,IF($C135="h",$B135*IF($D135=IF(MOD(F$32,6)=0,6,MOD(F$32,6)),1,0),IF($C135="q",$B135*IF($D135=IF(MOD(F$32,3)=0,3,MOD(F$32,3)),1,0),IF($C135="z",$B135*IF($D135=IF(MOD(F$32,2)=0,2,MOD(F$32,2)),1,0),IF($C135="m",$B135,0)))))</f>
        <v>0</v>
      </c>
      <c r="G135" s="7">
        <f t="shared" si="159"/>
        <v>0</v>
      </c>
      <c r="H135" s="7">
        <f t="shared" si="159"/>
        <v>0</v>
      </c>
      <c r="I135" s="7">
        <f t="shared" si="159"/>
        <v>5000</v>
      </c>
      <c r="J135" s="7">
        <f t="shared" si="159"/>
        <v>0</v>
      </c>
      <c r="K135" s="7">
        <f t="shared" si="159"/>
        <v>0</v>
      </c>
      <c r="L135" s="7">
        <f t="shared" si="159"/>
        <v>0</v>
      </c>
      <c r="M135" s="7">
        <f t="shared" si="159"/>
        <v>0</v>
      </c>
      <c r="N135" s="7">
        <f t="shared" si="159"/>
        <v>0</v>
      </c>
      <c r="O135" s="7">
        <f t="shared" si="159"/>
        <v>0</v>
      </c>
      <c r="P135" s="180">
        <f t="shared" si="159"/>
        <v>0</v>
      </c>
      <c r="Q135" s="8">
        <f>SUM(E135:P135)</f>
        <v>5000</v>
      </c>
      <c r="R135" s="307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180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8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69">
        <f>((Q135+V135+W135+X135)/4)/12</f>
        <v>416.66666666666669</v>
      </c>
    </row>
    <row r="136" spans="1:26" ht="18.75" customHeight="1" x14ac:dyDescent="0.25">
      <c r="A136" s="93" t="s">
        <v>137</v>
      </c>
      <c r="B136" s="94">
        <v>10000</v>
      </c>
      <c r="C136" s="95" t="s">
        <v>47</v>
      </c>
      <c r="D136" s="96">
        <v>5</v>
      </c>
      <c r="E136" s="10">
        <f t="shared" ref="E136:E137" si="160">IF(AND($C136="j",$D136=E$32),$B136,IF($C136="h",$B136*IF($D136=IF(MOD(E$32,6)=0,6,MOD(E$32,6)),1,0),IF($C136="q",$B136*IF($D136=IF(MOD(E$32,3)=0,3,MOD(E$32,3)),1,0),IF($C136="z",$B136*IF($D136=IF(MOD(E$32,2)=0,2,MOD(E$32,2)),1,0),IF($C136="m",$B136,0)))))</f>
        <v>0</v>
      </c>
      <c r="F136" s="11">
        <f t="shared" si="159"/>
        <v>0</v>
      </c>
      <c r="G136" s="11">
        <f t="shared" si="159"/>
        <v>0</v>
      </c>
      <c r="H136" s="11">
        <f t="shared" si="159"/>
        <v>0</v>
      </c>
      <c r="I136" s="11">
        <f t="shared" si="159"/>
        <v>10000</v>
      </c>
      <c r="J136" s="11">
        <f t="shared" si="159"/>
        <v>0</v>
      </c>
      <c r="K136" s="11">
        <f t="shared" si="159"/>
        <v>0</v>
      </c>
      <c r="L136" s="11">
        <f t="shared" si="159"/>
        <v>0</v>
      </c>
      <c r="M136" s="11">
        <f t="shared" si="159"/>
        <v>0</v>
      </c>
      <c r="N136" s="11">
        <f t="shared" si="159"/>
        <v>0</v>
      </c>
      <c r="O136" s="11">
        <f t="shared" si="159"/>
        <v>0</v>
      </c>
      <c r="P136" s="185">
        <f t="shared" si="159"/>
        <v>0</v>
      </c>
      <c r="Q136" s="12">
        <f t="shared" ref="Q136:Q137" si="161">SUM(E136:P136)</f>
        <v>10000</v>
      </c>
      <c r="R136" s="308">
        <f t="shared" ref="R136:R137" si="162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63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64">IF(AND($C136="j",$D136&gt;=7,$D136&lt;=9),$B136,IF(AND($C136="h",$D136&gt;=1,$D136&lt;=3),$B136,IF(AND($C136="q",$D136&gt;=1,$D136&lt;=3),$B136,IF($C136="z",IF($D136=1,2*$B136,$B136),IF($C136="m",3*$B136,0)))))</f>
        <v>0</v>
      </c>
      <c r="U136" s="185">
        <f t="shared" ref="U136:U137" si="165">IF(AND($C136="j",$D136&gt;=10,$D136&lt;=12),$B136,IF(AND($C136="h",$D136&gt;=4,$D136&lt;=6),$B136,IF(AND($C136="q",$D136&gt;=1,$D136&lt;=3),$B136,IF($C136="z",IF($D136=2,2*$B136,$B136),IF($C136="m",3*$B136,0)))))</f>
        <v>0</v>
      </c>
      <c r="V136" s="12">
        <f t="shared" ref="V136:V137" si="166">SUM(R136:U136)</f>
        <v>10000</v>
      </c>
      <c r="W136" s="12">
        <f t="shared" ref="W136:X137" si="167">IF($C136="j",$B136,IF($C136="h",2*$B136,IF($C136="q",4*$B136,IF($C136="z",6*$B136,12*$B136))))</f>
        <v>10000</v>
      </c>
      <c r="X136" s="13">
        <f t="shared" si="167"/>
        <v>10000</v>
      </c>
      <c r="Z136" s="570">
        <f>((Q136+V136+W136+X136)/4)/12</f>
        <v>833.33333333333337</v>
      </c>
    </row>
    <row r="137" spans="1:26" ht="18.75" customHeight="1" thickBot="1" x14ac:dyDescent="0.3">
      <c r="A137" s="97"/>
      <c r="B137" s="98"/>
      <c r="C137" s="99"/>
      <c r="D137" s="100"/>
      <c r="E137" s="14">
        <f t="shared" si="160"/>
        <v>0</v>
      </c>
      <c r="F137" s="15">
        <f t="shared" si="159"/>
        <v>0</v>
      </c>
      <c r="G137" s="15">
        <f t="shared" si="159"/>
        <v>0</v>
      </c>
      <c r="H137" s="15">
        <f t="shared" si="159"/>
        <v>0</v>
      </c>
      <c r="I137" s="15">
        <f t="shared" si="159"/>
        <v>0</v>
      </c>
      <c r="J137" s="15">
        <f t="shared" si="159"/>
        <v>0</v>
      </c>
      <c r="K137" s="15">
        <f t="shared" si="159"/>
        <v>0</v>
      </c>
      <c r="L137" s="15">
        <f t="shared" si="159"/>
        <v>0</v>
      </c>
      <c r="M137" s="15">
        <f t="shared" si="159"/>
        <v>0</v>
      </c>
      <c r="N137" s="15">
        <f t="shared" si="159"/>
        <v>0</v>
      </c>
      <c r="O137" s="15">
        <f t="shared" si="159"/>
        <v>0</v>
      </c>
      <c r="P137" s="648">
        <f t="shared" si="159"/>
        <v>0</v>
      </c>
      <c r="Q137" s="16">
        <f t="shared" si="161"/>
        <v>0</v>
      </c>
      <c r="R137" s="565">
        <f t="shared" si="162"/>
        <v>0</v>
      </c>
      <c r="S137" s="15">
        <f t="shared" si="163"/>
        <v>0</v>
      </c>
      <c r="T137" s="15">
        <f t="shared" si="164"/>
        <v>0</v>
      </c>
      <c r="U137" s="648">
        <f t="shared" si="165"/>
        <v>0</v>
      </c>
      <c r="V137" s="16">
        <f t="shared" si="166"/>
        <v>0</v>
      </c>
      <c r="W137" s="16">
        <f t="shared" si="167"/>
        <v>0</v>
      </c>
      <c r="X137" s="17">
        <f t="shared" si="167"/>
        <v>0</v>
      </c>
      <c r="Z137" s="575">
        <f>((Q137+V137+W137+X137)/4)/12</f>
        <v>0</v>
      </c>
    </row>
    <row r="138" spans="1:26" ht="7.5" customHeight="1" thickTop="1" thickBot="1" x14ac:dyDescent="0.3">
      <c r="A138" s="101"/>
      <c r="B138" s="102"/>
      <c r="C138" s="103"/>
      <c r="D138" s="104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9"/>
      <c r="Q138" s="33"/>
      <c r="R138" s="31"/>
      <c r="S138" s="28"/>
      <c r="T138" s="28"/>
      <c r="U138" s="29"/>
      <c r="V138" s="33"/>
      <c r="W138" s="33"/>
      <c r="X138" s="34"/>
      <c r="Z138" s="571"/>
    </row>
    <row r="139" spans="1:26" ht="18.75" customHeight="1" thickBot="1" x14ac:dyDescent="0.3">
      <c r="A139" s="572" t="s">
        <v>50</v>
      </c>
      <c r="B139" s="573">
        <f>Z139</f>
        <v>1250</v>
      </c>
      <c r="C139" s="625"/>
      <c r="D139" s="626"/>
      <c r="E139" s="627">
        <f>SUM(E135:E138)</f>
        <v>0</v>
      </c>
      <c r="F139" s="549">
        <f t="shared" ref="F139:L139" si="168">SUM(F135:F138)</f>
        <v>0</v>
      </c>
      <c r="G139" s="549">
        <f>SUM(G135:G138)</f>
        <v>0</v>
      </c>
      <c r="H139" s="549">
        <f t="shared" si="168"/>
        <v>0</v>
      </c>
      <c r="I139" s="549">
        <f t="shared" si="168"/>
        <v>15000</v>
      </c>
      <c r="J139" s="549">
        <f t="shared" si="168"/>
        <v>0</v>
      </c>
      <c r="K139" s="549">
        <f t="shared" si="168"/>
        <v>0</v>
      </c>
      <c r="L139" s="549">
        <f t="shared" si="168"/>
        <v>0</v>
      </c>
      <c r="M139" s="549">
        <f t="shared" ref="M139" si="169">SUM(M135:M138)</f>
        <v>0</v>
      </c>
      <c r="N139" s="549">
        <f t="shared" ref="N139" si="170">SUM(N135:N138)</f>
        <v>0</v>
      </c>
      <c r="O139" s="549">
        <f t="shared" ref="O139" si="171">SUM(O135:O138)</f>
        <v>0</v>
      </c>
      <c r="P139" s="36">
        <f t="shared" ref="P139" si="172">SUM(P135:P138)</f>
        <v>0</v>
      </c>
      <c r="Q139" s="37">
        <f t="shared" ref="Q139" si="173">SUM(Q135:Q138)</f>
        <v>15000</v>
      </c>
      <c r="R139" s="548">
        <f t="shared" ref="R139" si="174">SUM(R135:R138)</f>
        <v>0</v>
      </c>
      <c r="S139" s="549">
        <f t="shared" ref="S139" si="175">SUM(S135:S138)</f>
        <v>15000</v>
      </c>
      <c r="T139" s="549">
        <f t="shared" ref="T139" si="176">SUM(T135:T138)</f>
        <v>0</v>
      </c>
      <c r="U139" s="36">
        <f t="shared" ref="U139" si="177">SUM(U135:U138)</f>
        <v>0</v>
      </c>
      <c r="V139" s="37">
        <f t="shared" ref="V139" si="178">SUM(V135:V138)</f>
        <v>15000</v>
      </c>
      <c r="W139" s="37">
        <f t="shared" ref="W139" si="179">SUM(W135:W138)</f>
        <v>15000</v>
      </c>
      <c r="X139" s="38">
        <f t="shared" ref="X139" si="180">SUM(X135:X138)</f>
        <v>15000</v>
      </c>
      <c r="Z139" s="574">
        <f>SUM(Z135:Z137)</f>
        <v>1250</v>
      </c>
    </row>
  </sheetData>
  <sheetProtection algorithmName="SHA-512" hashValue="z7v3CkyOrpxGsOS2DffbNpTph3MNUqiDuGdKH2Wct9VhJTHkSO3QmHSt5oVQNmz2+PA23d7d+fCP6EyILKVMUw==" saltValue="dn3Nt415BPC4g/ydf9doZQ==" spinCount="100000" sheet="1" objects="1" scenarios="1"/>
  <mergeCells count="187"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95:Z96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5:Q96"/>
    <mergeCell ref="R95:U95"/>
    <mergeCell ref="V95:V96"/>
    <mergeCell ref="W95:W96"/>
    <mergeCell ref="X95:X96"/>
    <mergeCell ref="A95:A96"/>
    <mergeCell ref="B95:B96"/>
    <mergeCell ref="C95:C96"/>
    <mergeCell ref="D95:D96"/>
    <mergeCell ref="E95:P95"/>
    <mergeCell ref="Z78:Z79"/>
    <mergeCell ref="A86:A87"/>
    <mergeCell ref="B86:B87"/>
    <mergeCell ref="C86:C87"/>
    <mergeCell ref="D86:D87"/>
    <mergeCell ref="E86:P86"/>
    <mergeCell ref="Q86:Q87"/>
    <mergeCell ref="R86:U86"/>
    <mergeCell ref="V86:V87"/>
    <mergeCell ref="W86:W87"/>
    <mergeCell ref="X86:X87"/>
    <mergeCell ref="Z86:Z87"/>
    <mergeCell ref="E78:P78"/>
    <mergeCell ref="Q78:Q79"/>
    <mergeCell ref="R78:U78"/>
    <mergeCell ref="V78:V79"/>
    <mergeCell ref="W78:W79"/>
    <mergeCell ref="A78:A79"/>
    <mergeCell ref="B78:B79"/>
    <mergeCell ref="C78:C79"/>
    <mergeCell ref="D78:D79"/>
    <mergeCell ref="X78:X79"/>
    <mergeCell ref="Z61:Z62"/>
    <mergeCell ref="A70:A71"/>
    <mergeCell ref="B70:B71"/>
    <mergeCell ref="C70:C71"/>
    <mergeCell ref="D70:D71"/>
    <mergeCell ref="E70:P70"/>
    <mergeCell ref="Q70:Q71"/>
    <mergeCell ref="R70:U70"/>
    <mergeCell ref="V70:V71"/>
    <mergeCell ref="W70:W71"/>
    <mergeCell ref="X70:X71"/>
    <mergeCell ref="Z70:Z71"/>
    <mergeCell ref="Q61:Q62"/>
    <mergeCell ref="R61:U61"/>
    <mergeCell ref="V61:V62"/>
    <mergeCell ref="W61:W62"/>
    <mergeCell ref="X61:X62"/>
    <mergeCell ref="A61:A62"/>
    <mergeCell ref="B61:B62"/>
    <mergeCell ref="C61:C62"/>
    <mergeCell ref="D61:D62"/>
    <mergeCell ref="E61:P61"/>
    <mergeCell ref="Z45:Z46"/>
    <mergeCell ref="A54:A55"/>
    <mergeCell ref="B54:B55"/>
    <mergeCell ref="C54:C55"/>
    <mergeCell ref="D54:D55"/>
    <mergeCell ref="E54:P54"/>
    <mergeCell ref="Q54:Q55"/>
    <mergeCell ref="R54:U54"/>
    <mergeCell ref="V54:V55"/>
    <mergeCell ref="W54:W55"/>
    <mergeCell ref="X54:X55"/>
    <mergeCell ref="Z54:Z55"/>
    <mergeCell ref="Q45:Q46"/>
    <mergeCell ref="R45:U45"/>
    <mergeCell ref="V45:V46"/>
    <mergeCell ref="W45:W46"/>
    <mergeCell ref="X45:X46"/>
    <mergeCell ref="A45:A46"/>
    <mergeCell ref="B45:B46"/>
    <mergeCell ref="C45:C46"/>
    <mergeCell ref="D45:D46"/>
    <mergeCell ref="E45:P45"/>
    <mergeCell ref="Z23:Z24"/>
    <mergeCell ref="A38:A39"/>
    <mergeCell ref="B38:B39"/>
    <mergeCell ref="C38:C39"/>
    <mergeCell ref="D38:D39"/>
    <mergeCell ref="E38:P38"/>
    <mergeCell ref="Q38:Q39"/>
    <mergeCell ref="R38:U38"/>
    <mergeCell ref="V38:V39"/>
    <mergeCell ref="W38:W39"/>
    <mergeCell ref="X38:X39"/>
    <mergeCell ref="Z38:Z39"/>
    <mergeCell ref="Q23:Q24"/>
    <mergeCell ref="R23:U23"/>
    <mergeCell ref="V23:V24"/>
    <mergeCell ref="W23:W24"/>
    <mergeCell ref="X23:X24"/>
    <mergeCell ref="Z31:Z32"/>
    <mergeCell ref="B21:C21"/>
    <mergeCell ref="B23:B24"/>
    <mergeCell ref="C23:C24"/>
    <mergeCell ref="W31:W32"/>
    <mergeCell ref="X31:X32"/>
    <mergeCell ref="A1:X1"/>
    <mergeCell ref="A31:A32"/>
    <mergeCell ref="B31:B32"/>
    <mergeCell ref="C31:C32"/>
    <mergeCell ref="D31:D32"/>
    <mergeCell ref="E31:P31"/>
    <mergeCell ref="Q31:Q32"/>
    <mergeCell ref="R31:U31"/>
    <mergeCell ref="V31:V32"/>
    <mergeCell ref="A23:A24"/>
    <mergeCell ref="D23:D24"/>
    <mergeCell ref="E23:P23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0:X20"/>
    <mergeCell ref="B18:C18"/>
    <mergeCell ref="B19:C19"/>
    <mergeCell ref="B17:C17"/>
    <mergeCell ref="B12:C12"/>
    <mergeCell ref="D6:D7"/>
  </mergeCells>
  <dataValidations count="3">
    <dataValidation type="list" allowBlank="1" showInputMessage="1" showErrorMessage="1" sqref="C25:C27 C47:C50 C105:C108 C88:C91 C128:C129 C135:C137 C33:C34 C40:C41 C56:C57 C114:C115 C121:C122 C97:C99 C80:C82 C72:C74 C63:C66">
      <formula1>"j,h,q,z,m"</formula1>
    </dataValidation>
    <dataValidation type="list" allowBlank="1" showInputMessage="1" showErrorMessage="1" sqref="D25:D27 D47:D50 D105:D108 D88:D91 D128:D129 D135:D137 D33:D34 D40:D41 D56:D57 D114:D115 D121:D122 D97:D99 D80:D82 D72:D74 D63:D66">
      <formula1>IF($C25="j",Anually,IF($C25="h",SemiAnually,IF($C25="q",Quaterly,IF($C25="z",Bimonthly,Monthly))))</formula1>
    </dataValidation>
    <dataValidation type="whole" allowBlank="1" showInputMessage="1" showErrorMessage="1" sqref="D8:D12 D16:D18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4" max="23" man="1"/>
    <brk id="53" max="23" man="1"/>
    <brk id="94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2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7" sqref="D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79" t="s">
        <v>132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1"/>
    </row>
    <row r="2" spans="1:13" ht="7.5" customHeight="1" thickBot="1" x14ac:dyDescent="0.3"/>
    <row r="3" spans="1:13" ht="15" customHeight="1" x14ac:dyDescent="0.25">
      <c r="A3" s="766" t="s">
        <v>177</v>
      </c>
      <c r="B3" s="776" t="s">
        <v>179</v>
      </c>
      <c r="C3" s="776" t="s">
        <v>31</v>
      </c>
      <c r="D3" s="776" t="s">
        <v>30</v>
      </c>
      <c r="E3" s="774" t="s">
        <v>178</v>
      </c>
      <c r="F3" s="810" t="s">
        <v>20</v>
      </c>
      <c r="G3" s="811"/>
      <c r="H3" s="760" t="s">
        <v>25</v>
      </c>
      <c r="I3" s="812"/>
      <c r="J3" s="760" t="s">
        <v>26</v>
      </c>
      <c r="K3" s="812"/>
      <c r="L3" s="760" t="s">
        <v>27</v>
      </c>
      <c r="M3" s="813"/>
    </row>
    <row r="4" spans="1:13" s="5" customFormat="1" ht="15" customHeight="1" thickBot="1" x14ac:dyDescent="0.3">
      <c r="A4" s="767"/>
      <c r="B4" s="777"/>
      <c r="C4" s="777"/>
      <c r="D4" s="777"/>
      <c r="E4" s="775"/>
      <c r="F4" s="260" t="s">
        <v>133</v>
      </c>
      <c r="G4" s="261" t="s">
        <v>134</v>
      </c>
      <c r="H4" s="262" t="s">
        <v>133</v>
      </c>
      <c r="I4" s="269" t="s">
        <v>134</v>
      </c>
      <c r="J4" s="262" t="s">
        <v>133</v>
      </c>
      <c r="K4" s="269" t="s">
        <v>134</v>
      </c>
      <c r="L4" s="262" t="s">
        <v>133</v>
      </c>
      <c r="M4" s="383" t="s">
        <v>134</v>
      </c>
    </row>
    <row r="5" spans="1:13" ht="18.75" customHeight="1" outlineLevel="2" thickTop="1" x14ac:dyDescent="0.25">
      <c r="A5" s="485" t="str">
        <f t="array" ref="A5:D12">IF(Investitionsplan!A5:D12="","",Investitionsplan!A5:D12)</f>
        <v>Büroeinrichtung</v>
      </c>
      <c r="B5" s="250">
        <v>15000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1500</v>
      </c>
      <c r="G5" s="70">
        <f>IF($D5&lt;=12,$B5-$F5,0)</f>
        <v>13500</v>
      </c>
      <c r="H5" s="71">
        <f>IF($D5&lt;=24,IF($D5&lt;=12,$B5/$C5,$B5/$C5/$E5),0)</f>
        <v>1500</v>
      </c>
      <c r="I5" s="73">
        <f>IF($D5&lt;=24,IF($D5&lt;=12,G5-H5,$B5-H5),0)</f>
        <v>12000</v>
      </c>
      <c r="J5" s="71">
        <f>IF($D5&lt;=36,IF($D5&lt;=24,$B5/$C5,$B5/$C5/$E5),0)</f>
        <v>1500</v>
      </c>
      <c r="K5" s="73">
        <f>IF($D5&lt;=36,IF($D5&lt;=24,I5-J5,$B5-J5),0)</f>
        <v>10500</v>
      </c>
      <c r="L5" s="71">
        <f t="shared" ref="L5:L6" si="0">IFERROR(IF($C5*12+$D5-1&lt;=36,0,IF(IF($D5&lt;=48,IF($D5&lt;=36,$B5/$C5,$B5/$C5/$E5),0)&gt;$K5,$K5,IF($D5&lt;=48,IF($D5&lt;=36,$B5/$C5,$B5/$C5/$E5),0))),0)</f>
        <v>1500</v>
      </c>
      <c r="M5" s="384">
        <f>IF($D5&lt;=48,IF($D5&lt;=36,K5-L5,$B5-L5),0)</f>
        <v>9000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2" si="1">IF($D6="","",IF(OR($D6&lt;=6,AND($D6&gt;12,$D6&lt;=18),AND($D6&gt;24,$D6&lt;=30),AND($D6&gt;36,$D6&lt;=42)),1,2))</f>
        <v>1</v>
      </c>
      <c r="F6" s="10">
        <f t="shared" ref="F6:F12" si="2">IF($D6&lt;=12,$B6/$C6/$E6,0)</f>
        <v>600</v>
      </c>
      <c r="G6" s="74">
        <f t="shared" ref="G6:G12" si="3">IF($D6&lt;=12,$B6-$F6,0)</f>
        <v>2400</v>
      </c>
      <c r="H6" s="75">
        <f t="shared" ref="H6:H12" si="4">IF($D6&lt;=24,IF($D6&lt;=12,$B6/$C6,$B6/$C6/$E6),0)</f>
        <v>600</v>
      </c>
      <c r="I6" s="77">
        <f t="shared" ref="I6:I12" si="5">IF($D6&lt;=24,IF($D6&lt;=12,G6-H6,$B6-H6),0)</f>
        <v>1800</v>
      </c>
      <c r="J6" s="75">
        <f t="shared" ref="J6:J12" si="6">IF($D6&lt;=36,IF($D6&lt;=24,$B6/$C6,$B6/$C6/$E6),0)</f>
        <v>600</v>
      </c>
      <c r="K6" s="77">
        <f t="shared" ref="K6:K12" si="7">IF($D6&lt;=36,IF($D6&lt;=24,I6-J6,$B6-J6),0)</f>
        <v>1200</v>
      </c>
      <c r="L6" s="75">
        <f t="shared" si="0"/>
        <v>600</v>
      </c>
      <c r="M6" s="385">
        <f t="shared" ref="M6:M12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2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3500</v>
      </c>
      <c r="C9" s="114">
        <v>4</v>
      </c>
      <c r="D9" s="114">
        <v>1</v>
      </c>
      <c r="E9" s="252">
        <f t="shared" si="1"/>
        <v>1</v>
      </c>
      <c r="F9" s="10">
        <f t="shared" si="2"/>
        <v>875</v>
      </c>
      <c r="G9" s="74">
        <f t="shared" si="3"/>
        <v>2625</v>
      </c>
      <c r="H9" s="75">
        <f t="shared" si="4"/>
        <v>875</v>
      </c>
      <c r="I9" s="77">
        <f t="shared" si="5"/>
        <v>1750</v>
      </c>
      <c r="J9" s="75">
        <f t="shared" si="6"/>
        <v>875</v>
      </c>
      <c r="K9" s="77">
        <f t="shared" si="7"/>
        <v>875</v>
      </c>
      <c r="L9" s="75">
        <f t="shared" si="9"/>
        <v>875</v>
      </c>
      <c r="M9" s="385">
        <f t="shared" si="8"/>
        <v>0</v>
      </c>
    </row>
    <row r="10" spans="1:13" ht="18.75" customHeight="1" outlineLevel="2" x14ac:dyDescent="0.25">
      <c r="A10" s="484" t="str">
        <v>Server</v>
      </c>
      <c r="B10" s="251">
        <v>10000</v>
      </c>
      <c r="C10" s="114">
        <v>4</v>
      </c>
      <c r="D10" s="114">
        <v>2</v>
      </c>
      <c r="E10" s="252">
        <f t="shared" si="1"/>
        <v>1</v>
      </c>
      <c r="F10" s="10">
        <f t="shared" si="2"/>
        <v>2500</v>
      </c>
      <c r="G10" s="74">
        <f t="shared" si="3"/>
        <v>7500</v>
      </c>
      <c r="H10" s="75">
        <f t="shared" si="4"/>
        <v>2500</v>
      </c>
      <c r="I10" s="77">
        <f t="shared" si="5"/>
        <v>5000</v>
      </c>
      <c r="J10" s="75">
        <f t="shared" si="6"/>
        <v>2500</v>
      </c>
      <c r="K10" s="77">
        <f t="shared" si="7"/>
        <v>2500</v>
      </c>
      <c r="L10" s="75">
        <f t="shared" si="9"/>
        <v>2500</v>
      </c>
      <c r="M10" s="385">
        <f t="shared" si="8"/>
        <v>0</v>
      </c>
    </row>
    <row r="11" spans="1:13" ht="18.75" customHeight="1" outlineLevel="2" x14ac:dyDescent="0.25">
      <c r="A11" s="253" t="str">
        <v>Messaufbau</v>
      </c>
      <c r="B11" s="254">
        <v>10000</v>
      </c>
      <c r="C11" s="255">
        <v>5</v>
      </c>
      <c r="D11" s="255">
        <v>5</v>
      </c>
      <c r="E11" s="256">
        <f t="shared" si="1"/>
        <v>1</v>
      </c>
      <c r="F11" s="14">
        <f t="shared" si="2"/>
        <v>2000</v>
      </c>
      <c r="G11" s="78">
        <f t="shared" si="3"/>
        <v>8000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5">
        <f t="shared" si="9"/>
        <v>2000</v>
      </c>
      <c r="M11" s="386">
        <f t="shared" si="8"/>
        <v>2000</v>
      </c>
    </row>
    <row r="12" spans="1:13" ht="18.75" customHeight="1" outlineLevel="2" thickBot="1" x14ac:dyDescent="0.3">
      <c r="A12" s="253" t="str">
        <v/>
      </c>
      <c r="B12" s="254" t="str">
        <v/>
      </c>
      <c r="C12" s="255" t="str">
        <v/>
      </c>
      <c r="D12" s="255" t="str">
        <v/>
      </c>
      <c r="E12" s="256" t="str">
        <f t="shared" si="1"/>
        <v/>
      </c>
      <c r="F12" s="14">
        <f t="shared" si="2"/>
        <v>0</v>
      </c>
      <c r="G12" s="78">
        <f t="shared" si="3"/>
        <v>0</v>
      </c>
      <c r="H12" s="79">
        <f t="shared" si="4"/>
        <v>0</v>
      </c>
      <c r="I12" s="81">
        <f t="shared" si="5"/>
        <v>0</v>
      </c>
      <c r="J12" s="79">
        <f t="shared" si="6"/>
        <v>0</v>
      </c>
      <c r="K12" s="81">
        <f t="shared" si="7"/>
        <v>0</v>
      </c>
      <c r="L12" s="79">
        <f t="shared" si="9"/>
        <v>0</v>
      </c>
      <c r="M12" s="386">
        <f t="shared" si="8"/>
        <v>0</v>
      </c>
    </row>
    <row r="13" spans="1:13" ht="7.5" customHeight="1" outlineLevel="2" thickTop="1" thickBot="1" x14ac:dyDescent="0.3">
      <c r="A13" s="257"/>
      <c r="B13" s="258"/>
      <c r="C13" s="258"/>
      <c r="D13" s="258"/>
      <c r="E13" s="259"/>
      <c r="F13" s="27"/>
      <c r="G13" s="30"/>
      <c r="H13" s="31"/>
      <c r="I13" s="32"/>
      <c r="J13" s="31"/>
      <c r="K13" s="32"/>
      <c r="L13" s="31"/>
      <c r="M13" s="387"/>
    </row>
    <row r="14" spans="1:13" ht="18.75" customHeight="1" outlineLevel="1" thickBot="1" x14ac:dyDescent="0.3">
      <c r="A14" s="35" t="s">
        <v>28</v>
      </c>
      <c r="B14" s="537">
        <f>SUM(B5:B13)</f>
        <v>63500</v>
      </c>
      <c r="C14" s="40"/>
      <c r="D14" s="41"/>
      <c r="E14" s="42"/>
      <c r="F14" s="455">
        <f>SUM(F5:F13)</f>
        <v>12975</v>
      </c>
      <c r="G14" s="539">
        <f>SUM(G5:G13)</f>
        <v>50525</v>
      </c>
      <c r="H14" s="457">
        <f>SUM(H5:H13)</f>
        <v>12975</v>
      </c>
      <c r="I14" s="540">
        <f>SUM(I5:I13)</f>
        <v>37550</v>
      </c>
      <c r="J14" s="457">
        <f>SUM(J5:J13)</f>
        <v>12975</v>
      </c>
      <c r="K14" s="539">
        <f>SUM(K5:K13)</f>
        <v>24575</v>
      </c>
      <c r="L14" s="457">
        <f>SUM(L5:L13)</f>
        <v>12975</v>
      </c>
      <c r="M14" s="585">
        <f>SUM(M5:M13)</f>
        <v>11600</v>
      </c>
    </row>
    <row r="15" spans="1:13" ht="7.5" customHeight="1" outlineLevel="1" x14ac:dyDescent="0.25">
      <c r="A15" s="768"/>
      <c r="B15" s="769"/>
      <c r="C15" s="769"/>
      <c r="D15" s="769"/>
      <c r="E15" s="769"/>
      <c r="F15" s="769"/>
      <c r="G15" s="769"/>
      <c r="H15" s="769"/>
      <c r="I15" s="769"/>
      <c r="J15" s="769"/>
      <c r="K15" s="769"/>
      <c r="L15" s="769"/>
      <c r="M15" s="770"/>
    </row>
    <row r="16" spans="1:13" ht="18.75" customHeight="1" outlineLevel="1" thickBot="1" x14ac:dyDescent="0.3">
      <c r="A16" s="43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</row>
    <row r="17" spans="1:13" ht="18.75" customHeight="1" outlineLevel="2" thickTop="1" x14ac:dyDescent="0.25">
      <c r="A17" s="485" t="str">
        <f t="array" ref="A17:D19">IF(Investitionsplan!A17:D19="","",Investitionsplan!A17:D19)</f>
        <v>Patentanträge</v>
      </c>
      <c r="B17" s="72">
        <v>20000</v>
      </c>
      <c r="C17" s="112">
        <v>20</v>
      </c>
      <c r="D17" s="112">
        <v>1</v>
      </c>
      <c r="E17" s="633"/>
      <c r="F17" s="276"/>
      <c r="G17" s="70">
        <f>$B17</f>
        <v>20000</v>
      </c>
      <c r="H17" s="278"/>
      <c r="I17" s="73">
        <f>$B17</f>
        <v>20000</v>
      </c>
      <c r="J17" s="278"/>
      <c r="K17" s="270">
        <f>$B17</f>
        <v>20000</v>
      </c>
      <c r="L17" s="278"/>
      <c r="M17" s="272">
        <f>$B17</f>
        <v>20000</v>
      </c>
    </row>
    <row r="18" spans="1:13" ht="18.75" customHeight="1" outlineLevel="2" thickBot="1" x14ac:dyDescent="0.3">
      <c r="A18" s="253" t="str">
        <v/>
      </c>
      <c r="B18" s="586" t="str">
        <v/>
      </c>
      <c r="C18" s="586" t="str">
        <v/>
      </c>
      <c r="D18" s="586" t="str">
        <v/>
      </c>
      <c r="E18" s="634"/>
      <c r="F18" s="277"/>
      <c r="G18" s="78" t="str">
        <f t="shared" ref="G18:M18" si="10">$B18</f>
        <v/>
      </c>
      <c r="H18" s="279"/>
      <c r="I18" s="81" t="str">
        <f t="shared" si="10"/>
        <v/>
      </c>
      <c r="J18" s="279"/>
      <c r="K18" s="271" t="str">
        <f t="shared" si="10"/>
        <v/>
      </c>
      <c r="L18" s="279"/>
      <c r="M18" s="273" t="str">
        <f t="shared" si="10"/>
        <v/>
      </c>
    </row>
    <row r="19" spans="1:13" ht="7.5" customHeight="1" outlineLevel="2" thickTop="1" thickBot="1" x14ac:dyDescent="0.3">
      <c r="A19" s="257" t="str">
        <v/>
      </c>
      <c r="B19" s="258" t="str">
        <v/>
      </c>
      <c r="C19" s="258" t="str">
        <v/>
      </c>
      <c r="D19" s="258" t="str">
        <v/>
      </c>
      <c r="E19" s="635"/>
      <c r="F19" s="636"/>
      <c r="G19" s="30"/>
      <c r="H19" s="637"/>
      <c r="I19" s="32"/>
      <c r="J19" s="637"/>
      <c r="K19" s="30"/>
      <c r="L19" s="637"/>
      <c r="M19" s="274"/>
    </row>
    <row r="20" spans="1:13" ht="18.75" customHeight="1" outlineLevel="1" thickBot="1" x14ac:dyDescent="0.3">
      <c r="A20" s="35" t="s">
        <v>28</v>
      </c>
      <c r="B20" s="537">
        <f>SUM(B15:B19)</f>
        <v>20000</v>
      </c>
      <c r="C20" s="40"/>
      <c r="D20" s="41"/>
      <c r="E20" s="42"/>
      <c r="F20" s="285"/>
      <c r="G20" s="539">
        <f>SUM(G15:G19)</f>
        <v>20000</v>
      </c>
      <c r="H20" s="282"/>
      <c r="I20" s="540">
        <f>SUM(I15:I19)</f>
        <v>20000</v>
      </c>
      <c r="J20" s="282"/>
      <c r="K20" s="539">
        <f>SUM(K15:K19)</f>
        <v>20000</v>
      </c>
      <c r="L20" s="282"/>
      <c r="M20" s="585">
        <f>SUM(M15:M19)</f>
        <v>20000</v>
      </c>
    </row>
    <row r="21" spans="1:13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</row>
    <row r="22" spans="1:13" s="47" customFormat="1" ht="18.75" customHeight="1" thickBot="1" x14ac:dyDescent="0.3">
      <c r="A22" s="48" t="s">
        <v>32</v>
      </c>
      <c r="B22" s="49">
        <f>B20+B14</f>
        <v>83500</v>
      </c>
      <c r="C22" s="50"/>
      <c r="D22" s="50"/>
      <c r="E22" s="124"/>
      <c r="F22" s="284"/>
      <c r="G22" s="51">
        <f>G20+G14</f>
        <v>70525</v>
      </c>
      <c r="H22" s="283"/>
      <c r="I22" s="51">
        <f>I20+I14</f>
        <v>57550</v>
      </c>
      <c r="J22" s="286"/>
      <c r="K22" s="52">
        <f>K20+K14</f>
        <v>44575</v>
      </c>
      <c r="L22" s="287"/>
      <c r="M22" s="53">
        <f>M20+M14</f>
        <v>31600</v>
      </c>
    </row>
    <row r="23" spans="1:13" ht="7.5" customHeight="1" thickBot="1" x14ac:dyDescent="0.3">
      <c r="A23" s="771"/>
      <c r="B23" s="772"/>
      <c r="C23" s="772"/>
      <c r="D23" s="772"/>
      <c r="E23" s="772"/>
      <c r="F23" s="772"/>
      <c r="G23" s="772"/>
      <c r="H23" s="772"/>
      <c r="I23" s="772"/>
      <c r="J23" s="772"/>
      <c r="K23" s="772"/>
      <c r="L23" s="772"/>
      <c r="M23" s="773"/>
    </row>
    <row r="24" spans="1:13" ht="15" customHeight="1" x14ac:dyDescent="0.25">
      <c r="A24" s="766" t="s">
        <v>247</v>
      </c>
      <c r="B24" s="776" t="s">
        <v>179</v>
      </c>
      <c r="C24" s="776" t="s">
        <v>31</v>
      </c>
      <c r="D24" s="776" t="s">
        <v>30</v>
      </c>
      <c r="E24" s="774" t="s">
        <v>178</v>
      </c>
      <c r="F24" s="810" t="s">
        <v>20</v>
      </c>
      <c r="G24" s="811"/>
      <c r="H24" s="760" t="s">
        <v>25</v>
      </c>
      <c r="I24" s="812"/>
      <c r="J24" s="760" t="s">
        <v>26</v>
      </c>
      <c r="K24" s="812"/>
      <c r="L24" s="760" t="s">
        <v>27</v>
      </c>
      <c r="M24" s="813"/>
    </row>
    <row r="25" spans="1:13" ht="15" customHeight="1" thickBot="1" x14ac:dyDescent="0.3">
      <c r="A25" s="767"/>
      <c r="B25" s="777"/>
      <c r="C25" s="777"/>
      <c r="D25" s="777"/>
      <c r="E25" s="775"/>
      <c r="F25" s="260" t="s">
        <v>133</v>
      </c>
      <c r="G25" s="261" t="s">
        <v>134</v>
      </c>
      <c r="H25" s="262" t="s">
        <v>133</v>
      </c>
      <c r="I25" s="269" t="s">
        <v>134</v>
      </c>
      <c r="J25" s="262" t="s">
        <v>133</v>
      </c>
      <c r="K25" s="269" t="s">
        <v>134</v>
      </c>
      <c r="L25" s="262" t="s">
        <v>133</v>
      </c>
      <c r="M25" s="383" t="s">
        <v>134</v>
      </c>
    </row>
    <row r="26" spans="1:13" ht="18.75" customHeight="1" outlineLevel="1" thickTop="1" x14ac:dyDescent="0.25">
      <c r="A26" s="485" t="str">
        <f t="array" ref="A26:D28">IF(Investitionsplan!A26:D28="","",Investitionsplan!A26:D28)</f>
        <v>Vertriebsauto</v>
      </c>
      <c r="B26" s="72">
        <v>35000</v>
      </c>
      <c r="C26" s="112">
        <v>4</v>
      </c>
      <c r="D26" s="112">
        <v>2</v>
      </c>
      <c r="E26" s="113">
        <f>IF($D26="","",IF(OR($D26&lt;=6,AND($D26&gt;12,$D26&lt;=18),AND($D26&gt;24,$D26&lt;=30),AND($D26&gt;36,$D26&lt;=42)),1,2))</f>
        <v>1</v>
      </c>
      <c r="F26" s="6">
        <f>IF($D26&lt;=12,$B26/$C26/$E26,0)</f>
        <v>8750</v>
      </c>
      <c r="G26" s="70">
        <f>IF($D26&lt;=12,$B26-$F26,0)</f>
        <v>26250</v>
      </c>
      <c r="H26" s="71">
        <f>IF($D26&lt;=24,IF($D26&lt;=12,$B26/$C26,$B26/$C26/$E26),0)</f>
        <v>8750</v>
      </c>
      <c r="I26" s="73">
        <f>IF($D26&lt;=24,IF($D26&lt;=12,G26-H26,$B26-H26),0)</f>
        <v>17500</v>
      </c>
      <c r="J26" s="73">
        <f>IF($D26&lt;=36,IF($D26&lt;=24,$B26/$C26,$B26/$C26/$E26),0)</f>
        <v>8750</v>
      </c>
      <c r="K26" s="8">
        <f>IF($D26&lt;=36,IF($D26&lt;=24,I26-J26,$B26-J26),0)</f>
        <v>8750</v>
      </c>
      <c r="L26" s="264">
        <f t="shared" ref="L26:L28" si="11">IFERROR(IF($C26*12+$D26-1&lt;=36,0,IF(IF($D26&lt;=48,IF($D26&lt;=36,$B26/$C26,$B26/$C26/$E26),0)&gt;$K26,$K26,IF($D26&lt;=48,IF($D26&lt;=36,$B26/$C26,$B26/$C26/$E26),0))),0)</f>
        <v>8750</v>
      </c>
      <c r="M26" s="9">
        <f>IF($D26&lt;=48,IF($D26&lt;=36,K26-L26,$B26-L26),0)</f>
        <v>0</v>
      </c>
    </row>
    <row r="27" spans="1:13" ht="18.75" customHeight="1" outlineLevel="1" x14ac:dyDescent="0.25">
      <c r="A27" s="484" t="str">
        <v>Vertriebsauto</v>
      </c>
      <c r="B27" s="76">
        <v>35000</v>
      </c>
      <c r="C27" s="114">
        <v>4</v>
      </c>
      <c r="D27" s="114">
        <v>13</v>
      </c>
      <c r="E27" s="252">
        <f t="shared" ref="E27:E28" si="12">IF($D27="","",IF(OR($D27&lt;=6,AND($D27&gt;12,$D27&lt;=18),AND($D27&gt;24,$D27&lt;=30),AND($D27&gt;36,$D27&lt;=42)),1,2))</f>
        <v>1</v>
      </c>
      <c r="F27" s="10">
        <f t="shared" ref="F27:F28" si="13">IF($D27&lt;=12,$B27/$C27/$E27,0)</f>
        <v>0</v>
      </c>
      <c r="G27" s="74">
        <f t="shared" ref="G27:G28" si="14">IF($D27&lt;=12,$B27-$F27,0)</f>
        <v>0</v>
      </c>
      <c r="H27" s="75">
        <f t="shared" ref="H27:H28" si="15">IF($D27&lt;=24,IF($D27&lt;=12,$B27/$C27,$B27/$C27/$E27),0)</f>
        <v>8750</v>
      </c>
      <c r="I27" s="77">
        <f t="shared" ref="I27:I28" si="16">IF($D27&lt;=24,IF($D27&lt;=12,G27-H27,$B27-H27),0)</f>
        <v>26250</v>
      </c>
      <c r="J27" s="77">
        <f t="shared" ref="J27:J28" si="17">IF($D27&lt;=36,IF($D27&lt;=24,$B27/$C27,$B27/$C27/$E27),0)</f>
        <v>8750</v>
      </c>
      <c r="K27" s="12">
        <f t="shared" ref="K27:K28" si="18">IF($D27&lt;=36,IF($D27&lt;=24,I27-J27,$B27-J27),0)</f>
        <v>17500</v>
      </c>
      <c r="L27" s="238">
        <f t="shared" si="11"/>
        <v>8750</v>
      </c>
      <c r="M27" s="13">
        <f t="shared" ref="M27:M28" si="19">IF($D27&lt;=48,IF($D27&lt;=36,K27-L27,$B27-L27),0)</f>
        <v>8750</v>
      </c>
    </row>
    <row r="28" spans="1:13" ht="18.75" customHeight="1" outlineLevel="1" thickBot="1" x14ac:dyDescent="0.3">
      <c r="A28" s="494" t="str">
        <v/>
      </c>
      <c r="B28" s="587" t="str">
        <v/>
      </c>
      <c r="C28" s="587" t="str">
        <v/>
      </c>
      <c r="D28" s="587" t="str">
        <v/>
      </c>
      <c r="E28" s="588" t="str">
        <f t="shared" si="12"/>
        <v/>
      </c>
      <c r="F28" s="128">
        <f t="shared" si="13"/>
        <v>0</v>
      </c>
      <c r="G28" s="130">
        <f t="shared" si="14"/>
        <v>0</v>
      </c>
      <c r="H28" s="131">
        <f t="shared" si="15"/>
        <v>0</v>
      </c>
      <c r="I28" s="133">
        <f t="shared" si="16"/>
        <v>0</v>
      </c>
      <c r="J28" s="133">
        <f t="shared" si="17"/>
        <v>0</v>
      </c>
      <c r="K28" s="134">
        <f t="shared" si="18"/>
        <v>0</v>
      </c>
      <c r="L28" s="266">
        <f t="shared" si="11"/>
        <v>0</v>
      </c>
      <c r="M28" s="135">
        <f t="shared" si="19"/>
        <v>0</v>
      </c>
    </row>
    <row r="29" spans="1:13" ht="7.5" customHeight="1" outlineLevel="1" thickTop="1" thickBot="1" x14ac:dyDescent="0.3">
      <c r="A29" s="257"/>
      <c r="B29" s="258"/>
      <c r="C29" s="258"/>
      <c r="D29" s="258"/>
      <c r="E29" s="259"/>
      <c r="F29" s="27"/>
      <c r="G29" s="30"/>
      <c r="H29" s="31"/>
      <c r="I29" s="32"/>
      <c r="J29" s="32"/>
      <c r="K29" s="33"/>
      <c r="L29" s="265"/>
      <c r="M29" s="34"/>
    </row>
    <row r="30" spans="1:13" ht="18.75" customHeight="1" thickBot="1" x14ac:dyDescent="0.3">
      <c r="A30" s="483" t="s">
        <v>33</v>
      </c>
      <c r="B30" s="65">
        <f>SUM(B26:B29)</f>
        <v>70000</v>
      </c>
      <c r="C30" s="62"/>
      <c r="D30" s="63"/>
      <c r="E30" s="64"/>
      <c r="F30" s="280">
        <f t="shared" ref="F30:M30" si="20">SUM(F26:F29)</f>
        <v>8750</v>
      </c>
      <c r="G30" s="66">
        <f t="shared" si="20"/>
        <v>26250</v>
      </c>
      <c r="H30" s="281">
        <f t="shared" si="20"/>
        <v>17500</v>
      </c>
      <c r="I30" s="67">
        <f t="shared" si="20"/>
        <v>43750</v>
      </c>
      <c r="J30" s="67">
        <f t="shared" si="20"/>
        <v>17500</v>
      </c>
      <c r="K30" s="68">
        <f t="shared" si="20"/>
        <v>26250</v>
      </c>
      <c r="L30" s="267">
        <f t="shared" si="20"/>
        <v>17500</v>
      </c>
      <c r="M30" s="69">
        <f t="shared" si="20"/>
        <v>8750</v>
      </c>
    </row>
    <row r="31" spans="1:13" ht="7.5" customHeight="1" thickBot="1" x14ac:dyDescent="0.3">
      <c r="A31" s="768"/>
      <c r="B31" s="769"/>
      <c r="C31" s="769"/>
      <c r="D31" s="769"/>
      <c r="E31" s="769"/>
      <c r="F31" s="769"/>
      <c r="G31" s="769"/>
      <c r="H31" s="769"/>
      <c r="I31" s="769"/>
      <c r="J31" s="769"/>
      <c r="K31" s="769"/>
      <c r="L31" s="769"/>
      <c r="M31" s="770"/>
    </row>
    <row r="32" spans="1:13" ht="22.5" customHeight="1" thickBot="1" x14ac:dyDescent="0.3">
      <c r="A32" s="275"/>
      <c r="B32" s="807" t="s">
        <v>135</v>
      </c>
      <c r="C32" s="808"/>
      <c r="D32" s="808"/>
      <c r="E32" s="809"/>
      <c r="F32" s="54">
        <f>F30+F14</f>
        <v>21725</v>
      </c>
      <c r="G32" s="56">
        <f>G30+G22</f>
        <v>96775</v>
      </c>
      <c r="H32" s="57">
        <f>H30+H14</f>
        <v>30475</v>
      </c>
      <c r="I32" s="56">
        <f>I30+I22</f>
        <v>101300</v>
      </c>
      <c r="J32" s="263">
        <f>J30+J14</f>
        <v>30475</v>
      </c>
      <c r="K32" s="58">
        <f>K30+K22</f>
        <v>70825</v>
      </c>
      <c r="L32" s="268">
        <f>L30+L14</f>
        <v>30475</v>
      </c>
      <c r="M32" s="59">
        <f>M30+M22</f>
        <v>40350</v>
      </c>
    </row>
  </sheetData>
  <sheetProtection algorithmName="SHA-512" hashValue="q4PgftDn+YLRXnPWGVLXFec/aYabLZYuFGD12EBa/o3pyX/xrcZnog8E6oLFf8Hnah3z0Ct4bAsFotcLY7HjPw==" saltValue="smgQmOh+pBvQNLGUQUHSSQ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32:E32"/>
    <mergeCell ref="A15:M15"/>
    <mergeCell ref="A23:M23"/>
    <mergeCell ref="A31:M31"/>
    <mergeCell ref="F3:G3"/>
    <mergeCell ref="H3:I3"/>
    <mergeCell ref="J3:K3"/>
    <mergeCell ref="A24:A25"/>
    <mergeCell ref="B24:B25"/>
    <mergeCell ref="C24:C25"/>
    <mergeCell ref="D24:D25"/>
    <mergeCell ref="E24:E25"/>
    <mergeCell ref="F24:G24"/>
    <mergeCell ref="H24:I24"/>
    <mergeCell ref="J24:K24"/>
    <mergeCell ref="L24:M24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9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79" t="s">
        <v>94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1"/>
    </row>
    <row r="2" spans="1:24" ht="15.75" thickBot="1" x14ac:dyDescent="0.3"/>
    <row r="3" spans="1:24" x14ac:dyDescent="0.25">
      <c r="A3" s="840" t="s">
        <v>104</v>
      </c>
      <c r="B3" s="841"/>
      <c r="C3" s="842"/>
      <c r="D3" s="148">
        <v>0</v>
      </c>
      <c r="E3" s="155"/>
    </row>
    <row r="4" spans="1:24" x14ac:dyDescent="0.25">
      <c r="A4" s="843" t="s">
        <v>105</v>
      </c>
      <c r="B4" s="844"/>
      <c r="C4" s="845"/>
      <c r="D4" s="149">
        <v>0.03</v>
      </c>
      <c r="E4" s="155"/>
    </row>
    <row r="5" spans="1:24" x14ac:dyDescent="0.25">
      <c r="A5" s="843" t="s">
        <v>127</v>
      </c>
      <c r="B5" s="844"/>
      <c r="C5" s="844"/>
      <c r="D5" s="151">
        <v>0.25</v>
      </c>
      <c r="E5" s="155"/>
    </row>
    <row r="6" spans="1:24" ht="15.75" thickBot="1" x14ac:dyDescent="0.3">
      <c r="A6" s="846" t="s">
        <v>101</v>
      </c>
      <c r="B6" s="847"/>
      <c r="C6" s="848"/>
      <c r="D6" s="150">
        <v>0.2</v>
      </c>
      <c r="E6" s="156"/>
    </row>
    <row r="7" spans="1:24" ht="18.75" customHeight="1" x14ac:dyDescent="0.25">
      <c r="A7" s="823" t="s">
        <v>95</v>
      </c>
      <c r="B7" s="824"/>
      <c r="C7" s="824"/>
      <c r="D7" s="825"/>
      <c r="E7" s="761" t="s">
        <v>20</v>
      </c>
      <c r="F7" s="761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2" t="s">
        <v>20</v>
      </c>
      <c r="R7" s="760" t="s">
        <v>25</v>
      </c>
      <c r="S7" s="761"/>
      <c r="T7" s="761"/>
      <c r="U7" s="761"/>
      <c r="V7" s="762" t="s">
        <v>25</v>
      </c>
      <c r="W7" s="762" t="s">
        <v>26</v>
      </c>
      <c r="X7" s="764" t="s">
        <v>27</v>
      </c>
    </row>
    <row r="8" spans="1:24" ht="18.75" customHeight="1" thickBot="1" x14ac:dyDescent="0.3">
      <c r="A8" s="826"/>
      <c r="B8" s="827"/>
      <c r="C8" s="827"/>
      <c r="D8" s="82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63"/>
      <c r="R8" s="4" t="s">
        <v>21</v>
      </c>
      <c r="S8" s="2" t="s">
        <v>22</v>
      </c>
      <c r="T8" s="2" t="s">
        <v>23</v>
      </c>
      <c r="U8" s="3" t="s">
        <v>24</v>
      </c>
      <c r="V8" s="763"/>
      <c r="W8" s="763"/>
      <c r="X8" s="765"/>
    </row>
    <row r="9" spans="1:24" ht="18.75" customHeight="1" thickTop="1" x14ac:dyDescent="0.25">
      <c r="A9" s="157" t="s">
        <v>109</v>
      </c>
      <c r="B9" s="821" t="s">
        <v>96</v>
      </c>
      <c r="C9" s="821"/>
      <c r="D9" s="822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120000</v>
      </c>
      <c r="P9" s="152">
        <v>2880</v>
      </c>
      <c r="Q9" s="8">
        <f>SUM(E9:P9)</f>
        <v>122880</v>
      </c>
      <c r="R9" s="146">
        <v>19200</v>
      </c>
      <c r="S9" s="18">
        <v>139200</v>
      </c>
      <c r="T9" s="18">
        <v>22800</v>
      </c>
      <c r="U9" s="152">
        <v>139200</v>
      </c>
      <c r="V9" s="8">
        <f>SUM(R9:U9)</f>
        <v>320400</v>
      </c>
      <c r="W9" s="144">
        <v>586320</v>
      </c>
      <c r="X9" s="145">
        <v>1069200</v>
      </c>
    </row>
    <row r="10" spans="1:24" ht="18.75" customHeight="1" thickBot="1" x14ac:dyDescent="0.3">
      <c r="A10" s="158" t="s">
        <v>108</v>
      </c>
      <c r="B10" s="816" t="s">
        <v>97</v>
      </c>
      <c r="C10" s="816"/>
      <c r="D10" s="817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0</v>
      </c>
      <c r="L10" s="129">
        <f t="shared" ref="L10:R10" si="1">-(L9/(1+$D$6))*$D$6</f>
        <v>0</v>
      </c>
      <c r="M10" s="129">
        <f t="shared" si="1"/>
        <v>0</v>
      </c>
      <c r="N10" s="129">
        <f t="shared" si="1"/>
        <v>0</v>
      </c>
      <c r="O10" s="129">
        <f t="shared" si="1"/>
        <v>-20000</v>
      </c>
      <c r="P10" s="159">
        <f t="shared" si="1"/>
        <v>-480</v>
      </c>
      <c r="Q10" s="134">
        <f t="shared" ref="Q10:Q40" si="2">SUM(E10:P10)</f>
        <v>-20480</v>
      </c>
      <c r="R10" s="160">
        <f t="shared" si="1"/>
        <v>-3200</v>
      </c>
      <c r="S10" s="129">
        <f t="shared" ref="S10" si="3">-(S9/(1+$D$6))*$D$6</f>
        <v>-23200</v>
      </c>
      <c r="T10" s="129">
        <f t="shared" ref="T10" si="4">-(T9/(1+$D$6))*$D$6</f>
        <v>-3800</v>
      </c>
      <c r="U10" s="159">
        <f t="shared" ref="U10" si="5">-(U9/(1+$D$6))*$D$6</f>
        <v>-23200</v>
      </c>
      <c r="V10" s="134">
        <f t="shared" ref="V10:V40" si="6">SUM(R10:U10)</f>
        <v>-53400</v>
      </c>
      <c r="W10" s="134">
        <f t="shared" ref="W10:X10" si="7">-(W9/(1+$D$6))*$D$6</f>
        <v>-97720</v>
      </c>
      <c r="X10" s="135">
        <f t="shared" si="7"/>
        <v>-178200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18" t="s">
        <v>98</v>
      </c>
      <c r="B12" s="819"/>
      <c r="C12" s="819"/>
      <c r="D12" s="820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0</v>
      </c>
      <c r="L12" s="173">
        <f t="shared" si="8"/>
        <v>0</v>
      </c>
      <c r="M12" s="173">
        <f t="shared" si="8"/>
        <v>0</v>
      </c>
      <c r="N12" s="173">
        <f t="shared" si="8"/>
        <v>0</v>
      </c>
      <c r="O12" s="173">
        <f t="shared" si="8"/>
        <v>100000</v>
      </c>
      <c r="P12" s="174">
        <f t="shared" si="8"/>
        <v>2400</v>
      </c>
      <c r="Q12" s="175">
        <f t="shared" si="2"/>
        <v>102400</v>
      </c>
      <c r="R12" s="176">
        <f t="shared" ref="R12:X12" si="9">R9+R10</f>
        <v>16000</v>
      </c>
      <c r="S12" s="173">
        <f t="shared" si="9"/>
        <v>116000</v>
      </c>
      <c r="T12" s="173">
        <f t="shared" si="9"/>
        <v>19000</v>
      </c>
      <c r="U12" s="174">
        <f t="shared" si="9"/>
        <v>116000</v>
      </c>
      <c r="V12" s="175">
        <f t="shared" si="9"/>
        <v>267000</v>
      </c>
      <c r="W12" s="177">
        <f t="shared" si="9"/>
        <v>488600</v>
      </c>
      <c r="X12" s="178">
        <f t="shared" si="9"/>
        <v>891000</v>
      </c>
    </row>
    <row r="13" spans="1:24" ht="18.75" customHeight="1" outlineLevel="1" thickTop="1" x14ac:dyDescent="0.25">
      <c r="A13" s="157" t="s">
        <v>108</v>
      </c>
      <c r="B13" s="821" t="s">
        <v>99</v>
      </c>
      <c r="C13" s="821"/>
      <c r="D13" s="822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108</v>
      </c>
      <c r="B14" s="814" t="s">
        <v>100</v>
      </c>
      <c r="C14" s="814"/>
      <c r="D14" s="815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0</v>
      </c>
      <c r="L14" s="11">
        <f t="shared" si="12"/>
        <v>0</v>
      </c>
      <c r="M14" s="11">
        <f t="shared" si="12"/>
        <v>0</v>
      </c>
      <c r="N14" s="11">
        <f t="shared" si="12"/>
        <v>0</v>
      </c>
      <c r="O14" s="11">
        <f t="shared" si="12"/>
        <v>-3000</v>
      </c>
      <c r="P14" s="185">
        <f t="shared" si="12"/>
        <v>-72</v>
      </c>
      <c r="Q14" s="12">
        <f t="shared" si="2"/>
        <v>-3072</v>
      </c>
      <c r="R14" s="184">
        <f>-(R12*$D$4)</f>
        <v>-480</v>
      </c>
      <c r="S14" s="11">
        <f t="shared" ref="S14:U14" si="13">-(S12*$D$4)</f>
        <v>-3480</v>
      </c>
      <c r="T14" s="11">
        <f t="shared" si="13"/>
        <v>-570</v>
      </c>
      <c r="U14" s="185">
        <f t="shared" si="13"/>
        <v>-3480</v>
      </c>
      <c r="V14" s="12">
        <f t="shared" si="6"/>
        <v>-8010</v>
      </c>
      <c r="W14" s="186">
        <f>-(W12*$D$4)</f>
        <v>-14658</v>
      </c>
      <c r="X14" s="187">
        <f>-(X12*$D$4)</f>
        <v>-26730</v>
      </c>
    </row>
    <row r="15" spans="1:24" ht="18.75" customHeight="1" outlineLevel="1" x14ac:dyDescent="0.25">
      <c r="A15" s="183" t="s">
        <v>109</v>
      </c>
      <c r="B15" s="814" t="s">
        <v>102</v>
      </c>
      <c r="C15" s="814"/>
      <c r="D15" s="815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109</v>
      </c>
      <c r="B16" s="816" t="s">
        <v>103</v>
      </c>
      <c r="C16" s="816"/>
      <c r="D16" s="817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18" t="s">
        <v>106</v>
      </c>
      <c r="B18" s="819"/>
      <c r="C18" s="819"/>
      <c r="D18" s="820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0</v>
      </c>
      <c r="L18" s="173">
        <f t="shared" si="14"/>
        <v>0</v>
      </c>
      <c r="M18" s="173">
        <f t="shared" si="14"/>
        <v>0</v>
      </c>
      <c r="N18" s="173">
        <f t="shared" si="14"/>
        <v>0</v>
      </c>
      <c r="O18" s="173">
        <f t="shared" si="14"/>
        <v>97000</v>
      </c>
      <c r="P18" s="174">
        <f t="shared" si="14"/>
        <v>2328</v>
      </c>
      <c r="Q18" s="175">
        <f t="shared" si="2"/>
        <v>99328</v>
      </c>
      <c r="R18" s="176">
        <f t="shared" si="14"/>
        <v>15520</v>
      </c>
      <c r="S18" s="173">
        <f t="shared" ref="S18" si="15">SUM(S12:S16)</f>
        <v>112520</v>
      </c>
      <c r="T18" s="173">
        <f t="shared" ref="T18" si="16">SUM(T12:T16)</f>
        <v>18430</v>
      </c>
      <c r="U18" s="174">
        <f t="shared" ref="U18:X18" si="17">SUM(U12:U16)</f>
        <v>112520</v>
      </c>
      <c r="V18" s="175">
        <f t="shared" si="17"/>
        <v>258990</v>
      </c>
      <c r="W18" s="177">
        <f t="shared" si="17"/>
        <v>473942</v>
      </c>
      <c r="X18" s="195">
        <f t="shared" si="17"/>
        <v>864270</v>
      </c>
    </row>
    <row r="19" spans="1:24" ht="18.75" customHeight="1" outlineLevel="1" thickTop="1" x14ac:dyDescent="0.25">
      <c r="A19" s="157" t="s">
        <v>108</v>
      </c>
      <c r="B19" s="821" t="str">
        <f>Plankosten!A31</f>
        <v>Materialeinsatz</v>
      </c>
      <c r="C19" s="821"/>
      <c r="D19" s="822"/>
      <c r="E19" s="179">
        <f>-Plankosten!E36</f>
        <v>0</v>
      </c>
      <c r="F19" s="7">
        <f>-Plankosten!F36</f>
        <v>0</v>
      </c>
      <c r="G19" s="7">
        <f>-Plankosten!G36</f>
        <v>0</v>
      </c>
      <c r="H19" s="7">
        <f>-Plankosten!H36</f>
        <v>0</v>
      </c>
      <c r="I19" s="7">
        <f>-Plankosten!I36</f>
        <v>0</v>
      </c>
      <c r="J19" s="7">
        <f>-Plankosten!J36</f>
        <v>0</v>
      </c>
      <c r="K19" s="7">
        <f>-Plankosten!K36</f>
        <v>0</v>
      </c>
      <c r="L19" s="7">
        <f>-Plankosten!L36</f>
        <v>0</v>
      </c>
      <c r="M19" s="7">
        <f>-Plankosten!M36</f>
        <v>0</v>
      </c>
      <c r="N19" s="7">
        <f>-Plankosten!N36</f>
        <v>0</v>
      </c>
      <c r="O19" s="7">
        <f>-Plankosten!O36</f>
        <v>0</v>
      </c>
      <c r="P19" s="180">
        <f>-Plankosten!P36</f>
        <v>0</v>
      </c>
      <c r="Q19" s="8">
        <f t="shared" si="2"/>
        <v>0</v>
      </c>
      <c r="R19" s="179">
        <f>-Plankosten!R36</f>
        <v>0</v>
      </c>
      <c r="S19" s="7">
        <f>-Plankosten!S36</f>
        <v>0</v>
      </c>
      <c r="T19" s="7">
        <f>-Plankosten!T36</f>
        <v>0</v>
      </c>
      <c r="U19" s="180">
        <f>-Plankosten!U36</f>
        <v>0</v>
      </c>
      <c r="V19" s="8">
        <f t="shared" si="6"/>
        <v>0</v>
      </c>
      <c r="W19" s="181">
        <f>-Plankosten!W36</f>
        <v>0</v>
      </c>
      <c r="X19" s="182">
        <f>-Plankosten!X36</f>
        <v>0</v>
      </c>
    </row>
    <row r="20" spans="1:24" ht="18.75" customHeight="1" outlineLevel="1" thickBot="1" x14ac:dyDescent="0.3">
      <c r="A20" s="158" t="s">
        <v>108</v>
      </c>
      <c r="B20" s="816" t="str">
        <f>Plankosten!A38</f>
        <v>Roh-, Betriebs- uns Hilfsstoffe</v>
      </c>
      <c r="C20" s="816"/>
      <c r="D20" s="817"/>
      <c r="E20" s="196">
        <f>-Plankosten!E43</f>
        <v>0</v>
      </c>
      <c r="F20" s="129">
        <f>-Plankosten!F43</f>
        <v>0</v>
      </c>
      <c r="G20" s="129">
        <f>-Plankosten!G43</f>
        <v>0</v>
      </c>
      <c r="H20" s="129">
        <f>-Plankosten!H43</f>
        <v>0</v>
      </c>
      <c r="I20" s="129">
        <f>-Plankosten!I43</f>
        <v>0</v>
      </c>
      <c r="J20" s="129">
        <f>-Plankosten!J43</f>
        <v>0</v>
      </c>
      <c r="K20" s="129">
        <f>-Plankosten!K43</f>
        <v>0</v>
      </c>
      <c r="L20" s="129">
        <f>-Plankosten!L43</f>
        <v>0</v>
      </c>
      <c r="M20" s="129">
        <f>-Plankosten!M43</f>
        <v>0</v>
      </c>
      <c r="N20" s="129">
        <f>-Plankosten!N43</f>
        <v>0</v>
      </c>
      <c r="O20" s="129">
        <f>-Plankosten!O43</f>
        <v>0</v>
      </c>
      <c r="P20" s="159">
        <f>-Plankosten!P43</f>
        <v>0</v>
      </c>
      <c r="Q20" s="134">
        <f t="shared" si="2"/>
        <v>0</v>
      </c>
      <c r="R20" s="196">
        <f>-Plankosten!R43</f>
        <v>0</v>
      </c>
      <c r="S20" s="129">
        <f>-Plankosten!S43</f>
        <v>0</v>
      </c>
      <c r="T20" s="129">
        <f>-Plankosten!T43</f>
        <v>0</v>
      </c>
      <c r="U20" s="159">
        <f>-Plankosten!U43</f>
        <v>0</v>
      </c>
      <c r="V20" s="134">
        <f t="shared" si="6"/>
        <v>0</v>
      </c>
      <c r="W20" s="197">
        <f>-Plankosten!W43</f>
        <v>0</v>
      </c>
      <c r="X20" s="198">
        <f>-Plankosten!X43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18" t="s">
        <v>107</v>
      </c>
      <c r="B22" s="819"/>
      <c r="C22" s="819"/>
      <c r="D22" s="820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0</v>
      </c>
      <c r="L22" s="173">
        <f t="shared" si="18"/>
        <v>0</v>
      </c>
      <c r="M22" s="173">
        <f t="shared" si="18"/>
        <v>0</v>
      </c>
      <c r="N22" s="173">
        <f t="shared" si="18"/>
        <v>0</v>
      </c>
      <c r="O22" s="173">
        <f t="shared" si="18"/>
        <v>97000</v>
      </c>
      <c r="P22" s="174">
        <f t="shared" si="18"/>
        <v>2328</v>
      </c>
      <c r="Q22" s="175">
        <f t="shared" si="2"/>
        <v>99328</v>
      </c>
      <c r="R22" s="176">
        <f t="shared" si="18"/>
        <v>15520</v>
      </c>
      <c r="S22" s="173">
        <f t="shared" si="18"/>
        <v>112520</v>
      </c>
      <c r="T22" s="173">
        <f t="shared" si="18"/>
        <v>18430</v>
      </c>
      <c r="U22" s="174">
        <f t="shared" si="18"/>
        <v>112520</v>
      </c>
      <c r="V22" s="175">
        <f t="shared" si="18"/>
        <v>258990</v>
      </c>
      <c r="W22" s="177">
        <f t="shared" si="18"/>
        <v>473942</v>
      </c>
      <c r="X22" s="195">
        <f t="shared" si="18"/>
        <v>864270</v>
      </c>
    </row>
    <row r="23" spans="1:24" ht="18.75" customHeight="1" outlineLevel="1" thickTop="1" x14ac:dyDescent="0.25">
      <c r="A23" s="157" t="s">
        <v>108</v>
      </c>
      <c r="B23" s="821" t="str">
        <f>Plankosten!A23</f>
        <v>Personalkosten</v>
      </c>
      <c r="C23" s="821"/>
      <c r="D23" s="822"/>
      <c r="E23" s="179">
        <f>-Plankosten!E29</f>
        <v>-10840</v>
      </c>
      <c r="F23" s="7">
        <f>-Plankosten!F29</f>
        <v>-13148</v>
      </c>
      <c r="G23" s="7">
        <f>-Plankosten!G29</f>
        <v>-16796</v>
      </c>
      <c r="H23" s="7">
        <f>-Plankosten!H29</f>
        <v>-16796</v>
      </c>
      <c r="I23" s="7">
        <f>-Plankosten!I29</f>
        <v>-32619.166666666664</v>
      </c>
      <c r="J23" s="7">
        <f>-Plankosten!J29</f>
        <v>-16796</v>
      </c>
      <c r="K23" s="7">
        <f>-Plankosten!K29</f>
        <v>-16796</v>
      </c>
      <c r="L23" s="7">
        <f>-Plankosten!L29</f>
        <v>-16796</v>
      </c>
      <c r="M23" s="7">
        <f>-Plankosten!M29</f>
        <v>-16796</v>
      </c>
      <c r="N23" s="7">
        <f>-Plankosten!N29</f>
        <v>-16796</v>
      </c>
      <c r="O23" s="7">
        <f>-Plankosten!O29</f>
        <v>-32619.166666666664</v>
      </c>
      <c r="P23" s="180">
        <f>-Plankosten!P29</f>
        <v>-16796</v>
      </c>
      <c r="Q23" s="8">
        <f t="shared" si="2"/>
        <v>-223594.33333333331</v>
      </c>
      <c r="R23" s="179">
        <f>-Plankosten!R29</f>
        <v>-52880.4</v>
      </c>
      <c r="S23" s="7">
        <f>-Plankosten!S29</f>
        <v>-70327.199999999997</v>
      </c>
      <c r="T23" s="7">
        <f>-Plankosten!T29</f>
        <v>-52880.4</v>
      </c>
      <c r="U23" s="180">
        <f>-Plankosten!U29</f>
        <v>-70327.199999999997</v>
      </c>
      <c r="V23" s="8">
        <f t="shared" si="6"/>
        <v>-246415.2</v>
      </c>
      <c r="W23" s="181">
        <f>-Plankosten!W29</f>
        <v>-258627.96000000002</v>
      </c>
      <c r="X23" s="182">
        <f>-Plankosten!X29</f>
        <v>-271451.35800000007</v>
      </c>
    </row>
    <row r="24" spans="1:24" ht="30" customHeight="1" outlineLevel="1" x14ac:dyDescent="0.25">
      <c r="A24" s="183" t="s">
        <v>108</v>
      </c>
      <c r="B24" s="829" t="str">
        <f>Plankosten!A45</f>
        <v>Sonstige betriebliche Aufwendungen
(Miete, Pacht, Betriebskosten)</v>
      </c>
      <c r="C24" s="829"/>
      <c r="D24" s="830"/>
      <c r="E24" s="184">
        <f>-Plankosten!E52</f>
        <v>-1271</v>
      </c>
      <c r="F24" s="11">
        <f>-Plankosten!F52</f>
        <v>-1271</v>
      </c>
      <c r="G24" s="11">
        <f>-Plankosten!G52</f>
        <v>-1271</v>
      </c>
      <c r="H24" s="11">
        <f>-Plankosten!H52</f>
        <v>-1271</v>
      </c>
      <c r="I24" s="11">
        <f>-Plankosten!I52</f>
        <v>-1271</v>
      </c>
      <c r="J24" s="11">
        <f>-Plankosten!J52</f>
        <v>-1271</v>
      </c>
      <c r="K24" s="11">
        <f>-Plankosten!K52</f>
        <v>-1271</v>
      </c>
      <c r="L24" s="11">
        <f>-Plankosten!L52</f>
        <v>-1271</v>
      </c>
      <c r="M24" s="11">
        <f>-Plankosten!M52</f>
        <v>-1271</v>
      </c>
      <c r="N24" s="11">
        <f>-Plankosten!N52</f>
        <v>-1271</v>
      </c>
      <c r="O24" s="11">
        <f>-Plankosten!O52</f>
        <v>-1271</v>
      </c>
      <c r="P24" s="185">
        <f>-Plankosten!P52</f>
        <v>-1271</v>
      </c>
      <c r="Q24" s="12">
        <f t="shared" si="2"/>
        <v>-15252</v>
      </c>
      <c r="R24" s="184">
        <f>-Plankosten!R52</f>
        <v>-3813</v>
      </c>
      <c r="S24" s="11">
        <f>-Plankosten!S52</f>
        <v>-3813</v>
      </c>
      <c r="T24" s="11">
        <f>-Plankosten!T52</f>
        <v>-3813</v>
      </c>
      <c r="U24" s="185">
        <f>-Plankosten!U52</f>
        <v>-3813</v>
      </c>
      <c r="V24" s="12">
        <f t="shared" si="6"/>
        <v>-15252</v>
      </c>
      <c r="W24" s="186">
        <f>-Plankosten!W52</f>
        <v>-15252</v>
      </c>
      <c r="X24" s="187">
        <f>-Plankosten!X52</f>
        <v>-15252</v>
      </c>
    </row>
    <row r="25" spans="1:24" ht="18.75" customHeight="1" outlineLevel="1" x14ac:dyDescent="0.25">
      <c r="A25" s="183" t="s">
        <v>108</v>
      </c>
      <c r="B25" s="814" t="str">
        <f>Plankosten!A54</f>
        <v>Instandhaltung</v>
      </c>
      <c r="C25" s="814"/>
      <c r="D25" s="815"/>
      <c r="E25" s="184">
        <f>-Plankosten!E59</f>
        <v>0</v>
      </c>
      <c r="F25" s="11">
        <f>-Plankosten!F59</f>
        <v>0</v>
      </c>
      <c r="G25" s="11">
        <f>-Plankosten!G59</f>
        <v>0</v>
      </c>
      <c r="H25" s="11">
        <f>-Plankosten!H59</f>
        <v>0</v>
      </c>
      <c r="I25" s="11">
        <f>-Plankosten!I59</f>
        <v>0</v>
      </c>
      <c r="J25" s="11">
        <f>-Plankosten!J59</f>
        <v>0</v>
      </c>
      <c r="K25" s="11">
        <f>-Plankosten!K59</f>
        <v>0</v>
      </c>
      <c r="L25" s="11">
        <f>-Plankosten!L59</f>
        <v>0</v>
      </c>
      <c r="M25" s="11">
        <f>-Plankosten!M59</f>
        <v>0</v>
      </c>
      <c r="N25" s="11">
        <f>-Plankosten!N59</f>
        <v>0</v>
      </c>
      <c r="O25" s="11">
        <f>-Plankosten!O59</f>
        <v>0</v>
      </c>
      <c r="P25" s="185">
        <f>-Plankosten!P59</f>
        <v>-2000</v>
      </c>
      <c r="Q25" s="12">
        <f t="shared" si="2"/>
        <v>-2000</v>
      </c>
      <c r="R25" s="184">
        <f>-Plankosten!R59</f>
        <v>0</v>
      </c>
      <c r="S25" s="11">
        <f>-Plankosten!S59</f>
        <v>0</v>
      </c>
      <c r="T25" s="11">
        <f>-Plankosten!T59</f>
        <v>0</v>
      </c>
      <c r="U25" s="185">
        <f>-Plankosten!U59</f>
        <v>-2000</v>
      </c>
      <c r="V25" s="12">
        <f t="shared" si="6"/>
        <v>-2000</v>
      </c>
      <c r="W25" s="186">
        <f>-Plankosten!W59</f>
        <v>-2000</v>
      </c>
      <c r="X25" s="187">
        <f>-Plankosten!X59</f>
        <v>-2000</v>
      </c>
    </row>
    <row r="26" spans="1:24" ht="18.75" customHeight="1" outlineLevel="1" x14ac:dyDescent="0.25">
      <c r="A26" s="183" t="s">
        <v>108</v>
      </c>
      <c r="B26" s="814" t="str">
        <f>Plankosten!A61</f>
        <v>Kfz-Kosten und Reisekosten</v>
      </c>
      <c r="C26" s="814"/>
      <c r="D26" s="815"/>
      <c r="E26" s="184">
        <f>-Plankosten!E68</f>
        <v>-2000</v>
      </c>
      <c r="F26" s="11">
        <f>-Plankosten!F68</f>
        <v>-500</v>
      </c>
      <c r="G26" s="11">
        <f>-Plankosten!G68</f>
        <v>-500</v>
      </c>
      <c r="H26" s="11">
        <f>-Plankosten!H68</f>
        <v>-500</v>
      </c>
      <c r="I26" s="11">
        <f>-Plankosten!I68</f>
        <v>-500</v>
      </c>
      <c r="J26" s="11">
        <f>-Plankosten!J68</f>
        <v>-500</v>
      </c>
      <c r="K26" s="11">
        <f>-Plankosten!K68</f>
        <v>-500</v>
      </c>
      <c r="L26" s="11">
        <f>-Plankosten!L68</f>
        <v>-500</v>
      </c>
      <c r="M26" s="11">
        <f>-Plankosten!M68</f>
        <v>-500</v>
      </c>
      <c r="N26" s="11">
        <f>-Plankosten!N68</f>
        <v>-500</v>
      </c>
      <c r="O26" s="11">
        <f>-Plankosten!O68</f>
        <v>-500</v>
      </c>
      <c r="P26" s="185">
        <f>-Plankosten!P68</f>
        <v>-500</v>
      </c>
      <c r="Q26" s="12">
        <f t="shared" si="2"/>
        <v>-7500</v>
      </c>
      <c r="R26" s="184">
        <f>-Plankosten!R68</f>
        <v>-4500</v>
      </c>
      <c r="S26" s="11">
        <f>-Plankosten!S68</f>
        <v>-1500</v>
      </c>
      <c r="T26" s="11">
        <f>-Plankosten!T68</f>
        <v>-1500</v>
      </c>
      <c r="U26" s="185">
        <f>-Plankosten!U68</f>
        <v>-1500</v>
      </c>
      <c r="V26" s="12">
        <f t="shared" si="6"/>
        <v>-9000</v>
      </c>
      <c r="W26" s="186">
        <f>-Plankosten!W68</f>
        <v>-9000</v>
      </c>
      <c r="X26" s="187">
        <f>-Plankosten!X68</f>
        <v>-9000</v>
      </c>
    </row>
    <row r="27" spans="1:24" ht="18.75" customHeight="1" outlineLevel="1" x14ac:dyDescent="0.25">
      <c r="A27" s="183" t="s">
        <v>108</v>
      </c>
      <c r="B27" s="814" t="str">
        <f>Plankosten!A70</f>
        <v>Büromaterial</v>
      </c>
      <c r="C27" s="814"/>
      <c r="D27" s="815"/>
      <c r="E27" s="184">
        <f>-Plankosten!E76</f>
        <v>-2200</v>
      </c>
      <c r="F27" s="11">
        <f>-Plankosten!F76</f>
        <v>-2200</v>
      </c>
      <c r="G27" s="11">
        <f>-Plankosten!G76</f>
        <v>-2200</v>
      </c>
      <c r="H27" s="11">
        <f>-Plankosten!H76</f>
        <v>-2200</v>
      </c>
      <c r="I27" s="11">
        <f>-Plankosten!I76</f>
        <v>-2200</v>
      </c>
      <c r="J27" s="11">
        <f>-Plankosten!J76</f>
        <v>-2200</v>
      </c>
      <c r="K27" s="11">
        <f>-Plankosten!K76</f>
        <v>-2200</v>
      </c>
      <c r="L27" s="11">
        <f>-Plankosten!L76</f>
        <v>-2200</v>
      </c>
      <c r="M27" s="11">
        <f>-Plankosten!M76</f>
        <v>-2200</v>
      </c>
      <c r="N27" s="11">
        <f>-Plankosten!N76</f>
        <v>-2200</v>
      </c>
      <c r="O27" s="11">
        <f>-Plankosten!O76</f>
        <v>-2200</v>
      </c>
      <c r="P27" s="185">
        <f>-Plankosten!P76</f>
        <v>-2200</v>
      </c>
      <c r="Q27" s="12">
        <f t="shared" si="2"/>
        <v>-26400</v>
      </c>
      <c r="R27" s="184">
        <f>-Plankosten!R76</f>
        <v>-6600</v>
      </c>
      <c r="S27" s="11">
        <f>-Plankosten!S76</f>
        <v>-6600</v>
      </c>
      <c r="T27" s="11">
        <f>-Plankosten!T76</f>
        <v>-6600</v>
      </c>
      <c r="U27" s="185">
        <f>-Plankosten!U76</f>
        <v>-6600</v>
      </c>
      <c r="V27" s="12">
        <f t="shared" si="6"/>
        <v>-26400</v>
      </c>
      <c r="W27" s="186">
        <f>-Plankosten!W76</f>
        <v>-26400</v>
      </c>
      <c r="X27" s="187">
        <f>-Plankosten!X76</f>
        <v>-26400</v>
      </c>
    </row>
    <row r="28" spans="1:24" ht="18.75" customHeight="1" outlineLevel="1" x14ac:dyDescent="0.25">
      <c r="A28" s="183" t="s">
        <v>108</v>
      </c>
      <c r="B28" s="814" t="str">
        <f>Plankosten!A78</f>
        <v>Telefon / Fax / Internet</v>
      </c>
      <c r="C28" s="814"/>
      <c r="D28" s="815"/>
      <c r="E28" s="184">
        <f>-Plankosten!E84</f>
        <v>-288</v>
      </c>
      <c r="F28" s="11">
        <f>-Plankosten!F84</f>
        <v>-288</v>
      </c>
      <c r="G28" s="11">
        <f>-Plankosten!G84</f>
        <v>-288</v>
      </c>
      <c r="H28" s="11">
        <f>-Plankosten!H84</f>
        <v>-288</v>
      </c>
      <c r="I28" s="11">
        <f>-Plankosten!I84</f>
        <v>-288</v>
      </c>
      <c r="J28" s="11">
        <f>-Plankosten!J84</f>
        <v>-288</v>
      </c>
      <c r="K28" s="11">
        <f>-Plankosten!K84</f>
        <v>-288</v>
      </c>
      <c r="L28" s="11">
        <f>-Plankosten!L84</f>
        <v>-288</v>
      </c>
      <c r="M28" s="11">
        <f>-Plankosten!M84</f>
        <v>-288</v>
      </c>
      <c r="N28" s="11">
        <f>-Plankosten!N84</f>
        <v>-288</v>
      </c>
      <c r="O28" s="11">
        <f>-Plankosten!O84</f>
        <v>-288</v>
      </c>
      <c r="P28" s="185">
        <f>-Plankosten!P84</f>
        <v>-288</v>
      </c>
      <c r="Q28" s="12">
        <f t="shared" si="2"/>
        <v>-3456</v>
      </c>
      <c r="R28" s="184">
        <f>-Plankosten!R84</f>
        <v>-864</v>
      </c>
      <c r="S28" s="11">
        <f>-Plankosten!S84</f>
        <v>-864</v>
      </c>
      <c r="T28" s="11">
        <f>-Plankosten!T84</f>
        <v>-864</v>
      </c>
      <c r="U28" s="185">
        <f>-Plankosten!U84</f>
        <v>-864</v>
      </c>
      <c r="V28" s="12">
        <f t="shared" si="6"/>
        <v>-3456</v>
      </c>
      <c r="W28" s="186">
        <f>-Plankosten!W84</f>
        <v>-3456</v>
      </c>
      <c r="X28" s="187">
        <f>-Plankosten!X84</f>
        <v>-3456</v>
      </c>
    </row>
    <row r="29" spans="1:24" ht="18.75" customHeight="1" outlineLevel="1" x14ac:dyDescent="0.25">
      <c r="A29" s="183" t="s">
        <v>108</v>
      </c>
      <c r="B29" s="814" t="str">
        <f>Plankosten!A86</f>
        <v>Steuer- und Rechtsberatung</v>
      </c>
      <c r="C29" s="814"/>
      <c r="D29" s="815"/>
      <c r="E29" s="184">
        <f>-Plankosten!E93</f>
        <v>-300</v>
      </c>
      <c r="F29" s="11">
        <f>-Plankosten!F93</f>
        <v>-300</v>
      </c>
      <c r="G29" s="11">
        <f>-Plankosten!G93</f>
        <v>-2300</v>
      </c>
      <c r="H29" s="11">
        <f>-Plankosten!H93</f>
        <v>-300</v>
      </c>
      <c r="I29" s="11">
        <f>-Plankosten!I93</f>
        <v>-300</v>
      </c>
      <c r="J29" s="11">
        <f>-Plankosten!J93</f>
        <v>-300</v>
      </c>
      <c r="K29" s="11">
        <f>-Plankosten!K93</f>
        <v>-300</v>
      </c>
      <c r="L29" s="11">
        <f>-Plankosten!L93</f>
        <v>-300</v>
      </c>
      <c r="M29" s="11">
        <f>-Plankosten!M93</f>
        <v>-300</v>
      </c>
      <c r="N29" s="11">
        <f>-Plankosten!N93</f>
        <v>-3300</v>
      </c>
      <c r="O29" s="11">
        <f>-Plankosten!O93</f>
        <v>-300</v>
      </c>
      <c r="P29" s="185">
        <f>-Plankosten!P93</f>
        <v>-300</v>
      </c>
      <c r="Q29" s="12">
        <f t="shared" si="2"/>
        <v>-8600</v>
      </c>
      <c r="R29" s="184">
        <f>-Plankosten!R93</f>
        <v>-900</v>
      </c>
      <c r="S29" s="11">
        <f>-Plankosten!S93</f>
        <v>-900</v>
      </c>
      <c r="T29" s="11">
        <f>-Plankosten!T93</f>
        <v>-900</v>
      </c>
      <c r="U29" s="185">
        <f>-Plankosten!U93</f>
        <v>-3900</v>
      </c>
      <c r="V29" s="12">
        <f t="shared" si="6"/>
        <v>-6600</v>
      </c>
      <c r="W29" s="186">
        <f>-Plankosten!W93</f>
        <v>-6600</v>
      </c>
      <c r="X29" s="187">
        <f>-Plankosten!X93</f>
        <v>-6600</v>
      </c>
    </row>
    <row r="30" spans="1:24" ht="18.75" customHeight="1" outlineLevel="1" x14ac:dyDescent="0.25">
      <c r="A30" s="183" t="s">
        <v>108</v>
      </c>
      <c r="B30" s="814" t="str">
        <f>Plankosten!A95</f>
        <v>Werbungskosten</v>
      </c>
      <c r="C30" s="814"/>
      <c r="D30" s="815"/>
      <c r="E30" s="184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5">
        <f>-Plankosten!P101</f>
        <v>-13000</v>
      </c>
      <c r="Q30" s="12">
        <f t="shared" si="2"/>
        <v>-13000</v>
      </c>
      <c r="R30" s="184">
        <f>-Plankosten!R101</f>
        <v>0</v>
      </c>
      <c r="S30" s="11">
        <f>-Plankosten!S101</f>
        <v>0</v>
      </c>
      <c r="T30" s="11">
        <f>-Plankosten!T101</f>
        <v>0</v>
      </c>
      <c r="U30" s="185">
        <f>-Plankosten!U101</f>
        <v>-13000</v>
      </c>
      <c r="V30" s="12">
        <f t="shared" si="6"/>
        <v>-13000</v>
      </c>
      <c r="W30" s="186">
        <f>-Plankosten!W101</f>
        <v>-13000</v>
      </c>
      <c r="X30" s="187">
        <f>-Plankosten!X101</f>
        <v>-13000</v>
      </c>
    </row>
    <row r="31" spans="1:24" ht="18.75" customHeight="1" outlineLevel="1" x14ac:dyDescent="0.25">
      <c r="A31" s="183" t="s">
        <v>108</v>
      </c>
      <c r="B31" s="814" t="str">
        <f>Plankosten!A103</f>
        <v>Gebühren, Kammerbeiträge</v>
      </c>
      <c r="C31" s="814"/>
      <c r="D31" s="815"/>
      <c r="E31" s="184">
        <f>-Plankosten!E110</f>
        <v>-71.355385194166686</v>
      </c>
      <c r="F31" s="11">
        <f>-Plankosten!F110</f>
        <v>-271.35538519416667</v>
      </c>
      <c r="G31" s="11">
        <f>-Plankosten!G110</f>
        <v>-71.355385194166686</v>
      </c>
      <c r="H31" s="11">
        <f>-Plankosten!H110</f>
        <v>-71.355385194166686</v>
      </c>
      <c r="I31" s="11">
        <f>-Plankosten!I110</f>
        <v>-271.35538519416667</v>
      </c>
      <c r="J31" s="11">
        <f>-Plankosten!J110</f>
        <v>-71.355385194166686</v>
      </c>
      <c r="K31" s="11">
        <f>-Plankosten!K110</f>
        <v>-71.355385194166686</v>
      </c>
      <c r="L31" s="11">
        <f>-Plankosten!L110</f>
        <v>-271.35538519416667</v>
      </c>
      <c r="M31" s="11">
        <f>-Plankosten!M110</f>
        <v>-71.355385194166686</v>
      </c>
      <c r="N31" s="11">
        <f>-Plankosten!N110</f>
        <v>-71.355385194166686</v>
      </c>
      <c r="O31" s="11">
        <f>-Plankosten!O110</f>
        <v>-271.35538519416667</v>
      </c>
      <c r="P31" s="185">
        <f>-Plankosten!P110</f>
        <v>-71.355385194166686</v>
      </c>
      <c r="Q31" s="12">
        <f t="shared" si="2"/>
        <v>-1656.2646223300005</v>
      </c>
      <c r="R31" s="184">
        <f>-Plankosten!R110</f>
        <v>-414.06615558250007</v>
      </c>
      <c r="S31" s="11">
        <f>-Plankosten!S110</f>
        <v>-414.06615558250007</v>
      </c>
      <c r="T31" s="11">
        <f>-Plankosten!T110</f>
        <v>-414.06615558250007</v>
      </c>
      <c r="U31" s="185">
        <f>-Plankosten!U110</f>
        <v>-414.06615558250007</v>
      </c>
      <c r="V31" s="12">
        <f t="shared" si="6"/>
        <v>-1656.2646223300003</v>
      </c>
      <c r="W31" s="186">
        <f>-Plankosten!W110</f>
        <v>-1656.2646223300003</v>
      </c>
      <c r="X31" s="187">
        <f>-Plankosten!X110</f>
        <v>-1656.2646223300003</v>
      </c>
    </row>
    <row r="32" spans="1:24" ht="18.75" customHeight="1" outlineLevel="1" x14ac:dyDescent="0.25">
      <c r="A32" s="183" t="s">
        <v>108</v>
      </c>
      <c r="B32" s="814" t="str">
        <f>Plankosten!A112</f>
        <v>Betriebsversicherung</v>
      </c>
      <c r="C32" s="814"/>
      <c r="D32" s="815"/>
      <c r="E32" s="184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5">
        <f>-Plankosten!P117</f>
        <v>0</v>
      </c>
      <c r="Q32" s="12">
        <f t="shared" si="2"/>
        <v>0</v>
      </c>
      <c r="R32" s="184">
        <f>-Plankosten!R117</f>
        <v>0</v>
      </c>
      <c r="S32" s="11">
        <f>-Plankosten!S117</f>
        <v>0</v>
      </c>
      <c r="T32" s="11">
        <f>-Plankosten!T117</f>
        <v>0</v>
      </c>
      <c r="U32" s="185">
        <f>-Plankosten!U117</f>
        <v>0</v>
      </c>
      <c r="V32" s="12">
        <f t="shared" si="6"/>
        <v>0</v>
      </c>
      <c r="W32" s="186">
        <f>-Plankosten!W117</f>
        <v>0</v>
      </c>
      <c r="X32" s="187">
        <f>-Plankosten!X117</f>
        <v>0</v>
      </c>
    </row>
    <row r="33" spans="1:24" ht="18.75" customHeight="1" outlineLevel="1" x14ac:dyDescent="0.25">
      <c r="A33" s="183" t="s">
        <v>108</v>
      </c>
      <c r="B33" s="814" t="str">
        <f>Plankosten!A119</f>
        <v>Leasinggebühren</v>
      </c>
      <c r="C33" s="814"/>
      <c r="D33" s="815"/>
      <c r="E33" s="184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5">
        <f>-Plankosten!P124</f>
        <v>-1500</v>
      </c>
      <c r="Q33" s="12">
        <f t="shared" si="2"/>
        <v>-18000</v>
      </c>
      <c r="R33" s="184">
        <f>-Plankosten!R124</f>
        <v>-4500</v>
      </c>
      <c r="S33" s="11">
        <f>-Plankosten!S124</f>
        <v>-4500</v>
      </c>
      <c r="T33" s="11">
        <f>-Plankosten!T124</f>
        <v>-4500</v>
      </c>
      <c r="U33" s="185">
        <f>-Plankosten!U124</f>
        <v>-4500</v>
      </c>
      <c r="V33" s="12">
        <f t="shared" si="6"/>
        <v>-18000</v>
      </c>
      <c r="W33" s="186">
        <f>-Plankosten!W124</f>
        <v>0</v>
      </c>
      <c r="X33" s="187">
        <f>-Plankosten!X124</f>
        <v>0</v>
      </c>
    </row>
    <row r="34" spans="1:24" ht="18.75" customHeight="1" outlineLevel="1" x14ac:dyDescent="0.25">
      <c r="A34" s="183" t="s">
        <v>108</v>
      </c>
      <c r="B34" s="814" t="str">
        <f>Plankosten!A126</f>
        <v>Spesen-, Bank-, Kreditgebühren</v>
      </c>
      <c r="C34" s="814"/>
      <c r="D34" s="815"/>
      <c r="E34" s="184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5">
        <f>-Plankosten!P131</f>
        <v>0</v>
      </c>
      <c r="Q34" s="12">
        <f t="shared" si="2"/>
        <v>-200</v>
      </c>
      <c r="R34" s="184">
        <f>-Plankosten!R131</f>
        <v>-50</v>
      </c>
      <c r="S34" s="11">
        <f>-Plankosten!S131</f>
        <v>-50</v>
      </c>
      <c r="T34" s="11">
        <f>-Plankosten!T131</f>
        <v>-50</v>
      </c>
      <c r="U34" s="185">
        <f>-Plankosten!U131</f>
        <v>-50</v>
      </c>
      <c r="V34" s="12">
        <f t="shared" si="6"/>
        <v>-200</v>
      </c>
      <c r="W34" s="186">
        <f>-Plankosten!W131</f>
        <v>-200</v>
      </c>
      <c r="X34" s="187">
        <f>-Plankosten!X131</f>
        <v>-200</v>
      </c>
    </row>
    <row r="35" spans="1:24" ht="18.75" customHeight="1" outlineLevel="1" x14ac:dyDescent="0.25">
      <c r="A35" s="183" t="s">
        <v>108</v>
      </c>
      <c r="B35" s="814" t="str">
        <f>Plankosten!A133</f>
        <v>Sonstige Kosten</v>
      </c>
      <c r="C35" s="814"/>
      <c r="D35" s="815"/>
      <c r="E35" s="184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5">
        <f>-Plankosten!P139</f>
        <v>0</v>
      </c>
      <c r="Q35" s="12">
        <f t="shared" si="2"/>
        <v>-15000</v>
      </c>
      <c r="R35" s="184">
        <f>-Plankosten!R139</f>
        <v>0</v>
      </c>
      <c r="S35" s="11">
        <f>-Plankosten!S139</f>
        <v>-15000</v>
      </c>
      <c r="T35" s="11">
        <f>-Plankosten!T139</f>
        <v>0</v>
      </c>
      <c r="U35" s="185">
        <f>-Plankosten!U139</f>
        <v>0</v>
      </c>
      <c r="V35" s="12">
        <f t="shared" si="6"/>
        <v>-15000</v>
      </c>
      <c r="W35" s="186">
        <f>-Plankosten!W139</f>
        <v>-15000</v>
      </c>
      <c r="X35" s="187">
        <f>-Plankosten!X139</f>
        <v>-15000</v>
      </c>
    </row>
    <row r="36" spans="1:24" ht="18.75" customHeight="1" outlineLevel="1" thickBot="1" x14ac:dyDescent="0.3">
      <c r="A36" s="158" t="s">
        <v>108</v>
      </c>
      <c r="B36" s="816" t="s">
        <v>132</v>
      </c>
      <c r="C36" s="816"/>
      <c r="D36" s="817"/>
      <c r="E36" s="196">
        <f>-(Abschreibung!$F$14/12)</f>
        <v>-1081.25</v>
      </c>
      <c r="F36" s="129">
        <f>-(Abschreibung!$F$14/12)</f>
        <v>-1081.25</v>
      </c>
      <c r="G36" s="129">
        <f>-(Abschreibung!$F$14/12)</f>
        <v>-1081.25</v>
      </c>
      <c r="H36" s="129">
        <f>-(Abschreibung!$F$14/12)</f>
        <v>-1081.25</v>
      </c>
      <c r="I36" s="129">
        <f>-(Abschreibung!$F$14/12)</f>
        <v>-1081.25</v>
      </c>
      <c r="J36" s="129">
        <f>-(Abschreibung!$F$14/12)</f>
        <v>-1081.25</v>
      </c>
      <c r="K36" s="129">
        <f>-(Abschreibung!$F$14/12)</f>
        <v>-1081.25</v>
      </c>
      <c r="L36" s="129">
        <f>-(Abschreibung!$F$14/12)</f>
        <v>-1081.25</v>
      </c>
      <c r="M36" s="129">
        <f>-(Abschreibung!$F$14/12)</f>
        <v>-1081.25</v>
      </c>
      <c r="N36" s="129">
        <f>-(Abschreibung!$F$14/12)</f>
        <v>-1081.25</v>
      </c>
      <c r="O36" s="129">
        <f>-(Abschreibung!$F$14/12)</f>
        <v>-1081.25</v>
      </c>
      <c r="P36" s="159">
        <f>-(Abschreibung!$F$14/12)</f>
        <v>-1081.25</v>
      </c>
      <c r="Q36" s="134">
        <f t="shared" si="2"/>
        <v>-12975</v>
      </c>
      <c r="R36" s="159">
        <f>-(Abschreibung!$H$14/4)</f>
        <v>-3243.75</v>
      </c>
      <c r="S36" s="129">
        <f>-(Abschreibung!$H$14/4)</f>
        <v>-3243.75</v>
      </c>
      <c r="T36" s="129">
        <f>-(Abschreibung!$H$14/4)</f>
        <v>-3243.75</v>
      </c>
      <c r="U36" s="159">
        <f>-(Abschreibung!$H$14/4)</f>
        <v>-3243.75</v>
      </c>
      <c r="V36" s="134">
        <f t="shared" si="6"/>
        <v>-12975</v>
      </c>
      <c r="W36" s="197">
        <f>-(Abschreibung!$I$14)</f>
        <v>-37550</v>
      </c>
      <c r="X36" s="198">
        <f>-(Abschreibung!$K$14)</f>
        <v>-24575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18" t="s">
        <v>114</v>
      </c>
      <c r="B38" s="819"/>
      <c r="C38" s="819"/>
      <c r="D38" s="820"/>
      <c r="E38" s="176">
        <f>SUM(E22:E36)</f>
        <v>-19601.605385194165</v>
      </c>
      <c r="F38" s="173">
        <f t="shared" ref="F38:P38" si="19">SUM(F22:F36)</f>
        <v>-20559.605385194165</v>
      </c>
      <c r="G38" s="173">
        <f t="shared" si="19"/>
        <v>-26007.605385194165</v>
      </c>
      <c r="H38" s="173">
        <f t="shared" si="19"/>
        <v>-24057.605385194165</v>
      </c>
      <c r="I38" s="173">
        <f t="shared" si="19"/>
        <v>-55030.772051860833</v>
      </c>
      <c r="J38" s="173">
        <f t="shared" si="19"/>
        <v>-24007.605385194165</v>
      </c>
      <c r="K38" s="173">
        <f t="shared" si="19"/>
        <v>-24057.605385194165</v>
      </c>
      <c r="L38" s="173">
        <f t="shared" si="19"/>
        <v>-24207.605385194165</v>
      </c>
      <c r="M38" s="173">
        <f t="shared" si="19"/>
        <v>-24007.605385194165</v>
      </c>
      <c r="N38" s="173">
        <f t="shared" si="19"/>
        <v>-27057.605385194165</v>
      </c>
      <c r="O38" s="173">
        <f t="shared" si="19"/>
        <v>56969.227948139167</v>
      </c>
      <c r="P38" s="174">
        <f t="shared" si="19"/>
        <v>-36679.605385194169</v>
      </c>
      <c r="Q38" s="175">
        <f t="shared" ref="Q38" si="20">SUM(Q22:Q36)</f>
        <v>-248305.59795566331</v>
      </c>
      <c r="R38" s="176">
        <f t="shared" ref="R38" si="21">SUM(R22:R36)</f>
        <v>-62245.216155582501</v>
      </c>
      <c r="S38" s="173">
        <f t="shared" ref="S38" si="22">SUM(S22:S36)</f>
        <v>5307.9838444175039</v>
      </c>
      <c r="T38" s="173">
        <f t="shared" ref="T38" si="23">SUM(T22:T36)</f>
        <v>-56335.216155582501</v>
      </c>
      <c r="U38" s="174">
        <f t="shared" ref="U38" si="24">SUM(U22:U36)</f>
        <v>2307.983844417502</v>
      </c>
      <c r="V38" s="175">
        <f t="shared" ref="V38" si="25">SUM(V22:V36)</f>
        <v>-110964.46462233001</v>
      </c>
      <c r="W38" s="177">
        <f t="shared" ref="W38" si="26">SUM(W22:W36)</f>
        <v>85199.775377669983</v>
      </c>
      <c r="X38" s="195">
        <f t="shared" ref="X38" si="27">SUM(X22:X36)</f>
        <v>475679.37737766997</v>
      </c>
    </row>
    <row r="39" spans="1:24" ht="18.75" customHeight="1" outlineLevel="1" thickTop="1" x14ac:dyDescent="0.25">
      <c r="A39" s="157" t="s">
        <v>108</v>
      </c>
      <c r="B39" s="821" t="s">
        <v>174</v>
      </c>
      <c r="C39" s="821"/>
      <c r="D39" s="822"/>
      <c r="E39" s="179">
        <f>-(Liquiditätsplan!E84+Liquiditätsplan!E86)/3</f>
        <v>-221.0221653889563</v>
      </c>
      <c r="F39" s="7">
        <f>-(Liquiditätsplan!E84+Liquiditätsplan!E86)/3</f>
        <v>-221.0221653889563</v>
      </c>
      <c r="G39" s="7">
        <f>-(Liquiditätsplan!E84+Liquiditätsplan!E86)/3</f>
        <v>-221.0221653889563</v>
      </c>
      <c r="H39" s="7">
        <f>-(Liquiditätsplan!H84+Liquiditätsplan!H86)/3</f>
        <v>-847.46032886082787</v>
      </c>
      <c r="I39" s="7">
        <f>-(Liquiditätsplan!H84+Liquiditätsplan!H86)/3</f>
        <v>-847.46032886082787</v>
      </c>
      <c r="J39" s="7">
        <f>-(Liquiditätsplan!H84+Liquiditätsplan!H86)/3</f>
        <v>-847.46032886082787</v>
      </c>
      <c r="K39" s="7">
        <f>-(Liquiditätsplan!K84+Liquiditätsplan!K86)/3</f>
        <v>-1291.5455047919666</v>
      </c>
      <c r="L39" s="7">
        <f>-(Liquiditätsplan!K84+Liquiditätsplan!K86)/3</f>
        <v>-1291.5455047919666</v>
      </c>
      <c r="M39" s="7">
        <f>-(Liquiditätsplan!K84+Liquiditätsplan!K86)/3</f>
        <v>-1291.5455047919666</v>
      </c>
      <c r="N39" s="7">
        <f>-(Liquiditätsplan!N84+Liquiditätsplan!N86)/3</f>
        <v>-1483.3341153986833</v>
      </c>
      <c r="O39" s="7">
        <f>-(Liquiditätsplan!N84+Liquiditätsplan!N86)/3</f>
        <v>-1483.3341153986833</v>
      </c>
      <c r="P39" s="180">
        <f>-(Liquiditätsplan!N84+Liquiditätsplan!N86)/3</f>
        <v>-1483.3341153986833</v>
      </c>
      <c r="Q39" s="8">
        <f t="shared" si="2"/>
        <v>-11530.086343321304</v>
      </c>
      <c r="R39" s="179">
        <f>-(Liquiditätsplan!R84+Liquiditätsplan!R86)</f>
        <v>-5105.6924930551668</v>
      </c>
      <c r="S39" s="7">
        <f>-(Liquiditätsplan!S84+Liquiditätsplan!S86)</f>
        <v>-5672.0406966832879</v>
      </c>
      <c r="T39" s="7">
        <f>-(Liquiditätsplan!T84+Liquiditätsplan!T86)</f>
        <v>-6008.1041879400636</v>
      </c>
      <c r="U39" s="180">
        <f>-(Liquiditätsplan!U84+Liquiditätsplan!U86)</f>
        <v>-6375.1857669084766</v>
      </c>
      <c r="V39" s="8">
        <f t="shared" si="6"/>
        <v>-23161.023144586994</v>
      </c>
      <c r="W39" s="181">
        <f>-(Liquiditätsplan!W84+Liquiditätsplan!W86)</f>
        <v>-24938.649177939584</v>
      </c>
      <c r="X39" s="182">
        <f>-(Liquiditätsplan!X84+Liquiditätsplan!X86)</f>
        <v>-16341.393024542882</v>
      </c>
    </row>
    <row r="40" spans="1:24" ht="18.75" customHeight="1" outlineLevel="1" thickBot="1" x14ac:dyDescent="0.3">
      <c r="A40" s="158" t="s">
        <v>109</v>
      </c>
      <c r="B40" s="816" t="s">
        <v>173</v>
      </c>
      <c r="C40" s="816"/>
      <c r="D40" s="817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0</v>
      </c>
      <c r="X40" s="198">
        <f>Liquiditätsplan!X85</f>
        <v>0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18" t="s">
        <v>119</v>
      </c>
      <c r="B42" s="819"/>
      <c r="C42" s="819"/>
      <c r="D42" s="820"/>
      <c r="E42" s="176">
        <f>SUM(E39:E40)</f>
        <v>-221.0221653889563</v>
      </c>
      <c r="F42" s="173">
        <f t="shared" ref="F42:X42" si="28">SUM(F39:F40)</f>
        <v>-221.0221653889563</v>
      </c>
      <c r="G42" s="173">
        <f t="shared" si="28"/>
        <v>-221.0221653889563</v>
      </c>
      <c r="H42" s="173">
        <f t="shared" si="28"/>
        <v>-847.46032886082787</v>
      </c>
      <c r="I42" s="173">
        <f t="shared" si="28"/>
        <v>-847.46032886082787</v>
      </c>
      <c r="J42" s="173">
        <f t="shared" si="28"/>
        <v>-847.46032886082787</v>
      </c>
      <c r="K42" s="173">
        <f t="shared" si="28"/>
        <v>-1291.5455047919666</v>
      </c>
      <c r="L42" s="173">
        <f t="shared" si="28"/>
        <v>-1291.5455047919666</v>
      </c>
      <c r="M42" s="173">
        <f t="shared" si="28"/>
        <v>-1291.5455047919666</v>
      </c>
      <c r="N42" s="173">
        <f t="shared" si="28"/>
        <v>-1483.3341153986833</v>
      </c>
      <c r="O42" s="173">
        <f t="shared" si="28"/>
        <v>-1483.3341153986833</v>
      </c>
      <c r="P42" s="174">
        <f t="shared" si="28"/>
        <v>-1483.3341153986833</v>
      </c>
      <c r="Q42" s="175">
        <f t="shared" si="28"/>
        <v>-11530.086343321304</v>
      </c>
      <c r="R42" s="176">
        <f t="shared" si="28"/>
        <v>-5105.6924930551668</v>
      </c>
      <c r="S42" s="173">
        <f t="shared" si="28"/>
        <v>-5672.0406966832879</v>
      </c>
      <c r="T42" s="173">
        <f t="shared" si="28"/>
        <v>-6008.1041879400636</v>
      </c>
      <c r="U42" s="174">
        <f t="shared" si="28"/>
        <v>-6375.1857669084766</v>
      </c>
      <c r="V42" s="175">
        <f t="shared" si="28"/>
        <v>-23161.023144586994</v>
      </c>
      <c r="W42" s="177">
        <f t="shared" si="28"/>
        <v>-24938.649177939584</v>
      </c>
      <c r="X42" s="195">
        <f t="shared" si="28"/>
        <v>-16341.393024542882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18" t="s">
        <v>120</v>
      </c>
      <c r="B44" s="819"/>
      <c r="C44" s="819"/>
      <c r="D44" s="820"/>
      <c r="E44" s="176">
        <f>E42+E38</f>
        <v>-19822.627550583122</v>
      </c>
      <c r="F44" s="173">
        <f t="shared" ref="F44:X44" si="29">F42+F38</f>
        <v>-20780.627550583122</v>
      </c>
      <c r="G44" s="173">
        <f t="shared" si="29"/>
        <v>-26228.627550583122</v>
      </c>
      <c r="H44" s="173">
        <f t="shared" si="29"/>
        <v>-24905.065714054992</v>
      </c>
      <c r="I44" s="173">
        <f t="shared" si="29"/>
        <v>-55878.23238072166</v>
      </c>
      <c r="J44" s="173">
        <f t="shared" si="29"/>
        <v>-24855.065714054992</v>
      </c>
      <c r="K44" s="173">
        <f t="shared" si="29"/>
        <v>-25349.150889986133</v>
      </c>
      <c r="L44" s="173">
        <f t="shared" si="29"/>
        <v>-25499.150889986133</v>
      </c>
      <c r="M44" s="173">
        <f t="shared" si="29"/>
        <v>-25299.150889986133</v>
      </c>
      <c r="N44" s="173">
        <f t="shared" si="29"/>
        <v>-28540.939500592849</v>
      </c>
      <c r="O44" s="173">
        <f t="shared" si="29"/>
        <v>55485.893832740483</v>
      </c>
      <c r="P44" s="174">
        <f t="shared" si="29"/>
        <v>-38162.939500592853</v>
      </c>
      <c r="Q44" s="175">
        <f t="shared" si="29"/>
        <v>-259835.68429898462</v>
      </c>
      <c r="R44" s="176">
        <f t="shared" si="29"/>
        <v>-67350.908648637662</v>
      </c>
      <c r="S44" s="173">
        <f t="shared" si="29"/>
        <v>-364.05685226578407</v>
      </c>
      <c r="T44" s="173">
        <f t="shared" si="29"/>
        <v>-62343.320343522566</v>
      </c>
      <c r="U44" s="174">
        <f t="shared" si="29"/>
        <v>-4067.2019224909745</v>
      </c>
      <c r="V44" s="175">
        <f t="shared" si="29"/>
        <v>-134125.48776691701</v>
      </c>
      <c r="W44" s="177">
        <f t="shared" si="29"/>
        <v>60261.126199730395</v>
      </c>
      <c r="X44" s="195">
        <f t="shared" si="29"/>
        <v>459337.98435312707</v>
      </c>
    </row>
    <row r="45" spans="1:24" ht="18.75" customHeight="1" thickTop="1" thickBot="1" x14ac:dyDescent="0.3">
      <c r="A45" s="207" t="s">
        <v>108</v>
      </c>
      <c r="B45" s="833" t="s">
        <v>166</v>
      </c>
      <c r="C45" s="833"/>
      <c r="D45" s="834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-125</v>
      </c>
      <c r="S45" s="208">
        <f t="shared" ref="S45:U45" si="31">$V$45/4</f>
        <v>-125</v>
      </c>
      <c r="T45" s="208">
        <f t="shared" si="31"/>
        <v>-125</v>
      </c>
      <c r="U45" s="209">
        <f t="shared" si="31"/>
        <v>-125</v>
      </c>
      <c r="V45" s="210">
        <f>-V56</f>
        <v>-500</v>
      </c>
      <c r="W45" s="211">
        <f>-W56</f>
        <v>-3766.3203874831497</v>
      </c>
      <c r="X45" s="212">
        <f>-X56</f>
        <v>-28708.624022070442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35" t="s">
        <v>121</v>
      </c>
      <c r="B47" s="836"/>
      <c r="C47" s="836"/>
      <c r="D47" s="837"/>
      <c r="E47" s="226">
        <f>E44+E45</f>
        <v>-19864.29421724979</v>
      </c>
      <c r="F47" s="227">
        <f t="shared" ref="F47:X47" si="32">F44+F45</f>
        <v>-20822.29421724979</v>
      </c>
      <c r="G47" s="227">
        <f t="shared" si="32"/>
        <v>-26270.29421724979</v>
      </c>
      <c r="H47" s="227">
        <f t="shared" si="32"/>
        <v>-24946.73238072166</v>
      </c>
      <c r="I47" s="227">
        <f t="shared" si="32"/>
        <v>-55919.899047388324</v>
      </c>
      <c r="J47" s="227">
        <f t="shared" si="32"/>
        <v>-24896.73238072166</v>
      </c>
      <c r="K47" s="227">
        <f t="shared" si="32"/>
        <v>-25390.817556652801</v>
      </c>
      <c r="L47" s="227">
        <f t="shared" si="32"/>
        <v>-25540.817556652801</v>
      </c>
      <c r="M47" s="227">
        <f t="shared" si="32"/>
        <v>-25340.817556652801</v>
      </c>
      <c r="N47" s="227">
        <f t="shared" si="32"/>
        <v>-28582.606167259517</v>
      </c>
      <c r="O47" s="227">
        <f t="shared" si="32"/>
        <v>55444.227166073819</v>
      </c>
      <c r="P47" s="228">
        <f t="shared" si="32"/>
        <v>-38204.606167259517</v>
      </c>
      <c r="Q47" s="229">
        <f t="shared" si="32"/>
        <v>-260335.68429898462</v>
      </c>
      <c r="R47" s="226">
        <f t="shared" si="32"/>
        <v>-67475.908648637662</v>
      </c>
      <c r="S47" s="227">
        <f t="shared" si="32"/>
        <v>-489.05685226578407</v>
      </c>
      <c r="T47" s="227">
        <f t="shared" si="32"/>
        <v>-62468.320343522566</v>
      </c>
      <c r="U47" s="228">
        <f t="shared" si="32"/>
        <v>-4192.2019224909745</v>
      </c>
      <c r="V47" s="229">
        <f t="shared" si="32"/>
        <v>-134625.48776691701</v>
      </c>
      <c r="W47" s="230">
        <f t="shared" si="32"/>
        <v>56494.805812247243</v>
      </c>
      <c r="X47" s="231">
        <f t="shared" si="32"/>
        <v>430629.36033105664</v>
      </c>
    </row>
    <row r="48" spans="1:24" ht="18.75" customHeight="1" thickBot="1" x14ac:dyDescent="0.3"/>
    <row r="49" spans="1:24" ht="18.75" customHeight="1" x14ac:dyDescent="0.25">
      <c r="A49" s="831" t="s">
        <v>122</v>
      </c>
      <c r="B49" s="831"/>
      <c r="C49" s="831"/>
      <c r="D49" s="831"/>
      <c r="E49" s="831"/>
      <c r="F49" s="831"/>
      <c r="G49" s="831"/>
      <c r="H49" s="831"/>
      <c r="I49" s="831"/>
      <c r="J49" s="831"/>
      <c r="K49" s="831"/>
      <c r="L49" s="831"/>
      <c r="M49" s="831"/>
      <c r="N49" s="831"/>
      <c r="O49" s="831"/>
      <c r="P49" s="832"/>
      <c r="Q49" s="232">
        <f>Q44</f>
        <v>-259835.68429898462</v>
      </c>
      <c r="R49" s="233"/>
      <c r="S49" s="233"/>
      <c r="T49" s="233"/>
      <c r="U49" s="233"/>
      <c r="V49" s="234">
        <f>V44</f>
        <v>-134125.48776691701</v>
      </c>
      <c r="W49" s="234">
        <f>W44</f>
        <v>60261.126199730395</v>
      </c>
      <c r="X49" s="235">
        <f>X44</f>
        <v>459337.98435312707</v>
      </c>
    </row>
    <row r="50" spans="1:24" ht="18.75" customHeight="1" x14ac:dyDescent="0.25">
      <c r="A50" s="831" t="s">
        <v>128</v>
      </c>
      <c r="B50" s="831"/>
      <c r="C50" s="831"/>
      <c r="D50" s="831"/>
      <c r="E50" s="831"/>
      <c r="F50" s="831"/>
      <c r="G50" s="831"/>
      <c r="H50" s="831"/>
      <c r="I50" s="831"/>
      <c r="J50" s="831"/>
      <c r="K50" s="831"/>
      <c r="L50" s="831"/>
      <c r="M50" s="831"/>
      <c r="N50" s="831"/>
      <c r="O50" s="831"/>
      <c r="P50" s="832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0</v>
      </c>
      <c r="W50" s="238">
        <f>IF(W49&lt;0,0,W49*$D$5)</f>
        <v>15065.281549932599</v>
      </c>
      <c r="X50" s="13">
        <f>IF(X49&lt;0,0,X49*$D$5)</f>
        <v>114834.49608828177</v>
      </c>
    </row>
    <row r="51" spans="1:24" ht="18.75" customHeight="1" x14ac:dyDescent="0.25">
      <c r="A51" s="831" t="s">
        <v>123</v>
      </c>
      <c r="B51" s="831"/>
      <c r="C51" s="831"/>
      <c r="D51" s="831"/>
      <c r="E51" s="831"/>
      <c r="F51" s="831"/>
      <c r="G51" s="831"/>
      <c r="H51" s="831"/>
      <c r="I51" s="831"/>
      <c r="J51" s="831"/>
      <c r="K51" s="831"/>
      <c r="L51" s="831"/>
      <c r="M51" s="831"/>
      <c r="N51" s="831"/>
      <c r="O51" s="831"/>
      <c r="P51" s="832"/>
      <c r="Q51" s="236">
        <v>0</v>
      </c>
      <c r="R51" s="237"/>
      <c r="S51" s="237"/>
      <c r="T51" s="237"/>
      <c r="U51" s="237"/>
      <c r="V51" s="238">
        <f>Q52</f>
        <v>-259835.68429898462</v>
      </c>
      <c r="W51" s="238">
        <f>V52</f>
        <v>-393961.17206590163</v>
      </c>
      <c r="X51" s="13">
        <f>W52</f>
        <v>-348765.3274161038</v>
      </c>
    </row>
    <row r="52" spans="1:24" ht="18.75" customHeight="1" x14ac:dyDescent="0.25">
      <c r="A52" s="831" t="s">
        <v>124</v>
      </c>
      <c r="B52" s="831"/>
      <c r="C52" s="831"/>
      <c r="D52" s="831"/>
      <c r="E52" s="831"/>
      <c r="F52" s="831"/>
      <c r="G52" s="831"/>
      <c r="H52" s="831"/>
      <c r="I52" s="831"/>
      <c r="J52" s="831"/>
      <c r="K52" s="831"/>
      <c r="L52" s="831"/>
      <c r="M52" s="831"/>
      <c r="N52" s="831"/>
      <c r="O52" s="831"/>
      <c r="P52" s="832"/>
      <c r="Q52" s="236">
        <f>IF(Q51+(Q49-Q50)&gt;0,0,Q51+(Q49-Q50))</f>
        <v>-259835.68429898462</v>
      </c>
      <c r="R52" s="237"/>
      <c r="S52" s="237"/>
      <c r="T52" s="237"/>
      <c r="U52" s="237"/>
      <c r="V52" s="238">
        <f>IF(V51+(V49-V50)&gt;0,0,V51+(V49-V50))</f>
        <v>-393961.17206590163</v>
      </c>
      <c r="W52" s="238">
        <f>IF(W51+(W49-W50)&gt;0,0,W51+(W49-W50))</f>
        <v>-348765.3274161038</v>
      </c>
      <c r="X52" s="13">
        <f>IF(X51+(X49-X50)&gt;0,0,X51+(X49-X50))</f>
        <v>-4261.839151258464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31"/>
      <c r="O53" s="831"/>
      <c r="P53" s="832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31" t="s">
        <v>125</v>
      </c>
      <c r="B54" s="831"/>
      <c r="C54" s="831"/>
      <c r="D54" s="831"/>
      <c r="E54" s="831"/>
      <c r="F54" s="831"/>
      <c r="G54" s="831"/>
      <c r="H54" s="831"/>
      <c r="I54" s="831"/>
      <c r="J54" s="831"/>
      <c r="K54" s="831"/>
      <c r="L54" s="831"/>
      <c r="M54" s="831"/>
      <c r="N54" s="831"/>
      <c r="O54" s="831"/>
      <c r="P54" s="832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0</v>
      </c>
      <c r="W54" s="244">
        <f>IF(W49*(1-$D$5)&gt;ABS(W51),W49*(1-$D$5)+W51,0)</f>
        <v>0</v>
      </c>
      <c r="X54" s="245">
        <f>IF(X49*(1-$D$5)&gt;ABS(X51),X49*(1-$D$5)+X51,0)</f>
        <v>0</v>
      </c>
    </row>
    <row r="55" spans="1:24" ht="18.75" customHeight="1" thickBot="1" x14ac:dyDescent="0.3">
      <c r="A55" s="831" t="s">
        <v>126</v>
      </c>
      <c r="B55" s="831"/>
      <c r="C55" s="831"/>
      <c r="D55" s="831"/>
      <c r="E55" s="831"/>
      <c r="F55" s="831"/>
      <c r="G55" s="831"/>
      <c r="H55" s="831"/>
      <c r="I55" s="831"/>
      <c r="J55" s="831"/>
      <c r="K55" s="831"/>
      <c r="L55" s="831"/>
      <c r="M55" s="831"/>
      <c r="N55" s="831"/>
      <c r="O55" s="831"/>
      <c r="P55" s="832"/>
      <c r="Q55" s="239">
        <f>SUM(Q50,Q54)</f>
        <v>0</v>
      </c>
      <c r="R55" s="240"/>
      <c r="S55" s="240"/>
      <c r="T55" s="240"/>
      <c r="U55" s="240"/>
      <c r="V55" s="241">
        <f>SUM(V50,V54)</f>
        <v>0</v>
      </c>
      <c r="W55" s="241">
        <f>SUM(W50,W54)</f>
        <v>15065.281549932599</v>
      </c>
      <c r="X55" s="17">
        <f>SUM(X50,X54)</f>
        <v>114834.49608828177</v>
      </c>
    </row>
    <row r="56" spans="1:24" ht="18.75" customHeight="1" thickTop="1" thickBot="1" x14ac:dyDescent="0.3">
      <c r="A56" s="838" t="s">
        <v>129</v>
      </c>
      <c r="B56" s="838"/>
      <c r="C56" s="838"/>
      <c r="D56" s="838"/>
      <c r="E56" s="838"/>
      <c r="F56" s="838"/>
      <c r="G56" s="838"/>
      <c r="H56" s="838"/>
      <c r="I56" s="838"/>
      <c r="J56" s="838"/>
      <c r="K56" s="838"/>
      <c r="L56" s="838"/>
      <c r="M56" s="838"/>
      <c r="N56" s="838"/>
      <c r="O56" s="838"/>
      <c r="P56" s="839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500</v>
      </c>
      <c r="W56" s="248">
        <f>IF(W55*$D$5&lt;500,500,W55*$D$5)</f>
        <v>3766.3203874831497</v>
      </c>
      <c r="X56" s="249">
        <f>IF(X55*$D$5&lt;500,500,X55*$D$5)</f>
        <v>28708.624022070442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BiydH3BbpfKc7TI5x0a0TUEbO0lv98ND2QVdVbHg8Y/YXiy42SnBX1A3n440+cvYmMbPkRwFtW7Wu8KDVvBvyA==" saltValue="NwPHnsGokD1j+amQdlmXuQ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zoomScaleNormal="85" zoomScaleSheetLayoutView="100" workbookViewId="0">
      <selection activeCell="X22" sqref="X22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1" width="13.710937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79" t="s">
        <v>176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1"/>
    </row>
    <row r="2" spans="1:24" ht="15.75" thickBot="1" x14ac:dyDescent="0.3"/>
    <row r="3" spans="1:24" ht="15.75" thickBot="1" x14ac:dyDescent="0.3">
      <c r="A3" s="864" t="s">
        <v>172</v>
      </c>
      <c r="B3" s="865"/>
      <c r="C3" s="866"/>
      <c r="D3" s="388">
        <v>35000</v>
      </c>
    </row>
    <row r="4" spans="1:24" x14ac:dyDescent="0.25">
      <c r="A4" s="867" t="s">
        <v>180</v>
      </c>
      <c r="B4" s="868"/>
      <c r="C4" s="869"/>
      <c r="D4" s="389">
        <v>0.04</v>
      </c>
    </row>
    <row r="5" spans="1:24" x14ac:dyDescent="0.25">
      <c r="A5" s="843" t="s">
        <v>161</v>
      </c>
      <c r="B5" s="844"/>
      <c r="C5" s="845"/>
      <c r="D5" s="390">
        <v>0.06</v>
      </c>
    </row>
    <row r="6" spans="1:24" x14ac:dyDescent="0.25">
      <c r="A6" s="843" t="s">
        <v>162</v>
      </c>
      <c r="B6" s="844"/>
      <c r="C6" s="845"/>
      <c r="D6" s="390">
        <v>1E-3</v>
      </c>
    </row>
    <row r="7" spans="1:24" x14ac:dyDescent="0.25">
      <c r="A7" s="843" t="s">
        <v>101</v>
      </c>
      <c r="B7" s="844"/>
      <c r="C7" s="845"/>
      <c r="D7" s="380">
        <f>'Plan G&amp;V'!D6</f>
        <v>0.2</v>
      </c>
    </row>
    <row r="8" spans="1:24" ht="15.75" thickBot="1" x14ac:dyDescent="0.3">
      <c r="A8" s="846" t="s">
        <v>156</v>
      </c>
      <c r="B8" s="847"/>
      <c r="C8" s="848"/>
      <c r="D8" s="391">
        <v>0.2</v>
      </c>
    </row>
    <row r="9" spans="1:24" ht="18.75" customHeight="1" x14ac:dyDescent="0.25">
      <c r="A9" s="858" t="s">
        <v>246</v>
      </c>
      <c r="B9" s="859"/>
      <c r="C9" s="859"/>
      <c r="D9" s="860"/>
      <c r="E9" s="761" t="s">
        <v>20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2" t="s">
        <v>20</v>
      </c>
      <c r="R9" s="761" t="s">
        <v>25</v>
      </c>
      <c r="S9" s="761"/>
      <c r="T9" s="761"/>
      <c r="U9" s="761"/>
      <c r="V9" s="762" t="s">
        <v>25</v>
      </c>
      <c r="W9" s="762" t="s">
        <v>26</v>
      </c>
      <c r="X9" s="764" t="s">
        <v>27</v>
      </c>
    </row>
    <row r="10" spans="1:24" ht="18.75" customHeight="1" thickBot="1" x14ac:dyDescent="0.3">
      <c r="A10" s="861"/>
      <c r="B10" s="862"/>
      <c r="C10" s="862"/>
      <c r="D10" s="86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63"/>
      <c r="R10" s="4" t="s">
        <v>21</v>
      </c>
      <c r="S10" s="2" t="s">
        <v>22</v>
      </c>
      <c r="T10" s="2" t="s">
        <v>23</v>
      </c>
      <c r="U10" s="288" t="s">
        <v>24</v>
      </c>
      <c r="V10" s="763"/>
      <c r="W10" s="763"/>
      <c r="X10" s="765"/>
    </row>
    <row r="11" spans="1:24" ht="18.75" customHeight="1" thickTop="1" x14ac:dyDescent="0.25">
      <c r="A11" s="854" t="s">
        <v>139</v>
      </c>
      <c r="B11" s="821"/>
      <c r="C11" s="821"/>
      <c r="D11" s="822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53" t="s">
        <v>140</v>
      </c>
      <c r="B12" s="814"/>
      <c r="C12" s="814"/>
      <c r="D12" s="815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852" t="s">
        <v>141</v>
      </c>
      <c r="B13" s="816"/>
      <c r="C13" s="816"/>
      <c r="D13" s="817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855" t="s">
        <v>142</v>
      </c>
      <c r="B15" s="856"/>
      <c r="C15" s="856"/>
      <c r="D15" s="857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0</v>
      </c>
      <c r="L15" s="590">
        <f>'Plan G&amp;V'!L9</f>
        <v>0</v>
      </c>
      <c r="M15" s="590">
        <f>'Plan G&amp;V'!M9</f>
        <v>0</v>
      </c>
      <c r="N15" s="590">
        <f>'Plan G&amp;V'!N9</f>
        <v>0</v>
      </c>
      <c r="O15" s="590">
        <f>'Plan G&amp;V'!O9</f>
        <v>120000</v>
      </c>
      <c r="P15" s="591">
        <f>'Plan G&amp;V'!P9</f>
        <v>2880</v>
      </c>
      <c r="Q15" s="592">
        <f>'Plan G&amp;V'!Q9</f>
        <v>122880</v>
      </c>
      <c r="R15" s="593">
        <f>'Plan G&amp;V'!R9</f>
        <v>19200</v>
      </c>
      <c r="S15" s="590">
        <f>'Plan G&amp;V'!S9</f>
        <v>139200</v>
      </c>
      <c r="T15" s="590">
        <f>'Plan G&amp;V'!T9</f>
        <v>22800</v>
      </c>
      <c r="U15" s="591">
        <f>'Plan G&amp;V'!U9</f>
        <v>139200</v>
      </c>
      <c r="V15" s="592">
        <f>'Plan G&amp;V'!V9</f>
        <v>320400</v>
      </c>
      <c r="W15" s="592">
        <f>'Plan G&amp;V'!W9</f>
        <v>586320</v>
      </c>
      <c r="X15" s="594">
        <f>'Plan G&amp;V'!X9</f>
        <v>1069200</v>
      </c>
    </row>
    <row r="16" spans="1:24" ht="18.75" customHeight="1" thickBot="1" x14ac:dyDescent="0.3">
      <c r="A16" s="849" t="s">
        <v>146</v>
      </c>
      <c r="B16" s="850"/>
      <c r="C16" s="850"/>
      <c r="D16" s="851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0</v>
      </c>
      <c r="L16" s="596">
        <f t="shared" si="3"/>
        <v>0</v>
      </c>
      <c r="M16" s="596">
        <f t="shared" si="3"/>
        <v>0</v>
      </c>
      <c r="N16" s="596">
        <f t="shared" si="3"/>
        <v>0</v>
      </c>
      <c r="O16" s="596">
        <f t="shared" si="3"/>
        <v>108000</v>
      </c>
      <c r="P16" s="597">
        <f t="shared" si="3"/>
        <v>14592</v>
      </c>
      <c r="Q16" s="599">
        <f>SUM(E16:P16)</f>
        <v>122592</v>
      </c>
      <c r="R16" s="598">
        <f>(((R26/3)*SUM(R11,R12,R13))+((R26/3)*SUM(R11,R12))+((R26/3)*SUM(R11)))+(P26*P12)+(O26*O13)</f>
        <v>18848</v>
      </c>
      <c r="S16" s="596">
        <f>(((S26/3)*SUM(S11,S12,S13))+((S26/3)*SUM(S11,S12))+((S26/3)*SUM(S11)))+((R26/3)*SUM(R12,R13)+(R26/3)*SUM(R13))</f>
        <v>135200</v>
      </c>
      <c r="T16" s="596">
        <f>(((T26/3)*SUM(T11,T12,T13))+((T26/3)*SUM(T11,T12))+((T26/3)*SUM(T11)))+((S26/3)*SUM(S12,S13)+(S26/3)*SUM(S13))</f>
        <v>26680</v>
      </c>
      <c r="U16" s="597">
        <f>(((U26/3)*SUM(U11,U12,U13))+((U26/3)*SUM(U11,U12))+((U26/3)*SUM(U11)))+((T26/3)*SUM(T12,T13)+(T26/3)*SUM(T13))</f>
        <v>135320</v>
      </c>
      <c r="V16" s="599">
        <f>SUM(R16:U16)</f>
        <v>316048</v>
      </c>
      <c r="W16" s="599">
        <f>((W26/12)*10*SUM(W11,W12,W13)+(W26/12)*1*SUM(W11,W12)+(W26/12)*1*SUM(W11))+((U26/3)*SUM(U12,U13)+(U26/3)*SUM(U13))</f>
        <v>586074</v>
      </c>
      <c r="X16" s="600">
        <f>((X26/12)*10*SUM(X11,X12,X13)+(X26/12)*1*SUM(X11,X12)+(X26/12)*1*SUM(X11))+((W26/12)*SUM(W12,W13)+(W26/12)*SUM(W13))</f>
        <v>1065176</v>
      </c>
    </row>
    <row r="17" spans="1:24" ht="7.5" customHeight="1" thickBot="1" x14ac:dyDescent="0.3"/>
    <row r="18" spans="1:24" ht="22.5" customHeight="1" thickBot="1" x14ac:dyDescent="0.3">
      <c r="A18" s="887" t="s">
        <v>145</v>
      </c>
      <c r="B18" s="888"/>
      <c r="C18" s="889"/>
      <c r="D18" s="330"/>
      <c r="E18" s="761" t="s">
        <v>20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2" t="s">
        <v>20</v>
      </c>
      <c r="R18" s="761" t="s">
        <v>25</v>
      </c>
      <c r="S18" s="761"/>
      <c r="T18" s="761"/>
      <c r="U18" s="761"/>
      <c r="V18" s="762" t="s">
        <v>25</v>
      </c>
      <c r="W18" s="812" t="s">
        <v>26</v>
      </c>
      <c r="X18" s="764" t="s">
        <v>27</v>
      </c>
    </row>
    <row r="19" spans="1:24" ht="18.75" customHeight="1" thickBot="1" x14ac:dyDescent="0.3">
      <c r="A19" s="884" t="s">
        <v>274</v>
      </c>
      <c r="B19" s="885"/>
      <c r="C19" s="885"/>
      <c r="D19" s="886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63"/>
      <c r="R19" s="111" t="s">
        <v>21</v>
      </c>
      <c r="S19" s="2" t="s">
        <v>22</v>
      </c>
      <c r="T19" s="2" t="s">
        <v>23</v>
      </c>
      <c r="U19" s="3" t="s">
        <v>24</v>
      </c>
      <c r="V19" s="763"/>
      <c r="W19" s="870"/>
      <c r="X19" s="765"/>
    </row>
    <row r="20" spans="1:24" ht="18.75" customHeight="1" outlineLevel="1" thickTop="1" x14ac:dyDescent="0.25">
      <c r="A20" s="878" t="s">
        <v>251</v>
      </c>
      <c r="B20" s="879"/>
      <c r="C20" s="879"/>
      <c r="D20" s="880"/>
      <c r="E20" s="147"/>
      <c r="F20" s="18"/>
      <c r="G20" s="18"/>
      <c r="H20" s="18"/>
      <c r="I20" s="18"/>
      <c r="J20" s="18"/>
      <c r="K20" s="18"/>
      <c r="L20" s="18"/>
      <c r="M20" s="18"/>
      <c r="N20" s="18"/>
      <c r="O20" s="18">
        <f>(1*100000)*(1+$D$7)</f>
        <v>120000</v>
      </c>
      <c r="P20" s="152"/>
      <c r="Q20" s="8">
        <f>SUM(E20:P20)</f>
        <v>120000</v>
      </c>
      <c r="R20" s="405"/>
      <c r="S20" s="18">
        <f>(1*100000)*(1+$D$7)</f>
        <v>120000</v>
      </c>
      <c r="T20" s="18"/>
      <c r="U20" s="152">
        <f>(1*100000)*(1+$D$7)</f>
        <v>120000</v>
      </c>
      <c r="V20" s="8">
        <f>SUM(R20:U20)</f>
        <v>240000</v>
      </c>
      <c r="W20" s="409">
        <f>(3*100000)*(1+$D$7)</f>
        <v>360000</v>
      </c>
      <c r="X20" s="145">
        <f>(4*100000)*(1+$D$7)</f>
        <v>480000</v>
      </c>
    </row>
    <row r="21" spans="1:24" ht="18.75" customHeight="1" outlineLevel="1" x14ac:dyDescent="0.25">
      <c r="A21" s="753" t="s">
        <v>252</v>
      </c>
      <c r="B21" s="755"/>
      <c r="C21" s="755"/>
      <c r="D21" s="874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(40*1500)/4*(1+$D$7)</f>
        <v>18000</v>
      </c>
      <c r="S21" s="94">
        <f>R21</f>
        <v>18000</v>
      </c>
      <c r="T21" s="94">
        <f>R21</f>
        <v>18000</v>
      </c>
      <c r="U21" s="153">
        <f>R21</f>
        <v>18000</v>
      </c>
      <c r="V21" s="12">
        <f t="shared" ref="V21:V24" si="5">SUM(R21:U21)</f>
        <v>72000</v>
      </c>
      <c r="W21" s="140">
        <f>(120*1500)*(1+$D$7)</f>
        <v>216000</v>
      </c>
      <c r="X21" s="410">
        <f>(320*1500)*(1+$D$7)</f>
        <v>576000</v>
      </c>
    </row>
    <row r="22" spans="1:24" ht="18.75" customHeight="1" outlineLevel="1" x14ac:dyDescent="0.25">
      <c r="A22" s="753" t="s">
        <v>258</v>
      </c>
      <c r="B22" s="755"/>
      <c r="C22" s="755"/>
      <c r="D22" s="874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(800*3)*(1+$D$7)</f>
        <v>2880</v>
      </c>
      <c r="Q22" s="12">
        <f t="shared" si="4"/>
        <v>2880</v>
      </c>
      <c r="R22" s="137">
        <f>(800*5)/4*(1+$D$7)</f>
        <v>1200</v>
      </c>
      <c r="S22" s="94">
        <f t="shared" ref="S22:U22" si="6">(800*5)/4*(1+$D$7)</f>
        <v>1200</v>
      </c>
      <c r="T22" s="94">
        <f t="shared" si="6"/>
        <v>1200</v>
      </c>
      <c r="U22" s="153">
        <f t="shared" si="6"/>
        <v>1200</v>
      </c>
      <c r="V22" s="12">
        <f t="shared" si="5"/>
        <v>4800</v>
      </c>
      <c r="W22" s="140">
        <f>(800*7)*(1+$D$7)</f>
        <v>6720</v>
      </c>
      <c r="X22" s="410">
        <f>(800*10)*(1+$D$7)</f>
        <v>9600</v>
      </c>
    </row>
    <row r="23" spans="1:24" ht="18.75" customHeight="1" outlineLevel="1" x14ac:dyDescent="0.25">
      <c r="A23" s="753" t="s">
        <v>257</v>
      </c>
      <c r="B23" s="755"/>
      <c r="C23" s="755"/>
      <c r="D23" s="874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(2*1500)*(1+$D$7)</f>
        <v>3600</v>
      </c>
      <c r="U23" s="153"/>
      <c r="V23" s="12">
        <f t="shared" si="5"/>
        <v>3600</v>
      </c>
      <c r="W23" s="140">
        <f>(2*1500)*(1+$D$7)</f>
        <v>3600</v>
      </c>
      <c r="X23" s="410">
        <f>(2*1500)*(1+$D$7)</f>
        <v>3600</v>
      </c>
    </row>
    <row r="24" spans="1:24" ht="18.75" customHeight="1" outlineLevel="1" thickBot="1" x14ac:dyDescent="0.3">
      <c r="A24" s="881"/>
      <c r="B24" s="882"/>
      <c r="C24" s="882"/>
      <c r="D24" s="883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71"/>
      <c r="B25" s="872"/>
      <c r="C25" s="872"/>
      <c r="D25" s="873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75" t="s">
        <v>149</v>
      </c>
      <c r="B26" s="876"/>
      <c r="C26" s="876"/>
      <c r="D26" s="877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0</v>
      </c>
      <c r="L26" s="541">
        <f t="shared" si="7"/>
        <v>0</v>
      </c>
      <c r="M26" s="541">
        <f t="shared" si="7"/>
        <v>0</v>
      </c>
      <c r="N26" s="541">
        <f t="shared" si="7"/>
        <v>0</v>
      </c>
      <c r="O26" s="541">
        <f t="shared" si="7"/>
        <v>120000</v>
      </c>
      <c r="P26" s="538">
        <f t="shared" si="7"/>
        <v>2880</v>
      </c>
      <c r="Q26" s="543">
        <f t="shared" si="7"/>
        <v>122880</v>
      </c>
      <c r="R26" s="444">
        <f t="shared" si="7"/>
        <v>19200</v>
      </c>
      <c r="S26" s="541">
        <f t="shared" si="7"/>
        <v>139200</v>
      </c>
      <c r="T26" s="541">
        <f t="shared" si="7"/>
        <v>22800</v>
      </c>
      <c r="U26" s="538">
        <f t="shared" si="7"/>
        <v>139200</v>
      </c>
      <c r="V26" s="543">
        <f t="shared" si="7"/>
        <v>320400</v>
      </c>
      <c r="W26" s="542">
        <f t="shared" si="7"/>
        <v>586320</v>
      </c>
      <c r="X26" s="498">
        <f t="shared" si="7"/>
        <v>1069200</v>
      </c>
    </row>
    <row r="27" spans="1:24" ht="7.5" customHeight="1" thickBot="1" x14ac:dyDescent="0.3">
      <c r="A27" s="782"/>
      <c r="B27" s="783"/>
      <c r="C27" s="783"/>
      <c r="D27" s="783"/>
      <c r="E27" s="783"/>
      <c r="F27" s="783"/>
      <c r="G27" s="783"/>
      <c r="H27" s="783"/>
      <c r="I27" s="783"/>
      <c r="J27" s="783"/>
      <c r="K27" s="783"/>
      <c r="L27" s="783"/>
      <c r="M27" s="783"/>
      <c r="N27" s="783"/>
      <c r="O27" s="783"/>
      <c r="P27" s="783"/>
      <c r="Q27" s="783"/>
      <c r="R27" s="783"/>
      <c r="S27" s="783"/>
      <c r="T27" s="783"/>
      <c r="U27" s="783"/>
      <c r="V27" s="783"/>
      <c r="W27" s="783"/>
      <c r="X27" s="784"/>
    </row>
    <row r="28" spans="1:24" ht="18.75" customHeight="1" thickBot="1" x14ac:dyDescent="0.3">
      <c r="A28" s="896" t="s">
        <v>144</v>
      </c>
      <c r="B28" s="897"/>
      <c r="C28" s="897"/>
      <c r="D28" s="898"/>
      <c r="X28" s="332"/>
    </row>
    <row r="29" spans="1:24" ht="18.75" customHeight="1" outlineLevel="1" thickTop="1" x14ac:dyDescent="0.25">
      <c r="A29" s="893" t="s">
        <v>163</v>
      </c>
      <c r="B29" s="894"/>
      <c r="C29" s="894"/>
      <c r="D29" s="895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99" t="s">
        <v>175</v>
      </c>
      <c r="B30" s="900"/>
      <c r="C30" s="900"/>
      <c r="D30" s="901"/>
      <c r="E30" s="376"/>
      <c r="F30" s="377"/>
      <c r="G30" s="76">
        <f>((SUM(E41,E42,E43,E44,E46,E47,E48,E49,E52,E54)/(1+$D$8))*$D$8)+(Investitionsplan!F22*$D$8)</f>
        <v>9811.7999999999993</v>
      </c>
      <c r="H30" s="76">
        <f>((SUM(F41,F42,F43,F44,F46,F47,F48,F49,F52,F54)/(1+$D$8))*$D$8)+(Investitionsplan!G22*$D$8)</f>
        <v>926.5</v>
      </c>
      <c r="I30" s="76">
        <f>((SUM(G41,G42,G43,G44,G46,G47,G48,G49,G52,G54)/(1+$D$8))*$D$8)+(Investitionsplan!H22*$D$8)</f>
        <v>3259.8333333333335</v>
      </c>
      <c r="J30" s="76">
        <f>((SUM(H41,H42,H43,H44,H46,H47,H48,H49,H52,H54)/(1+$D$8))*$D$8)+(Investitionsplan!I22*$D$8)</f>
        <v>926.5</v>
      </c>
      <c r="K30" s="76">
        <f>((SUM(I41,I42,I43,I44,I46,I47,I48,I49,I52,I54)/(1+$D$8))*$D$8)+(Investitionsplan!J22*$D$8)</f>
        <v>3426.5</v>
      </c>
      <c r="L30" s="76">
        <f>((SUM(J41,J42,J43,J44,J46,J47,J48,J49,J52,J54)/(1+$D$8))*$D$8)+(Investitionsplan!K22*$D$8)</f>
        <v>2926.5</v>
      </c>
      <c r="M30" s="76">
        <f>((SUM(K41,K42,K43,K44,K46,K47,K48,K49,K52,K54)/(1+$D$8))*$D$8)+(Investitionsplan!L22*$D$8)</f>
        <v>926.5</v>
      </c>
      <c r="N30" s="76">
        <f>((SUM(L41,L42,L43,L44,L46,L47,L48,L49,L52,L54)/(1+$D$8))*$D$8)+(Investitionsplan!M22*$D$8)</f>
        <v>926.5</v>
      </c>
      <c r="O30" s="76">
        <f>((SUM(M41,M42,M43,M44,M46,M47,M48,M49,M52,M54)/(1+$D$8))*$D$8)+(Investitionsplan!N22*$D$8)</f>
        <v>926.5</v>
      </c>
      <c r="P30" s="298">
        <f>((SUM(N41,N42,N43,N44,N46,N47,N48,N49,N52,N54)/(1+$D$8))*$D$8)+(Investitionsplan!O22*$D$8)</f>
        <v>5426.5</v>
      </c>
      <c r="Q30" s="12">
        <f>SUM(E30:P30)</f>
        <v>29483.633333333331</v>
      </c>
      <c r="R30" s="75">
        <f>((SUM(O41:O44,O46:O49,O52,O54)/(1+$D$8))*$D$8)+((SUM(P41:P44,P46:P49,P52,P54)/(1+$D$8))*$D$8)+((SUM(R41:R44,R46:R49,R52,R54)/(1+$D$8))*$D$8)/3+(Investitionsplan!P22*$D$8)+(Investitionsplan!Q22*$D$8)+(Investitionsplan!S22*$D$8)/3</f>
        <v>5279.5</v>
      </c>
      <c r="S30" s="76">
        <f>((SUM(R41:R44,R46:R49,R52,R54)/(1+$D$8))*$D$8)*(2/3)+((SUM(S41:S44,S46:S49,S52,S54)/(1+$D$8))*$D$8)/3+(Investitionsplan!S22*$D$8)*(2/3)+(Investitionsplan!T22*$D$8)/3</f>
        <v>3612.833333333333</v>
      </c>
      <c r="T30" s="76">
        <f>((SUM(S41:S44,S46:S49,S52,S54)/(1+$D$8))*$D$8)*(2/3)+((SUM(T41:T44,T46:T49,T52,T54)/(1+$D$8))*$D$8)/3+(Investitionsplan!T22*$D$8)*(2/3)+(Investitionsplan!U22*$D$8)/3</f>
        <v>4446.1666666666661</v>
      </c>
      <c r="U30" s="298">
        <f>((SUM(T41:T44,T46:T49,T52,T54)/(1+$D$8))*$D$8)*(2/3)+((SUM(U41:U44,U46:U49,U52,U54)/(1+$D$8))*$D$8)/3+(Investitionsplan!U22*$D$8)*(2/3)+(Investitionsplan!V22*$D$8)/3</f>
        <v>3779.5</v>
      </c>
      <c r="V30" s="12">
        <f>SUM(R30:U30)</f>
        <v>17118</v>
      </c>
      <c r="W30" s="291">
        <f>((SUM(U41:U44,U46:U49,U52,U54)/(1+$D$8))*$D$8)*(2/3)+((SUM(W41:W44,W46:W49,W52,W54)/(1+$D$8))*$D$8)*(10/12)+(Investitionsplan!V22*$D$8)*(2/3)+(Investitionsplan!X22*$D$8)*(10/12)</f>
        <v>15201.333333333334</v>
      </c>
      <c r="X30" s="292">
        <f>((SUM(W41:W44,W46:W49,W52,W54)/(1+$D$8))*$D$8)*(2/12)+((SUM(X41:X44,X46:X49,X52,X54)/(1+$D$8))*$D$8)*(10/12)+(Investitionsplan!X22*$D$8)*(2/12)+(Investitionsplan!Y22*$D$8)*(10/12)</f>
        <v>13618</v>
      </c>
    </row>
    <row r="31" spans="1:24" ht="18.75" customHeight="1" outlineLevel="1" x14ac:dyDescent="0.25">
      <c r="A31" s="899" t="s">
        <v>197</v>
      </c>
      <c r="B31" s="900"/>
      <c r="C31" s="900"/>
      <c r="D31" s="901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81"/>
      <c r="B32" s="882"/>
      <c r="C32" s="882"/>
      <c r="D32" s="883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71"/>
      <c r="B33" s="872"/>
      <c r="C33" s="872"/>
      <c r="D33" s="873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75" t="s">
        <v>147</v>
      </c>
      <c r="B34" s="876"/>
      <c r="C34" s="876"/>
      <c r="D34" s="877"/>
      <c r="E34" s="608">
        <f>SUM(E29:E33)</f>
        <v>0</v>
      </c>
      <c r="F34" s="603">
        <f t="shared" ref="F34:X34" si="11">SUM(F29:F33)</f>
        <v>0</v>
      </c>
      <c r="G34" s="603">
        <f t="shared" si="11"/>
        <v>9811.7999999999993</v>
      </c>
      <c r="H34" s="603">
        <f t="shared" si="11"/>
        <v>926.5</v>
      </c>
      <c r="I34" s="603">
        <f t="shared" si="11"/>
        <v>3259.8333333333335</v>
      </c>
      <c r="J34" s="603">
        <f t="shared" si="11"/>
        <v>926.5</v>
      </c>
      <c r="K34" s="603">
        <f t="shared" si="11"/>
        <v>3426.5</v>
      </c>
      <c r="L34" s="603">
        <f t="shared" si="11"/>
        <v>2926.5</v>
      </c>
      <c r="M34" s="603">
        <f t="shared" si="11"/>
        <v>926.5</v>
      </c>
      <c r="N34" s="603">
        <f t="shared" si="11"/>
        <v>926.5</v>
      </c>
      <c r="O34" s="603">
        <f t="shared" si="11"/>
        <v>926.5</v>
      </c>
      <c r="P34" s="604">
        <f t="shared" si="11"/>
        <v>5426.5</v>
      </c>
      <c r="Q34" s="543">
        <f t="shared" si="11"/>
        <v>29483.633333333331</v>
      </c>
      <c r="R34" s="605">
        <f t="shared" si="11"/>
        <v>5279.5</v>
      </c>
      <c r="S34" s="603">
        <f t="shared" si="11"/>
        <v>3612.833333333333</v>
      </c>
      <c r="T34" s="603">
        <f t="shared" si="11"/>
        <v>4446.1666666666661</v>
      </c>
      <c r="U34" s="604">
        <f t="shared" si="11"/>
        <v>3779.5</v>
      </c>
      <c r="V34" s="543">
        <f t="shared" si="11"/>
        <v>17118</v>
      </c>
      <c r="W34" s="543">
        <f t="shared" si="11"/>
        <v>15201.333333333334</v>
      </c>
      <c r="X34" s="606">
        <f t="shared" si="11"/>
        <v>13618</v>
      </c>
    </row>
    <row r="35" spans="1:24" ht="7.5" customHeight="1" thickBot="1" x14ac:dyDescent="0.3">
      <c r="A35" s="782"/>
      <c r="B35" s="783"/>
      <c r="C35" s="783"/>
      <c r="D35" s="783"/>
      <c r="E35" s="783"/>
      <c r="F35" s="783"/>
      <c r="G35" s="783"/>
      <c r="H35" s="783"/>
      <c r="I35" s="783"/>
      <c r="J35" s="783"/>
      <c r="K35" s="783"/>
      <c r="L35" s="783"/>
      <c r="M35" s="783"/>
      <c r="N35" s="783"/>
      <c r="O35" s="783"/>
      <c r="P35" s="783"/>
      <c r="Q35" s="783"/>
      <c r="R35" s="783"/>
      <c r="S35" s="783"/>
      <c r="T35" s="783"/>
      <c r="U35" s="783"/>
      <c r="V35" s="783"/>
      <c r="W35" s="783"/>
      <c r="X35" s="784"/>
    </row>
    <row r="36" spans="1:24" ht="18" customHeight="1" thickBot="1" x14ac:dyDescent="0.3">
      <c r="A36" s="890" t="s">
        <v>148</v>
      </c>
      <c r="B36" s="891"/>
      <c r="C36" s="891"/>
      <c r="D36" s="892"/>
      <c r="E36" s="451">
        <f>SUM(E26,E34)</f>
        <v>0</v>
      </c>
      <c r="F36" s="547">
        <f t="shared" ref="F36:X36" si="12">SUM(F26,F34)</f>
        <v>0</v>
      </c>
      <c r="G36" s="547">
        <f t="shared" si="12"/>
        <v>9811.7999999999993</v>
      </c>
      <c r="H36" s="547">
        <f t="shared" si="12"/>
        <v>926.5</v>
      </c>
      <c r="I36" s="547">
        <f t="shared" si="12"/>
        <v>3259.8333333333335</v>
      </c>
      <c r="J36" s="547">
        <f t="shared" si="12"/>
        <v>926.5</v>
      </c>
      <c r="K36" s="547">
        <f t="shared" si="12"/>
        <v>3426.5</v>
      </c>
      <c r="L36" s="547">
        <f t="shared" si="12"/>
        <v>2926.5</v>
      </c>
      <c r="M36" s="547">
        <f t="shared" si="12"/>
        <v>926.5</v>
      </c>
      <c r="N36" s="547">
        <f t="shared" si="12"/>
        <v>926.5</v>
      </c>
      <c r="O36" s="547">
        <f t="shared" si="12"/>
        <v>120926.5</v>
      </c>
      <c r="P36" s="607">
        <f t="shared" si="12"/>
        <v>8306.5</v>
      </c>
      <c r="Q36" s="333">
        <f t="shared" si="12"/>
        <v>152363.63333333333</v>
      </c>
      <c r="R36" s="452">
        <f t="shared" si="12"/>
        <v>24479.5</v>
      </c>
      <c r="S36" s="547">
        <f t="shared" si="12"/>
        <v>142812.83333333334</v>
      </c>
      <c r="T36" s="547">
        <f t="shared" si="12"/>
        <v>27246.166666666664</v>
      </c>
      <c r="U36" s="607">
        <f t="shared" si="12"/>
        <v>142979.5</v>
      </c>
      <c r="V36" s="333">
        <f t="shared" si="12"/>
        <v>337518</v>
      </c>
      <c r="W36" s="333">
        <f t="shared" si="12"/>
        <v>601521.33333333337</v>
      </c>
      <c r="X36" s="334">
        <f t="shared" si="12"/>
        <v>1082818</v>
      </c>
    </row>
    <row r="37" spans="1:24" ht="15.75" thickBot="1" x14ac:dyDescent="0.3"/>
    <row r="38" spans="1:24" ht="22.5" customHeight="1" thickBot="1" x14ac:dyDescent="0.3">
      <c r="A38" s="887" t="s">
        <v>151</v>
      </c>
      <c r="B38" s="888"/>
      <c r="C38" s="889"/>
      <c r="D38" s="330"/>
      <c r="E38" s="761" t="s">
        <v>20</v>
      </c>
      <c r="F38" s="761"/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2" t="s">
        <v>20</v>
      </c>
      <c r="R38" s="761" t="s">
        <v>25</v>
      </c>
      <c r="S38" s="761"/>
      <c r="T38" s="761"/>
      <c r="U38" s="761"/>
      <c r="V38" s="762" t="s">
        <v>25</v>
      </c>
      <c r="W38" s="812" t="s">
        <v>26</v>
      </c>
      <c r="X38" s="764" t="s">
        <v>27</v>
      </c>
    </row>
    <row r="39" spans="1:24" ht="18.75" customHeight="1" thickBot="1" x14ac:dyDescent="0.3">
      <c r="A39" s="884" t="s">
        <v>152</v>
      </c>
      <c r="B39" s="885"/>
      <c r="C39" s="885"/>
      <c r="D39" s="886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63"/>
      <c r="R39" s="111" t="s">
        <v>21</v>
      </c>
      <c r="S39" s="2" t="s">
        <v>22</v>
      </c>
      <c r="T39" s="2" t="s">
        <v>23</v>
      </c>
      <c r="U39" s="3" t="s">
        <v>24</v>
      </c>
      <c r="V39" s="763"/>
      <c r="W39" s="870"/>
      <c r="X39" s="765"/>
    </row>
    <row r="40" spans="1:24" ht="18.75" customHeight="1" outlineLevel="1" thickTop="1" x14ac:dyDescent="0.25">
      <c r="A40" s="893" t="str">
        <f>Plankosten!A23</f>
        <v>Personalkosten</v>
      </c>
      <c r="B40" s="894"/>
      <c r="C40" s="894"/>
      <c r="D40" s="895"/>
      <c r="E40" s="6">
        <f>Plankosten!E29</f>
        <v>10840</v>
      </c>
      <c r="F40" s="7">
        <f>Plankosten!F29</f>
        <v>13148</v>
      </c>
      <c r="G40" s="7">
        <f>Plankosten!G29</f>
        <v>16796</v>
      </c>
      <c r="H40" s="7">
        <f>Plankosten!H29</f>
        <v>16796</v>
      </c>
      <c r="I40" s="7">
        <f>Plankosten!I29</f>
        <v>32619.166666666664</v>
      </c>
      <c r="J40" s="7">
        <f>Plankosten!J29</f>
        <v>16796</v>
      </c>
      <c r="K40" s="7">
        <f>Plankosten!K29</f>
        <v>16796</v>
      </c>
      <c r="L40" s="7">
        <f>Plankosten!L29</f>
        <v>16796</v>
      </c>
      <c r="M40" s="7">
        <f>Plankosten!M29</f>
        <v>16796</v>
      </c>
      <c r="N40" s="7">
        <f>Plankosten!N29</f>
        <v>16796</v>
      </c>
      <c r="O40" s="7">
        <f>Plankosten!O29</f>
        <v>32619.166666666664</v>
      </c>
      <c r="P40" s="180">
        <f>Plankosten!P29</f>
        <v>16796</v>
      </c>
      <c r="Q40" s="8">
        <f>Plankosten!Q29</f>
        <v>223594.33333333334</v>
      </c>
      <c r="R40" s="179">
        <f>Plankosten!R29</f>
        <v>52880.4</v>
      </c>
      <c r="S40" s="7">
        <f>Plankosten!S29</f>
        <v>70327.199999999997</v>
      </c>
      <c r="T40" s="7">
        <f>Plankosten!T29</f>
        <v>52880.4</v>
      </c>
      <c r="U40" s="180">
        <f>Plankosten!U29</f>
        <v>70327.199999999997</v>
      </c>
      <c r="V40" s="8">
        <f>Plankosten!V29</f>
        <v>246415.2</v>
      </c>
      <c r="W40" s="181">
        <f>Plankosten!W29</f>
        <v>258627.96000000002</v>
      </c>
      <c r="X40" s="9">
        <f>Plankosten!X29</f>
        <v>271451.35800000007</v>
      </c>
    </row>
    <row r="41" spans="1:24" ht="18.75" customHeight="1" outlineLevel="1" x14ac:dyDescent="0.25">
      <c r="A41" s="899" t="str">
        <f>Plankosten!A31</f>
        <v>Materialeinsatz</v>
      </c>
      <c r="B41" s="900"/>
      <c r="C41" s="900"/>
      <c r="D41" s="901"/>
      <c r="E41" s="335">
        <f>Plankosten!E36*(1+$D$8)</f>
        <v>0</v>
      </c>
      <c r="F41" s="336">
        <f>Plankosten!F36</f>
        <v>0</v>
      </c>
      <c r="G41" s="336">
        <f>Plankosten!G36</f>
        <v>0</v>
      </c>
      <c r="H41" s="336">
        <f>Plankosten!H36</f>
        <v>0</v>
      </c>
      <c r="I41" s="336">
        <f>Plankosten!I36</f>
        <v>0</v>
      </c>
      <c r="J41" s="336">
        <f>Plankosten!J36</f>
        <v>0</v>
      </c>
      <c r="K41" s="336">
        <f>Plankosten!K36</f>
        <v>0</v>
      </c>
      <c r="L41" s="336">
        <f>Plankosten!L36</f>
        <v>0</v>
      </c>
      <c r="M41" s="336">
        <f>Plankosten!M36</f>
        <v>0</v>
      </c>
      <c r="N41" s="336">
        <f>Plankosten!N36</f>
        <v>0</v>
      </c>
      <c r="O41" s="336">
        <f>Plankosten!O36</f>
        <v>0</v>
      </c>
      <c r="P41" s="337">
        <f>Plankosten!P36</f>
        <v>0</v>
      </c>
      <c r="Q41" s="331">
        <f>Plankosten!Q36</f>
        <v>0</v>
      </c>
      <c r="R41" s="338">
        <f>Plankosten!R36</f>
        <v>0</v>
      </c>
      <c r="S41" s="336">
        <f>Plankosten!S36</f>
        <v>0</v>
      </c>
      <c r="T41" s="336">
        <f>Plankosten!T36</f>
        <v>0</v>
      </c>
      <c r="U41" s="337">
        <f>Plankosten!U36</f>
        <v>0</v>
      </c>
      <c r="V41" s="331">
        <f>Plankosten!V36</f>
        <v>0</v>
      </c>
      <c r="W41" s="339">
        <f>Plankosten!W36</f>
        <v>0</v>
      </c>
      <c r="X41" s="245">
        <f>Plankosten!X36</f>
        <v>0</v>
      </c>
    </row>
    <row r="42" spans="1:24" ht="18.75" customHeight="1" outlineLevel="1" x14ac:dyDescent="0.25">
      <c r="A42" s="899" t="str">
        <f>Plankosten!A38</f>
        <v>Roh-, Betriebs- uns Hilfsstoffe</v>
      </c>
      <c r="B42" s="900"/>
      <c r="C42" s="900"/>
      <c r="D42" s="901"/>
      <c r="E42" s="335">
        <f>Plankosten!E43*(1+$D$8)</f>
        <v>0</v>
      </c>
      <c r="F42" s="336">
        <f>Plankosten!F43</f>
        <v>0</v>
      </c>
      <c r="G42" s="336">
        <f>Plankosten!G43</f>
        <v>0</v>
      </c>
      <c r="H42" s="336">
        <f>Plankosten!H43</f>
        <v>0</v>
      </c>
      <c r="I42" s="336">
        <f>Plankosten!I43</f>
        <v>0</v>
      </c>
      <c r="J42" s="336">
        <f>Plankosten!J43</f>
        <v>0</v>
      </c>
      <c r="K42" s="336">
        <f>Plankosten!K43</f>
        <v>0</v>
      </c>
      <c r="L42" s="336">
        <f>Plankosten!L43</f>
        <v>0</v>
      </c>
      <c r="M42" s="336">
        <f>Plankosten!M43</f>
        <v>0</v>
      </c>
      <c r="N42" s="336">
        <f>Plankosten!N43</f>
        <v>0</v>
      </c>
      <c r="O42" s="336">
        <f>Plankosten!O43</f>
        <v>0</v>
      </c>
      <c r="P42" s="337">
        <f>Plankosten!P43</f>
        <v>0</v>
      </c>
      <c r="Q42" s="331">
        <f>Plankosten!Q43</f>
        <v>0</v>
      </c>
      <c r="R42" s="338">
        <f>Plankosten!R43</f>
        <v>0</v>
      </c>
      <c r="S42" s="336">
        <f>Plankosten!S43</f>
        <v>0</v>
      </c>
      <c r="T42" s="336">
        <f>Plankosten!T43</f>
        <v>0</v>
      </c>
      <c r="U42" s="337">
        <f>Plankosten!U43</f>
        <v>0</v>
      </c>
      <c r="V42" s="331">
        <f>Plankosten!V43</f>
        <v>0</v>
      </c>
      <c r="W42" s="339">
        <f>Plankosten!W43</f>
        <v>0</v>
      </c>
      <c r="X42" s="245">
        <f>Plankosten!X43</f>
        <v>0</v>
      </c>
    </row>
    <row r="43" spans="1:24" ht="30" customHeight="1" outlineLevel="1" x14ac:dyDescent="0.25">
      <c r="A43" s="911" t="str">
        <f>Plankosten!A45</f>
        <v>Sonstige betriebliche Aufwendungen
(Miete, Pacht, Betriebskosten)</v>
      </c>
      <c r="B43" s="912"/>
      <c r="C43" s="912"/>
      <c r="D43" s="913"/>
      <c r="E43" s="335">
        <f>Plankosten!E52*(1+$D$8)</f>
        <v>1525.2</v>
      </c>
      <c r="F43" s="336">
        <f>Plankosten!F52</f>
        <v>1271</v>
      </c>
      <c r="G43" s="336">
        <f>Plankosten!G52</f>
        <v>1271</v>
      </c>
      <c r="H43" s="336">
        <f>Plankosten!H52</f>
        <v>1271</v>
      </c>
      <c r="I43" s="336">
        <f>Plankosten!I52</f>
        <v>1271</v>
      </c>
      <c r="J43" s="336">
        <f>Plankosten!J52</f>
        <v>1271</v>
      </c>
      <c r="K43" s="336">
        <f>Plankosten!K52</f>
        <v>1271</v>
      </c>
      <c r="L43" s="336">
        <f>Plankosten!L52</f>
        <v>1271</v>
      </c>
      <c r="M43" s="336">
        <f>Plankosten!M52</f>
        <v>1271</v>
      </c>
      <c r="N43" s="336">
        <f>Plankosten!N52</f>
        <v>1271</v>
      </c>
      <c r="O43" s="336">
        <f>Plankosten!O52</f>
        <v>1271</v>
      </c>
      <c r="P43" s="337">
        <f>Plankosten!P52</f>
        <v>1271</v>
      </c>
      <c r="Q43" s="331">
        <f>Plankosten!Q52</f>
        <v>15252</v>
      </c>
      <c r="R43" s="338">
        <f>Plankosten!R52</f>
        <v>3813</v>
      </c>
      <c r="S43" s="336">
        <f>Plankosten!S52</f>
        <v>3813</v>
      </c>
      <c r="T43" s="336">
        <f>Plankosten!T52</f>
        <v>3813</v>
      </c>
      <c r="U43" s="337">
        <f>Plankosten!U52</f>
        <v>3813</v>
      </c>
      <c r="V43" s="331">
        <f>Plankosten!V52</f>
        <v>15252</v>
      </c>
      <c r="W43" s="339">
        <f>Plankosten!W52</f>
        <v>15252</v>
      </c>
      <c r="X43" s="245">
        <f>Plankosten!X52</f>
        <v>15252</v>
      </c>
    </row>
    <row r="44" spans="1:24" ht="18.75" customHeight="1" outlineLevel="1" x14ac:dyDescent="0.25">
      <c r="A44" s="911" t="str">
        <f>Plankosten!A54</f>
        <v>Instandhaltung</v>
      </c>
      <c r="B44" s="912"/>
      <c r="C44" s="912"/>
      <c r="D44" s="913"/>
      <c r="E44" s="335">
        <f>Plankosten!E59*(1+$D$8)</f>
        <v>0</v>
      </c>
      <c r="F44" s="336">
        <f>Plankosten!F59</f>
        <v>0</v>
      </c>
      <c r="G44" s="336">
        <f>Plankosten!G59</f>
        <v>0</v>
      </c>
      <c r="H44" s="336">
        <f>Plankosten!H59</f>
        <v>0</v>
      </c>
      <c r="I44" s="336">
        <f>Plankosten!I59</f>
        <v>0</v>
      </c>
      <c r="J44" s="336">
        <f>Plankosten!J59</f>
        <v>0</v>
      </c>
      <c r="K44" s="336">
        <f>Plankosten!K59</f>
        <v>0</v>
      </c>
      <c r="L44" s="336">
        <f>Plankosten!L59</f>
        <v>0</v>
      </c>
      <c r="M44" s="336">
        <f>Plankosten!M59</f>
        <v>0</v>
      </c>
      <c r="N44" s="336">
        <f>Plankosten!N59</f>
        <v>0</v>
      </c>
      <c r="O44" s="336">
        <f>Plankosten!O59</f>
        <v>0</v>
      </c>
      <c r="P44" s="337">
        <f>Plankosten!P59</f>
        <v>2000</v>
      </c>
      <c r="Q44" s="331">
        <f>Plankosten!Q59</f>
        <v>2000</v>
      </c>
      <c r="R44" s="338">
        <f>Plankosten!R59</f>
        <v>0</v>
      </c>
      <c r="S44" s="336">
        <f>Plankosten!S59</f>
        <v>0</v>
      </c>
      <c r="T44" s="336">
        <f>Plankosten!T59</f>
        <v>0</v>
      </c>
      <c r="U44" s="337">
        <f>Plankosten!U59</f>
        <v>2000</v>
      </c>
      <c r="V44" s="331">
        <f>Plankosten!V59</f>
        <v>2000</v>
      </c>
      <c r="W44" s="339">
        <f>Plankosten!W59</f>
        <v>2000</v>
      </c>
      <c r="X44" s="245">
        <f>Plankosten!X59</f>
        <v>2000</v>
      </c>
    </row>
    <row r="45" spans="1:24" ht="18.75" customHeight="1" outlineLevel="1" x14ac:dyDescent="0.25">
      <c r="A45" s="911" t="str">
        <f>Plankosten!A61</f>
        <v>Kfz-Kosten und Reisekosten</v>
      </c>
      <c r="B45" s="912"/>
      <c r="C45" s="912"/>
      <c r="D45" s="913"/>
      <c r="E45" s="335">
        <f>Plankosten!E68</f>
        <v>2000</v>
      </c>
      <c r="F45" s="336">
        <f>Plankosten!F68</f>
        <v>500</v>
      </c>
      <c r="G45" s="336">
        <f>Plankosten!G68</f>
        <v>500</v>
      </c>
      <c r="H45" s="336">
        <f>Plankosten!H68</f>
        <v>500</v>
      </c>
      <c r="I45" s="336">
        <f>Plankosten!I68</f>
        <v>500</v>
      </c>
      <c r="J45" s="336">
        <f>Plankosten!J68</f>
        <v>500</v>
      </c>
      <c r="K45" s="336">
        <f>Plankosten!K68</f>
        <v>500</v>
      </c>
      <c r="L45" s="336">
        <f>Plankosten!L68</f>
        <v>500</v>
      </c>
      <c r="M45" s="336">
        <f>Plankosten!M68</f>
        <v>500</v>
      </c>
      <c r="N45" s="336">
        <f>Plankosten!N68</f>
        <v>500</v>
      </c>
      <c r="O45" s="336">
        <f>Plankosten!O68</f>
        <v>500</v>
      </c>
      <c r="P45" s="337">
        <f>Plankosten!P68</f>
        <v>500</v>
      </c>
      <c r="Q45" s="331">
        <f>Plankosten!Q68</f>
        <v>7500</v>
      </c>
      <c r="R45" s="338">
        <f>Plankosten!R68</f>
        <v>4500</v>
      </c>
      <c r="S45" s="336">
        <f>Plankosten!S68</f>
        <v>1500</v>
      </c>
      <c r="T45" s="336">
        <f>Plankosten!T68</f>
        <v>1500</v>
      </c>
      <c r="U45" s="337">
        <f>Plankosten!U68</f>
        <v>1500</v>
      </c>
      <c r="V45" s="331">
        <f>Plankosten!V68</f>
        <v>9000</v>
      </c>
      <c r="W45" s="339">
        <f>Plankosten!W68</f>
        <v>9000</v>
      </c>
      <c r="X45" s="245">
        <f>Plankosten!X68</f>
        <v>9000</v>
      </c>
    </row>
    <row r="46" spans="1:24" ht="18.75" customHeight="1" outlineLevel="1" x14ac:dyDescent="0.25">
      <c r="A46" s="911" t="str">
        <f>Plankosten!A70</f>
        <v>Büromaterial</v>
      </c>
      <c r="B46" s="912"/>
      <c r="C46" s="912"/>
      <c r="D46" s="913"/>
      <c r="E46" s="335">
        <f>Plankosten!E76*(1+$D$8)</f>
        <v>2640</v>
      </c>
      <c r="F46" s="336">
        <f>Plankosten!F76</f>
        <v>2200</v>
      </c>
      <c r="G46" s="336">
        <f>Plankosten!G76</f>
        <v>2200</v>
      </c>
      <c r="H46" s="336">
        <f>Plankosten!H76</f>
        <v>2200</v>
      </c>
      <c r="I46" s="336">
        <f>Plankosten!I76</f>
        <v>2200</v>
      </c>
      <c r="J46" s="336">
        <f>Plankosten!J76</f>
        <v>2200</v>
      </c>
      <c r="K46" s="336">
        <f>Plankosten!K76</f>
        <v>2200</v>
      </c>
      <c r="L46" s="336">
        <f>Plankosten!L76</f>
        <v>2200</v>
      </c>
      <c r="M46" s="336">
        <f>Plankosten!M76</f>
        <v>2200</v>
      </c>
      <c r="N46" s="336">
        <f>Plankosten!N76</f>
        <v>2200</v>
      </c>
      <c r="O46" s="336">
        <f>Plankosten!O76</f>
        <v>2200</v>
      </c>
      <c r="P46" s="337">
        <f>Plankosten!P76</f>
        <v>2200</v>
      </c>
      <c r="Q46" s="331">
        <f>Plankosten!Q76</f>
        <v>26400</v>
      </c>
      <c r="R46" s="338">
        <f>Plankosten!R76</f>
        <v>6600</v>
      </c>
      <c r="S46" s="336">
        <f>Plankosten!S76</f>
        <v>6600</v>
      </c>
      <c r="T46" s="336">
        <f>Plankosten!T76</f>
        <v>6600</v>
      </c>
      <c r="U46" s="337">
        <f>Plankosten!U76</f>
        <v>6600</v>
      </c>
      <c r="V46" s="331">
        <f>Plankosten!V76</f>
        <v>26400</v>
      </c>
      <c r="W46" s="339">
        <f>Plankosten!W76</f>
        <v>26400</v>
      </c>
      <c r="X46" s="245">
        <f>Plankosten!X76</f>
        <v>26400</v>
      </c>
    </row>
    <row r="47" spans="1:24" ht="18.75" customHeight="1" outlineLevel="1" x14ac:dyDescent="0.25">
      <c r="A47" s="911" t="str">
        <f>Plankosten!A78</f>
        <v>Telefon / Fax / Internet</v>
      </c>
      <c r="B47" s="912"/>
      <c r="C47" s="912"/>
      <c r="D47" s="913"/>
      <c r="E47" s="335">
        <f>Plankosten!E84*(1+$D$8)</f>
        <v>345.59999999999997</v>
      </c>
      <c r="F47" s="336">
        <f>Plankosten!F84</f>
        <v>288</v>
      </c>
      <c r="G47" s="336">
        <f>Plankosten!G84</f>
        <v>288</v>
      </c>
      <c r="H47" s="336">
        <f>Plankosten!H84</f>
        <v>288</v>
      </c>
      <c r="I47" s="336">
        <f>Plankosten!I84</f>
        <v>288</v>
      </c>
      <c r="J47" s="336">
        <f>Plankosten!J84</f>
        <v>288</v>
      </c>
      <c r="K47" s="336">
        <f>Plankosten!K84</f>
        <v>288</v>
      </c>
      <c r="L47" s="336">
        <f>Plankosten!L84</f>
        <v>288</v>
      </c>
      <c r="M47" s="336">
        <f>Plankosten!M84</f>
        <v>288</v>
      </c>
      <c r="N47" s="336">
        <f>Plankosten!N84</f>
        <v>288</v>
      </c>
      <c r="O47" s="336">
        <f>Plankosten!O84</f>
        <v>288</v>
      </c>
      <c r="P47" s="337">
        <f>Plankosten!P84</f>
        <v>288</v>
      </c>
      <c r="Q47" s="331">
        <f>Plankosten!Q84</f>
        <v>3456</v>
      </c>
      <c r="R47" s="338">
        <f>Plankosten!R84</f>
        <v>864</v>
      </c>
      <c r="S47" s="336">
        <f>Plankosten!S84</f>
        <v>864</v>
      </c>
      <c r="T47" s="336">
        <f>Plankosten!T84</f>
        <v>864</v>
      </c>
      <c r="U47" s="337">
        <f>Plankosten!U84</f>
        <v>864</v>
      </c>
      <c r="V47" s="331">
        <f>Plankosten!V84</f>
        <v>3456</v>
      </c>
      <c r="W47" s="339">
        <f>Plankosten!W84</f>
        <v>3456</v>
      </c>
      <c r="X47" s="245">
        <f>Plankosten!X84</f>
        <v>3456</v>
      </c>
    </row>
    <row r="48" spans="1:24" ht="18.75" customHeight="1" outlineLevel="1" x14ac:dyDescent="0.25">
      <c r="A48" s="920" t="str">
        <f>Plankosten!A86</f>
        <v>Steuer- und Rechtsberatung</v>
      </c>
      <c r="B48" s="921"/>
      <c r="C48" s="921"/>
      <c r="D48" s="922"/>
      <c r="E48" s="335">
        <f>Plankosten!E93*(1+$D$8)</f>
        <v>360</v>
      </c>
      <c r="F48" s="336">
        <f>Plankosten!F93</f>
        <v>300</v>
      </c>
      <c r="G48" s="336">
        <f>Plankosten!G93</f>
        <v>2300</v>
      </c>
      <c r="H48" s="336">
        <f>Plankosten!H93</f>
        <v>300</v>
      </c>
      <c r="I48" s="336">
        <f>Plankosten!I93</f>
        <v>300</v>
      </c>
      <c r="J48" s="336">
        <f>Plankosten!J93</f>
        <v>300</v>
      </c>
      <c r="K48" s="336">
        <f>Plankosten!K93</f>
        <v>300</v>
      </c>
      <c r="L48" s="336">
        <f>Plankosten!L93</f>
        <v>300</v>
      </c>
      <c r="M48" s="336">
        <f>Plankosten!M93</f>
        <v>300</v>
      </c>
      <c r="N48" s="336">
        <f>Plankosten!N93</f>
        <v>3300</v>
      </c>
      <c r="O48" s="336">
        <f>Plankosten!O93</f>
        <v>300</v>
      </c>
      <c r="P48" s="337">
        <f>Plankosten!P93</f>
        <v>300</v>
      </c>
      <c r="Q48" s="331">
        <f>Plankosten!Q93</f>
        <v>8600</v>
      </c>
      <c r="R48" s="338">
        <f>Plankosten!R93</f>
        <v>900</v>
      </c>
      <c r="S48" s="336">
        <f>Plankosten!S93</f>
        <v>900</v>
      </c>
      <c r="T48" s="336">
        <f>Plankosten!T93</f>
        <v>900</v>
      </c>
      <c r="U48" s="337">
        <f>Plankosten!U93</f>
        <v>3900</v>
      </c>
      <c r="V48" s="331">
        <f>Plankosten!V93</f>
        <v>6600</v>
      </c>
      <c r="W48" s="339">
        <f>Plankosten!W93</f>
        <v>6600</v>
      </c>
      <c r="X48" s="245">
        <f>Plankosten!X93</f>
        <v>6600</v>
      </c>
    </row>
    <row r="49" spans="1:24" ht="18.75" customHeight="1" outlineLevel="1" x14ac:dyDescent="0.25">
      <c r="A49" s="914" t="str">
        <f>Plankosten!A95</f>
        <v>Werbungskosten</v>
      </c>
      <c r="B49" s="915"/>
      <c r="C49" s="915"/>
      <c r="D49" s="916"/>
      <c r="E49" s="335">
        <f>Plankosten!E101*(1+$D$8)</f>
        <v>0</v>
      </c>
      <c r="F49" s="336">
        <f>Plankosten!F101</f>
        <v>0</v>
      </c>
      <c r="G49" s="336">
        <f>Plankosten!G101</f>
        <v>0</v>
      </c>
      <c r="H49" s="336">
        <f>Plankosten!H101</f>
        <v>0</v>
      </c>
      <c r="I49" s="336">
        <f>Plankosten!I101</f>
        <v>0</v>
      </c>
      <c r="J49" s="336">
        <f>Plankosten!J101</f>
        <v>0</v>
      </c>
      <c r="K49" s="336">
        <f>Plankosten!K101</f>
        <v>0</v>
      </c>
      <c r="L49" s="336">
        <f>Plankosten!L101</f>
        <v>0</v>
      </c>
      <c r="M49" s="336">
        <f>Plankosten!M101</f>
        <v>0</v>
      </c>
      <c r="N49" s="336">
        <f>Plankosten!N101</f>
        <v>0</v>
      </c>
      <c r="O49" s="336">
        <f>Plankosten!O101</f>
        <v>0</v>
      </c>
      <c r="P49" s="337">
        <f>Plankosten!P101</f>
        <v>13000</v>
      </c>
      <c r="Q49" s="331">
        <f>Plankosten!Q101</f>
        <v>13000</v>
      </c>
      <c r="R49" s="338">
        <f>Plankosten!R101</f>
        <v>0</v>
      </c>
      <c r="S49" s="336">
        <f>Plankosten!S101</f>
        <v>0</v>
      </c>
      <c r="T49" s="336">
        <f>Plankosten!T101</f>
        <v>0</v>
      </c>
      <c r="U49" s="337">
        <f>Plankosten!U101</f>
        <v>13000</v>
      </c>
      <c r="V49" s="331">
        <f>Plankosten!V101</f>
        <v>13000</v>
      </c>
      <c r="W49" s="339">
        <f>Plankosten!W101</f>
        <v>13000</v>
      </c>
      <c r="X49" s="245">
        <f>Plankosten!X101</f>
        <v>13000</v>
      </c>
    </row>
    <row r="50" spans="1:24" ht="18.75" customHeight="1" outlineLevel="1" x14ac:dyDescent="0.25">
      <c r="A50" s="914" t="str">
        <f>Plankosten!A103</f>
        <v>Gebühren, Kammerbeiträge</v>
      </c>
      <c r="B50" s="915"/>
      <c r="C50" s="915"/>
      <c r="D50" s="916"/>
      <c r="E50" s="335">
        <f>Plankosten!E110</f>
        <v>71.355385194166686</v>
      </c>
      <c r="F50" s="336">
        <f>Plankosten!F110</f>
        <v>271.35538519416667</v>
      </c>
      <c r="G50" s="336">
        <f>Plankosten!G110</f>
        <v>71.355385194166686</v>
      </c>
      <c r="H50" s="336">
        <f>Plankosten!H110</f>
        <v>71.355385194166686</v>
      </c>
      <c r="I50" s="336">
        <f>Plankosten!I110</f>
        <v>271.35538519416667</v>
      </c>
      <c r="J50" s="336">
        <f>Plankosten!J110</f>
        <v>71.355385194166686</v>
      </c>
      <c r="K50" s="336">
        <f>Plankosten!K110</f>
        <v>71.355385194166686</v>
      </c>
      <c r="L50" s="336">
        <f>Plankosten!L110</f>
        <v>271.35538519416667</v>
      </c>
      <c r="M50" s="336">
        <f>Plankosten!M110</f>
        <v>71.355385194166686</v>
      </c>
      <c r="N50" s="336">
        <f>Plankosten!N110</f>
        <v>71.355385194166686</v>
      </c>
      <c r="O50" s="336">
        <f>Plankosten!O110</f>
        <v>271.35538519416667</v>
      </c>
      <c r="P50" s="337">
        <f>Plankosten!P110</f>
        <v>71.355385194166686</v>
      </c>
      <c r="Q50" s="331">
        <f>Plankosten!Q110</f>
        <v>1656.2646223300003</v>
      </c>
      <c r="R50" s="338">
        <f>Plankosten!R110</f>
        <v>414.06615558250007</v>
      </c>
      <c r="S50" s="336">
        <f>Plankosten!S110</f>
        <v>414.06615558250007</v>
      </c>
      <c r="T50" s="336">
        <f>Plankosten!T110</f>
        <v>414.06615558250007</v>
      </c>
      <c r="U50" s="337">
        <f>Plankosten!U110</f>
        <v>414.06615558250007</v>
      </c>
      <c r="V50" s="331">
        <f>Plankosten!V110</f>
        <v>1656.2646223300003</v>
      </c>
      <c r="W50" s="339">
        <f>Plankosten!W110</f>
        <v>1656.2646223300003</v>
      </c>
      <c r="X50" s="245">
        <f>Plankosten!X110</f>
        <v>1656.2646223300003</v>
      </c>
    </row>
    <row r="51" spans="1:24" ht="18.75" customHeight="1" outlineLevel="1" x14ac:dyDescent="0.25">
      <c r="A51" s="914" t="str">
        <f>Plankosten!A112</f>
        <v>Betriebsversicherung</v>
      </c>
      <c r="B51" s="915"/>
      <c r="C51" s="915"/>
      <c r="D51" s="916"/>
      <c r="E51" s="335">
        <f>Plankosten!E117</f>
        <v>0</v>
      </c>
      <c r="F51" s="336">
        <f>Plankosten!F117</f>
        <v>0</v>
      </c>
      <c r="G51" s="336">
        <f>Plankosten!G117</f>
        <v>0</v>
      </c>
      <c r="H51" s="336">
        <f>Plankosten!H117</f>
        <v>0</v>
      </c>
      <c r="I51" s="336">
        <f>Plankosten!I117</f>
        <v>0</v>
      </c>
      <c r="J51" s="336">
        <f>Plankosten!J117</f>
        <v>0</v>
      </c>
      <c r="K51" s="336">
        <f>Plankosten!K117</f>
        <v>0</v>
      </c>
      <c r="L51" s="336">
        <f>Plankosten!L117</f>
        <v>0</v>
      </c>
      <c r="M51" s="336">
        <f>Plankosten!M117</f>
        <v>0</v>
      </c>
      <c r="N51" s="336">
        <f>Plankosten!N117</f>
        <v>0</v>
      </c>
      <c r="O51" s="336">
        <f>Plankosten!O117</f>
        <v>0</v>
      </c>
      <c r="P51" s="337">
        <f>Plankosten!P117</f>
        <v>0</v>
      </c>
      <c r="Q51" s="331">
        <f>Plankosten!Q117</f>
        <v>0</v>
      </c>
      <c r="R51" s="338">
        <f>Plankosten!R117</f>
        <v>0</v>
      </c>
      <c r="S51" s="336">
        <f>Plankosten!S117</f>
        <v>0</v>
      </c>
      <c r="T51" s="336">
        <f>Plankosten!T117</f>
        <v>0</v>
      </c>
      <c r="U51" s="337">
        <f>Plankosten!U117</f>
        <v>0</v>
      </c>
      <c r="V51" s="331">
        <f>Plankosten!V117</f>
        <v>0</v>
      </c>
      <c r="W51" s="339">
        <f>Plankosten!W117</f>
        <v>0</v>
      </c>
      <c r="X51" s="245">
        <f>Plankosten!X117</f>
        <v>0</v>
      </c>
    </row>
    <row r="52" spans="1:24" ht="18.75" customHeight="1" outlineLevel="1" x14ac:dyDescent="0.25">
      <c r="A52" s="914" t="str">
        <f>Plankosten!A119</f>
        <v>Leasinggebühren</v>
      </c>
      <c r="B52" s="915"/>
      <c r="C52" s="915"/>
      <c r="D52" s="916"/>
      <c r="E52" s="335">
        <f>Plankosten!E124*(1+$D$8)</f>
        <v>1800</v>
      </c>
      <c r="F52" s="336">
        <f>Plankosten!F124</f>
        <v>1500</v>
      </c>
      <c r="G52" s="336">
        <f>Plankosten!G124</f>
        <v>1500</v>
      </c>
      <c r="H52" s="336">
        <f>Plankosten!H124</f>
        <v>1500</v>
      </c>
      <c r="I52" s="336">
        <f>Plankosten!I124</f>
        <v>1500</v>
      </c>
      <c r="J52" s="336">
        <f>Plankosten!J124</f>
        <v>1500</v>
      </c>
      <c r="K52" s="336">
        <f>Plankosten!K124</f>
        <v>1500</v>
      </c>
      <c r="L52" s="336">
        <f>Plankosten!L124</f>
        <v>1500</v>
      </c>
      <c r="M52" s="336">
        <f>Plankosten!M124</f>
        <v>1500</v>
      </c>
      <c r="N52" s="336">
        <f>Plankosten!N124</f>
        <v>1500</v>
      </c>
      <c r="O52" s="336">
        <f>Plankosten!O124</f>
        <v>1500</v>
      </c>
      <c r="P52" s="337">
        <f>Plankosten!P124</f>
        <v>1500</v>
      </c>
      <c r="Q52" s="331">
        <f>Plankosten!Q124</f>
        <v>18000</v>
      </c>
      <c r="R52" s="338">
        <f>Plankosten!R124</f>
        <v>4500</v>
      </c>
      <c r="S52" s="336">
        <f>Plankosten!S124</f>
        <v>4500</v>
      </c>
      <c r="T52" s="336">
        <f>Plankosten!T124</f>
        <v>4500</v>
      </c>
      <c r="U52" s="337">
        <f>Plankosten!U124</f>
        <v>4500</v>
      </c>
      <c r="V52" s="331">
        <f>Plankosten!V124</f>
        <v>0</v>
      </c>
      <c r="W52" s="339">
        <f>Plankosten!W124</f>
        <v>0</v>
      </c>
      <c r="X52" s="245">
        <f>Plankosten!X124</f>
        <v>0</v>
      </c>
    </row>
    <row r="53" spans="1:24" ht="18.75" customHeight="1" outlineLevel="1" x14ac:dyDescent="0.25">
      <c r="A53" s="914" t="str">
        <f>Plankosten!A126</f>
        <v>Spesen-, Bank-, Kreditgebühren</v>
      </c>
      <c r="B53" s="915"/>
      <c r="C53" s="915"/>
      <c r="D53" s="916"/>
      <c r="E53" s="335">
        <f>Plankosten!E131</f>
        <v>50</v>
      </c>
      <c r="F53" s="336">
        <f>Plankosten!F131</f>
        <v>0</v>
      </c>
      <c r="G53" s="336">
        <f>Plankosten!G131</f>
        <v>0</v>
      </c>
      <c r="H53" s="336">
        <f>Plankosten!H131</f>
        <v>50</v>
      </c>
      <c r="I53" s="336">
        <f>Plankosten!I131</f>
        <v>0</v>
      </c>
      <c r="J53" s="336">
        <f>Plankosten!J131</f>
        <v>0</v>
      </c>
      <c r="K53" s="336">
        <f>Plankosten!K131</f>
        <v>50</v>
      </c>
      <c r="L53" s="336">
        <f>Plankosten!L131</f>
        <v>0</v>
      </c>
      <c r="M53" s="336">
        <f>Plankosten!M131</f>
        <v>0</v>
      </c>
      <c r="N53" s="336">
        <f>Plankosten!N131</f>
        <v>50</v>
      </c>
      <c r="O53" s="336">
        <f>Plankosten!O131</f>
        <v>0</v>
      </c>
      <c r="P53" s="337">
        <f>Plankosten!P131</f>
        <v>0</v>
      </c>
      <c r="Q53" s="331">
        <f>Plankosten!Q131</f>
        <v>200</v>
      </c>
      <c r="R53" s="338">
        <f>Plankosten!R131</f>
        <v>50</v>
      </c>
      <c r="S53" s="336">
        <f>Plankosten!S131</f>
        <v>50</v>
      </c>
      <c r="T53" s="336">
        <f>Plankosten!T131</f>
        <v>50</v>
      </c>
      <c r="U53" s="337">
        <f>Plankosten!U131</f>
        <v>50</v>
      </c>
      <c r="V53" s="331">
        <f>Plankosten!V131</f>
        <v>200</v>
      </c>
      <c r="W53" s="339">
        <f>Plankosten!W131</f>
        <v>200</v>
      </c>
      <c r="X53" s="245">
        <f>Plankosten!X131</f>
        <v>200</v>
      </c>
    </row>
    <row r="54" spans="1:24" ht="18.75" customHeight="1" outlineLevel="1" thickBot="1" x14ac:dyDescent="0.3">
      <c r="A54" s="917" t="str">
        <f>Plankosten!A133</f>
        <v>Sonstige Kosten</v>
      </c>
      <c r="B54" s="918"/>
      <c r="C54" s="918"/>
      <c r="D54" s="919"/>
      <c r="E54" s="128">
        <f>Plankosten!E139*(1+$D$8)</f>
        <v>0</v>
      </c>
      <c r="F54" s="129">
        <f>Plankosten!F139</f>
        <v>0</v>
      </c>
      <c r="G54" s="129">
        <f>Plankosten!G139</f>
        <v>0</v>
      </c>
      <c r="H54" s="129">
        <f>Plankosten!H139</f>
        <v>0</v>
      </c>
      <c r="I54" s="129">
        <f>Plankosten!I139</f>
        <v>15000</v>
      </c>
      <c r="J54" s="129">
        <f>Plankosten!J139</f>
        <v>0</v>
      </c>
      <c r="K54" s="129">
        <f>Plankosten!K139</f>
        <v>0</v>
      </c>
      <c r="L54" s="129">
        <f>Plankosten!L139</f>
        <v>0</v>
      </c>
      <c r="M54" s="129">
        <f>Plankosten!M139</f>
        <v>0</v>
      </c>
      <c r="N54" s="129">
        <f>Plankosten!N139</f>
        <v>0</v>
      </c>
      <c r="O54" s="129">
        <f>Plankosten!O139</f>
        <v>0</v>
      </c>
      <c r="P54" s="159">
        <f>Plankosten!P139</f>
        <v>0</v>
      </c>
      <c r="Q54" s="134">
        <f>Plankosten!Q139</f>
        <v>15000</v>
      </c>
      <c r="R54" s="196">
        <f>Plankosten!R139</f>
        <v>0</v>
      </c>
      <c r="S54" s="129">
        <f>Plankosten!S139</f>
        <v>15000</v>
      </c>
      <c r="T54" s="129">
        <f>Plankosten!T139</f>
        <v>0</v>
      </c>
      <c r="U54" s="159">
        <f>Plankosten!U139</f>
        <v>0</v>
      </c>
      <c r="V54" s="134">
        <f>Plankosten!V139</f>
        <v>15000</v>
      </c>
      <c r="W54" s="197">
        <f>Plankosten!W139</f>
        <v>15000</v>
      </c>
      <c r="X54" s="135">
        <f>Plankosten!X139</f>
        <v>15000</v>
      </c>
    </row>
    <row r="55" spans="1:24" ht="7.5" customHeight="1" outlineLevel="1" thickTop="1" thickBot="1" x14ac:dyDescent="0.3">
      <c r="A55" s="908"/>
      <c r="B55" s="909"/>
      <c r="C55" s="909"/>
      <c r="D55" s="910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75" t="s">
        <v>153</v>
      </c>
      <c r="B56" s="876"/>
      <c r="C56" s="876"/>
      <c r="D56" s="877"/>
      <c r="E56" s="444">
        <f t="shared" ref="E56:X56" si="15">SUM(E40:E55)</f>
        <v>19632.155385194164</v>
      </c>
      <c r="F56" s="541">
        <f t="shared" si="15"/>
        <v>19478.355385194165</v>
      </c>
      <c r="G56" s="541">
        <f t="shared" si="15"/>
        <v>24926.355385194165</v>
      </c>
      <c r="H56" s="541">
        <f t="shared" si="15"/>
        <v>22976.355385194165</v>
      </c>
      <c r="I56" s="541">
        <f t="shared" si="15"/>
        <v>53949.522051860833</v>
      </c>
      <c r="J56" s="541">
        <f t="shared" si="15"/>
        <v>22926.355385194165</v>
      </c>
      <c r="K56" s="541">
        <f t="shared" si="15"/>
        <v>22976.355385194165</v>
      </c>
      <c r="L56" s="541">
        <f t="shared" si="15"/>
        <v>23126.355385194165</v>
      </c>
      <c r="M56" s="541">
        <f t="shared" si="15"/>
        <v>22926.355385194165</v>
      </c>
      <c r="N56" s="541">
        <f t="shared" si="15"/>
        <v>25976.355385194165</v>
      </c>
      <c r="O56" s="541">
        <f t="shared" si="15"/>
        <v>38949.522051860833</v>
      </c>
      <c r="P56" s="538">
        <f t="shared" si="15"/>
        <v>37926.355385194169</v>
      </c>
      <c r="Q56" s="543">
        <f t="shared" si="15"/>
        <v>334658.5979556634</v>
      </c>
      <c r="R56" s="444">
        <f t="shared" si="15"/>
        <v>74521.466155582501</v>
      </c>
      <c r="S56" s="541">
        <f t="shared" si="15"/>
        <v>103968.2661555825</v>
      </c>
      <c r="T56" s="541">
        <f t="shared" si="15"/>
        <v>71521.466155582501</v>
      </c>
      <c r="U56" s="538">
        <f t="shared" si="15"/>
        <v>106968.2661555825</v>
      </c>
      <c r="V56" s="543">
        <f t="shared" si="15"/>
        <v>338979.46462233004</v>
      </c>
      <c r="W56" s="542">
        <f t="shared" si="15"/>
        <v>351192.22462233005</v>
      </c>
      <c r="X56" s="498">
        <f t="shared" si="15"/>
        <v>364015.62262233009</v>
      </c>
    </row>
    <row r="57" spans="1:24" ht="7.5" customHeight="1" thickBot="1" x14ac:dyDescent="0.3">
      <c r="A57" s="782"/>
      <c r="B57" s="783"/>
      <c r="C57" s="783"/>
      <c r="D57" s="783"/>
      <c r="E57" s="783"/>
      <c r="F57" s="783"/>
      <c r="G57" s="783"/>
      <c r="H57" s="783"/>
      <c r="I57" s="783"/>
      <c r="J57" s="783"/>
      <c r="K57" s="783"/>
      <c r="L57" s="783"/>
      <c r="M57" s="783"/>
      <c r="N57" s="783"/>
      <c r="O57" s="783"/>
      <c r="P57" s="783"/>
      <c r="Q57" s="783"/>
      <c r="R57" s="783"/>
      <c r="S57" s="783"/>
      <c r="T57" s="783"/>
      <c r="U57" s="783"/>
      <c r="V57" s="783"/>
      <c r="W57" s="783"/>
      <c r="X57" s="784"/>
    </row>
    <row r="58" spans="1:24" ht="18.75" customHeight="1" thickBot="1" x14ac:dyDescent="0.3">
      <c r="A58" s="896" t="s">
        <v>155</v>
      </c>
      <c r="B58" s="897"/>
      <c r="C58" s="897"/>
      <c r="D58" s="898"/>
      <c r="X58" s="332"/>
    </row>
    <row r="59" spans="1:24" ht="18.75" customHeight="1" outlineLevel="1" thickTop="1" x14ac:dyDescent="0.25">
      <c r="A59" s="893" t="s">
        <v>157</v>
      </c>
      <c r="B59" s="894"/>
      <c r="C59" s="894"/>
      <c r="D59" s="895"/>
      <c r="E59" s="6">
        <f>Investitionsplan!F22*(1+$D$8)</f>
        <v>52200</v>
      </c>
      <c r="F59" s="7">
        <f>Investitionsplan!G22*(1+$D$8)</f>
        <v>0</v>
      </c>
      <c r="G59" s="7">
        <f>Investitionsplan!H22*(1+$D$8)</f>
        <v>12000</v>
      </c>
      <c r="H59" s="7">
        <f>Investitionsplan!I22*(1+$D$8)</f>
        <v>0</v>
      </c>
      <c r="I59" s="7">
        <f>Investitionsplan!J22*(1+$D$8)</f>
        <v>0</v>
      </c>
      <c r="J59" s="7">
        <f>Investitionsplan!K22*(1+$D$8)</f>
        <v>12000</v>
      </c>
      <c r="K59" s="7">
        <f>Investitionsplan!L22*(1+$D$8)</f>
        <v>0</v>
      </c>
      <c r="L59" s="7">
        <f>Investitionsplan!M22*(1+$D$8)</f>
        <v>0</v>
      </c>
      <c r="M59" s="7">
        <f>Investitionsplan!N22*(1+$D$8)</f>
        <v>0</v>
      </c>
      <c r="N59" s="7">
        <f>Investitionsplan!O22*(1+$D$8)</f>
        <v>24000</v>
      </c>
      <c r="O59" s="7">
        <f>Investitionsplan!P22*(1+$D$8)</f>
        <v>0</v>
      </c>
      <c r="P59" s="180">
        <f>Investitionsplan!Q22*(1+$D$8)</f>
        <v>0</v>
      </c>
      <c r="Q59" s="8">
        <f>Investitionsplan!R22*(1+$D$8)</f>
        <v>100200</v>
      </c>
      <c r="R59" s="307">
        <f>Investitionsplan!S22*(1+$D$8)</f>
        <v>0</v>
      </c>
      <c r="S59" s="7">
        <f>Investitionsplan!T22*(1+$D$8)</f>
        <v>0</v>
      </c>
      <c r="T59" s="7">
        <f>Investitionsplan!U22*(1+$D$8)</f>
        <v>0</v>
      </c>
      <c r="U59" s="180">
        <f>Investitionsplan!V22*(1+$D$8)</f>
        <v>0</v>
      </c>
      <c r="V59" s="8">
        <f>Investitionsplan!W22*(1+$D$8)</f>
        <v>0</v>
      </c>
      <c r="W59" s="8">
        <f>Investitionsplan!X22*(1+$D$8)</f>
        <v>0</v>
      </c>
      <c r="X59" s="9">
        <f>Investitionsplan!Y22*(1+$D$8)</f>
        <v>0</v>
      </c>
    </row>
    <row r="60" spans="1:24" ht="18.75" customHeight="1" outlineLevel="1" thickBot="1" x14ac:dyDescent="0.3">
      <c r="A60" s="902" t="s">
        <v>158</v>
      </c>
      <c r="B60" s="903"/>
      <c r="C60" s="903"/>
      <c r="D60" s="904"/>
      <c r="E60" s="128">
        <f>Investitionsplan!F30</f>
        <v>0</v>
      </c>
      <c r="F60" s="129">
        <f>Investitionsplan!G30</f>
        <v>0</v>
      </c>
      <c r="G60" s="129">
        <f>Investitionsplan!H30</f>
        <v>35000</v>
      </c>
      <c r="H60" s="129">
        <f>Investitionsplan!I30</f>
        <v>0</v>
      </c>
      <c r="I60" s="129">
        <f>Investitionsplan!J30</f>
        <v>0</v>
      </c>
      <c r="J60" s="129">
        <f>Investitionsplan!K30</f>
        <v>0</v>
      </c>
      <c r="K60" s="129">
        <f>Investitionsplan!L30</f>
        <v>0</v>
      </c>
      <c r="L60" s="129">
        <f>Investitionsplan!M30</f>
        <v>0</v>
      </c>
      <c r="M60" s="129">
        <f>Investitionsplan!N30</f>
        <v>0</v>
      </c>
      <c r="N60" s="129">
        <f>Investitionsplan!O30</f>
        <v>0</v>
      </c>
      <c r="O60" s="129">
        <f>Investitionsplan!P30</f>
        <v>0</v>
      </c>
      <c r="P60" s="159">
        <f>Investitionsplan!Q30</f>
        <v>0</v>
      </c>
      <c r="Q60" s="134">
        <f>Investitionsplan!R30</f>
        <v>35000</v>
      </c>
      <c r="R60" s="160">
        <f>Investitionsplan!S30</f>
        <v>35000</v>
      </c>
      <c r="S60" s="129">
        <f>Investitionsplan!T30</f>
        <v>0</v>
      </c>
      <c r="T60" s="129">
        <f>Investitionsplan!U30</f>
        <v>0</v>
      </c>
      <c r="U60" s="159">
        <f>Investitionsplan!V30</f>
        <v>0</v>
      </c>
      <c r="V60" s="134">
        <f>Investitionsplan!W30</f>
        <v>35000</v>
      </c>
      <c r="W60" s="134">
        <f>Investitionsplan!X30</f>
        <v>0</v>
      </c>
      <c r="X60" s="135">
        <f>Investitionsplan!Y30</f>
        <v>0</v>
      </c>
    </row>
    <row r="61" spans="1:24" ht="7.5" customHeight="1" outlineLevel="1" thickTop="1" thickBot="1" x14ac:dyDescent="0.3">
      <c r="A61" s="905"/>
      <c r="B61" s="906"/>
      <c r="C61" s="906"/>
      <c r="D61" s="907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75" t="s">
        <v>154</v>
      </c>
      <c r="B62" s="876"/>
      <c r="C62" s="876"/>
      <c r="D62" s="877"/>
      <c r="E62" s="608">
        <f>SUM(E59:E61)</f>
        <v>52200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135200</v>
      </c>
      <c r="R62" s="605">
        <f t="shared" si="18"/>
        <v>35000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35000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82"/>
      <c r="B63" s="783"/>
      <c r="C63" s="783"/>
      <c r="D63" s="783"/>
      <c r="E63" s="783"/>
      <c r="F63" s="783"/>
      <c r="G63" s="783"/>
      <c r="H63" s="783"/>
      <c r="I63" s="783"/>
      <c r="J63" s="783"/>
      <c r="K63" s="783"/>
      <c r="L63" s="783"/>
      <c r="M63" s="783"/>
      <c r="N63" s="783"/>
      <c r="O63" s="783"/>
      <c r="P63" s="783"/>
      <c r="Q63" s="783"/>
      <c r="R63" s="783"/>
      <c r="S63" s="783"/>
      <c r="T63" s="783"/>
      <c r="U63" s="783"/>
      <c r="V63" s="783"/>
      <c r="W63" s="783"/>
      <c r="X63" s="784"/>
    </row>
    <row r="64" spans="1:24" ht="18.75" customHeight="1" thickBot="1" x14ac:dyDescent="0.3">
      <c r="A64" s="896" t="s">
        <v>164</v>
      </c>
      <c r="B64" s="897"/>
      <c r="C64" s="897"/>
      <c r="D64" s="898"/>
      <c r="X64" s="332"/>
    </row>
    <row r="65" spans="1:24" ht="18.75" customHeight="1" outlineLevel="1" thickTop="1" x14ac:dyDescent="0.25">
      <c r="A65" s="944" t="str">
        <f>A84</f>
        <v>Sollzinsen Kontokorrentkredit</v>
      </c>
      <c r="B65" s="945"/>
      <c r="C65" s="945"/>
      <c r="D65" s="946"/>
      <c r="E65" s="276"/>
      <c r="F65" s="305"/>
      <c r="G65" s="305"/>
      <c r="H65" s="7">
        <f>E84</f>
        <v>663.06649616686889</v>
      </c>
      <c r="I65" s="305"/>
      <c r="J65" s="305"/>
      <c r="K65" s="7">
        <f>H84</f>
        <v>2542.3809865824837</v>
      </c>
      <c r="L65" s="305"/>
      <c r="M65" s="305"/>
      <c r="N65" s="7">
        <f>K84</f>
        <v>3874.6365143758994</v>
      </c>
      <c r="O65" s="305"/>
      <c r="P65" s="306"/>
      <c r="Q65" s="8">
        <f>SUM(E65:P65)</f>
        <v>7080.0839971252517</v>
      </c>
      <c r="R65" s="307">
        <f>N84</f>
        <v>4450.00234619605</v>
      </c>
      <c r="S65" s="7">
        <f>R84</f>
        <v>5105.6924930551668</v>
      </c>
      <c r="T65" s="7">
        <f>S84</f>
        <v>5672.0406966832879</v>
      </c>
      <c r="U65" s="180">
        <f>T84</f>
        <v>6008.1041879400636</v>
      </c>
      <c r="V65" s="8">
        <f>SUM(R65:U65)</f>
        <v>21235.839723874567</v>
      </c>
      <c r="W65" s="8">
        <f>U84</f>
        <v>6375.1857669084766</v>
      </c>
      <c r="X65" s="9">
        <f>W84</f>
        <v>24938.649177939584</v>
      </c>
    </row>
    <row r="66" spans="1:24" ht="18.75" customHeight="1" outlineLevel="1" x14ac:dyDescent="0.25">
      <c r="A66" s="914" t="str">
        <f>A86</f>
        <v>Zinsen Einmalkredit</v>
      </c>
      <c r="B66" s="915"/>
      <c r="C66" s="915"/>
      <c r="D66" s="916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99" t="s">
        <v>166</v>
      </c>
      <c r="B67" s="900"/>
      <c r="C67" s="900"/>
      <c r="D67" s="901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4000/4</f>
        <v>1000</v>
      </c>
      <c r="S67" s="94">
        <f t="shared" ref="S67:U67" si="20">4000/4</f>
        <v>1000</v>
      </c>
      <c r="T67" s="94">
        <f t="shared" si="20"/>
        <v>1000</v>
      </c>
      <c r="U67" s="153">
        <f t="shared" si="20"/>
        <v>1000</v>
      </c>
      <c r="V67" s="12">
        <f>SUM(R67:U67)</f>
        <v>4000</v>
      </c>
      <c r="W67" s="418">
        <f>'Plan G&amp;V'!W56</f>
        <v>3766.3203874831497</v>
      </c>
      <c r="X67" s="410">
        <f>'Plan G&amp;V'!X56</f>
        <v>28708.624022070442</v>
      </c>
    </row>
    <row r="68" spans="1:24" ht="18.75" customHeight="1" outlineLevel="1" x14ac:dyDescent="0.25">
      <c r="A68" s="899" t="s">
        <v>167</v>
      </c>
      <c r="B68" s="900"/>
      <c r="C68" s="900"/>
      <c r="D68" s="901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99" t="s">
        <v>97</v>
      </c>
      <c r="B69" s="900"/>
      <c r="C69" s="900"/>
      <c r="D69" s="901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0</v>
      </c>
      <c r="N69" s="80">
        <f t="shared" si="21"/>
        <v>0</v>
      </c>
      <c r="O69" s="80">
        <f t="shared" si="21"/>
        <v>0</v>
      </c>
      <c r="P69" s="382">
        <f t="shared" si="21"/>
        <v>0</v>
      </c>
      <c r="Q69" s="345">
        <f t="shared" ref="Q69:Q70" si="22">SUM(E69:P69)</f>
        <v>0</v>
      </c>
      <c r="R69" s="79">
        <f>((O15+P15+R15)/3)*($D$7/(1+$D$7))</f>
        <v>7893.3333333333339</v>
      </c>
      <c r="S69" s="80">
        <f>((2*R15+S15)/3)*($D$7/(1+$D$7))</f>
        <v>9866.6666666666679</v>
      </c>
      <c r="T69" s="80">
        <f>((2*S15+T15)/3)*($D$7/(1+$D$7))</f>
        <v>16733.333333333336</v>
      </c>
      <c r="U69" s="382">
        <f>((2*T15+U15)/3)*($D$7/(1+$D$7))</f>
        <v>10266.666666666668</v>
      </c>
      <c r="V69" s="345">
        <f t="shared" ref="V69:V70" si="23">SUM(R69:U69)</f>
        <v>44760</v>
      </c>
      <c r="W69" s="345">
        <f>((8*U15+10*W15)/12)*($D$7/(1+$D$7))</f>
        <v>96900.000000000015</v>
      </c>
      <c r="X69" s="381">
        <f>((2*W15+10*X15)/12)*($D$7/(1+$D$7))</f>
        <v>164786.66666666669</v>
      </c>
    </row>
    <row r="70" spans="1:24" ht="18.75" customHeight="1" outlineLevel="1" thickBot="1" x14ac:dyDescent="0.3">
      <c r="A70" s="881"/>
      <c r="B70" s="882"/>
      <c r="C70" s="882"/>
      <c r="D70" s="883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71"/>
      <c r="B71" s="872"/>
      <c r="C71" s="872"/>
      <c r="D71" s="873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75" t="s">
        <v>249</v>
      </c>
      <c r="B72" s="876"/>
      <c r="C72" s="876"/>
      <c r="D72" s="877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704.73316283353552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2584.0476532491502</v>
      </c>
      <c r="L72" s="603">
        <f t="shared" si="24"/>
        <v>41.666666666666664</v>
      </c>
      <c r="M72" s="603">
        <f t="shared" si="24"/>
        <v>41.666666666666664</v>
      </c>
      <c r="N72" s="603">
        <f t="shared" si="24"/>
        <v>3916.3031810425659</v>
      </c>
      <c r="O72" s="603">
        <f t="shared" si="24"/>
        <v>41.666666666666664</v>
      </c>
      <c r="P72" s="604">
        <f t="shared" si="24"/>
        <v>41.666666666666664</v>
      </c>
      <c r="Q72" s="543">
        <f t="shared" si="24"/>
        <v>7580.0839971252517</v>
      </c>
      <c r="R72" s="605">
        <f t="shared" si="24"/>
        <v>13343.335679529384</v>
      </c>
      <c r="S72" s="603">
        <f t="shared" si="24"/>
        <v>15972.359159721835</v>
      </c>
      <c r="T72" s="603">
        <f t="shared" si="24"/>
        <v>23405.374030016625</v>
      </c>
      <c r="U72" s="604">
        <f t="shared" si="24"/>
        <v>17274.77085460673</v>
      </c>
      <c r="V72" s="543">
        <f t="shared" si="24"/>
        <v>69995.839723874567</v>
      </c>
      <c r="W72" s="543">
        <f t="shared" si="24"/>
        <v>107041.50615439164</v>
      </c>
      <c r="X72" s="606">
        <f t="shared" si="24"/>
        <v>218433.93986667669</v>
      </c>
    </row>
    <row r="73" spans="1:24" ht="7.5" customHeight="1" thickBot="1" x14ac:dyDescent="0.3">
      <c r="A73" s="782"/>
      <c r="B73" s="783"/>
      <c r="C73" s="783"/>
      <c r="D73" s="783"/>
      <c r="E73" s="783"/>
      <c r="F73" s="783"/>
      <c r="G73" s="783"/>
      <c r="H73" s="783"/>
      <c r="I73" s="783"/>
      <c r="J73" s="783"/>
      <c r="K73" s="783"/>
      <c r="L73" s="783"/>
      <c r="M73" s="783"/>
      <c r="N73" s="783"/>
      <c r="O73" s="783"/>
      <c r="P73" s="783"/>
      <c r="Q73" s="783"/>
      <c r="R73" s="783"/>
      <c r="S73" s="783"/>
      <c r="T73" s="783"/>
      <c r="U73" s="783"/>
      <c r="V73" s="783"/>
      <c r="W73" s="783"/>
      <c r="X73" s="784"/>
    </row>
    <row r="74" spans="1:24" ht="18" customHeight="1" thickBot="1" x14ac:dyDescent="0.3">
      <c r="A74" s="890" t="s">
        <v>159</v>
      </c>
      <c r="B74" s="891"/>
      <c r="C74" s="891"/>
      <c r="D74" s="892"/>
      <c r="E74" s="451">
        <f t="shared" ref="E74:X74" si="25">SUM(E56,E62,E72)</f>
        <v>71873.822051860843</v>
      </c>
      <c r="F74" s="547">
        <f t="shared" si="25"/>
        <v>19520.022051860833</v>
      </c>
      <c r="G74" s="547">
        <f t="shared" si="25"/>
        <v>71968.02205186084</v>
      </c>
      <c r="H74" s="547">
        <f t="shared" si="25"/>
        <v>23681.088548027699</v>
      </c>
      <c r="I74" s="547">
        <f t="shared" si="25"/>
        <v>53991.188718527497</v>
      </c>
      <c r="J74" s="547">
        <f t="shared" si="25"/>
        <v>34968.022051860833</v>
      </c>
      <c r="K74" s="547">
        <f t="shared" si="25"/>
        <v>25560.403038443314</v>
      </c>
      <c r="L74" s="547">
        <f t="shared" si="25"/>
        <v>23168.022051860833</v>
      </c>
      <c r="M74" s="547">
        <f t="shared" si="25"/>
        <v>22968.022051860833</v>
      </c>
      <c r="N74" s="547">
        <f t="shared" si="25"/>
        <v>53892.658566236736</v>
      </c>
      <c r="O74" s="547">
        <f t="shared" si="25"/>
        <v>38991.188718527497</v>
      </c>
      <c r="P74" s="607">
        <f t="shared" si="25"/>
        <v>37968.022051860833</v>
      </c>
      <c r="Q74" s="333">
        <f t="shared" si="25"/>
        <v>477438.68195278867</v>
      </c>
      <c r="R74" s="452">
        <f t="shared" si="25"/>
        <v>122864.80183511188</v>
      </c>
      <c r="S74" s="547">
        <f t="shared" si="25"/>
        <v>119940.62531530434</v>
      </c>
      <c r="T74" s="547">
        <f t="shared" si="25"/>
        <v>94926.840185599125</v>
      </c>
      <c r="U74" s="607">
        <f t="shared" si="25"/>
        <v>124243.03701018923</v>
      </c>
      <c r="V74" s="333">
        <f t="shared" si="25"/>
        <v>443975.30434620462</v>
      </c>
      <c r="W74" s="333">
        <f t="shared" si="25"/>
        <v>458233.73077672167</v>
      </c>
      <c r="X74" s="334">
        <f t="shared" si="25"/>
        <v>582449.56248900678</v>
      </c>
    </row>
    <row r="75" spans="1:24" ht="7.5" customHeight="1" thickBot="1" x14ac:dyDescent="0.3"/>
    <row r="76" spans="1:24" ht="22.5" customHeight="1" thickBot="1" x14ac:dyDescent="0.3">
      <c r="A76" s="938" t="s">
        <v>169</v>
      </c>
      <c r="B76" s="939"/>
      <c r="C76" s="939"/>
      <c r="D76" s="940"/>
      <c r="E76" s="348">
        <f>E36-E74</f>
        <v>-71873.822051860843</v>
      </c>
      <c r="F76" s="349">
        <f t="shared" ref="F76:X76" si="26">F36-F74</f>
        <v>-19520.022051860833</v>
      </c>
      <c r="G76" s="349">
        <f t="shared" si="26"/>
        <v>-62156.222051860837</v>
      </c>
      <c r="H76" s="349">
        <f t="shared" si="26"/>
        <v>-22754.588548027699</v>
      </c>
      <c r="I76" s="349">
        <f t="shared" si="26"/>
        <v>-50731.355385194161</v>
      </c>
      <c r="J76" s="349">
        <f t="shared" si="26"/>
        <v>-34041.522051860833</v>
      </c>
      <c r="K76" s="349">
        <f t="shared" si="26"/>
        <v>-22133.903038443314</v>
      </c>
      <c r="L76" s="349">
        <f t="shared" si="26"/>
        <v>-20241.522051860833</v>
      </c>
      <c r="M76" s="349">
        <f t="shared" si="26"/>
        <v>-22041.522051860833</v>
      </c>
      <c r="N76" s="349">
        <f t="shared" si="26"/>
        <v>-52966.158566236736</v>
      </c>
      <c r="O76" s="349">
        <f t="shared" si="26"/>
        <v>81935.311281472503</v>
      </c>
      <c r="P76" s="350">
        <f t="shared" si="26"/>
        <v>-29661.522051860833</v>
      </c>
      <c r="Q76" s="351">
        <f t="shared" si="26"/>
        <v>-325075.04861945531</v>
      </c>
      <c r="R76" s="352">
        <f t="shared" si="26"/>
        <v>-98385.301835111881</v>
      </c>
      <c r="S76" s="349">
        <f t="shared" si="26"/>
        <v>22872.208018029007</v>
      </c>
      <c r="T76" s="349">
        <f t="shared" si="26"/>
        <v>-67680.673518932454</v>
      </c>
      <c r="U76" s="350">
        <f t="shared" si="26"/>
        <v>18736.462989810767</v>
      </c>
      <c r="V76" s="353">
        <f t="shared" si="26"/>
        <v>-106457.30434620462</v>
      </c>
      <c r="W76" s="353">
        <f t="shared" si="26"/>
        <v>143287.6025566117</v>
      </c>
      <c r="X76" s="354">
        <f t="shared" si="26"/>
        <v>500368.43751099322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941" t="s">
        <v>170</v>
      </c>
      <c r="B78" s="942"/>
      <c r="C78" s="942"/>
      <c r="D78" s="943"/>
      <c r="E78" s="364">
        <f>$D$3+E76-E82</f>
        <v>-36873.822051860843</v>
      </c>
      <c r="F78" s="365">
        <f>IF(F82&lt;E82,((E78+F76)-(F82-E82)),(E78+F76))</f>
        <v>-56393.844103721676</v>
      </c>
      <c r="G78" s="365">
        <f t="shared" ref="G78:U78" si="27">IF(G82&lt;F82,((F78+G76)-(G82-F82)),(F78+G76))</f>
        <v>-118550.06615558252</v>
      </c>
      <c r="H78" s="365">
        <f t="shared" si="27"/>
        <v>-141304.65470361023</v>
      </c>
      <c r="I78" s="365">
        <f t="shared" si="27"/>
        <v>-192036.01008880438</v>
      </c>
      <c r="J78" s="365">
        <f t="shared" si="27"/>
        <v>-226077.53214066522</v>
      </c>
      <c r="K78" s="365">
        <f t="shared" si="27"/>
        <v>-248211.43517910852</v>
      </c>
      <c r="L78" s="365">
        <f t="shared" si="27"/>
        <v>-268452.95723096933</v>
      </c>
      <c r="M78" s="365">
        <f t="shared" si="27"/>
        <v>-290494.47928283014</v>
      </c>
      <c r="N78" s="365">
        <f t="shared" si="27"/>
        <v>-343460.63784906687</v>
      </c>
      <c r="O78" s="365">
        <f t="shared" si="27"/>
        <v>-261525.32656759437</v>
      </c>
      <c r="P78" s="366">
        <f t="shared" si="27"/>
        <v>-291186.84861945518</v>
      </c>
      <c r="Q78" s="367">
        <f>P78</f>
        <v>-291186.84861945518</v>
      </c>
      <c r="R78" s="368">
        <f>IF(R82&lt;P82,((P78+R76)-(R82-P82)),(P78+R76))</f>
        <v>-389572.15045456705</v>
      </c>
      <c r="S78" s="365">
        <f t="shared" si="27"/>
        <v>-366699.94243653805</v>
      </c>
      <c r="T78" s="365">
        <f t="shared" si="27"/>
        <v>-434380.61595547048</v>
      </c>
      <c r="U78" s="366">
        <f t="shared" si="27"/>
        <v>-415644.15296565974</v>
      </c>
      <c r="V78" s="369">
        <f>U78</f>
        <v>-415644.15296565974</v>
      </c>
      <c r="W78" s="369">
        <f>IF(W82&lt;U82,((U78+W76)-(W82-U82)),(U78+W76))</f>
        <v>-272356.55040904804</v>
      </c>
      <c r="X78" s="370">
        <f t="shared" ref="X78" si="28">IF(X82&lt;W82,((W78+X76)-(X82-W82)),(W78+X76))</f>
        <v>228011.88710194518</v>
      </c>
    </row>
    <row r="79" spans="1:24" ht="30" customHeight="1" thickBot="1" x14ac:dyDescent="0.3"/>
    <row r="80" spans="1:24" ht="18.75" customHeight="1" x14ac:dyDescent="0.25">
      <c r="A80" s="858" t="s">
        <v>171</v>
      </c>
      <c r="B80" s="859"/>
      <c r="C80" s="859"/>
      <c r="D80" s="860"/>
      <c r="E80" s="761" t="s">
        <v>20</v>
      </c>
      <c r="F80" s="761"/>
      <c r="G80" s="761"/>
      <c r="H80" s="761"/>
      <c r="I80" s="761"/>
      <c r="J80" s="761"/>
      <c r="K80" s="761"/>
      <c r="L80" s="761"/>
      <c r="M80" s="761"/>
      <c r="N80" s="761"/>
      <c r="O80" s="761"/>
      <c r="P80" s="761"/>
      <c r="Q80" s="762" t="s">
        <v>20</v>
      </c>
      <c r="R80" s="761" t="s">
        <v>25</v>
      </c>
      <c r="S80" s="761"/>
      <c r="T80" s="761"/>
      <c r="U80" s="761"/>
      <c r="V80" s="762" t="s">
        <v>25</v>
      </c>
      <c r="W80" s="812" t="s">
        <v>26</v>
      </c>
      <c r="X80" s="764" t="s">
        <v>27</v>
      </c>
    </row>
    <row r="81" spans="1:24" ht="18.75" customHeight="1" thickBot="1" x14ac:dyDescent="0.3">
      <c r="A81" s="861"/>
      <c r="B81" s="862"/>
      <c r="C81" s="862"/>
      <c r="D81" s="86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3"/>
      <c r="R81" s="111" t="s">
        <v>21</v>
      </c>
      <c r="S81" s="2" t="s">
        <v>22</v>
      </c>
      <c r="T81" s="2" t="s">
        <v>23</v>
      </c>
      <c r="U81" s="3" t="s">
        <v>24</v>
      </c>
      <c r="V81" s="763"/>
      <c r="W81" s="870"/>
      <c r="X81" s="765"/>
    </row>
    <row r="82" spans="1:24" ht="18.75" customHeight="1" thickTop="1" x14ac:dyDescent="0.25">
      <c r="A82" s="893" t="s">
        <v>168</v>
      </c>
      <c r="B82" s="894"/>
      <c r="C82" s="894"/>
      <c r="D82" s="895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53" t="s">
        <v>160</v>
      </c>
      <c r="B84" s="814"/>
      <c r="C84" s="814"/>
      <c r="D84" s="815"/>
      <c r="E84" s="926">
        <f>IF(SUM($D$3,E$78:G$78)&lt;0,IPMT($D$5,1,1,AVERAGE($D$3,E$78:G$78))/4,0)</f>
        <v>663.06649616686889</v>
      </c>
      <c r="F84" s="927"/>
      <c r="G84" s="927"/>
      <c r="H84" s="927">
        <f>IF(SUM(G$78:J$78)&lt;0,IPMT($D$5,1,1,AVERAGE(G$78:J$78))/4,0)</f>
        <v>2542.3809865824837</v>
      </c>
      <c r="I84" s="927"/>
      <c r="J84" s="927"/>
      <c r="K84" s="934">
        <f>IF(SUM(J$78:M$78)&lt;0,IPMT($D$5,1,1,AVERAGE(J$78:M$78))/4,0)</f>
        <v>3874.6365143758994</v>
      </c>
      <c r="L84" s="929"/>
      <c r="M84" s="930"/>
      <c r="N84" s="934">
        <f>IF(SUM(M$78:P$78)&lt;0,IPMT($D$5,1,1,AVERAGE(M$78:P$78))/4,0)</f>
        <v>4450.00234619605</v>
      </c>
      <c r="O84" s="929"/>
      <c r="P84" s="935"/>
      <c r="Q84" s="291">
        <f>SUM(B84:P84)</f>
        <v>11530.086343321302</v>
      </c>
      <c r="R84" s="75">
        <f>IF(SUM(R$78,P$78)&lt;0,IPMT($D$5,1,1,AVERAGE(R$78,P$78))/4,0)</f>
        <v>5105.6924930551668</v>
      </c>
      <c r="S84" s="76">
        <f>IF(SUM(S$78,R$78)&lt;0,IPMT($D$5,1,1,AVERAGE(S$78,R$78))/4,0)</f>
        <v>5672.0406966832879</v>
      </c>
      <c r="T84" s="76">
        <f>IF(SUM(T$78,S$78)&lt;0,IPMT($D$5,1,1,AVERAGE(T$78,S$78))/4,0)</f>
        <v>6008.1041879400636</v>
      </c>
      <c r="U84" s="298">
        <f>IF(SUM(U$78,T$78)&lt;0,IPMT($D$5,1,1,AVERAGE(U$78,T$78))/4,0)</f>
        <v>6375.1857669084766</v>
      </c>
      <c r="V84" s="291">
        <f>SUM(R84:U84)</f>
        <v>23161.023144586994</v>
      </c>
      <c r="W84" s="291">
        <f>IF(V$78&lt;0,IPMT($D$5,1,1,V$78),0)</f>
        <v>24938.649177939584</v>
      </c>
      <c r="X84" s="292">
        <f>IF(W$78&lt;0,IPMT($D$5,1,1,W$78),0)</f>
        <v>16341.393024542882</v>
      </c>
    </row>
    <row r="85" spans="1:24" ht="18.75" customHeight="1" x14ac:dyDescent="0.25">
      <c r="A85" s="853" t="s">
        <v>163</v>
      </c>
      <c r="B85" s="814"/>
      <c r="C85" s="814"/>
      <c r="D85" s="815"/>
      <c r="E85" s="928">
        <f>IF(SUM($D$3,E$78:G$78)&gt;0,-IPMT($D$6,1,1,AVERAGE($D$3,E$78:G$78))/4,0)</f>
        <v>0</v>
      </c>
      <c r="F85" s="929"/>
      <c r="G85" s="930"/>
      <c r="H85" s="934">
        <f>IF(SUM(G$78:J$78)&gt;0,-IPMT($D$6,1,1,AVERAGE(G$78:J$78))/4,0)</f>
        <v>0</v>
      </c>
      <c r="I85" s="929"/>
      <c r="J85" s="930"/>
      <c r="K85" s="934">
        <f>IF(SUM(J$78:M$78)&gt;0,-IPMT($D$6,1,1,AVERAGE(J$78:M$78))/4,0)</f>
        <v>0</v>
      </c>
      <c r="L85" s="929"/>
      <c r="M85" s="930"/>
      <c r="N85" s="934">
        <f>IF(SUM(M$78:P$78)&gt;0,-IPMT($D$6,1,1,AVERAGE(M$78:P$78))/4,0)</f>
        <v>0</v>
      </c>
      <c r="O85" s="929"/>
      <c r="P85" s="935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0</v>
      </c>
      <c r="X85" s="292">
        <f>IF(W$78&gt;0,-IPMT($D$6,1,1,(W$78/4)),0)</f>
        <v>0</v>
      </c>
    </row>
    <row r="86" spans="1:24" ht="18.75" customHeight="1" thickBot="1" x14ac:dyDescent="0.3">
      <c r="A86" s="923" t="s">
        <v>165</v>
      </c>
      <c r="B86" s="924"/>
      <c r="C86" s="924"/>
      <c r="D86" s="925"/>
      <c r="E86" s="931">
        <f>IF(SUM(E$82:G$82)&lt;0,IPMT($D$4,1,1,AVERAGE(E$82:G$82))/4,0)</f>
        <v>0</v>
      </c>
      <c r="F86" s="932"/>
      <c r="G86" s="933"/>
      <c r="H86" s="936">
        <f>IF(SUM(G$82:J$82)&lt;0,IPMT($D$4,1,1,AVERAGE(G$82:J$82))/4,0)</f>
        <v>0</v>
      </c>
      <c r="I86" s="932"/>
      <c r="J86" s="933"/>
      <c r="K86" s="936">
        <f>IF(SUM(J$82:M$82)&lt;0,IPMT($D$4,1,1,AVERAGE(J$82:M$82))/4,0)</f>
        <v>0</v>
      </c>
      <c r="L86" s="932"/>
      <c r="M86" s="933"/>
      <c r="N86" s="936">
        <f>IF(SUM(M$82:P$82)&lt;0,IPMT($D$4,1,1,AVERAGE(M$82:P$82))/4,0)</f>
        <v>0</v>
      </c>
      <c r="O86" s="932"/>
      <c r="P86" s="937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4n9yERHFTTVOQx0W/DsDNL2gM6GNmYGDg1ffBy3BiyIfe39McMmKHfRITUYh0jDKf5duBWyXTUOLMQoSeymRbA==" saltValue="DHFeqMV52W4ZK4lcuq09wQ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17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85546875" style="39" bestFit="1" customWidth="1"/>
    <col min="11" max="11" width="13.85546875" style="39" bestFit="1" customWidth="1"/>
    <col min="12" max="12" width="8.85546875" style="39" bestFit="1" customWidth="1"/>
    <col min="13" max="16384" width="11.42578125" style="39"/>
  </cols>
  <sheetData>
    <row r="1" spans="1:12" ht="27" thickBot="1" x14ac:dyDescent="0.3">
      <c r="A1" s="779" t="s">
        <v>181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1"/>
    </row>
    <row r="2" spans="1:12" ht="7.5" customHeight="1" thickBot="1" x14ac:dyDescent="0.3"/>
    <row r="3" spans="1:12" ht="15" customHeight="1" thickBot="1" x14ac:dyDescent="0.3">
      <c r="A3" s="963" t="s">
        <v>156</v>
      </c>
      <c r="B3" s="964"/>
      <c r="C3" s="964"/>
      <c r="D3" s="476">
        <f>Liquiditätsplan!D8</f>
        <v>0.2</v>
      </c>
    </row>
    <row r="4" spans="1:12" ht="22.5" customHeight="1" thickBot="1" x14ac:dyDescent="0.3">
      <c r="A4" s="441" t="s">
        <v>184</v>
      </c>
      <c r="B4" s="433"/>
      <c r="C4" s="433"/>
      <c r="D4" s="434"/>
      <c r="E4" s="810" t="s">
        <v>20</v>
      </c>
      <c r="F4" s="811"/>
      <c r="G4" s="760" t="s">
        <v>25</v>
      </c>
      <c r="H4" s="812"/>
      <c r="I4" s="760" t="s">
        <v>26</v>
      </c>
      <c r="J4" s="812"/>
      <c r="K4" s="760" t="s">
        <v>27</v>
      </c>
      <c r="L4" s="813"/>
    </row>
    <row r="5" spans="1:12" s="5" customFormat="1" ht="18.75" customHeight="1" thickBot="1" x14ac:dyDescent="0.3">
      <c r="A5" s="437" t="s">
        <v>186</v>
      </c>
      <c r="B5" s="435"/>
      <c r="C5" s="435"/>
      <c r="D5" s="436"/>
      <c r="E5" s="260" t="s">
        <v>182</v>
      </c>
      <c r="F5" s="261" t="s">
        <v>183</v>
      </c>
      <c r="G5" s="262" t="s">
        <v>182</v>
      </c>
      <c r="H5" s="269" t="s">
        <v>183</v>
      </c>
      <c r="I5" s="262" t="s">
        <v>182</v>
      </c>
      <c r="J5" s="269" t="s">
        <v>183</v>
      </c>
      <c r="K5" s="262" t="s">
        <v>182</v>
      </c>
      <c r="L5" s="383" t="s">
        <v>183</v>
      </c>
    </row>
    <row r="6" spans="1:12" ht="18.75" customHeight="1" outlineLevel="1" thickTop="1" x14ac:dyDescent="0.25">
      <c r="A6" s="893" t="s">
        <v>209</v>
      </c>
      <c r="B6" s="894"/>
      <c r="C6" s="894"/>
      <c r="D6" s="895"/>
      <c r="E6" s="6">
        <f>Abschreibung!G17</f>
        <v>20000</v>
      </c>
      <c r="F6" s="424">
        <f>IF(E$22=0,0,E6/E$22)</f>
        <v>0.22330649933566316</v>
      </c>
      <c r="G6" s="71">
        <f>Abschreibung!I17</f>
        <v>20000</v>
      </c>
      <c r="H6" s="427">
        <f>IF(G$22=0,0,G6/G$22)</f>
        <v>0.19870444700552398</v>
      </c>
      <c r="I6" s="71">
        <f>Abschreibung!K17</f>
        <v>20000</v>
      </c>
      <c r="J6" s="427">
        <f>IF(I$22=0,0,I6/I$22)</f>
        <v>0.29166848959472663</v>
      </c>
      <c r="K6" s="71">
        <f>Abschreibung!M17</f>
        <v>20000</v>
      </c>
      <c r="L6" s="430">
        <f>IF(K$22=0,0,K6/K$22)</f>
        <v>7.3425243182715455E-2</v>
      </c>
    </row>
    <row r="7" spans="1:12" ht="18.75" customHeight="1" outlineLevel="1" x14ac:dyDescent="0.25">
      <c r="A7" s="899" t="s">
        <v>210</v>
      </c>
      <c r="B7" s="900"/>
      <c r="C7" s="900"/>
      <c r="D7" s="901"/>
      <c r="E7" s="10">
        <f>SUM(Abschreibung!G5:G6)</f>
        <v>15900</v>
      </c>
      <c r="F7" s="425">
        <f>IF(E$22=0,0,E7/E$22)</f>
        <v>0.17752866697185221</v>
      </c>
      <c r="G7" s="75">
        <f>SUM(Abschreibung!I5:I6)</f>
        <v>13800</v>
      </c>
      <c r="H7" s="428">
        <f>IF(G$22=0,0,G7/G$22)</f>
        <v>0.13710606843381154</v>
      </c>
      <c r="I7" s="75">
        <f>SUM(Abschreibung!K5:K6)</f>
        <v>11700</v>
      </c>
      <c r="J7" s="428">
        <f>IF(I$22=0,0,I7/I$22)</f>
        <v>0.17062606641291508</v>
      </c>
      <c r="K7" s="75">
        <f>SUM(Abschreibung!M5:M6)</f>
        <v>9600</v>
      </c>
      <c r="L7" s="431">
        <f>IF(K$22=0,0,K7/K$22)</f>
        <v>3.5244116727703417E-2</v>
      </c>
    </row>
    <row r="8" spans="1:12" ht="18.75" customHeight="1" outlineLevel="1" x14ac:dyDescent="0.25">
      <c r="A8" s="899" t="s">
        <v>211</v>
      </c>
      <c r="B8" s="900"/>
      <c r="C8" s="900"/>
      <c r="D8" s="901"/>
      <c r="E8" s="10">
        <f>SUM(Abschreibung!G11:G11)</f>
        <v>8000</v>
      </c>
      <c r="F8" s="425">
        <f>IF(E$22=0,0,E8/E$22)</f>
        <v>8.9322599734265262E-2</v>
      </c>
      <c r="G8" s="75">
        <f>SUM(Abschreibung!I11:I11)</f>
        <v>6000</v>
      </c>
      <c r="H8" s="428">
        <f>IF(G$22=0,0,G8/G$22)</f>
        <v>5.9611334101657198E-2</v>
      </c>
      <c r="I8" s="75">
        <f>SUM(Abschreibung!K11:K11)</f>
        <v>4000</v>
      </c>
      <c r="J8" s="428">
        <f>IF(I$22=0,0,I8/I$22)</f>
        <v>5.8333697918945326E-2</v>
      </c>
      <c r="K8" s="75">
        <f>SUM(Abschreibung!M11:M11)</f>
        <v>2000</v>
      </c>
      <c r="L8" s="431">
        <f>IF(K$22=0,0,K8/K$22)</f>
        <v>7.342524318271545E-3</v>
      </c>
    </row>
    <row r="9" spans="1:12" ht="18.75" customHeight="1" outlineLevel="1" x14ac:dyDescent="0.25">
      <c r="A9" s="899" t="s">
        <v>207</v>
      </c>
      <c r="B9" s="900"/>
      <c r="C9" s="900"/>
      <c r="D9" s="901"/>
      <c r="E9" s="10">
        <f>Abschreibung!G30</f>
        <v>26250</v>
      </c>
      <c r="F9" s="425">
        <f>IF(E$22=0,0,E9/E$22)</f>
        <v>0.29308978037805788</v>
      </c>
      <c r="G9" s="75">
        <f>Abschreibung!I30</f>
        <v>43750</v>
      </c>
      <c r="H9" s="428">
        <f>IF(G$22=0,0,G9/G$22)</f>
        <v>0.43466597782458372</v>
      </c>
      <c r="I9" s="75">
        <f>Abschreibung!K30</f>
        <v>26250</v>
      </c>
      <c r="J9" s="428">
        <f>IF(I$22=0,0,I9/I$22)</f>
        <v>0.38281489259307871</v>
      </c>
      <c r="K9" s="75">
        <f>Abschreibung!M30</f>
        <v>8750</v>
      </c>
      <c r="L9" s="431">
        <f>IF(K$22=0,0,K9/K$22)</f>
        <v>3.212354389243801E-2</v>
      </c>
    </row>
    <row r="10" spans="1:12" ht="18.75" customHeight="1" outlineLevel="1" thickBot="1" x14ac:dyDescent="0.3">
      <c r="A10" s="899" t="s">
        <v>208</v>
      </c>
      <c r="B10" s="900"/>
      <c r="C10" s="900"/>
      <c r="D10" s="901"/>
      <c r="E10" s="10">
        <f>SUM(Abschreibung!G8:G10)</f>
        <v>19125</v>
      </c>
      <c r="F10" s="425">
        <f>IF(E$22=0,0,E10/E$22)</f>
        <v>0.21353683998972789</v>
      </c>
      <c r="G10" s="75">
        <f>SUM(Abschreibung!I8:I10)</f>
        <v>12750</v>
      </c>
      <c r="H10" s="428">
        <f>IF(G$22=0,0,G10/G$22)</f>
        <v>0.12667408496602153</v>
      </c>
      <c r="I10" s="75">
        <f>SUM(Abschreibung!K8:K10)</f>
        <v>6375</v>
      </c>
      <c r="J10" s="428">
        <f>IF(I$22=0,0,I10/I$22)</f>
        <v>9.2969331058319116E-2</v>
      </c>
      <c r="K10" s="75">
        <f>SUM(Abschreibung!M8:M10)</f>
        <v>0</v>
      </c>
      <c r="L10" s="431">
        <f>IF(K$22=0,0,K10/K$22)</f>
        <v>0</v>
      </c>
    </row>
    <row r="11" spans="1:12" ht="7.5" customHeight="1" outlineLevel="1" thickTop="1" thickBot="1" x14ac:dyDescent="0.3">
      <c r="A11" s="960"/>
      <c r="B11" s="961"/>
      <c r="C11" s="961"/>
      <c r="D11" s="962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75" t="s">
        <v>185</v>
      </c>
      <c r="B12" s="876"/>
      <c r="C12" s="876"/>
      <c r="D12" s="877"/>
      <c r="E12" s="444">
        <f t="shared" ref="E12:L12" si="0">SUM(E6:E11)</f>
        <v>89275</v>
      </c>
      <c r="F12" s="445">
        <f t="shared" si="0"/>
        <v>0.99678438640956646</v>
      </c>
      <c r="G12" s="446">
        <f t="shared" si="0"/>
        <v>96300</v>
      </c>
      <c r="H12" s="447">
        <f t="shared" si="0"/>
        <v>0.95676191233159791</v>
      </c>
      <c r="I12" s="446">
        <f t="shared" si="0"/>
        <v>68325</v>
      </c>
      <c r="J12" s="445">
        <f t="shared" si="0"/>
        <v>0.99641247757798479</v>
      </c>
      <c r="K12" s="446">
        <f t="shared" si="0"/>
        <v>40350</v>
      </c>
      <c r="L12" s="448">
        <f t="shared" si="0"/>
        <v>0.14813542812112843</v>
      </c>
    </row>
    <row r="13" spans="1:12" ht="7.5" customHeight="1" thickBot="1" x14ac:dyDescent="0.3">
      <c r="A13" s="768"/>
      <c r="B13" s="769"/>
      <c r="C13" s="769"/>
      <c r="D13" s="769"/>
      <c r="E13" s="769"/>
      <c r="F13" s="769"/>
      <c r="G13" s="769"/>
      <c r="H13" s="769"/>
      <c r="I13" s="769"/>
      <c r="J13" s="769"/>
      <c r="K13" s="769"/>
      <c r="L13" s="770"/>
    </row>
    <row r="14" spans="1:12" ht="18.75" customHeight="1" thickBot="1" x14ac:dyDescent="0.3">
      <c r="A14" s="438" t="s">
        <v>187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93" t="s">
        <v>202</v>
      </c>
      <c r="B15" s="894" t="s">
        <v>202</v>
      </c>
      <c r="C15" s="894" t="s">
        <v>202</v>
      </c>
      <c r="D15" s="895" t="s">
        <v>202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99" t="s">
        <v>203</v>
      </c>
      <c r="B16" s="900" t="s">
        <v>203</v>
      </c>
      <c r="C16" s="900" t="s">
        <v>203</v>
      </c>
      <c r="D16" s="901" t="s">
        <v>203</v>
      </c>
      <c r="E16" s="460">
        <f>Liquiditätsplan!Q15-Liquiditätsplan!Q16</f>
        <v>288</v>
      </c>
      <c r="F16" s="425">
        <f t="shared" ref="F16:H18" si="1">IF(E$22=0,0,E16/E$22)</f>
        <v>3.2156135904335497E-3</v>
      </c>
      <c r="G16" s="75">
        <f>Liquiditätsplan!V15-Liquiditätsplan!V16</f>
        <v>4352</v>
      </c>
      <c r="H16" s="428">
        <f t="shared" si="1"/>
        <v>4.3238087668402016E-2</v>
      </c>
      <c r="I16" s="75">
        <f>Liquiditätsplan!W15-Liquiditätsplan!W16</f>
        <v>246</v>
      </c>
      <c r="J16" s="425">
        <f t="shared" ref="J16" si="2">IF(I$22=0,0,I16/I$22)</f>
        <v>3.5875224220151378E-3</v>
      </c>
      <c r="K16" s="75">
        <f>Liquiditätsplan!X15-Liquiditätsplan!X16</f>
        <v>4024</v>
      </c>
      <c r="L16" s="470">
        <f t="shared" ref="L16" si="3">IF(K$22=0,0,K16/K$22)</f>
        <v>1.4773158928362349E-2</v>
      </c>
    </row>
    <row r="17" spans="1:12" ht="18.75" customHeight="1" outlineLevel="1" x14ac:dyDescent="0.25">
      <c r="A17" s="899" t="s">
        <v>204</v>
      </c>
      <c r="B17" s="900" t="s">
        <v>204</v>
      </c>
      <c r="C17" s="900" t="s">
        <v>204</v>
      </c>
      <c r="D17" s="901" t="s">
        <v>204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0</v>
      </c>
      <c r="J17" s="425">
        <f t="shared" ref="J17" si="4">IF(I$22=0,0,I17/I$22)</f>
        <v>0</v>
      </c>
      <c r="K17" s="75">
        <f>MAX(0,SUM(-K12,-K15,-K16,-K18,K30,K33,K34,K36))</f>
        <v>0</v>
      </c>
      <c r="L17" s="470">
        <f t="shared" ref="L17" si="5">IF(K$22=0,0,K17/K$22)</f>
        <v>0</v>
      </c>
    </row>
    <row r="18" spans="1:12" ht="18.75" customHeight="1" outlineLevel="1" thickBot="1" x14ac:dyDescent="0.3">
      <c r="A18" s="902" t="s">
        <v>205</v>
      </c>
      <c r="B18" s="903" t="s">
        <v>205</v>
      </c>
      <c r="C18" s="903" t="s">
        <v>205</v>
      </c>
      <c r="D18" s="904" t="s">
        <v>205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0</v>
      </c>
      <c r="H18" s="467">
        <f t="shared" si="1"/>
        <v>0</v>
      </c>
      <c r="I18" s="131">
        <f>IF(Liquiditätsplan!W78&gt;0,Liquiditätsplan!W78,0)</f>
        <v>0</v>
      </c>
      <c r="J18" s="465">
        <f t="shared" ref="J18" si="6">IF(I$22=0,0,I18/I$22)</f>
        <v>0</v>
      </c>
      <c r="K18" s="131">
        <f>IF(Liquiditätsplan!X78&gt;0,Liquiditätsplan!X78,0)</f>
        <v>228011.88710194518</v>
      </c>
      <c r="L18" s="471">
        <f t="shared" ref="L18" si="7">IF(K$22=0,0,K18/K$22)</f>
        <v>0.83709141295050926</v>
      </c>
    </row>
    <row r="19" spans="1:12" ht="7.5" customHeight="1" outlineLevel="1" thickTop="1" thickBot="1" x14ac:dyDescent="0.3">
      <c r="A19" s="957"/>
      <c r="B19" s="958"/>
      <c r="C19" s="958"/>
      <c r="D19" s="959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75" t="s">
        <v>188</v>
      </c>
      <c r="B20" s="876"/>
      <c r="C20" s="876"/>
      <c r="D20" s="877"/>
      <c r="E20" s="444">
        <f t="shared" ref="E20:L20" si="8">SUM(E13:E19)</f>
        <v>288</v>
      </c>
      <c r="F20" s="445">
        <f t="shared" si="8"/>
        <v>3.2156135904335497E-3</v>
      </c>
      <c r="G20" s="446">
        <f t="shared" si="8"/>
        <v>4352</v>
      </c>
      <c r="H20" s="447">
        <f t="shared" si="8"/>
        <v>4.3238087668402016E-2</v>
      </c>
      <c r="I20" s="446">
        <f t="shared" si="8"/>
        <v>246</v>
      </c>
      <c r="J20" s="445">
        <f t="shared" si="8"/>
        <v>3.5875224220151378E-3</v>
      </c>
      <c r="K20" s="446">
        <f t="shared" si="8"/>
        <v>232035.88710194518</v>
      </c>
      <c r="L20" s="448">
        <f t="shared" si="8"/>
        <v>0.85186457187887166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807" t="s">
        <v>189</v>
      </c>
      <c r="B22" s="808"/>
      <c r="C22" s="808"/>
      <c r="D22" s="947"/>
      <c r="E22" s="451">
        <f t="shared" ref="E22:L22" si="9">E20+E12</f>
        <v>89563</v>
      </c>
      <c r="F22" s="473">
        <f t="shared" si="9"/>
        <v>1</v>
      </c>
      <c r="G22" s="452">
        <f t="shared" si="9"/>
        <v>100652</v>
      </c>
      <c r="H22" s="473">
        <f t="shared" si="9"/>
        <v>0.99999999999999989</v>
      </c>
      <c r="I22" s="453">
        <f t="shared" si="9"/>
        <v>68571</v>
      </c>
      <c r="J22" s="474">
        <f t="shared" si="9"/>
        <v>0.99999999999999989</v>
      </c>
      <c r="K22" s="454">
        <f t="shared" si="9"/>
        <v>272385.88710194518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190</v>
      </c>
      <c r="B24" s="433"/>
      <c r="C24" s="433"/>
      <c r="D24" s="434"/>
      <c r="E24" s="810" t="s">
        <v>20</v>
      </c>
      <c r="F24" s="811"/>
      <c r="G24" s="760" t="s">
        <v>25</v>
      </c>
      <c r="H24" s="812"/>
      <c r="I24" s="760" t="s">
        <v>26</v>
      </c>
      <c r="J24" s="812"/>
      <c r="K24" s="760" t="s">
        <v>27</v>
      </c>
      <c r="L24" s="813"/>
    </row>
    <row r="25" spans="1:12" s="5" customFormat="1" ht="18.75" customHeight="1" thickBot="1" x14ac:dyDescent="0.3">
      <c r="A25" s="437" t="s">
        <v>191</v>
      </c>
      <c r="B25" s="435"/>
      <c r="C25" s="435"/>
      <c r="D25" s="436"/>
      <c r="E25" s="260" t="s">
        <v>182</v>
      </c>
      <c r="F25" s="261" t="s">
        <v>183</v>
      </c>
      <c r="G25" s="262" t="s">
        <v>182</v>
      </c>
      <c r="H25" s="269" t="s">
        <v>183</v>
      </c>
      <c r="I25" s="262" t="s">
        <v>182</v>
      </c>
      <c r="J25" s="269" t="s">
        <v>183</v>
      </c>
      <c r="K25" s="262" t="s">
        <v>182</v>
      </c>
      <c r="L25" s="383" t="s">
        <v>183</v>
      </c>
    </row>
    <row r="26" spans="1:12" ht="18.75" customHeight="1" outlineLevel="1" thickTop="1" x14ac:dyDescent="0.25">
      <c r="A26" s="954" t="s">
        <v>195</v>
      </c>
      <c r="B26" s="955"/>
      <c r="C26" s="955"/>
      <c r="D26" s="956"/>
      <c r="E26" s="442">
        <f>Liquiditätsplan!D3+Liquiditätsplan!Q31</f>
        <v>35000</v>
      </c>
      <c r="F26" s="424">
        <f>IF(E$40=0,0,E26/E$40)</f>
        <v>0.39078637383741066</v>
      </c>
      <c r="G26" s="71">
        <f>E26+Liquiditätsplan!V31</f>
        <v>35000</v>
      </c>
      <c r="H26" s="427">
        <f>IF(G$40=0,0,G26/G$40)</f>
        <v>0.34773278225966719</v>
      </c>
      <c r="I26" s="71">
        <f>G26+Liquiditätsplan!W31</f>
        <v>35000</v>
      </c>
      <c r="J26" s="427">
        <f>IF(I$40=0,0,I26/I$40)</f>
        <v>0.51041985679077162</v>
      </c>
      <c r="K26" s="71">
        <f>I26+Liquiditätsplan!X31</f>
        <v>35000</v>
      </c>
      <c r="L26" s="430">
        <f>IF(K$40=0,0,K26/K$40)</f>
        <v>0.12849417556975204</v>
      </c>
    </row>
    <row r="27" spans="1:12" ht="18.75" customHeight="1" outlineLevel="1" x14ac:dyDescent="0.25">
      <c r="A27" s="951" t="s">
        <v>196</v>
      </c>
      <c r="B27" s="952"/>
      <c r="C27" s="952"/>
      <c r="D27" s="953"/>
      <c r="E27" s="376"/>
      <c r="F27" s="443"/>
      <c r="G27" s="75">
        <f>SUM(E27:E28)</f>
        <v>-260335.68429898462</v>
      </c>
      <c r="H27" s="428">
        <f>IF(G$40=0,0,G27/G$40)</f>
        <v>-2.5864929092217221</v>
      </c>
      <c r="I27" s="75">
        <f>SUM(G27:G28)</f>
        <v>-394961.17206590163</v>
      </c>
      <c r="J27" s="428">
        <f t="shared" ref="J27" si="10">IF(I$40=0,0,I27/I$40)</f>
        <v>-5.7598864252512234</v>
      </c>
      <c r="K27" s="75">
        <f>SUM(I27:I28)</f>
        <v>-338466.36625365436</v>
      </c>
      <c r="L27" s="431">
        <f t="shared" ref="L27" si="11">IF(K$40=0,0,K27/K$40)</f>
        <v>-1.2425987625672303</v>
      </c>
    </row>
    <row r="28" spans="1:12" ht="18.75" customHeight="1" outlineLevel="1" thickBot="1" x14ac:dyDescent="0.3">
      <c r="A28" s="951" t="s">
        <v>121</v>
      </c>
      <c r="B28" s="952"/>
      <c r="C28" s="952"/>
      <c r="D28" s="953"/>
      <c r="E28" s="10">
        <f>'Plan G&amp;V'!Q47</f>
        <v>-260335.68429898462</v>
      </c>
      <c r="F28" s="425">
        <f>IF(E$40=0,0,E28/E$40)</f>
        <v>-2.9067325156480321</v>
      </c>
      <c r="G28" s="75">
        <f>'Plan G&amp;V'!V47</f>
        <v>-134625.48776691701</v>
      </c>
      <c r="H28" s="428">
        <f>IF(G$40=0,0,G28/G$40)</f>
        <v>-1.3375341549787096</v>
      </c>
      <c r="I28" s="75">
        <f>'Plan G&amp;V'!W47</f>
        <v>56494.805812247243</v>
      </c>
      <c r="J28" s="428">
        <f t="shared" ref="J28" si="12">IF(I$40=0,0,I28/I$40)</f>
        <v>0.82388773406027682</v>
      </c>
      <c r="K28" s="75">
        <f>'Plan G&amp;V'!X47</f>
        <v>430629.36033105664</v>
      </c>
      <c r="L28" s="431">
        <f t="shared" ref="L28" si="13">IF(K$40=0,0,K28/K$40)</f>
        <v>1.5809532751962516</v>
      </c>
    </row>
    <row r="29" spans="1:12" ht="7.5" customHeight="1" outlineLevel="1" thickTop="1" thickBot="1" x14ac:dyDescent="0.3">
      <c r="A29" s="960"/>
      <c r="B29" s="961"/>
      <c r="C29" s="961"/>
      <c r="D29" s="962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75" t="s">
        <v>192</v>
      </c>
      <c r="B30" s="876"/>
      <c r="C30" s="876"/>
      <c r="D30" s="877"/>
      <c r="E30" s="455">
        <f>SUM(E26:E29)</f>
        <v>-225335.68429898462</v>
      </c>
      <c r="F30" s="456">
        <f t="shared" ref="F30:L30" si="14">SUM(F26:F29)</f>
        <v>-2.5159461418106215</v>
      </c>
      <c r="G30" s="457">
        <f t="shared" si="14"/>
        <v>-359961.17206590163</v>
      </c>
      <c r="H30" s="458">
        <f t="shared" si="14"/>
        <v>-3.5762942819407648</v>
      </c>
      <c r="I30" s="457">
        <f t="shared" si="14"/>
        <v>-303466.36625365436</v>
      </c>
      <c r="J30" s="456">
        <f t="shared" si="14"/>
        <v>-4.4255788344001754</v>
      </c>
      <c r="K30" s="457">
        <f t="shared" si="14"/>
        <v>127162.99407740228</v>
      </c>
      <c r="L30" s="459">
        <f t="shared" si="14"/>
        <v>0.46684868819877323</v>
      </c>
    </row>
    <row r="31" spans="1:12" ht="7.5" customHeight="1" thickBot="1" x14ac:dyDescent="0.3">
      <c r="A31" s="768"/>
      <c r="B31" s="769"/>
      <c r="C31" s="769"/>
      <c r="D31" s="769"/>
      <c r="E31" s="769"/>
      <c r="F31" s="769"/>
      <c r="G31" s="769"/>
      <c r="H31" s="769"/>
      <c r="I31" s="769"/>
      <c r="J31" s="769"/>
      <c r="K31" s="769"/>
      <c r="L31" s="770"/>
    </row>
    <row r="32" spans="1:12" ht="18.75" customHeight="1" thickBot="1" x14ac:dyDescent="0.3">
      <c r="A32" s="438" t="s">
        <v>194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54" t="s">
        <v>198</v>
      </c>
      <c r="B33" s="955"/>
      <c r="C33" s="955"/>
      <c r="D33" s="956"/>
      <c r="E33" s="442">
        <f>'Plan G&amp;V'!Q56</f>
        <v>500</v>
      </c>
      <c r="F33" s="424">
        <f>IF(E$40=0,0,E33/E$40)</f>
        <v>5.5826624833915806E-3</v>
      </c>
      <c r="G33" s="71">
        <f>'Plan G&amp;V'!V56</f>
        <v>500</v>
      </c>
      <c r="H33" s="427">
        <f>IF(G$40=0,0,G33/G$40)</f>
        <v>4.9676111751381022E-3</v>
      </c>
      <c r="I33" s="71">
        <f>'Plan G&amp;V'!W56</f>
        <v>3766.3203874831497</v>
      </c>
      <c r="J33" s="424">
        <f>IF(I$40=0,0,I33/I$40)</f>
        <v>5.4925848937351793E-2</v>
      </c>
      <c r="K33" s="71">
        <f>'Plan G&amp;V'!X56</f>
        <v>28708.624022070442</v>
      </c>
      <c r="L33" s="469">
        <f>IF(K$40=0,0,K33/K$40)</f>
        <v>0.10539688501308343</v>
      </c>
    </row>
    <row r="34" spans="1:13" ht="18.75" customHeight="1" outlineLevel="1" x14ac:dyDescent="0.25">
      <c r="A34" s="951" t="s">
        <v>199</v>
      </c>
      <c r="B34" s="952"/>
      <c r="C34" s="952"/>
      <c r="D34" s="953"/>
      <c r="E34" s="460">
        <f>(SUM((-SUM('Plan G&amp;V'!Q19,'Plan G&amp;V'!Q20,'Plan G&amp;V'!Q24:Q30,'Plan G&amp;V'!Q35)+Investitionsplan!R32)*(1+$D$3),-'Plan G&amp;V'!Q31,-'Plan G&amp;V'!Q32))-(SUM(Liquiditätsplan!Q41:Q54,Liquiditätsplan!Q62))</f>
        <v>7041.5999999999767</v>
      </c>
      <c r="F34" s="425">
        <f t="shared" ref="F34:H36" si="15">IF(E$40=0,0,E34/E$40)</f>
        <v>7.862175228610005E-2</v>
      </c>
      <c r="G34" s="75">
        <f>(SUM((-SUM('Plan G&amp;V'!V19,'Plan G&amp;V'!V20,'Plan G&amp;V'!V24:V30,'Plan G&amp;V'!V35)+Investitionsplan!W32)*(1+$D$3),-'Plan G&amp;V'!V31,-'Plan G&amp;V'!V32))-(SUM(Liquiditätsplan!V41:V54,Liquiditätsplan!V62))</f>
        <v>24941.600000000006</v>
      </c>
      <c r="H34" s="428">
        <f t="shared" si="15"/>
        <v>0.24780034177164906</v>
      </c>
      <c r="I34" s="75">
        <f>(SUM((-SUM('Plan G&amp;V'!W19,'Plan G&amp;V'!W20,'Plan G&amp;V'!W24:W30,'Plan G&amp;V'!W35)+Investitionsplan!X32)*(1+$D$3),-'Plan G&amp;V'!W31,-'Plan G&amp;V'!W32))-(SUM(Liquiditätsplan!W41:W54,Liquiditätsplan!W62))</f>
        <v>17941.599999999991</v>
      </c>
      <c r="J34" s="425">
        <f t="shared" ref="J34" si="16">IF(I$40=0,0,I34/I$40)</f>
        <v>0.26164996864563722</v>
      </c>
      <c r="K34" s="75">
        <f>(SUM((-SUM('Plan G&amp;V'!X19,'Plan G&amp;V'!X20,'Plan G&amp;V'!X24:X30,'Plan G&amp;V'!X35)+Investitionsplan!Y32)*(1+$D$3),-'Plan G&amp;V'!X31,-'Plan G&amp;V'!X32))-(SUM(Liquiditätsplan!X41:X54,Liquiditätsplan!X62))</f>
        <v>17941.599999999991</v>
      </c>
      <c r="L34" s="470">
        <f t="shared" ref="L34" si="17">IF(K$40=0,0,K34/K$40)</f>
        <v>6.5868317154350348E-2</v>
      </c>
    </row>
    <row r="35" spans="1:13" ht="18.75" customHeight="1" outlineLevel="1" x14ac:dyDescent="0.25">
      <c r="A35" s="951" t="s">
        <v>200</v>
      </c>
      <c r="B35" s="952"/>
      <c r="C35" s="952"/>
      <c r="D35" s="953"/>
      <c r="E35" s="460">
        <f>MAX(0,SUM(E12,E15,E16,E18,-E30,-E33,-E34,-E36))</f>
        <v>16170.235679529433</v>
      </c>
      <c r="F35" s="298">
        <f t="shared" ref="F35:L35" si="18">MAX(0,SUM(F12,F15,F16,F18,-F30,-F33,-F34,-F36))</f>
        <v>0.18054593615141767</v>
      </c>
      <c r="G35" s="75">
        <f t="shared" si="18"/>
        <v>19527.419100241852</v>
      </c>
      <c r="H35" s="74">
        <f t="shared" si="18"/>
        <v>0.19400925068793384</v>
      </c>
      <c r="I35" s="75">
        <f t="shared" si="18"/>
        <v>77972.895457123173</v>
      </c>
      <c r="J35" s="74">
        <f t="shared" si="18"/>
        <v>1.137111832365334</v>
      </c>
      <c r="K35" s="75">
        <f t="shared" si="18"/>
        <v>98572.669002472467</v>
      </c>
      <c r="L35" s="994">
        <f t="shared" si="18"/>
        <v>0.36188610963379297</v>
      </c>
    </row>
    <row r="36" spans="1:13" ht="18.75" customHeight="1" outlineLevel="1" thickBot="1" x14ac:dyDescent="0.3">
      <c r="A36" s="948" t="s">
        <v>201</v>
      </c>
      <c r="B36" s="949"/>
      <c r="C36" s="949"/>
      <c r="D36" s="950"/>
      <c r="E36" s="461">
        <f>IF(Liquiditätsplan!Q78&lt;=0,((-Liquiditätsplan!Q78)-Liquiditätsplan!Q82),-Liquiditätsplan!Q82)</f>
        <v>291186.84861945518</v>
      </c>
      <c r="F36" s="465">
        <f t="shared" si="15"/>
        <v>3.251195790889712</v>
      </c>
      <c r="G36" s="131">
        <f>IF(Liquiditätsplan!V78&lt;=0,((-Liquiditätsplan!V78)-Liquiditätsplan!V82),-Liquiditätsplan!V82)</f>
        <v>415644.15296565974</v>
      </c>
      <c r="H36" s="467">
        <f t="shared" si="15"/>
        <v>4.1295170783060442</v>
      </c>
      <c r="I36" s="131">
        <f>IF(Liquiditätsplan!W78&lt;=0,((-Liquiditätsplan!W78)-Liquiditätsplan!W82),-Liquiditätsplan!W82)</f>
        <v>272356.55040904804</v>
      </c>
      <c r="J36" s="465">
        <f t="shared" ref="J36" si="19">IF(I$40=0,0,I36/I$40)</f>
        <v>3.9718911844518532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57"/>
      <c r="B37" s="958"/>
      <c r="C37" s="958"/>
      <c r="D37" s="959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75" t="s">
        <v>193</v>
      </c>
      <c r="B38" s="876"/>
      <c r="C38" s="876"/>
      <c r="D38" s="877"/>
      <c r="E38" s="455">
        <f>SUM(E33:E37)</f>
        <v>314898.68429898459</v>
      </c>
      <c r="F38" s="456">
        <f t="shared" ref="F38:L38" si="21">SUM(F33:F37)</f>
        <v>3.5159461418106215</v>
      </c>
      <c r="G38" s="457">
        <f t="shared" si="21"/>
        <v>460613.17206590157</v>
      </c>
      <c r="H38" s="458">
        <f t="shared" si="21"/>
        <v>4.5762942819407648</v>
      </c>
      <c r="I38" s="457">
        <f t="shared" si="21"/>
        <v>372037.36625365436</v>
      </c>
      <c r="J38" s="456">
        <f t="shared" si="21"/>
        <v>5.4255788344001763</v>
      </c>
      <c r="K38" s="457">
        <f t="shared" si="21"/>
        <v>145222.89302454289</v>
      </c>
      <c r="L38" s="459">
        <f t="shared" si="21"/>
        <v>0.53315131180122677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807" t="s">
        <v>206</v>
      </c>
      <c r="B40" s="808"/>
      <c r="C40" s="808"/>
      <c r="D40" s="947"/>
      <c r="E40" s="451">
        <f t="shared" ref="E40:L40" si="22">E38+E30</f>
        <v>89562.999999999971</v>
      </c>
      <c r="F40" s="473">
        <f t="shared" si="22"/>
        <v>1</v>
      </c>
      <c r="G40" s="452">
        <f t="shared" si="22"/>
        <v>100651.99999999994</v>
      </c>
      <c r="H40" s="473">
        <f t="shared" si="22"/>
        <v>1</v>
      </c>
      <c r="I40" s="453">
        <f t="shared" si="22"/>
        <v>68571</v>
      </c>
      <c r="J40" s="474">
        <f t="shared" si="22"/>
        <v>1.0000000000000009</v>
      </c>
      <c r="K40" s="454">
        <f t="shared" si="22"/>
        <v>272385.88710194518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dGh0eIzDNZj8etnXWWVcJk6R7U0Af8jnkn9j0HXOompsdvf9jD76QyzVHBM7F1UpfhlJT6BT47XOulJs/Y4HfA==" saltValue="g5cc6pzonyr/e7J41TPRZg==" spinCount="100000" sheet="1" objects="1" scenarios="1"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79" t="s">
        <v>214</v>
      </c>
      <c r="B1" s="780"/>
      <c r="C1" s="780"/>
      <c r="D1" s="780"/>
      <c r="E1" s="780"/>
      <c r="F1" s="780"/>
      <c r="G1" s="780"/>
      <c r="H1" s="780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109</v>
      </c>
      <c r="B4" s="965" t="s">
        <v>121</v>
      </c>
      <c r="C4" s="965"/>
      <c r="D4" s="966"/>
      <c r="E4" s="6">
        <f>'Plan G&amp;V'!Q47</f>
        <v>-260335.68429898462</v>
      </c>
      <c r="F4" s="71">
        <f>'Plan G&amp;V'!V47</f>
        <v>-134625.48776691701</v>
      </c>
      <c r="G4" s="71">
        <f>'Plan G&amp;V'!W47</f>
        <v>56494.805812247243</v>
      </c>
      <c r="H4" s="497">
        <f>'Plan G&amp;V'!X47</f>
        <v>430629.36033105664</v>
      </c>
    </row>
    <row r="5" spans="1:8" ht="18.75" customHeight="1" x14ac:dyDescent="0.25">
      <c r="A5" s="492" t="s">
        <v>109</v>
      </c>
      <c r="B5" s="900" t="s">
        <v>132</v>
      </c>
      <c r="C5" s="900"/>
      <c r="D5" s="901"/>
      <c r="E5" s="10">
        <f>-'Plan G&amp;V'!Q36</f>
        <v>12975</v>
      </c>
      <c r="F5" s="75">
        <f>-'Plan G&amp;V'!V36</f>
        <v>12975</v>
      </c>
      <c r="G5" s="75">
        <f>-'Plan G&amp;V'!W36</f>
        <v>37550</v>
      </c>
      <c r="H5" s="292">
        <f>-'Plan G&amp;V'!X36</f>
        <v>24575</v>
      </c>
    </row>
    <row r="6" spans="1:8" ht="18.75" customHeight="1" thickBot="1" x14ac:dyDescent="0.3">
      <c r="A6" s="492" t="s">
        <v>109</v>
      </c>
      <c r="B6" s="900" t="s">
        <v>212</v>
      </c>
      <c r="C6" s="900"/>
      <c r="D6" s="901"/>
      <c r="E6" s="10">
        <f>Planbilanz!E33</f>
        <v>500</v>
      </c>
      <c r="F6" s="75">
        <f>Planbilanz!G33-Planbilanz!E33</f>
        <v>0</v>
      </c>
      <c r="G6" s="75">
        <f>Planbilanz!I33-Planbilanz!G33</f>
        <v>3266.3203874831497</v>
      </c>
      <c r="H6" s="292">
        <f>Planbilanz!K33-Planbilanz!I33</f>
        <v>24942.303634587293</v>
      </c>
    </row>
    <row r="7" spans="1:8" ht="7.5" customHeight="1" thickTop="1" thickBot="1" x14ac:dyDescent="0.3">
      <c r="A7" s="960"/>
      <c r="B7" s="961"/>
      <c r="C7" s="961"/>
      <c r="D7" s="962"/>
      <c r="E7" s="27"/>
      <c r="F7" s="31"/>
      <c r="G7" s="31"/>
      <c r="H7" s="34"/>
    </row>
    <row r="8" spans="1:8" ht="18.75" customHeight="1" thickBot="1" x14ac:dyDescent="0.3">
      <c r="A8" s="875" t="s">
        <v>213</v>
      </c>
      <c r="B8" s="876"/>
      <c r="C8" s="876"/>
      <c r="D8" s="877"/>
      <c r="E8" s="444">
        <f>SUM(E4:E7)</f>
        <v>-246860.68429898462</v>
      </c>
      <c r="F8" s="446">
        <f>SUM(F4:F7)</f>
        <v>-121650.48776691701</v>
      </c>
      <c r="G8" s="446">
        <f>SUM(G4:G7)</f>
        <v>97311.126199730395</v>
      </c>
      <c r="H8" s="498">
        <f>SUM(H4:H7)</f>
        <v>480146.66396564391</v>
      </c>
    </row>
    <row r="9" spans="1:8" ht="7.5" customHeight="1" thickBot="1" x14ac:dyDescent="0.3">
      <c r="A9" s="768"/>
      <c r="B9" s="769"/>
      <c r="C9" s="769"/>
      <c r="D9" s="769"/>
      <c r="E9" s="769"/>
      <c r="F9" s="769"/>
      <c r="G9" s="769"/>
      <c r="H9" s="770"/>
    </row>
    <row r="10" spans="1:8" ht="18.75" customHeight="1" x14ac:dyDescent="0.25">
      <c r="A10" s="491" t="s">
        <v>108</v>
      </c>
      <c r="B10" s="965" t="s">
        <v>220</v>
      </c>
      <c r="C10" s="965" t="s">
        <v>215</v>
      </c>
      <c r="D10" s="966" t="s">
        <v>215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108</v>
      </c>
      <c r="B11" s="900" t="s">
        <v>221</v>
      </c>
      <c r="C11" s="900" t="s">
        <v>216</v>
      </c>
      <c r="D11" s="901" t="s">
        <v>216</v>
      </c>
      <c r="E11" s="460">
        <f>0-Planbilanz!E16</f>
        <v>-288</v>
      </c>
      <c r="F11" s="75">
        <f>Planbilanz!E16-Planbilanz!G16</f>
        <v>-4064</v>
      </c>
      <c r="G11" s="75">
        <f>Planbilanz!G16-Planbilanz!I16</f>
        <v>4106</v>
      </c>
      <c r="H11" s="292">
        <f>Planbilanz!I16-Planbilanz!K16</f>
        <v>-3778</v>
      </c>
    </row>
    <row r="12" spans="1:8" ht="18.75" customHeight="1" x14ac:dyDescent="0.25">
      <c r="A12" s="492" t="s">
        <v>109</v>
      </c>
      <c r="B12" s="900" t="s">
        <v>222</v>
      </c>
      <c r="C12" s="900" t="s">
        <v>217</v>
      </c>
      <c r="D12" s="901" t="s">
        <v>217</v>
      </c>
      <c r="E12" s="460">
        <f>Planbilanz!E34</f>
        <v>7041.5999999999767</v>
      </c>
      <c r="F12" s="75">
        <f>Planbilanz!G34-Planbilanz!E34</f>
        <v>17900.000000000029</v>
      </c>
      <c r="G12" s="75">
        <f>Planbilanz!I34-Planbilanz!G34</f>
        <v>-7000.0000000000146</v>
      </c>
      <c r="H12" s="292">
        <f>Planbilanz!K34-Planbilanz!I34</f>
        <v>0</v>
      </c>
    </row>
    <row r="13" spans="1:8" ht="18.75" customHeight="1" x14ac:dyDescent="0.25">
      <c r="A13" s="495" t="s">
        <v>108</v>
      </c>
      <c r="B13" s="900" t="s">
        <v>223</v>
      </c>
      <c r="C13" s="900" t="s">
        <v>218</v>
      </c>
      <c r="D13" s="901" t="s">
        <v>218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0</v>
      </c>
      <c r="H13" s="381">
        <f>Planbilanz!I17-Planbilanz!K17</f>
        <v>0</v>
      </c>
    </row>
    <row r="14" spans="1:8" ht="18.75" customHeight="1" thickBot="1" x14ac:dyDescent="0.3">
      <c r="A14" s="496" t="s">
        <v>109</v>
      </c>
      <c r="B14" s="903" t="s">
        <v>224</v>
      </c>
      <c r="C14" s="903" t="s">
        <v>219</v>
      </c>
      <c r="D14" s="904" t="s">
        <v>219</v>
      </c>
      <c r="E14" s="461">
        <f>Planbilanz!E35</f>
        <v>16170.235679529433</v>
      </c>
      <c r="F14" s="131">
        <f>Planbilanz!G35-Planbilanz!E35</f>
        <v>3357.1834207124193</v>
      </c>
      <c r="G14" s="131">
        <f>Planbilanz!I35-Planbilanz!G35</f>
        <v>58445.476356881321</v>
      </c>
      <c r="H14" s="499">
        <f>Planbilanz!K35-Planbilanz!I35</f>
        <v>20599.773545349293</v>
      </c>
    </row>
    <row r="15" spans="1:8" ht="7.5" customHeight="1" thickTop="1" thickBot="1" x14ac:dyDescent="0.3">
      <c r="A15" s="957"/>
      <c r="B15" s="958"/>
      <c r="C15" s="958"/>
      <c r="D15" s="959"/>
      <c r="E15" s="449"/>
      <c r="F15" s="450"/>
      <c r="G15" s="450"/>
      <c r="H15" s="500"/>
    </row>
    <row r="16" spans="1:8" ht="18.75" customHeight="1" thickBot="1" x14ac:dyDescent="0.3">
      <c r="A16" s="875" t="s">
        <v>225</v>
      </c>
      <c r="B16" s="876"/>
      <c r="C16" s="876"/>
      <c r="D16" s="877"/>
      <c r="E16" s="444">
        <f>SUM(E10:E15)</f>
        <v>22923.835679529409</v>
      </c>
      <c r="F16" s="446">
        <f>SUM(F9:F15)</f>
        <v>17193.183420712448</v>
      </c>
      <c r="G16" s="446">
        <f>SUM(G9:G15)</f>
        <v>55551.476356881307</v>
      </c>
      <c r="H16" s="498">
        <f>SUM(H9:H15)</f>
        <v>16821.773545349293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807" t="s">
        <v>226</v>
      </c>
      <c r="B18" s="808"/>
      <c r="C18" s="808"/>
      <c r="D18" s="947"/>
      <c r="E18" s="451">
        <f>E16+E8</f>
        <v>-223936.84861945521</v>
      </c>
      <c r="F18" s="452">
        <f>F16+F8</f>
        <v>-104457.30434620456</v>
      </c>
      <c r="G18" s="453">
        <f>G16+G8</f>
        <v>152862.6025566117</v>
      </c>
      <c r="H18" s="334">
        <f>H16+H8</f>
        <v>496968.43751099322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WYetGynwbftGNatYzaE8T3Gy/ofCwVssQiqOlqW4C2HxgT7Wc3MymhHjx0Qlupb2XR0GMQ+uB8SHXe6VurFrZQ==" saltValue="NVLNGWnNuKbslzgD5Lty7Q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J18" sqref="J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79" t="s">
        <v>227</v>
      </c>
      <c r="B1" s="780"/>
      <c r="C1" s="780"/>
      <c r="D1" s="780"/>
      <c r="E1" s="780"/>
      <c r="F1" s="780"/>
      <c r="G1" s="780"/>
      <c r="H1" s="781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70" t="s">
        <v>228</v>
      </c>
      <c r="B4" s="965"/>
      <c r="C4" s="965"/>
      <c r="D4" s="966"/>
      <c r="E4" s="510">
        <f>-'Plan G&amp;V'!Q23/'Plan G&amp;V'!Q18</f>
        <v>2.251070527276632</v>
      </c>
      <c r="F4" s="511">
        <f>-'Plan G&amp;V'!V23/'Plan G&amp;V'!V18</f>
        <v>0.9514467740067184</v>
      </c>
      <c r="G4" s="511">
        <f>-'Plan G&amp;V'!W23/'Plan G&amp;V'!W18</f>
        <v>0.54569538044739652</v>
      </c>
      <c r="H4" s="512">
        <f>-'Plan G&amp;V'!X23/'Plan G&amp;V'!X18</f>
        <v>0.31408166198063114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99" t="s">
        <v>229</v>
      </c>
      <c r="B6" s="900"/>
      <c r="C6" s="900"/>
      <c r="D6" s="901"/>
      <c r="E6" s="513">
        <f>Planbilanz!E30/Planbilanz!E40</f>
        <v>-2.5159461418106215</v>
      </c>
      <c r="F6" s="514">
        <f>Planbilanz!G30/Planbilanz!G40</f>
        <v>-3.5762942819407644</v>
      </c>
      <c r="G6" s="514">
        <f>Planbilanz!I30/Planbilanz!I40</f>
        <v>-4.4255788344001745</v>
      </c>
      <c r="H6" s="515">
        <f>Planbilanz!K30/Planbilanz!K40</f>
        <v>0.46684868819877334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99" t="s">
        <v>230</v>
      </c>
      <c r="B8" s="900"/>
      <c r="C8" s="900"/>
      <c r="D8" s="901"/>
      <c r="E8" s="513">
        <f>Planbilanz!E38/Planbilanz!E40</f>
        <v>3.5159461418106215</v>
      </c>
      <c r="F8" s="514">
        <f>Planbilanz!G38/Planbilanz!G40</f>
        <v>4.5762942819407648</v>
      </c>
      <c r="G8" s="514">
        <f>Planbilanz!I38/Planbilanz!I40</f>
        <v>5.4255788344001745</v>
      </c>
      <c r="H8" s="515">
        <f>Planbilanz!K38/Planbilanz!K40</f>
        <v>0.53315131180122666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99" t="s">
        <v>231</v>
      </c>
      <c r="B10" s="900"/>
      <c r="C10" s="900"/>
      <c r="D10" s="901"/>
      <c r="E10" s="516">
        <f>('Plan G&amp;V'!Q38+'Plan G&amp;V'!Q40)/'Plan G&amp;V'!Q18</f>
        <v>-2.4998550051915203</v>
      </c>
      <c r="F10" s="517">
        <f>('Plan G&amp;V'!V38+'Plan G&amp;V'!V40)/'Plan G&amp;V'!V18</f>
        <v>-0.42845076884176997</v>
      </c>
      <c r="G10" s="517">
        <f>('Plan G&amp;V'!W38+'Plan G&amp;V'!W40)/'Plan G&amp;V'!W18</f>
        <v>0.17976835852840639</v>
      </c>
      <c r="H10" s="518">
        <f>('Plan G&amp;V'!X38+'Plan G&amp;V'!X40)/'Plan G&amp;V'!X18</f>
        <v>0.55038284029026807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99" t="s">
        <v>276</v>
      </c>
      <c r="B12" s="900"/>
      <c r="C12" s="900"/>
      <c r="D12" s="901"/>
      <c r="E12" s="516">
        <f>'Plan G&amp;V'!Q44/'Plan G&amp;V'!Q18</f>
        <v>-2.6159359324559501</v>
      </c>
      <c r="F12" s="517">
        <f>'Plan G&amp;V'!V44/'Plan G&amp;V'!V18</f>
        <v>-0.51787902145610643</v>
      </c>
      <c r="G12" s="517">
        <f>'Plan G&amp;V'!W44/'Plan G&amp;V'!W18</f>
        <v>0.12714873592070422</v>
      </c>
      <c r="H12" s="518">
        <f>'Plan G&amp;V'!X44/'Plan G&amp;V'!X18</f>
        <v>0.53147509962526418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67" t="s">
        <v>269</v>
      </c>
      <c r="B14" s="968"/>
      <c r="C14" s="968"/>
      <c r="D14" s="969"/>
      <c r="E14" s="641">
        <f>'Cash Flow'!E18</f>
        <v>-223936.84861945521</v>
      </c>
      <c r="F14" s="642">
        <f>'Cash Flow'!F18</f>
        <v>-104457.30434620456</v>
      </c>
      <c r="G14" s="642">
        <f>'Cash Flow'!G18</f>
        <v>152862.6025566117</v>
      </c>
      <c r="H14" s="643">
        <f>'Cash Flow'!H18</f>
        <v>496968.43751099322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9uG00xpcV5TraJyrcn0qUsncs375BlrTjRWdWWSs/rMpLnYEar63wYTnyKMcfnpAY6TilKD0C4XE2V5oXKr7hA==" saltValue="lB4L4kvSOdnpmozed5g7/Q==" spinCount="100000" sheet="1" objects="1" scenarios="1" selectLockedCell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9"/>
  <sheetViews>
    <sheetView view="pageBreakPreview" topLeftCell="A13" zoomScaleNormal="100" zoomScaleSheetLayoutView="100" workbookViewId="0">
      <selection activeCell="I12" sqref="I12"/>
    </sheetView>
  </sheetViews>
  <sheetFormatPr baseColWidth="10" defaultRowHeight="15" x14ac:dyDescent="0.25"/>
  <cols>
    <col min="1" max="1" width="13.5703125" bestFit="1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79" t="s">
        <v>255</v>
      </c>
      <c r="B1" s="780"/>
      <c r="C1" s="780"/>
      <c r="D1" s="780"/>
      <c r="E1" s="780"/>
      <c r="F1" s="781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277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253</v>
      </c>
      <c r="B4" s="715">
        <v>0</v>
      </c>
      <c r="C4" s="716">
        <f>Liquiditätsplan!Q36</f>
        <v>152363.63333333333</v>
      </c>
      <c r="D4" s="716">
        <f>Liquiditätsplan!V36</f>
        <v>337518</v>
      </c>
      <c r="E4" s="716">
        <f>Liquiditätsplan!W36</f>
        <v>601521.33333333337</v>
      </c>
      <c r="F4" s="717">
        <f>Liquiditätsplan!X36</f>
        <v>1082818</v>
      </c>
    </row>
    <row r="5" spans="1:8" ht="15.75" thickBot="1" x14ac:dyDescent="0.3">
      <c r="A5" s="718" t="s">
        <v>254</v>
      </c>
      <c r="B5" s="719">
        <v>0</v>
      </c>
      <c r="C5" s="720">
        <f>Liquiditätsplan!Q74</f>
        <v>477438.68195278867</v>
      </c>
      <c r="D5" s="720">
        <f>Liquiditätsplan!V74</f>
        <v>443975.30434620462</v>
      </c>
      <c r="E5" s="720">
        <f>Liquiditätsplan!W74</f>
        <v>458233.73077672167</v>
      </c>
      <c r="F5" s="721">
        <f>Liquiditätsplan!X74</f>
        <v>582449.56248900678</v>
      </c>
    </row>
    <row r="6" spans="1:8" ht="15.75" thickTop="1" x14ac:dyDescent="0.25">
      <c r="A6" s="722" t="s">
        <v>259</v>
      </c>
      <c r="B6" s="723">
        <v>0</v>
      </c>
      <c r="C6" s="724">
        <f>Liquiditätsplan!Q36</f>
        <v>152363.63333333333</v>
      </c>
      <c r="D6" s="724">
        <f>Liquiditätsplan!V36+C6</f>
        <v>489881.6333333333</v>
      </c>
      <c r="E6" s="724">
        <f>Liquiditätsplan!W36+D6</f>
        <v>1091402.9666666668</v>
      </c>
      <c r="F6" s="725">
        <f>Liquiditätsplan!X36+E6</f>
        <v>2174220.9666666668</v>
      </c>
    </row>
    <row r="7" spans="1:8" ht="15.75" thickBot="1" x14ac:dyDescent="0.3">
      <c r="A7" s="726" t="s">
        <v>260</v>
      </c>
      <c r="B7" s="727">
        <v>0</v>
      </c>
      <c r="C7" s="728">
        <f>Liquiditätsplan!Q74</f>
        <v>477438.68195278867</v>
      </c>
      <c r="D7" s="728">
        <f>Liquiditätsplan!V74+C7</f>
        <v>921413.98629899323</v>
      </c>
      <c r="E7" s="728">
        <f>Liquiditätsplan!W74+D7</f>
        <v>1379647.7170757148</v>
      </c>
      <c r="F7" s="729">
        <f>Liquiditätsplan!X74+E7</f>
        <v>1962097.2795647215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1" t="s">
        <v>256</v>
      </c>
      <c r="B25" s="972"/>
      <c r="C25" s="701">
        <f>MAX(C5-C4,D5-D4,E5-E4,F5-F4)</f>
        <v>325075.04861945531</v>
      </c>
      <c r="D25" s="647"/>
      <c r="E25" s="645"/>
      <c r="F25" s="645"/>
    </row>
    <row r="26" spans="1:6" ht="18.75" customHeight="1" thickBot="1" x14ac:dyDescent="0.3">
      <c r="A26" s="973" t="s">
        <v>275</v>
      </c>
      <c r="B26" s="974"/>
      <c r="C26" s="702">
        <f>-MIN(Liquiditätsplan!E78:P78,Liquiditätsplan!R78:U78,Liquiditätsplan!W78,Liquiditätsplan!X78)</f>
        <v>434380.61595547048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11/oSfT+7eUTxNEYdCoP1+zbzX7BiTY1pC3f2xf+9A4Qr/e58fdFcswk5sLPouah1imYqjwIZsrvTFCrz8Dvow==" saltValue="/bCOGk37rQhJHk52OcYZXg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topLeftCell="A25" zoomScaleNormal="100" workbookViewId="0">
      <selection activeCell="I25" sqref="I25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79" t="s">
        <v>262</v>
      </c>
      <c r="B1" s="780"/>
      <c r="C1" s="780"/>
      <c r="D1" s="780"/>
      <c r="E1" s="780"/>
      <c r="F1" s="780"/>
      <c r="G1" s="781"/>
    </row>
    <row r="2" spans="1:7" ht="7.5" customHeight="1" thickBot="1" x14ac:dyDescent="0.3"/>
    <row r="3" spans="1:7" ht="22.5" customHeight="1" thickBot="1" x14ac:dyDescent="0.3">
      <c r="A3" s="645"/>
      <c r="B3" s="703" t="s">
        <v>20</v>
      </c>
      <c r="C3" s="704" t="s">
        <v>25</v>
      </c>
      <c r="D3" s="704" t="s">
        <v>26</v>
      </c>
      <c r="E3" s="705" t="s">
        <v>27</v>
      </c>
    </row>
    <row r="4" spans="1:7" ht="18.75" customHeight="1" thickTop="1" x14ac:dyDescent="0.25">
      <c r="A4" s="706" t="str">
        <f>Liquiditätsplan!A40</f>
        <v>Personalkosten</v>
      </c>
      <c r="B4" s="657">
        <f>Liquiditätsplan!Q40</f>
        <v>223594.33333333334</v>
      </c>
      <c r="C4" s="658">
        <f>Liquiditätsplan!V40</f>
        <v>246415.2</v>
      </c>
      <c r="D4" s="658">
        <f>Liquiditätsplan!W40</f>
        <v>258627.96000000002</v>
      </c>
      <c r="E4" s="709">
        <f>Liquiditätsplan!X40</f>
        <v>271451.35800000007</v>
      </c>
    </row>
    <row r="5" spans="1:7" ht="18.75" customHeight="1" x14ac:dyDescent="0.25">
      <c r="A5" s="707" t="str">
        <f>Liquiditätsplan!A41</f>
        <v>Materialeinsatz</v>
      </c>
      <c r="B5" s="659">
        <f>Liquiditätsplan!Q41</f>
        <v>0</v>
      </c>
      <c r="C5" s="660">
        <f>Liquiditätsplan!V41</f>
        <v>0</v>
      </c>
      <c r="D5" s="660">
        <f>Liquiditätsplan!W41</f>
        <v>0</v>
      </c>
      <c r="E5" s="710">
        <f>Liquiditätsplan!X41</f>
        <v>0</v>
      </c>
    </row>
    <row r="6" spans="1:7" ht="18.75" customHeight="1" x14ac:dyDescent="0.25">
      <c r="A6" s="707" t="str">
        <f>Liquiditätsplan!A42</f>
        <v>Roh-, Betriebs- uns Hilfsstoffe</v>
      </c>
      <c r="B6" s="659">
        <f>Liquiditätsplan!Q42</f>
        <v>0</v>
      </c>
      <c r="C6" s="660">
        <f>Liquiditätsplan!V42</f>
        <v>0</v>
      </c>
      <c r="D6" s="660">
        <f>Liquiditätsplan!W42</f>
        <v>0</v>
      </c>
      <c r="E6" s="710">
        <f>Liquiditätsplan!X42</f>
        <v>0</v>
      </c>
    </row>
    <row r="7" spans="1:7" ht="18.75" customHeight="1" x14ac:dyDescent="0.25">
      <c r="A7" s="707" t="str">
        <f>Liquiditätsplan!A43</f>
        <v>Sonstige betriebliche Aufwendungen
(Miete, Pacht, Betriebskosten)</v>
      </c>
      <c r="B7" s="659">
        <f>Liquiditätsplan!Q43</f>
        <v>15252</v>
      </c>
      <c r="C7" s="660">
        <f>Liquiditätsplan!V43</f>
        <v>15252</v>
      </c>
      <c r="D7" s="660">
        <f>Liquiditätsplan!W43</f>
        <v>15252</v>
      </c>
      <c r="E7" s="710">
        <f>Liquiditätsplan!X43</f>
        <v>15252</v>
      </c>
    </row>
    <row r="8" spans="1:7" ht="18.75" customHeight="1" x14ac:dyDescent="0.25">
      <c r="A8" s="707" t="str">
        <f>Liquiditätsplan!A44</f>
        <v>Instandhaltung</v>
      </c>
      <c r="B8" s="659">
        <f>Liquiditätsplan!Q44</f>
        <v>2000</v>
      </c>
      <c r="C8" s="660">
        <f>Liquiditätsplan!V44</f>
        <v>2000</v>
      </c>
      <c r="D8" s="660">
        <f>Liquiditätsplan!W44</f>
        <v>2000</v>
      </c>
      <c r="E8" s="710">
        <f>Liquiditätsplan!X44</f>
        <v>2000</v>
      </c>
    </row>
    <row r="9" spans="1:7" ht="18.75" customHeight="1" x14ac:dyDescent="0.25">
      <c r="A9" s="707" t="str">
        <f>Liquiditätsplan!A45</f>
        <v>Kfz-Kosten und Reisekosten</v>
      </c>
      <c r="B9" s="659">
        <f>Liquiditätsplan!Q45</f>
        <v>7500</v>
      </c>
      <c r="C9" s="660">
        <f>Liquiditätsplan!V45</f>
        <v>9000</v>
      </c>
      <c r="D9" s="660">
        <f>Liquiditätsplan!W45</f>
        <v>9000</v>
      </c>
      <c r="E9" s="710">
        <f>Liquiditätsplan!X45</f>
        <v>9000</v>
      </c>
    </row>
    <row r="10" spans="1:7" ht="18.75" customHeight="1" x14ac:dyDescent="0.25">
      <c r="A10" s="707" t="str">
        <f>Liquiditätsplan!A46</f>
        <v>Büromaterial</v>
      </c>
      <c r="B10" s="659">
        <f>Liquiditätsplan!Q46</f>
        <v>26400</v>
      </c>
      <c r="C10" s="660">
        <f>Liquiditätsplan!V46</f>
        <v>26400</v>
      </c>
      <c r="D10" s="660">
        <f>Liquiditätsplan!W46</f>
        <v>26400</v>
      </c>
      <c r="E10" s="710">
        <f>Liquiditätsplan!X46</f>
        <v>26400</v>
      </c>
    </row>
    <row r="11" spans="1:7" ht="18.75" customHeight="1" x14ac:dyDescent="0.25">
      <c r="A11" s="707" t="str">
        <f>Liquiditätsplan!A47</f>
        <v>Telefon / Fax / Internet</v>
      </c>
      <c r="B11" s="659">
        <f>Liquiditätsplan!Q47</f>
        <v>3456</v>
      </c>
      <c r="C11" s="660">
        <f>Liquiditätsplan!V47</f>
        <v>3456</v>
      </c>
      <c r="D11" s="660">
        <f>Liquiditätsplan!W47</f>
        <v>3456</v>
      </c>
      <c r="E11" s="710">
        <f>Liquiditätsplan!X47</f>
        <v>3456</v>
      </c>
    </row>
    <row r="12" spans="1:7" ht="18.75" customHeight="1" x14ac:dyDescent="0.25">
      <c r="A12" s="707" t="str">
        <f>Liquiditätsplan!A48</f>
        <v>Steuer- und Rechtsberatung</v>
      </c>
      <c r="B12" s="659">
        <f>Liquiditätsplan!Q48</f>
        <v>8600</v>
      </c>
      <c r="C12" s="660">
        <f>Liquiditätsplan!V48</f>
        <v>6600</v>
      </c>
      <c r="D12" s="660">
        <f>Liquiditätsplan!W48</f>
        <v>6600</v>
      </c>
      <c r="E12" s="710">
        <f>Liquiditätsplan!X48</f>
        <v>6600</v>
      </c>
    </row>
    <row r="13" spans="1:7" ht="18.75" customHeight="1" x14ac:dyDescent="0.25">
      <c r="A13" s="707" t="str">
        <f>Liquiditätsplan!A49</f>
        <v>Werbungskosten</v>
      </c>
      <c r="B13" s="659">
        <f>Liquiditätsplan!Q49</f>
        <v>13000</v>
      </c>
      <c r="C13" s="660">
        <f>Liquiditätsplan!V49</f>
        <v>13000</v>
      </c>
      <c r="D13" s="660">
        <f>Liquiditätsplan!W49</f>
        <v>13000</v>
      </c>
      <c r="E13" s="710">
        <f>Liquiditätsplan!X49</f>
        <v>13000</v>
      </c>
    </row>
    <row r="14" spans="1:7" ht="18.75" customHeight="1" x14ac:dyDescent="0.25">
      <c r="A14" s="707" t="str">
        <f>Liquiditätsplan!A50</f>
        <v>Gebühren, Kammerbeiträge</v>
      </c>
      <c r="B14" s="659">
        <f>Liquiditätsplan!Q50</f>
        <v>1656.2646223300003</v>
      </c>
      <c r="C14" s="660">
        <f>Liquiditätsplan!V50</f>
        <v>1656.2646223300003</v>
      </c>
      <c r="D14" s="660">
        <f>Liquiditätsplan!W50</f>
        <v>1656.2646223300003</v>
      </c>
      <c r="E14" s="710">
        <f>Liquiditätsplan!X50</f>
        <v>1656.2646223300003</v>
      </c>
    </row>
    <row r="15" spans="1:7" ht="18.75" customHeight="1" x14ac:dyDescent="0.25">
      <c r="A15" s="707" t="str">
        <f>Liquiditätsplan!A51</f>
        <v>Betriebsversicherung</v>
      </c>
      <c r="B15" s="659">
        <f>Liquiditätsplan!Q51</f>
        <v>0</v>
      </c>
      <c r="C15" s="660">
        <f>Liquiditätsplan!V51</f>
        <v>0</v>
      </c>
      <c r="D15" s="660">
        <f>Liquiditätsplan!W51</f>
        <v>0</v>
      </c>
      <c r="E15" s="710">
        <f>Liquiditätsplan!X51</f>
        <v>0</v>
      </c>
    </row>
    <row r="16" spans="1:7" ht="18.75" customHeight="1" x14ac:dyDescent="0.25">
      <c r="A16" s="707" t="str">
        <f>Liquiditätsplan!A52</f>
        <v>Leasinggebühren</v>
      </c>
      <c r="B16" s="659">
        <f>Liquiditätsplan!Q52</f>
        <v>18000</v>
      </c>
      <c r="C16" s="660">
        <f>Liquiditätsplan!V52</f>
        <v>0</v>
      </c>
      <c r="D16" s="660">
        <f>Liquiditätsplan!W52</f>
        <v>0</v>
      </c>
      <c r="E16" s="710">
        <f>Liquiditätsplan!X52</f>
        <v>0</v>
      </c>
    </row>
    <row r="17" spans="1:5" ht="18.75" customHeight="1" x14ac:dyDescent="0.25">
      <c r="A17" s="707" t="str">
        <f>Liquiditätsplan!A53</f>
        <v>Spesen-, Bank-, Kreditgebühren</v>
      </c>
      <c r="B17" s="659">
        <f>Liquiditätsplan!Q53</f>
        <v>200</v>
      </c>
      <c r="C17" s="660">
        <f>Liquiditätsplan!V53</f>
        <v>200</v>
      </c>
      <c r="D17" s="660">
        <f>Liquiditätsplan!W53</f>
        <v>200</v>
      </c>
      <c r="E17" s="710">
        <f>Liquiditätsplan!X53</f>
        <v>200</v>
      </c>
    </row>
    <row r="18" spans="1:5" ht="18.75" customHeight="1" x14ac:dyDescent="0.25">
      <c r="A18" s="707" t="str">
        <f>Liquiditätsplan!A54</f>
        <v>Sonstige Kosten</v>
      </c>
      <c r="B18" s="659">
        <f>Liquiditätsplan!Q54</f>
        <v>15000</v>
      </c>
      <c r="C18" s="660">
        <f>Liquiditätsplan!V54</f>
        <v>15000</v>
      </c>
      <c r="D18" s="660">
        <f>Liquiditätsplan!W54</f>
        <v>15000</v>
      </c>
      <c r="E18" s="710">
        <f>Liquiditätsplan!X54</f>
        <v>15000</v>
      </c>
    </row>
    <row r="19" spans="1:5" ht="18.75" customHeight="1" x14ac:dyDescent="0.25">
      <c r="A19" s="707" t="str">
        <f>Liquiditätsplan!A59</f>
        <v>Vorsteuerabzugsfähige Investitionen</v>
      </c>
      <c r="B19" s="659">
        <f>Liquiditätsplan!Q59</f>
        <v>100200</v>
      </c>
      <c r="C19" s="660">
        <f>Liquiditätsplan!V59</f>
        <v>0</v>
      </c>
      <c r="D19" s="660">
        <f>Liquiditätsplan!W59</f>
        <v>0</v>
      </c>
      <c r="E19" s="710">
        <f>Liquiditätsplan!X59</f>
        <v>0</v>
      </c>
    </row>
    <row r="20" spans="1:5" ht="18.75" customHeight="1" x14ac:dyDescent="0.25">
      <c r="A20" s="707" t="str">
        <f>Liquiditätsplan!A60</f>
        <v>Nicht vorsteuerabzugsfähige Investitionen</v>
      </c>
      <c r="B20" s="659">
        <f>Liquiditätsplan!Q60</f>
        <v>35000</v>
      </c>
      <c r="C20" s="660">
        <f>Liquiditätsplan!V60</f>
        <v>35000</v>
      </c>
      <c r="D20" s="660">
        <f>Liquiditätsplan!W60</f>
        <v>0</v>
      </c>
      <c r="E20" s="710">
        <f>Liquiditätsplan!X60</f>
        <v>0</v>
      </c>
    </row>
    <row r="21" spans="1:5" ht="18.75" customHeight="1" x14ac:dyDescent="0.25">
      <c r="A21" s="707" t="str">
        <f>Liquiditätsplan!A65</f>
        <v>Sollzinsen Kontokorrentkredit</v>
      </c>
      <c r="B21" s="659">
        <f>Liquiditätsplan!Q65</f>
        <v>7080.0839971252517</v>
      </c>
      <c r="C21" s="660">
        <f>Liquiditätsplan!V65</f>
        <v>21235.839723874567</v>
      </c>
      <c r="D21" s="660">
        <f>Liquiditätsplan!W65</f>
        <v>6375.1857669084766</v>
      </c>
      <c r="E21" s="710">
        <f>Liquiditätsplan!X65</f>
        <v>24938.649177939584</v>
      </c>
    </row>
    <row r="22" spans="1:5" ht="18.75" customHeight="1" x14ac:dyDescent="0.25">
      <c r="A22" s="707" t="str">
        <f>Liquiditätsplan!A66</f>
        <v>Zinsen Einmalkredit</v>
      </c>
      <c r="B22" s="659">
        <f>Liquiditätsplan!Q66</f>
        <v>0</v>
      </c>
      <c r="C22" s="660">
        <f>Liquiditätsplan!V66</f>
        <v>0</v>
      </c>
      <c r="D22" s="660">
        <f>Liquiditätsplan!W66</f>
        <v>0</v>
      </c>
      <c r="E22" s="710">
        <f>Liquiditätsplan!X66</f>
        <v>0</v>
      </c>
    </row>
    <row r="23" spans="1:5" ht="18.75" customHeight="1" x14ac:dyDescent="0.25">
      <c r="A23" s="707" t="str">
        <f>Liquiditätsplan!A67</f>
        <v>KöSt. / Ertragssteuer</v>
      </c>
      <c r="B23" s="659">
        <f>Liquiditätsplan!Q67</f>
        <v>500.00000000000006</v>
      </c>
      <c r="C23" s="660">
        <f>Liquiditätsplan!V67</f>
        <v>4000</v>
      </c>
      <c r="D23" s="660">
        <f>Liquiditätsplan!W67</f>
        <v>3766.3203874831497</v>
      </c>
      <c r="E23" s="710">
        <f>Liquiditätsplan!X67</f>
        <v>28708.624022070442</v>
      </c>
    </row>
    <row r="24" spans="1:5" ht="18.75" customHeight="1" x14ac:dyDescent="0.25">
      <c r="A24" s="707" t="str">
        <f>Liquiditätsplan!A68</f>
        <v>Kredittilgung</v>
      </c>
      <c r="B24" s="659">
        <f>Liquiditätsplan!Q68</f>
        <v>0</v>
      </c>
      <c r="C24" s="660">
        <f>Liquiditätsplan!V68</f>
        <v>0</v>
      </c>
      <c r="D24" s="660">
        <f>Liquiditätsplan!W68</f>
        <v>0</v>
      </c>
      <c r="E24" s="710">
        <f>Liquiditätsplan!X68</f>
        <v>0</v>
      </c>
    </row>
    <row r="25" spans="1:5" ht="18.75" customHeight="1" thickBot="1" x14ac:dyDescent="0.3">
      <c r="A25" s="708" t="str">
        <f>Liquiditätsplan!A69</f>
        <v>Umsatzsteuer</v>
      </c>
      <c r="B25" s="711">
        <f>Liquiditätsplan!Q69</f>
        <v>0</v>
      </c>
      <c r="C25" s="712">
        <f>Liquiditätsplan!V69</f>
        <v>44760</v>
      </c>
      <c r="D25" s="712">
        <f>Liquiditätsplan!W69</f>
        <v>96900.000000000015</v>
      </c>
      <c r="E25" s="713">
        <f>Liquiditätsplan!X69</f>
        <v>164786.66666666669</v>
      </c>
    </row>
  </sheetData>
  <sheetProtection algorithmName="SHA-512" hashValue="vtuNFz+NHw6owgj5uOSl6+yzilMyQliiJr+NI7BGmWqzIPSAzkWdb6YAE8lfbHZIICYeDg2gELNg3m1ii+hYAA==" saltValue="xx9BkvpkDZP0yBEy8EYrJg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57"/>
  <sheetViews>
    <sheetView view="pageBreakPreview" topLeftCell="A58" zoomScale="85" zoomScaleNormal="85" zoomScaleSheetLayoutView="85" workbookViewId="0">
      <selection activeCell="S70" sqref="S70"/>
    </sheetView>
  </sheetViews>
  <sheetFormatPr baseColWidth="10" defaultRowHeight="15" x14ac:dyDescent="0.25"/>
  <cols>
    <col min="1" max="1" width="4.42578125" style="645" customWidth="1"/>
    <col min="2" max="2" width="7.140625" style="645" bestFit="1" customWidth="1"/>
    <col min="3" max="15" width="11.42578125" style="645"/>
    <col min="16" max="16" width="1.42578125" style="645" customWidth="1"/>
    <col min="17" max="18" width="11.42578125" style="645"/>
    <col min="19" max="19" width="11.42578125" style="645" customWidth="1"/>
    <col min="20" max="16384" width="11.42578125" style="645"/>
  </cols>
  <sheetData>
    <row r="1" spans="1:17" s="39" customFormat="1" ht="27" thickBot="1" x14ac:dyDescent="0.3">
      <c r="A1" s="779" t="s">
        <v>150</v>
      </c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1"/>
    </row>
    <row r="2" spans="1:17" ht="7.5" customHeight="1" thickBot="1" x14ac:dyDescent="0.3"/>
    <row r="3" spans="1:17" x14ac:dyDescent="0.25">
      <c r="A3" s="992" t="s">
        <v>264</v>
      </c>
      <c r="B3" s="993"/>
      <c r="C3" s="993"/>
      <c r="D3" s="685">
        <v>5.4179999999999999E-2</v>
      </c>
    </row>
    <row r="4" spans="1:17" x14ac:dyDescent="0.25">
      <c r="A4" s="990" t="s">
        <v>263</v>
      </c>
      <c r="B4" s="991"/>
      <c r="C4" s="991"/>
      <c r="D4" s="686">
        <v>0.7</v>
      </c>
    </row>
    <row r="5" spans="1:17" x14ac:dyDescent="0.25">
      <c r="A5" s="988" t="s">
        <v>268</v>
      </c>
      <c r="B5" s="989"/>
      <c r="C5" s="989"/>
      <c r="D5" s="687">
        <v>10</v>
      </c>
    </row>
    <row r="6" spans="1:17" ht="15.75" thickBot="1" x14ac:dyDescent="0.3">
      <c r="A6" s="986" t="s">
        <v>267</v>
      </c>
      <c r="B6" s="987"/>
      <c r="C6" s="987"/>
      <c r="D6" s="688">
        <v>350</v>
      </c>
    </row>
    <row r="7" spans="1:17" ht="7.5" customHeight="1" thickBot="1" x14ac:dyDescent="0.3">
      <c r="A7" s="684"/>
      <c r="B7" s="684"/>
      <c r="C7" s="684"/>
      <c r="D7" s="647"/>
    </row>
    <row r="8" spans="1:17" ht="18.75" customHeight="1" x14ac:dyDescent="0.25">
      <c r="C8" s="980" t="s">
        <v>265</v>
      </c>
      <c r="D8" s="981"/>
      <c r="E8" s="981"/>
      <c r="F8" s="981"/>
      <c r="G8" s="981"/>
      <c r="H8" s="981"/>
      <c r="I8" s="981"/>
      <c r="J8" s="981"/>
      <c r="K8" s="981"/>
      <c r="L8" s="981"/>
      <c r="M8" s="981"/>
      <c r="N8" s="981"/>
      <c r="O8" s="982"/>
      <c r="P8" s="646"/>
    </row>
    <row r="9" spans="1:17" ht="18.75" customHeight="1" thickBot="1" x14ac:dyDescent="0.3">
      <c r="C9" s="661">
        <v>0.5</v>
      </c>
      <c r="D9" s="662">
        <v>1</v>
      </c>
      <c r="E9" s="662">
        <v>1.5</v>
      </c>
      <c r="F9" s="662">
        <v>2</v>
      </c>
      <c r="G9" s="662">
        <v>2.5</v>
      </c>
      <c r="H9" s="662">
        <v>3</v>
      </c>
      <c r="I9" s="662">
        <v>3.5</v>
      </c>
      <c r="J9" s="662">
        <v>4</v>
      </c>
      <c r="K9" s="662">
        <v>4.5</v>
      </c>
      <c r="L9" s="662">
        <v>5</v>
      </c>
      <c r="M9" s="662">
        <v>7.5</v>
      </c>
      <c r="N9" s="689">
        <v>8</v>
      </c>
      <c r="O9" s="663">
        <v>10</v>
      </c>
      <c r="P9" s="656"/>
    </row>
    <row r="10" spans="1:17" ht="18.75" customHeight="1" thickTop="1" x14ac:dyDescent="0.25">
      <c r="A10" s="983" t="s">
        <v>266</v>
      </c>
      <c r="B10" s="664">
        <v>0.05</v>
      </c>
      <c r="C10" s="657">
        <f>ROUNDUP(((((24*365*$D$4)*C$9)*$D$3*$B10)*($D$5/2)+$D$6)/100,0)*100</f>
        <v>400</v>
      </c>
      <c r="D10" s="658">
        <f t="shared" ref="D10:O16" si="0">ROUNDUP(((((24*365*$D$4)*D$9)*$D$3*$B10)*($D$5/2)+$D$6)/100,0)*100</f>
        <v>500</v>
      </c>
      <c r="E10" s="658">
        <f t="shared" si="0"/>
        <v>500</v>
      </c>
      <c r="F10" s="658">
        <f t="shared" si="0"/>
        <v>600</v>
      </c>
      <c r="G10" s="658">
        <f t="shared" si="0"/>
        <v>600</v>
      </c>
      <c r="H10" s="658">
        <f t="shared" si="0"/>
        <v>600</v>
      </c>
      <c r="I10" s="658">
        <f t="shared" si="0"/>
        <v>700</v>
      </c>
      <c r="J10" s="658">
        <f t="shared" si="0"/>
        <v>700</v>
      </c>
      <c r="K10" s="658">
        <f t="shared" si="0"/>
        <v>800</v>
      </c>
      <c r="L10" s="658">
        <f t="shared" si="0"/>
        <v>800</v>
      </c>
      <c r="M10" s="658">
        <f t="shared" si="0"/>
        <v>1000</v>
      </c>
      <c r="N10" s="658">
        <f t="shared" si="0"/>
        <v>1100</v>
      </c>
      <c r="O10" s="667">
        <f t="shared" si="0"/>
        <v>1200</v>
      </c>
      <c r="P10" s="672"/>
      <c r="Q10" s="675">
        <f>AVERAGE(C10:O10)</f>
        <v>730.76923076923072</v>
      </c>
    </row>
    <row r="11" spans="1:17" ht="18.75" customHeight="1" x14ac:dyDescent="0.25">
      <c r="A11" s="984"/>
      <c r="B11" s="665">
        <v>0.06</v>
      </c>
      <c r="C11" s="659">
        <f t="shared" ref="C11:C55" si="1">ROUNDUP(((((24*365*$D$4)*C$9)*$D$3*$B11)*($D$5/2)+$D$6)/100,0)*100</f>
        <v>400</v>
      </c>
      <c r="D11" s="660">
        <f t="shared" si="0"/>
        <v>500</v>
      </c>
      <c r="E11" s="660">
        <f t="shared" si="0"/>
        <v>500</v>
      </c>
      <c r="F11" s="660">
        <f t="shared" si="0"/>
        <v>600</v>
      </c>
      <c r="G11" s="660">
        <f t="shared" si="0"/>
        <v>600</v>
      </c>
      <c r="H11" s="660">
        <f t="shared" si="0"/>
        <v>700</v>
      </c>
      <c r="I11" s="660">
        <f t="shared" si="0"/>
        <v>700</v>
      </c>
      <c r="J11" s="660">
        <f t="shared" si="0"/>
        <v>800</v>
      </c>
      <c r="K11" s="660">
        <f t="shared" si="0"/>
        <v>800</v>
      </c>
      <c r="L11" s="660">
        <f t="shared" si="0"/>
        <v>900</v>
      </c>
      <c r="M11" s="660">
        <f t="shared" si="0"/>
        <v>1100</v>
      </c>
      <c r="N11" s="660">
        <f t="shared" si="0"/>
        <v>1200</v>
      </c>
      <c r="O11" s="668">
        <f t="shared" si="0"/>
        <v>1400</v>
      </c>
      <c r="P11" s="673"/>
      <c r="Q11" s="676">
        <f t="shared" ref="Q11:Q55" si="2">AVERAGE(C11:O11)</f>
        <v>784.61538461538464</v>
      </c>
    </row>
    <row r="12" spans="1:17" ht="18.75" customHeight="1" x14ac:dyDescent="0.25">
      <c r="A12" s="984"/>
      <c r="B12" s="665">
        <v>7.0000000000000007E-2</v>
      </c>
      <c r="C12" s="659">
        <f t="shared" si="1"/>
        <v>500</v>
      </c>
      <c r="D12" s="660">
        <f t="shared" si="0"/>
        <v>500</v>
      </c>
      <c r="E12" s="660">
        <f t="shared" si="0"/>
        <v>600</v>
      </c>
      <c r="F12" s="660">
        <f t="shared" si="0"/>
        <v>600</v>
      </c>
      <c r="G12" s="660">
        <f t="shared" si="0"/>
        <v>700</v>
      </c>
      <c r="H12" s="660">
        <f t="shared" si="0"/>
        <v>700</v>
      </c>
      <c r="I12" s="660">
        <f t="shared" si="0"/>
        <v>800</v>
      </c>
      <c r="J12" s="660">
        <f t="shared" si="0"/>
        <v>900</v>
      </c>
      <c r="K12" s="660">
        <f t="shared" si="0"/>
        <v>900</v>
      </c>
      <c r="L12" s="660">
        <f t="shared" si="0"/>
        <v>1000</v>
      </c>
      <c r="M12" s="660">
        <f t="shared" si="0"/>
        <v>1300</v>
      </c>
      <c r="N12" s="660">
        <f t="shared" si="0"/>
        <v>1300</v>
      </c>
      <c r="O12" s="668">
        <f t="shared" si="0"/>
        <v>1600</v>
      </c>
      <c r="P12" s="673"/>
      <c r="Q12" s="676">
        <f t="shared" si="2"/>
        <v>876.92307692307691</v>
      </c>
    </row>
    <row r="13" spans="1:17" ht="18.75" customHeight="1" x14ac:dyDescent="0.25">
      <c r="A13" s="984"/>
      <c r="B13" s="665">
        <v>0.08</v>
      </c>
      <c r="C13" s="659">
        <f t="shared" si="1"/>
        <v>500</v>
      </c>
      <c r="D13" s="660">
        <f t="shared" si="0"/>
        <v>500</v>
      </c>
      <c r="E13" s="660">
        <f t="shared" si="0"/>
        <v>600</v>
      </c>
      <c r="F13" s="660">
        <f t="shared" si="0"/>
        <v>700</v>
      </c>
      <c r="G13" s="660">
        <f t="shared" si="0"/>
        <v>700</v>
      </c>
      <c r="H13" s="660">
        <f t="shared" si="0"/>
        <v>800</v>
      </c>
      <c r="I13" s="660">
        <f t="shared" si="0"/>
        <v>900</v>
      </c>
      <c r="J13" s="660">
        <f t="shared" si="0"/>
        <v>900</v>
      </c>
      <c r="K13" s="660">
        <f t="shared" si="0"/>
        <v>1000</v>
      </c>
      <c r="L13" s="660">
        <f t="shared" si="0"/>
        <v>1100</v>
      </c>
      <c r="M13" s="660">
        <f t="shared" si="0"/>
        <v>1400</v>
      </c>
      <c r="N13" s="660">
        <f t="shared" si="0"/>
        <v>1500</v>
      </c>
      <c r="O13" s="668">
        <f t="shared" si="0"/>
        <v>1700</v>
      </c>
      <c r="P13" s="673"/>
      <c r="Q13" s="676">
        <f t="shared" si="2"/>
        <v>946.15384615384619</v>
      </c>
    </row>
    <row r="14" spans="1:17" ht="18.75" customHeight="1" x14ac:dyDescent="0.25">
      <c r="A14" s="984"/>
      <c r="B14" s="665">
        <v>0.09</v>
      </c>
      <c r="C14" s="659">
        <f t="shared" si="1"/>
        <v>500</v>
      </c>
      <c r="D14" s="660">
        <f t="shared" si="0"/>
        <v>500</v>
      </c>
      <c r="E14" s="660">
        <f t="shared" si="0"/>
        <v>600</v>
      </c>
      <c r="F14" s="660">
        <f t="shared" si="0"/>
        <v>700</v>
      </c>
      <c r="G14" s="660">
        <f t="shared" si="0"/>
        <v>800</v>
      </c>
      <c r="H14" s="660">
        <f t="shared" si="0"/>
        <v>800</v>
      </c>
      <c r="I14" s="660">
        <f t="shared" si="0"/>
        <v>900</v>
      </c>
      <c r="J14" s="660">
        <f t="shared" si="0"/>
        <v>1000</v>
      </c>
      <c r="K14" s="660">
        <f t="shared" si="0"/>
        <v>1100</v>
      </c>
      <c r="L14" s="660">
        <f t="shared" si="0"/>
        <v>1100</v>
      </c>
      <c r="M14" s="660">
        <f t="shared" si="0"/>
        <v>1500</v>
      </c>
      <c r="N14" s="660">
        <f t="shared" si="0"/>
        <v>1600</v>
      </c>
      <c r="O14" s="668">
        <f t="shared" si="0"/>
        <v>1900</v>
      </c>
      <c r="P14" s="673"/>
      <c r="Q14" s="676">
        <f t="shared" si="2"/>
        <v>1000</v>
      </c>
    </row>
    <row r="15" spans="1:17" ht="18.75" customHeight="1" x14ac:dyDescent="0.25">
      <c r="A15" s="984"/>
      <c r="B15" s="665">
        <v>0.1</v>
      </c>
      <c r="C15" s="659">
        <f t="shared" si="1"/>
        <v>500</v>
      </c>
      <c r="D15" s="660">
        <f t="shared" si="0"/>
        <v>600</v>
      </c>
      <c r="E15" s="660">
        <f t="shared" si="0"/>
        <v>600</v>
      </c>
      <c r="F15" s="660">
        <f t="shared" si="0"/>
        <v>700</v>
      </c>
      <c r="G15" s="660">
        <f t="shared" si="0"/>
        <v>800</v>
      </c>
      <c r="H15" s="660">
        <f t="shared" si="0"/>
        <v>900</v>
      </c>
      <c r="I15" s="660">
        <f t="shared" si="0"/>
        <v>1000</v>
      </c>
      <c r="J15" s="660">
        <f t="shared" si="0"/>
        <v>1100</v>
      </c>
      <c r="K15" s="660">
        <f t="shared" si="0"/>
        <v>1100</v>
      </c>
      <c r="L15" s="660">
        <f t="shared" si="0"/>
        <v>1200</v>
      </c>
      <c r="M15" s="660">
        <f t="shared" si="0"/>
        <v>1600</v>
      </c>
      <c r="N15" s="660">
        <f t="shared" si="0"/>
        <v>1700</v>
      </c>
      <c r="O15" s="668">
        <f t="shared" si="0"/>
        <v>2100</v>
      </c>
      <c r="P15" s="673"/>
      <c r="Q15" s="676">
        <f t="shared" si="2"/>
        <v>1069.2307692307693</v>
      </c>
    </row>
    <row r="16" spans="1:17" ht="18.75" customHeight="1" x14ac:dyDescent="0.25">
      <c r="A16" s="984"/>
      <c r="B16" s="665">
        <v>0.11</v>
      </c>
      <c r="C16" s="659">
        <f t="shared" si="1"/>
        <v>500</v>
      </c>
      <c r="D16" s="660">
        <f t="shared" si="0"/>
        <v>600</v>
      </c>
      <c r="E16" s="660">
        <f t="shared" si="0"/>
        <v>700</v>
      </c>
      <c r="F16" s="660">
        <f t="shared" si="0"/>
        <v>800</v>
      </c>
      <c r="G16" s="660">
        <f t="shared" ref="D16:O37" si="3">ROUNDUP(((((24*365*$D$4)*G$9)*$D$3*$B16)*($D$5/2)+$D$6)/100,0)*100</f>
        <v>900</v>
      </c>
      <c r="H16" s="660">
        <f t="shared" si="3"/>
        <v>900</v>
      </c>
      <c r="I16" s="660">
        <f t="shared" si="3"/>
        <v>1000</v>
      </c>
      <c r="J16" s="660">
        <f t="shared" si="3"/>
        <v>1100</v>
      </c>
      <c r="K16" s="660">
        <f t="shared" si="3"/>
        <v>1200</v>
      </c>
      <c r="L16" s="660">
        <f t="shared" si="3"/>
        <v>1300</v>
      </c>
      <c r="M16" s="660">
        <f t="shared" si="3"/>
        <v>1800</v>
      </c>
      <c r="N16" s="660">
        <f t="shared" si="3"/>
        <v>1900</v>
      </c>
      <c r="O16" s="668">
        <f t="shared" si="3"/>
        <v>2200</v>
      </c>
      <c r="P16" s="673"/>
      <c r="Q16" s="676">
        <f t="shared" si="2"/>
        <v>1146.1538461538462</v>
      </c>
    </row>
    <row r="17" spans="1:17" ht="18.75" customHeight="1" x14ac:dyDescent="0.25">
      <c r="A17" s="984"/>
      <c r="B17" s="665">
        <v>0.12</v>
      </c>
      <c r="C17" s="659">
        <f t="shared" si="1"/>
        <v>500</v>
      </c>
      <c r="D17" s="660">
        <f t="shared" si="3"/>
        <v>600</v>
      </c>
      <c r="E17" s="660">
        <f t="shared" si="3"/>
        <v>700</v>
      </c>
      <c r="F17" s="660">
        <f t="shared" si="3"/>
        <v>800</v>
      </c>
      <c r="G17" s="660">
        <f t="shared" si="3"/>
        <v>900</v>
      </c>
      <c r="H17" s="660">
        <f t="shared" si="3"/>
        <v>1000</v>
      </c>
      <c r="I17" s="660">
        <f t="shared" si="3"/>
        <v>1100</v>
      </c>
      <c r="J17" s="660">
        <f t="shared" si="3"/>
        <v>1200</v>
      </c>
      <c r="K17" s="660">
        <f t="shared" si="3"/>
        <v>1300</v>
      </c>
      <c r="L17" s="660">
        <f t="shared" si="3"/>
        <v>1400</v>
      </c>
      <c r="M17" s="660">
        <f t="shared" si="3"/>
        <v>1900</v>
      </c>
      <c r="N17" s="660">
        <f t="shared" si="3"/>
        <v>2000</v>
      </c>
      <c r="O17" s="668">
        <f t="shared" si="3"/>
        <v>2400</v>
      </c>
      <c r="P17" s="673"/>
      <c r="Q17" s="676">
        <f t="shared" si="2"/>
        <v>1215.3846153846155</v>
      </c>
    </row>
    <row r="18" spans="1:17" ht="18.75" customHeight="1" x14ac:dyDescent="0.25">
      <c r="A18" s="984"/>
      <c r="B18" s="665">
        <v>0.13</v>
      </c>
      <c r="C18" s="659">
        <f t="shared" si="1"/>
        <v>500</v>
      </c>
      <c r="D18" s="660">
        <f t="shared" si="3"/>
        <v>600</v>
      </c>
      <c r="E18" s="660">
        <f t="shared" si="3"/>
        <v>700</v>
      </c>
      <c r="F18" s="660">
        <f t="shared" si="3"/>
        <v>800</v>
      </c>
      <c r="G18" s="660">
        <f t="shared" si="3"/>
        <v>900</v>
      </c>
      <c r="H18" s="660">
        <f t="shared" si="3"/>
        <v>1000</v>
      </c>
      <c r="I18" s="660">
        <f t="shared" si="3"/>
        <v>1200</v>
      </c>
      <c r="J18" s="660">
        <f t="shared" si="3"/>
        <v>1300</v>
      </c>
      <c r="K18" s="660">
        <f t="shared" si="3"/>
        <v>1400</v>
      </c>
      <c r="L18" s="660">
        <f t="shared" si="3"/>
        <v>1500</v>
      </c>
      <c r="M18" s="660">
        <f t="shared" si="3"/>
        <v>2000</v>
      </c>
      <c r="N18" s="660">
        <f t="shared" si="3"/>
        <v>2100</v>
      </c>
      <c r="O18" s="668">
        <f t="shared" si="3"/>
        <v>2600</v>
      </c>
      <c r="P18" s="673"/>
      <c r="Q18" s="676">
        <f t="shared" si="2"/>
        <v>1276.9230769230769</v>
      </c>
    </row>
    <row r="19" spans="1:17" ht="18.75" customHeight="1" x14ac:dyDescent="0.25">
      <c r="A19" s="984"/>
      <c r="B19" s="665">
        <v>0.14000000000000001</v>
      </c>
      <c r="C19" s="659">
        <f t="shared" si="1"/>
        <v>500</v>
      </c>
      <c r="D19" s="660">
        <f t="shared" si="3"/>
        <v>600</v>
      </c>
      <c r="E19" s="660">
        <f t="shared" si="3"/>
        <v>700</v>
      </c>
      <c r="F19" s="660">
        <f t="shared" si="3"/>
        <v>900</v>
      </c>
      <c r="G19" s="660">
        <f t="shared" si="3"/>
        <v>1000</v>
      </c>
      <c r="H19" s="660">
        <f t="shared" si="3"/>
        <v>1100</v>
      </c>
      <c r="I19" s="660">
        <f t="shared" si="3"/>
        <v>1200</v>
      </c>
      <c r="J19" s="660">
        <f t="shared" si="3"/>
        <v>1300</v>
      </c>
      <c r="K19" s="660">
        <f t="shared" si="3"/>
        <v>1400</v>
      </c>
      <c r="L19" s="660">
        <f t="shared" si="3"/>
        <v>1600</v>
      </c>
      <c r="M19" s="660">
        <f t="shared" si="3"/>
        <v>2100</v>
      </c>
      <c r="N19" s="660">
        <f t="shared" si="3"/>
        <v>2300</v>
      </c>
      <c r="O19" s="668">
        <f t="shared" si="3"/>
        <v>2700</v>
      </c>
      <c r="P19" s="673"/>
      <c r="Q19" s="676">
        <f t="shared" si="2"/>
        <v>1338.4615384615386</v>
      </c>
    </row>
    <row r="20" spans="1:17" ht="18.75" customHeight="1" x14ac:dyDescent="0.25">
      <c r="A20" s="984"/>
      <c r="B20" s="665">
        <v>0.15</v>
      </c>
      <c r="C20" s="659">
        <f t="shared" si="1"/>
        <v>500</v>
      </c>
      <c r="D20" s="660">
        <f t="shared" si="3"/>
        <v>600</v>
      </c>
      <c r="E20" s="660">
        <f t="shared" si="3"/>
        <v>800</v>
      </c>
      <c r="F20" s="660">
        <f t="shared" si="3"/>
        <v>900</v>
      </c>
      <c r="G20" s="660">
        <f t="shared" si="3"/>
        <v>1000</v>
      </c>
      <c r="H20" s="660">
        <f t="shared" si="3"/>
        <v>1100</v>
      </c>
      <c r="I20" s="660">
        <f t="shared" si="3"/>
        <v>1300</v>
      </c>
      <c r="J20" s="660">
        <f t="shared" si="3"/>
        <v>1400</v>
      </c>
      <c r="K20" s="660">
        <f t="shared" si="3"/>
        <v>1500</v>
      </c>
      <c r="L20" s="660">
        <f t="shared" si="3"/>
        <v>1600</v>
      </c>
      <c r="M20" s="660">
        <f t="shared" si="3"/>
        <v>2300</v>
      </c>
      <c r="N20" s="660">
        <f t="shared" si="3"/>
        <v>2400</v>
      </c>
      <c r="O20" s="668">
        <f t="shared" si="3"/>
        <v>2900</v>
      </c>
      <c r="P20" s="673"/>
      <c r="Q20" s="676">
        <f t="shared" si="2"/>
        <v>1407.6923076923076</v>
      </c>
    </row>
    <row r="21" spans="1:17" ht="18.75" customHeight="1" x14ac:dyDescent="0.25">
      <c r="A21" s="984"/>
      <c r="B21" s="665">
        <v>0.16</v>
      </c>
      <c r="C21" s="659">
        <f t="shared" si="1"/>
        <v>500</v>
      </c>
      <c r="D21" s="660">
        <f t="shared" si="3"/>
        <v>700</v>
      </c>
      <c r="E21" s="660">
        <f t="shared" si="3"/>
        <v>800</v>
      </c>
      <c r="F21" s="660">
        <f t="shared" si="3"/>
        <v>900</v>
      </c>
      <c r="G21" s="660">
        <f t="shared" si="3"/>
        <v>1100</v>
      </c>
      <c r="H21" s="660">
        <f t="shared" si="3"/>
        <v>1200</v>
      </c>
      <c r="I21" s="660">
        <f t="shared" si="3"/>
        <v>1300</v>
      </c>
      <c r="J21" s="660">
        <f t="shared" si="3"/>
        <v>1500</v>
      </c>
      <c r="K21" s="660">
        <f t="shared" si="3"/>
        <v>1600</v>
      </c>
      <c r="L21" s="660">
        <f t="shared" si="3"/>
        <v>1700</v>
      </c>
      <c r="M21" s="660">
        <f t="shared" si="3"/>
        <v>2400</v>
      </c>
      <c r="N21" s="660">
        <f t="shared" si="3"/>
        <v>2500</v>
      </c>
      <c r="O21" s="668">
        <f t="shared" si="3"/>
        <v>3100</v>
      </c>
      <c r="P21" s="673"/>
      <c r="Q21" s="676">
        <f t="shared" si="2"/>
        <v>1484.6153846153845</v>
      </c>
    </row>
    <row r="22" spans="1:17" ht="18.75" customHeight="1" x14ac:dyDescent="0.25">
      <c r="A22" s="984"/>
      <c r="B22" s="665">
        <v>0.17</v>
      </c>
      <c r="C22" s="659">
        <f t="shared" si="1"/>
        <v>500</v>
      </c>
      <c r="D22" s="660">
        <f t="shared" si="3"/>
        <v>700</v>
      </c>
      <c r="E22" s="660">
        <f t="shared" si="3"/>
        <v>800</v>
      </c>
      <c r="F22" s="660">
        <f t="shared" si="3"/>
        <v>1000</v>
      </c>
      <c r="G22" s="660">
        <f t="shared" si="3"/>
        <v>1100</v>
      </c>
      <c r="H22" s="660">
        <f t="shared" si="3"/>
        <v>1200</v>
      </c>
      <c r="I22" s="660">
        <f t="shared" si="3"/>
        <v>1400</v>
      </c>
      <c r="J22" s="660">
        <f t="shared" si="3"/>
        <v>1500</v>
      </c>
      <c r="K22" s="660">
        <f t="shared" si="3"/>
        <v>1700</v>
      </c>
      <c r="L22" s="660">
        <f t="shared" si="3"/>
        <v>1800</v>
      </c>
      <c r="M22" s="660">
        <f t="shared" si="3"/>
        <v>2500</v>
      </c>
      <c r="N22" s="660">
        <f t="shared" si="3"/>
        <v>2700</v>
      </c>
      <c r="O22" s="668">
        <f t="shared" si="3"/>
        <v>3200</v>
      </c>
      <c r="P22" s="673"/>
      <c r="Q22" s="676">
        <f t="shared" si="2"/>
        <v>1546.1538461538462</v>
      </c>
    </row>
    <row r="23" spans="1:17" ht="18.75" customHeight="1" x14ac:dyDescent="0.25">
      <c r="A23" s="984"/>
      <c r="B23" s="665">
        <v>0.18</v>
      </c>
      <c r="C23" s="659">
        <f t="shared" si="1"/>
        <v>500</v>
      </c>
      <c r="D23" s="660">
        <f t="shared" si="3"/>
        <v>700</v>
      </c>
      <c r="E23" s="660">
        <f t="shared" si="3"/>
        <v>800</v>
      </c>
      <c r="F23" s="660">
        <f t="shared" si="3"/>
        <v>1000</v>
      </c>
      <c r="G23" s="660">
        <f t="shared" si="3"/>
        <v>1100</v>
      </c>
      <c r="H23" s="660">
        <f t="shared" si="3"/>
        <v>1300</v>
      </c>
      <c r="I23" s="660">
        <f t="shared" si="3"/>
        <v>1400</v>
      </c>
      <c r="J23" s="660">
        <f t="shared" si="3"/>
        <v>1600</v>
      </c>
      <c r="K23" s="660">
        <f t="shared" si="3"/>
        <v>1700</v>
      </c>
      <c r="L23" s="660">
        <f t="shared" si="3"/>
        <v>1900</v>
      </c>
      <c r="M23" s="660">
        <f t="shared" si="3"/>
        <v>2600</v>
      </c>
      <c r="N23" s="660">
        <f t="shared" si="3"/>
        <v>2800</v>
      </c>
      <c r="O23" s="668">
        <f t="shared" si="3"/>
        <v>3400</v>
      </c>
      <c r="P23" s="673"/>
      <c r="Q23" s="676">
        <f t="shared" si="2"/>
        <v>1600</v>
      </c>
    </row>
    <row r="24" spans="1:17" ht="18.75" customHeight="1" x14ac:dyDescent="0.25">
      <c r="A24" s="984"/>
      <c r="B24" s="665">
        <v>0.19</v>
      </c>
      <c r="C24" s="659">
        <f t="shared" si="1"/>
        <v>600</v>
      </c>
      <c r="D24" s="660">
        <f t="shared" si="3"/>
        <v>700</v>
      </c>
      <c r="E24" s="660">
        <f t="shared" si="3"/>
        <v>900</v>
      </c>
      <c r="F24" s="660">
        <f t="shared" si="3"/>
        <v>1000</v>
      </c>
      <c r="G24" s="660">
        <f t="shared" si="3"/>
        <v>1200</v>
      </c>
      <c r="H24" s="660">
        <f t="shared" si="3"/>
        <v>1300</v>
      </c>
      <c r="I24" s="660">
        <f t="shared" si="3"/>
        <v>1500</v>
      </c>
      <c r="J24" s="660">
        <f t="shared" si="3"/>
        <v>1700</v>
      </c>
      <c r="K24" s="660">
        <f t="shared" si="3"/>
        <v>1800</v>
      </c>
      <c r="L24" s="660">
        <f t="shared" si="3"/>
        <v>2000</v>
      </c>
      <c r="M24" s="660">
        <f t="shared" si="3"/>
        <v>2800</v>
      </c>
      <c r="N24" s="660">
        <f t="shared" si="3"/>
        <v>2900</v>
      </c>
      <c r="O24" s="668">
        <f t="shared" si="3"/>
        <v>3600</v>
      </c>
      <c r="P24" s="673"/>
      <c r="Q24" s="676">
        <f t="shared" si="2"/>
        <v>1692.3076923076924</v>
      </c>
    </row>
    <row r="25" spans="1:17" ht="18.75" customHeight="1" x14ac:dyDescent="0.25">
      <c r="A25" s="984"/>
      <c r="B25" s="665">
        <v>0.2</v>
      </c>
      <c r="C25" s="659">
        <f t="shared" si="1"/>
        <v>600</v>
      </c>
      <c r="D25" s="660">
        <f t="shared" si="3"/>
        <v>700</v>
      </c>
      <c r="E25" s="660">
        <f t="shared" si="3"/>
        <v>900</v>
      </c>
      <c r="F25" s="660">
        <f t="shared" si="3"/>
        <v>1100</v>
      </c>
      <c r="G25" s="660">
        <f t="shared" si="3"/>
        <v>1200</v>
      </c>
      <c r="H25" s="660">
        <f t="shared" si="3"/>
        <v>1400</v>
      </c>
      <c r="I25" s="660">
        <f t="shared" si="3"/>
        <v>1600</v>
      </c>
      <c r="J25" s="660">
        <f t="shared" si="3"/>
        <v>1700</v>
      </c>
      <c r="K25" s="660">
        <f t="shared" si="3"/>
        <v>1900</v>
      </c>
      <c r="L25" s="660">
        <f t="shared" si="3"/>
        <v>2100</v>
      </c>
      <c r="M25" s="660">
        <f t="shared" si="3"/>
        <v>2900</v>
      </c>
      <c r="N25" s="660">
        <f t="shared" si="3"/>
        <v>3100</v>
      </c>
      <c r="O25" s="668">
        <f t="shared" si="3"/>
        <v>3700</v>
      </c>
      <c r="P25" s="673"/>
      <c r="Q25" s="676">
        <f t="shared" si="2"/>
        <v>1761.5384615384614</v>
      </c>
    </row>
    <row r="26" spans="1:17" ht="18.75" customHeight="1" x14ac:dyDescent="0.25">
      <c r="A26" s="984"/>
      <c r="B26" s="665">
        <v>0.21</v>
      </c>
      <c r="C26" s="659">
        <f t="shared" si="1"/>
        <v>600</v>
      </c>
      <c r="D26" s="660">
        <f t="shared" si="3"/>
        <v>700</v>
      </c>
      <c r="E26" s="660">
        <f t="shared" si="3"/>
        <v>900</v>
      </c>
      <c r="F26" s="660">
        <f t="shared" si="3"/>
        <v>1100</v>
      </c>
      <c r="G26" s="660">
        <f t="shared" si="3"/>
        <v>1300</v>
      </c>
      <c r="H26" s="660">
        <f t="shared" si="3"/>
        <v>1400</v>
      </c>
      <c r="I26" s="660">
        <f t="shared" si="3"/>
        <v>1600</v>
      </c>
      <c r="J26" s="660">
        <f t="shared" si="3"/>
        <v>1800</v>
      </c>
      <c r="K26" s="660">
        <f t="shared" si="3"/>
        <v>2000</v>
      </c>
      <c r="L26" s="660">
        <f t="shared" si="3"/>
        <v>2100</v>
      </c>
      <c r="M26" s="660">
        <f t="shared" si="3"/>
        <v>3000</v>
      </c>
      <c r="N26" s="660">
        <f t="shared" si="3"/>
        <v>3200</v>
      </c>
      <c r="O26" s="668">
        <f t="shared" si="3"/>
        <v>3900</v>
      </c>
      <c r="P26" s="673"/>
      <c r="Q26" s="676">
        <f t="shared" si="2"/>
        <v>1815.3846153846155</v>
      </c>
    </row>
    <row r="27" spans="1:17" ht="18.75" customHeight="1" x14ac:dyDescent="0.25">
      <c r="A27" s="984"/>
      <c r="B27" s="665">
        <v>0.22</v>
      </c>
      <c r="C27" s="659">
        <f t="shared" si="1"/>
        <v>600</v>
      </c>
      <c r="D27" s="660">
        <f t="shared" si="3"/>
        <v>800</v>
      </c>
      <c r="E27" s="660">
        <f t="shared" si="3"/>
        <v>900</v>
      </c>
      <c r="F27" s="660">
        <f t="shared" si="3"/>
        <v>1100</v>
      </c>
      <c r="G27" s="660">
        <f t="shared" si="3"/>
        <v>1300</v>
      </c>
      <c r="H27" s="660">
        <f t="shared" si="3"/>
        <v>1500</v>
      </c>
      <c r="I27" s="660">
        <f t="shared" si="3"/>
        <v>1700</v>
      </c>
      <c r="J27" s="660">
        <f t="shared" si="3"/>
        <v>1900</v>
      </c>
      <c r="K27" s="660">
        <f t="shared" si="3"/>
        <v>2000</v>
      </c>
      <c r="L27" s="660">
        <f t="shared" si="3"/>
        <v>2200</v>
      </c>
      <c r="M27" s="660">
        <f t="shared" si="3"/>
        <v>3100</v>
      </c>
      <c r="N27" s="660">
        <f t="shared" si="3"/>
        <v>3300</v>
      </c>
      <c r="O27" s="668">
        <f t="shared" si="3"/>
        <v>4100</v>
      </c>
      <c r="P27" s="673"/>
      <c r="Q27" s="676">
        <f t="shared" si="2"/>
        <v>1884.6153846153845</v>
      </c>
    </row>
    <row r="28" spans="1:17" ht="18.75" customHeight="1" x14ac:dyDescent="0.25">
      <c r="A28" s="984"/>
      <c r="B28" s="665">
        <v>0.23</v>
      </c>
      <c r="C28" s="659">
        <f t="shared" si="1"/>
        <v>600</v>
      </c>
      <c r="D28" s="660">
        <f t="shared" si="3"/>
        <v>800</v>
      </c>
      <c r="E28" s="660">
        <f t="shared" si="3"/>
        <v>1000</v>
      </c>
      <c r="F28" s="660">
        <f t="shared" si="3"/>
        <v>1200</v>
      </c>
      <c r="G28" s="660">
        <f t="shared" si="3"/>
        <v>1400</v>
      </c>
      <c r="H28" s="660">
        <f t="shared" si="3"/>
        <v>1500</v>
      </c>
      <c r="I28" s="660">
        <f t="shared" si="3"/>
        <v>1700</v>
      </c>
      <c r="J28" s="660">
        <f t="shared" si="3"/>
        <v>1900</v>
      </c>
      <c r="K28" s="660">
        <f t="shared" si="3"/>
        <v>2100</v>
      </c>
      <c r="L28" s="660">
        <f t="shared" si="3"/>
        <v>2300</v>
      </c>
      <c r="M28" s="660">
        <f t="shared" si="3"/>
        <v>3300</v>
      </c>
      <c r="N28" s="660">
        <f t="shared" si="3"/>
        <v>3500</v>
      </c>
      <c r="O28" s="668">
        <f t="shared" si="3"/>
        <v>4200</v>
      </c>
      <c r="P28" s="673"/>
      <c r="Q28" s="676">
        <f t="shared" si="2"/>
        <v>1961.5384615384614</v>
      </c>
    </row>
    <row r="29" spans="1:17" ht="18.75" customHeight="1" x14ac:dyDescent="0.25">
      <c r="A29" s="984"/>
      <c r="B29" s="665">
        <v>0.24</v>
      </c>
      <c r="C29" s="659">
        <f t="shared" si="1"/>
        <v>600</v>
      </c>
      <c r="D29" s="660">
        <f t="shared" si="3"/>
        <v>800</v>
      </c>
      <c r="E29" s="660">
        <f t="shared" si="3"/>
        <v>1000</v>
      </c>
      <c r="F29" s="660">
        <f t="shared" si="3"/>
        <v>1200</v>
      </c>
      <c r="G29" s="660">
        <f t="shared" si="3"/>
        <v>1400</v>
      </c>
      <c r="H29" s="660">
        <f t="shared" si="3"/>
        <v>1600</v>
      </c>
      <c r="I29" s="660">
        <f t="shared" si="3"/>
        <v>1800</v>
      </c>
      <c r="J29" s="660">
        <f t="shared" si="3"/>
        <v>2000</v>
      </c>
      <c r="K29" s="660">
        <f t="shared" si="3"/>
        <v>2200</v>
      </c>
      <c r="L29" s="660">
        <f t="shared" si="3"/>
        <v>2400</v>
      </c>
      <c r="M29" s="660">
        <f t="shared" si="3"/>
        <v>3400</v>
      </c>
      <c r="N29" s="660">
        <f t="shared" si="3"/>
        <v>3600</v>
      </c>
      <c r="O29" s="668">
        <f t="shared" si="3"/>
        <v>4400</v>
      </c>
      <c r="P29" s="673"/>
      <c r="Q29" s="676">
        <f t="shared" si="2"/>
        <v>2030.7692307692307</v>
      </c>
    </row>
    <row r="30" spans="1:17" ht="18.75" customHeight="1" x14ac:dyDescent="0.25">
      <c r="A30" s="984"/>
      <c r="B30" s="665">
        <v>0.25</v>
      </c>
      <c r="C30" s="659">
        <f t="shared" si="1"/>
        <v>600</v>
      </c>
      <c r="D30" s="660">
        <f t="shared" si="3"/>
        <v>800</v>
      </c>
      <c r="E30" s="660">
        <f t="shared" si="3"/>
        <v>1000</v>
      </c>
      <c r="F30" s="660">
        <f t="shared" si="3"/>
        <v>1200</v>
      </c>
      <c r="G30" s="660">
        <f t="shared" si="3"/>
        <v>1400</v>
      </c>
      <c r="H30" s="660">
        <f t="shared" si="3"/>
        <v>1600</v>
      </c>
      <c r="I30" s="660">
        <f t="shared" si="3"/>
        <v>1900</v>
      </c>
      <c r="J30" s="660">
        <f t="shared" si="3"/>
        <v>2100</v>
      </c>
      <c r="K30" s="660">
        <f t="shared" si="3"/>
        <v>2300</v>
      </c>
      <c r="L30" s="660">
        <f t="shared" si="3"/>
        <v>2500</v>
      </c>
      <c r="M30" s="660">
        <f t="shared" si="3"/>
        <v>3500</v>
      </c>
      <c r="N30" s="660">
        <f t="shared" si="3"/>
        <v>3700</v>
      </c>
      <c r="O30" s="668">
        <f t="shared" si="3"/>
        <v>4600</v>
      </c>
      <c r="P30" s="673"/>
      <c r="Q30" s="676">
        <f t="shared" si="2"/>
        <v>2092.3076923076924</v>
      </c>
    </row>
    <row r="31" spans="1:17" ht="18.75" customHeight="1" x14ac:dyDescent="0.25">
      <c r="A31" s="984"/>
      <c r="B31" s="665">
        <v>0.26</v>
      </c>
      <c r="C31" s="659">
        <f t="shared" si="1"/>
        <v>600</v>
      </c>
      <c r="D31" s="660">
        <f t="shared" si="3"/>
        <v>800</v>
      </c>
      <c r="E31" s="660">
        <f t="shared" si="3"/>
        <v>1000</v>
      </c>
      <c r="F31" s="660">
        <f t="shared" si="3"/>
        <v>1300</v>
      </c>
      <c r="G31" s="660">
        <f t="shared" si="3"/>
        <v>1500</v>
      </c>
      <c r="H31" s="660">
        <f t="shared" si="3"/>
        <v>1700</v>
      </c>
      <c r="I31" s="660">
        <f t="shared" si="3"/>
        <v>1900</v>
      </c>
      <c r="J31" s="660">
        <f t="shared" si="3"/>
        <v>2100</v>
      </c>
      <c r="K31" s="660">
        <f t="shared" si="3"/>
        <v>2300</v>
      </c>
      <c r="L31" s="660">
        <f t="shared" si="3"/>
        <v>2600</v>
      </c>
      <c r="M31" s="660">
        <f t="shared" si="3"/>
        <v>3600</v>
      </c>
      <c r="N31" s="660">
        <f t="shared" si="3"/>
        <v>3900</v>
      </c>
      <c r="O31" s="668">
        <f t="shared" si="3"/>
        <v>4700</v>
      </c>
      <c r="P31" s="673"/>
      <c r="Q31" s="676">
        <f t="shared" si="2"/>
        <v>2153.8461538461538</v>
      </c>
    </row>
    <row r="32" spans="1:17" ht="18.75" customHeight="1" x14ac:dyDescent="0.25">
      <c r="A32" s="984"/>
      <c r="B32" s="665">
        <v>0.27</v>
      </c>
      <c r="C32" s="659">
        <f t="shared" si="1"/>
        <v>600</v>
      </c>
      <c r="D32" s="660">
        <f t="shared" si="3"/>
        <v>800</v>
      </c>
      <c r="E32" s="660">
        <f t="shared" si="3"/>
        <v>1100</v>
      </c>
      <c r="F32" s="660">
        <f t="shared" si="3"/>
        <v>1300</v>
      </c>
      <c r="G32" s="660">
        <f t="shared" si="3"/>
        <v>1500</v>
      </c>
      <c r="H32" s="660">
        <f t="shared" si="3"/>
        <v>1700</v>
      </c>
      <c r="I32" s="660">
        <f t="shared" si="3"/>
        <v>2000</v>
      </c>
      <c r="J32" s="660">
        <f t="shared" si="3"/>
        <v>2200</v>
      </c>
      <c r="K32" s="660">
        <f t="shared" si="3"/>
        <v>2400</v>
      </c>
      <c r="L32" s="660">
        <f t="shared" si="3"/>
        <v>2600</v>
      </c>
      <c r="M32" s="660">
        <f t="shared" si="3"/>
        <v>3800</v>
      </c>
      <c r="N32" s="660">
        <f t="shared" si="3"/>
        <v>4000</v>
      </c>
      <c r="O32" s="668">
        <f t="shared" si="3"/>
        <v>4900</v>
      </c>
      <c r="P32" s="673"/>
      <c r="Q32" s="676">
        <f t="shared" si="2"/>
        <v>2223.0769230769229</v>
      </c>
    </row>
    <row r="33" spans="1:17" ht="18.75" customHeight="1" x14ac:dyDescent="0.25">
      <c r="A33" s="984"/>
      <c r="B33" s="665">
        <v>0.28000000000000003</v>
      </c>
      <c r="C33" s="659">
        <f t="shared" si="1"/>
        <v>600</v>
      </c>
      <c r="D33" s="660">
        <f t="shared" si="3"/>
        <v>900</v>
      </c>
      <c r="E33" s="660">
        <f t="shared" si="3"/>
        <v>1100</v>
      </c>
      <c r="F33" s="660">
        <f t="shared" si="3"/>
        <v>1300</v>
      </c>
      <c r="G33" s="660">
        <f t="shared" si="3"/>
        <v>1600</v>
      </c>
      <c r="H33" s="660">
        <f t="shared" si="3"/>
        <v>1800</v>
      </c>
      <c r="I33" s="660">
        <f t="shared" si="3"/>
        <v>2000</v>
      </c>
      <c r="J33" s="660">
        <f t="shared" si="3"/>
        <v>2300</v>
      </c>
      <c r="K33" s="660">
        <f t="shared" si="3"/>
        <v>2500</v>
      </c>
      <c r="L33" s="660">
        <f t="shared" si="3"/>
        <v>2700</v>
      </c>
      <c r="M33" s="660">
        <f t="shared" si="3"/>
        <v>3900</v>
      </c>
      <c r="N33" s="660">
        <f t="shared" si="3"/>
        <v>4100</v>
      </c>
      <c r="O33" s="668">
        <f t="shared" si="3"/>
        <v>5100</v>
      </c>
      <c r="P33" s="673"/>
      <c r="Q33" s="676">
        <f t="shared" si="2"/>
        <v>2300</v>
      </c>
    </row>
    <row r="34" spans="1:17" ht="18.75" customHeight="1" x14ac:dyDescent="0.25">
      <c r="A34" s="984"/>
      <c r="B34" s="665">
        <v>0.28999999999999998</v>
      </c>
      <c r="C34" s="659">
        <f t="shared" si="1"/>
        <v>600</v>
      </c>
      <c r="D34" s="660">
        <f t="shared" si="3"/>
        <v>900</v>
      </c>
      <c r="E34" s="660">
        <f t="shared" si="3"/>
        <v>1100</v>
      </c>
      <c r="F34" s="660">
        <f t="shared" si="3"/>
        <v>1400</v>
      </c>
      <c r="G34" s="660">
        <f t="shared" si="3"/>
        <v>1600</v>
      </c>
      <c r="H34" s="660">
        <f t="shared" si="3"/>
        <v>1800</v>
      </c>
      <c r="I34" s="660">
        <f t="shared" si="3"/>
        <v>2100</v>
      </c>
      <c r="J34" s="660">
        <f t="shared" si="3"/>
        <v>2300</v>
      </c>
      <c r="K34" s="660">
        <f t="shared" si="3"/>
        <v>2600</v>
      </c>
      <c r="L34" s="660">
        <f t="shared" si="3"/>
        <v>2800</v>
      </c>
      <c r="M34" s="660">
        <f t="shared" si="3"/>
        <v>4000</v>
      </c>
      <c r="N34" s="660">
        <f t="shared" si="3"/>
        <v>4300</v>
      </c>
      <c r="O34" s="668">
        <f t="shared" si="3"/>
        <v>5200</v>
      </c>
      <c r="P34" s="673"/>
      <c r="Q34" s="676">
        <f t="shared" si="2"/>
        <v>2361.5384615384614</v>
      </c>
    </row>
    <row r="35" spans="1:17" ht="18.75" customHeight="1" x14ac:dyDescent="0.25">
      <c r="A35" s="984"/>
      <c r="B35" s="665">
        <v>0.3</v>
      </c>
      <c r="C35" s="659">
        <f t="shared" si="1"/>
        <v>600</v>
      </c>
      <c r="D35" s="660">
        <f t="shared" si="3"/>
        <v>900</v>
      </c>
      <c r="E35" s="660">
        <f t="shared" si="3"/>
        <v>1100</v>
      </c>
      <c r="F35" s="660">
        <f t="shared" si="3"/>
        <v>1400</v>
      </c>
      <c r="G35" s="660">
        <f t="shared" si="3"/>
        <v>1600</v>
      </c>
      <c r="H35" s="660">
        <f t="shared" si="3"/>
        <v>1900</v>
      </c>
      <c r="I35" s="660">
        <f t="shared" si="3"/>
        <v>2100</v>
      </c>
      <c r="J35" s="660">
        <f t="shared" si="3"/>
        <v>2400</v>
      </c>
      <c r="K35" s="660">
        <f t="shared" si="3"/>
        <v>2600</v>
      </c>
      <c r="L35" s="660">
        <f t="shared" si="3"/>
        <v>2900</v>
      </c>
      <c r="M35" s="660">
        <f t="shared" si="3"/>
        <v>4100</v>
      </c>
      <c r="N35" s="660">
        <f t="shared" si="3"/>
        <v>4400</v>
      </c>
      <c r="O35" s="668">
        <f t="shared" si="3"/>
        <v>5400</v>
      </c>
      <c r="P35" s="673"/>
      <c r="Q35" s="676">
        <f t="shared" si="2"/>
        <v>2415.3846153846152</v>
      </c>
    </row>
    <row r="36" spans="1:17" ht="18.75" customHeight="1" x14ac:dyDescent="0.25">
      <c r="A36" s="984"/>
      <c r="B36" s="665">
        <v>0.31</v>
      </c>
      <c r="C36" s="659">
        <f t="shared" si="1"/>
        <v>700</v>
      </c>
      <c r="D36" s="660">
        <f t="shared" si="3"/>
        <v>900</v>
      </c>
      <c r="E36" s="660">
        <f t="shared" si="3"/>
        <v>1200</v>
      </c>
      <c r="F36" s="660">
        <f t="shared" si="3"/>
        <v>1400</v>
      </c>
      <c r="G36" s="660">
        <f t="shared" si="3"/>
        <v>1700</v>
      </c>
      <c r="H36" s="660">
        <f t="shared" si="3"/>
        <v>1900</v>
      </c>
      <c r="I36" s="660">
        <f t="shared" si="3"/>
        <v>2200</v>
      </c>
      <c r="J36" s="660">
        <f t="shared" si="3"/>
        <v>2500</v>
      </c>
      <c r="K36" s="660">
        <f t="shared" si="3"/>
        <v>2700</v>
      </c>
      <c r="L36" s="660">
        <f t="shared" si="3"/>
        <v>3000</v>
      </c>
      <c r="M36" s="660">
        <f t="shared" si="3"/>
        <v>4300</v>
      </c>
      <c r="N36" s="660">
        <f t="shared" si="3"/>
        <v>4500</v>
      </c>
      <c r="O36" s="668">
        <f t="shared" si="3"/>
        <v>5500</v>
      </c>
      <c r="P36" s="673"/>
      <c r="Q36" s="676">
        <f t="shared" si="2"/>
        <v>2500</v>
      </c>
    </row>
    <row r="37" spans="1:17" ht="18.75" customHeight="1" x14ac:dyDescent="0.25">
      <c r="A37" s="984"/>
      <c r="B37" s="665">
        <v>0.32</v>
      </c>
      <c r="C37" s="659">
        <f t="shared" si="1"/>
        <v>700</v>
      </c>
      <c r="D37" s="660">
        <f t="shared" si="3"/>
        <v>900</v>
      </c>
      <c r="E37" s="660">
        <f t="shared" si="3"/>
        <v>1200</v>
      </c>
      <c r="F37" s="660">
        <f t="shared" si="3"/>
        <v>1500</v>
      </c>
      <c r="G37" s="660">
        <f t="shared" si="3"/>
        <v>1700</v>
      </c>
      <c r="H37" s="660">
        <f t="shared" si="3"/>
        <v>2000</v>
      </c>
      <c r="I37" s="660">
        <f t="shared" si="3"/>
        <v>2300</v>
      </c>
      <c r="J37" s="660">
        <f t="shared" ref="D37:O55" si="4">ROUNDUP(((((24*365*$D$4)*J$9)*$D$3*$B37)*($D$5/2)+$D$6)/100,0)*100</f>
        <v>2500</v>
      </c>
      <c r="K37" s="660">
        <f t="shared" si="4"/>
        <v>2800</v>
      </c>
      <c r="L37" s="660">
        <f t="shared" si="4"/>
        <v>3100</v>
      </c>
      <c r="M37" s="660">
        <f t="shared" si="4"/>
        <v>4400</v>
      </c>
      <c r="N37" s="660">
        <f t="shared" si="4"/>
        <v>4700</v>
      </c>
      <c r="O37" s="668">
        <f t="shared" si="4"/>
        <v>5700</v>
      </c>
      <c r="P37" s="673"/>
      <c r="Q37" s="676">
        <f t="shared" si="2"/>
        <v>2576.9230769230771</v>
      </c>
    </row>
    <row r="38" spans="1:17" ht="18.75" customHeight="1" x14ac:dyDescent="0.25">
      <c r="A38" s="984"/>
      <c r="B38" s="665">
        <v>0.33</v>
      </c>
      <c r="C38" s="659">
        <f t="shared" si="1"/>
        <v>700</v>
      </c>
      <c r="D38" s="660">
        <f t="shared" si="4"/>
        <v>900</v>
      </c>
      <c r="E38" s="660">
        <f t="shared" si="4"/>
        <v>1200</v>
      </c>
      <c r="F38" s="660">
        <f t="shared" si="4"/>
        <v>1500</v>
      </c>
      <c r="G38" s="660">
        <f t="shared" si="4"/>
        <v>1800</v>
      </c>
      <c r="H38" s="660">
        <f t="shared" si="4"/>
        <v>2000</v>
      </c>
      <c r="I38" s="660">
        <f t="shared" si="4"/>
        <v>2300</v>
      </c>
      <c r="J38" s="660">
        <f t="shared" si="4"/>
        <v>2600</v>
      </c>
      <c r="K38" s="660">
        <f t="shared" si="4"/>
        <v>2900</v>
      </c>
      <c r="L38" s="660">
        <f t="shared" si="4"/>
        <v>3100</v>
      </c>
      <c r="M38" s="660">
        <f t="shared" si="4"/>
        <v>4500</v>
      </c>
      <c r="N38" s="660">
        <f t="shared" si="4"/>
        <v>4800</v>
      </c>
      <c r="O38" s="668">
        <f t="shared" si="4"/>
        <v>5900</v>
      </c>
      <c r="P38" s="673"/>
      <c r="Q38" s="676">
        <f t="shared" si="2"/>
        <v>2630.7692307692309</v>
      </c>
    </row>
    <row r="39" spans="1:17" ht="18.75" customHeight="1" x14ac:dyDescent="0.25">
      <c r="A39" s="984"/>
      <c r="B39" s="665">
        <v>0.34</v>
      </c>
      <c r="C39" s="659">
        <f t="shared" si="1"/>
        <v>700</v>
      </c>
      <c r="D39" s="660">
        <f t="shared" si="4"/>
        <v>1000</v>
      </c>
      <c r="E39" s="660">
        <f t="shared" si="4"/>
        <v>1200</v>
      </c>
      <c r="F39" s="660">
        <f t="shared" si="4"/>
        <v>1500</v>
      </c>
      <c r="G39" s="660">
        <f t="shared" si="4"/>
        <v>1800</v>
      </c>
      <c r="H39" s="660">
        <f t="shared" si="4"/>
        <v>2100</v>
      </c>
      <c r="I39" s="660">
        <f t="shared" si="4"/>
        <v>2400</v>
      </c>
      <c r="J39" s="660">
        <f t="shared" si="4"/>
        <v>2700</v>
      </c>
      <c r="K39" s="660">
        <f t="shared" si="4"/>
        <v>2900</v>
      </c>
      <c r="L39" s="660">
        <f t="shared" si="4"/>
        <v>3200</v>
      </c>
      <c r="M39" s="660">
        <f t="shared" si="4"/>
        <v>4600</v>
      </c>
      <c r="N39" s="660">
        <f t="shared" si="4"/>
        <v>4900</v>
      </c>
      <c r="O39" s="668">
        <f t="shared" si="4"/>
        <v>6000</v>
      </c>
      <c r="P39" s="673"/>
      <c r="Q39" s="676">
        <f t="shared" si="2"/>
        <v>2692.3076923076924</v>
      </c>
    </row>
    <row r="40" spans="1:17" ht="18.75" customHeight="1" x14ac:dyDescent="0.25">
      <c r="A40" s="984"/>
      <c r="B40" s="665">
        <v>0.35</v>
      </c>
      <c r="C40" s="659">
        <f t="shared" si="1"/>
        <v>700</v>
      </c>
      <c r="D40" s="660">
        <f t="shared" si="4"/>
        <v>1000</v>
      </c>
      <c r="E40" s="660">
        <f t="shared" si="4"/>
        <v>1300</v>
      </c>
      <c r="F40" s="660">
        <f t="shared" si="4"/>
        <v>1600</v>
      </c>
      <c r="G40" s="660">
        <f t="shared" si="4"/>
        <v>1900</v>
      </c>
      <c r="H40" s="660">
        <f t="shared" si="4"/>
        <v>2100</v>
      </c>
      <c r="I40" s="660">
        <f t="shared" si="4"/>
        <v>2400</v>
      </c>
      <c r="J40" s="660">
        <f t="shared" si="4"/>
        <v>2700</v>
      </c>
      <c r="K40" s="660">
        <f t="shared" si="4"/>
        <v>3000</v>
      </c>
      <c r="L40" s="660">
        <f t="shared" si="4"/>
        <v>3300</v>
      </c>
      <c r="M40" s="660">
        <f t="shared" si="4"/>
        <v>4800</v>
      </c>
      <c r="N40" s="660">
        <f t="shared" si="4"/>
        <v>5100</v>
      </c>
      <c r="O40" s="668">
        <f t="shared" si="4"/>
        <v>6200</v>
      </c>
      <c r="P40" s="673"/>
      <c r="Q40" s="676">
        <f t="shared" si="2"/>
        <v>2776.9230769230771</v>
      </c>
    </row>
    <row r="41" spans="1:17" ht="18.75" customHeight="1" x14ac:dyDescent="0.25">
      <c r="A41" s="984"/>
      <c r="B41" s="665">
        <v>0.36</v>
      </c>
      <c r="C41" s="659">
        <f t="shared" si="1"/>
        <v>700</v>
      </c>
      <c r="D41" s="660">
        <f t="shared" si="4"/>
        <v>1000</v>
      </c>
      <c r="E41" s="660">
        <f t="shared" si="4"/>
        <v>1300</v>
      </c>
      <c r="F41" s="660">
        <f t="shared" si="4"/>
        <v>1600</v>
      </c>
      <c r="G41" s="660">
        <f t="shared" si="4"/>
        <v>1900</v>
      </c>
      <c r="H41" s="660">
        <f t="shared" si="4"/>
        <v>2200</v>
      </c>
      <c r="I41" s="660">
        <f t="shared" si="4"/>
        <v>2500</v>
      </c>
      <c r="J41" s="660">
        <f t="shared" si="4"/>
        <v>2800</v>
      </c>
      <c r="K41" s="660">
        <f t="shared" si="4"/>
        <v>3100</v>
      </c>
      <c r="L41" s="660">
        <f t="shared" si="4"/>
        <v>3400</v>
      </c>
      <c r="M41" s="660">
        <f t="shared" si="4"/>
        <v>4900</v>
      </c>
      <c r="N41" s="660">
        <f t="shared" si="4"/>
        <v>5200</v>
      </c>
      <c r="O41" s="668">
        <f t="shared" si="4"/>
        <v>6400</v>
      </c>
      <c r="P41" s="673"/>
      <c r="Q41" s="676">
        <f t="shared" si="2"/>
        <v>2846.1538461538462</v>
      </c>
    </row>
    <row r="42" spans="1:17" ht="18.75" customHeight="1" x14ac:dyDescent="0.25">
      <c r="A42" s="984"/>
      <c r="B42" s="665">
        <v>0.37</v>
      </c>
      <c r="C42" s="659">
        <f t="shared" si="1"/>
        <v>700</v>
      </c>
      <c r="D42" s="660">
        <f t="shared" si="4"/>
        <v>1000</v>
      </c>
      <c r="E42" s="660">
        <f t="shared" si="4"/>
        <v>1300</v>
      </c>
      <c r="F42" s="660">
        <f t="shared" si="4"/>
        <v>1600</v>
      </c>
      <c r="G42" s="660">
        <f t="shared" si="4"/>
        <v>1900</v>
      </c>
      <c r="H42" s="660">
        <f t="shared" si="4"/>
        <v>2200</v>
      </c>
      <c r="I42" s="660">
        <f t="shared" si="4"/>
        <v>2600</v>
      </c>
      <c r="J42" s="660">
        <f t="shared" si="4"/>
        <v>2900</v>
      </c>
      <c r="K42" s="660">
        <f t="shared" si="4"/>
        <v>3200</v>
      </c>
      <c r="L42" s="660">
        <f t="shared" si="4"/>
        <v>3500</v>
      </c>
      <c r="M42" s="660">
        <f t="shared" si="4"/>
        <v>5000</v>
      </c>
      <c r="N42" s="660">
        <f t="shared" si="4"/>
        <v>5300</v>
      </c>
      <c r="O42" s="668">
        <f t="shared" si="4"/>
        <v>6500</v>
      </c>
      <c r="P42" s="673"/>
      <c r="Q42" s="676">
        <f t="shared" si="2"/>
        <v>2900</v>
      </c>
    </row>
    <row r="43" spans="1:17" ht="18.75" customHeight="1" x14ac:dyDescent="0.25">
      <c r="A43" s="984"/>
      <c r="B43" s="665">
        <v>0.38</v>
      </c>
      <c r="C43" s="659">
        <f t="shared" si="1"/>
        <v>700</v>
      </c>
      <c r="D43" s="660">
        <f t="shared" si="4"/>
        <v>1000</v>
      </c>
      <c r="E43" s="660">
        <f t="shared" si="4"/>
        <v>1300</v>
      </c>
      <c r="F43" s="660">
        <f t="shared" si="4"/>
        <v>1700</v>
      </c>
      <c r="G43" s="660">
        <f t="shared" si="4"/>
        <v>2000</v>
      </c>
      <c r="H43" s="660">
        <f t="shared" si="4"/>
        <v>2300</v>
      </c>
      <c r="I43" s="660">
        <f t="shared" si="4"/>
        <v>2600</v>
      </c>
      <c r="J43" s="660">
        <f t="shared" si="4"/>
        <v>2900</v>
      </c>
      <c r="K43" s="660">
        <f t="shared" si="4"/>
        <v>3200</v>
      </c>
      <c r="L43" s="660">
        <f t="shared" si="4"/>
        <v>3600</v>
      </c>
      <c r="M43" s="660">
        <f t="shared" si="4"/>
        <v>5100</v>
      </c>
      <c r="N43" s="660">
        <f t="shared" si="4"/>
        <v>5400</v>
      </c>
      <c r="O43" s="668">
        <f t="shared" si="4"/>
        <v>6700</v>
      </c>
      <c r="P43" s="673"/>
      <c r="Q43" s="676">
        <f t="shared" si="2"/>
        <v>2961.5384615384614</v>
      </c>
    </row>
    <row r="44" spans="1:17" ht="18.75" customHeight="1" x14ac:dyDescent="0.25">
      <c r="A44" s="984"/>
      <c r="B44" s="665">
        <v>0.39</v>
      </c>
      <c r="C44" s="659">
        <f t="shared" si="1"/>
        <v>700</v>
      </c>
      <c r="D44" s="660">
        <f t="shared" si="4"/>
        <v>1000</v>
      </c>
      <c r="E44" s="660">
        <f t="shared" si="4"/>
        <v>1400</v>
      </c>
      <c r="F44" s="660">
        <f t="shared" si="4"/>
        <v>1700</v>
      </c>
      <c r="G44" s="660">
        <f t="shared" si="4"/>
        <v>2000</v>
      </c>
      <c r="H44" s="660">
        <f t="shared" si="4"/>
        <v>2300</v>
      </c>
      <c r="I44" s="660">
        <f t="shared" si="4"/>
        <v>2700</v>
      </c>
      <c r="J44" s="660">
        <f t="shared" si="4"/>
        <v>3000</v>
      </c>
      <c r="K44" s="660">
        <f t="shared" si="4"/>
        <v>3300</v>
      </c>
      <c r="L44" s="660">
        <f t="shared" si="4"/>
        <v>3600</v>
      </c>
      <c r="M44" s="660">
        <f t="shared" si="4"/>
        <v>5300</v>
      </c>
      <c r="N44" s="660">
        <f t="shared" si="4"/>
        <v>5600</v>
      </c>
      <c r="O44" s="668">
        <f t="shared" si="4"/>
        <v>6900</v>
      </c>
      <c r="P44" s="673"/>
      <c r="Q44" s="676">
        <f t="shared" si="2"/>
        <v>3038.4615384615386</v>
      </c>
    </row>
    <row r="45" spans="1:17" ht="18.75" customHeight="1" x14ac:dyDescent="0.25">
      <c r="A45" s="984"/>
      <c r="B45" s="665">
        <v>0.4</v>
      </c>
      <c r="C45" s="659">
        <f t="shared" si="1"/>
        <v>700</v>
      </c>
      <c r="D45" s="660">
        <f t="shared" si="4"/>
        <v>1100</v>
      </c>
      <c r="E45" s="660">
        <f t="shared" si="4"/>
        <v>1400</v>
      </c>
      <c r="F45" s="660">
        <f t="shared" si="4"/>
        <v>1700</v>
      </c>
      <c r="G45" s="660">
        <f t="shared" si="4"/>
        <v>2100</v>
      </c>
      <c r="H45" s="660">
        <f t="shared" si="4"/>
        <v>2400</v>
      </c>
      <c r="I45" s="660">
        <f t="shared" si="4"/>
        <v>2700</v>
      </c>
      <c r="J45" s="660">
        <f t="shared" si="4"/>
        <v>3100</v>
      </c>
      <c r="K45" s="660">
        <f t="shared" si="4"/>
        <v>3400</v>
      </c>
      <c r="L45" s="660">
        <f t="shared" si="4"/>
        <v>3700</v>
      </c>
      <c r="M45" s="660">
        <f t="shared" si="4"/>
        <v>5400</v>
      </c>
      <c r="N45" s="660">
        <f t="shared" si="4"/>
        <v>5700</v>
      </c>
      <c r="O45" s="668">
        <f t="shared" si="4"/>
        <v>7000</v>
      </c>
      <c r="P45" s="673"/>
      <c r="Q45" s="676">
        <f t="shared" si="2"/>
        <v>3107.6923076923076</v>
      </c>
    </row>
    <row r="46" spans="1:17" ht="18.75" customHeight="1" x14ac:dyDescent="0.25">
      <c r="A46" s="984"/>
      <c r="B46" s="665">
        <v>0.41</v>
      </c>
      <c r="C46" s="659">
        <f t="shared" si="1"/>
        <v>700</v>
      </c>
      <c r="D46" s="660">
        <f t="shared" si="4"/>
        <v>1100</v>
      </c>
      <c r="E46" s="660">
        <f t="shared" si="4"/>
        <v>1400</v>
      </c>
      <c r="F46" s="660">
        <f t="shared" si="4"/>
        <v>1800</v>
      </c>
      <c r="G46" s="660">
        <f t="shared" si="4"/>
        <v>2100</v>
      </c>
      <c r="H46" s="660">
        <f t="shared" si="4"/>
        <v>2400</v>
      </c>
      <c r="I46" s="660">
        <f t="shared" si="4"/>
        <v>2800</v>
      </c>
      <c r="J46" s="660">
        <f t="shared" si="4"/>
        <v>3100</v>
      </c>
      <c r="K46" s="660">
        <f t="shared" si="4"/>
        <v>3500</v>
      </c>
      <c r="L46" s="660">
        <f t="shared" si="4"/>
        <v>3800</v>
      </c>
      <c r="M46" s="660">
        <f t="shared" si="4"/>
        <v>5500</v>
      </c>
      <c r="N46" s="660">
        <f t="shared" si="4"/>
        <v>5800</v>
      </c>
      <c r="O46" s="668">
        <f t="shared" si="4"/>
        <v>7200</v>
      </c>
      <c r="P46" s="673"/>
      <c r="Q46" s="676">
        <f t="shared" si="2"/>
        <v>3169.2307692307691</v>
      </c>
    </row>
    <row r="47" spans="1:17" ht="18.75" customHeight="1" x14ac:dyDescent="0.25">
      <c r="A47" s="984"/>
      <c r="B47" s="665">
        <v>0.42</v>
      </c>
      <c r="C47" s="659">
        <f t="shared" si="1"/>
        <v>700</v>
      </c>
      <c r="D47" s="660">
        <f t="shared" si="4"/>
        <v>1100</v>
      </c>
      <c r="E47" s="660">
        <f t="shared" si="4"/>
        <v>1400</v>
      </c>
      <c r="F47" s="660">
        <f t="shared" si="4"/>
        <v>1800</v>
      </c>
      <c r="G47" s="660">
        <f t="shared" si="4"/>
        <v>2100</v>
      </c>
      <c r="H47" s="660">
        <f t="shared" si="4"/>
        <v>2500</v>
      </c>
      <c r="I47" s="660">
        <f t="shared" si="4"/>
        <v>2800</v>
      </c>
      <c r="J47" s="660">
        <f t="shared" si="4"/>
        <v>3200</v>
      </c>
      <c r="K47" s="660">
        <f t="shared" si="4"/>
        <v>3500</v>
      </c>
      <c r="L47" s="660">
        <f t="shared" si="4"/>
        <v>3900</v>
      </c>
      <c r="M47" s="660">
        <f t="shared" si="4"/>
        <v>5600</v>
      </c>
      <c r="N47" s="660">
        <f t="shared" si="4"/>
        <v>6000</v>
      </c>
      <c r="O47" s="668">
        <f t="shared" si="4"/>
        <v>7400</v>
      </c>
      <c r="P47" s="673"/>
      <c r="Q47" s="676">
        <f t="shared" si="2"/>
        <v>3230.7692307692309</v>
      </c>
    </row>
    <row r="48" spans="1:17" ht="18.75" customHeight="1" x14ac:dyDescent="0.25">
      <c r="A48" s="984"/>
      <c r="B48" s="665">
        <v>0.43</v>
      </c>
      <c r="C48" s="659">
        <f t="shared" si="1"/>
        <v>800</v>
      </c>
      <c r="D48" s="660">
        <f t="shared" si="4"/>
        <v>1100</v>
      </c>
      <c r="E48" s="660">
        <f t="shared" si="4"/>
        <v>1500</v>
      </c>
      <c r="F48" s="660">
        <f t="shared" si="4"/>
        <v>1800</v>
      </c>
      <c r="G48" s="660">
        <f t="shared" si="4"/>
        <v>2200</v>
      </c>
      <c r="H48" s="660">
        <f t="shared" si="4"/>
        <v>2500</v>
      </c>
      <c r="I48" s="660">
        <f t="shared" si="4"/>
        <v>2900</v>
      </c>
      <c r="J48" s="660">
        <f t="shared" si="4"/>
        <v>3300</v>
      </c>
      <c r="K48" s="660">
        <f t="shared" si="4"/>
        <v>3600</v>
      </c>
      <c r="L48" s="660">
        <f t="shared" si="4"/>
        <v>4000</v>
      </c>
      <c r="M48" s="660">
        <f t="shared" si="4"/>
        <v>5800</v>
      </c>
      <c r="N48" s="660">
        <f t="shared" si="4"/>
        <v>6100</v>
      </c>
      <c r="O48" s="668">
        <f t="shared" si="4"/>
        <v>7500</v>
      </c>
      <c r="P48" s="673"/>
      <c r="Q48" s="676">
        <f t="shared" si="2"/>
        <v>3315.3846153846152</v>
      </c>
    </row>
    <row r="49" spans="1:17" ht="18.75" customHeight="1" x14ac:dyDescent="0.25">
      <c r="A49" s="984"/>
      <c r="B49" s="665">
        <v>0.44</v>
      </c>
      <c r="C49" s="659">
        <f t="shared" si="1"/>
        <v>800</v>
      </c>
      <c r="D49" s="660">
        <f t="shared" si="4"/>
        <v>1100</v>
      </c>
      <c r="E49" s="660">
        <f t="shared" si="4"/>
        <v>1500</v>
      </c>
      <c r="F49" s="660">
        <f t="shared" si="4"/>
        <v>1900</v>
      </c>
      <c r="G49" s="660">
        <f t="shared" si="4"/>
        <v>2200</v>
      </c>
      <c r="H49" s="660">
        <f t="shared" si="4"/>
        <v>2600</v>
      </c>
      <c r="I49" s="660">
        <f t="shared" si="4"/>
        <v>3000</v>
      </c>
      <c r="J49" s="660">
        <f t="shared" si="4"/>
        <v>3300</v>
      </c>
      <c r="K49" s="660">
        <f t="shared" si="4"/>
        <v>3700</v>
      </c>
      <c r="L49" s="660">
        <f t="shared" si="4"/>
        <v>4100</v>
      </c>
      <c r="M49" s="660">
        <f t="shared" si="4"/>
        <v>5900</v>
      </c>
      <c r="N49" s="660">
        <f t="shared" si="4"/>
        <v>6200</v>
      </c>
      <c r="O49" s="668">
        <f t="shared" si="4"/>
        <v>7700</v>
      </c>
      <c r="P49" s="673"/>
      <c r="Q49" s="676">
        <f t="shared" si="2"/>
        <v>3384.6153846153848</v>
      </c>
    </row>
    <row r="50" spans="1:17" ht="18.75" customHeight="1" x14ac:dyDescent="0.25">
      <c r="A50" s="984"/>
      <c r="B50" s="665">
        <v>0.45</v>
      </c>
      <c r="C50" s="659">
        <f t="shared" si="1"/>
        <v>800</v>
      </c>
      <c r="D50" s="660">
        <f t="shared" si="4"/>
        <v>1100</v>
      </c>
      <c r="E50" s="660">
        <f t="shared" si="4"/>
        <v>1500</v>
      </c>
      <c r="F50" s="660">
        <f t="shared" si="4"/>
        <v>1900</v>
      </c>
      <c r="G50" s="660">
        <f t="shared" si="4"/>
        <v>2300</v>
      </c>
      <c r="H50" s="660">
        <f t="shared" si="4"/>
        <v>2600</v>
      </c>
      <c r="I50" s="660">
        <f t="shared" si="4"/>
        <v>3000</v>
      </c>
      <c r="J50" s="660">
        <f t="shared" si="4"/>
        <v>3400</v>
      </c>
      <c r="K50" s="660">
        <f t="shared" si="4"/>
        <v>3800</v>
      </c>
      <c r="L50" s="660">
        <f t="shared" si="4"/>
        <v>4100</v>
      </c>
      <c r="M50" s="660">
        <f t="shared" si="4"/>
        <v>6000</v>
      </c>
      <c r="N50" s="660">
        <f t="shared" si="4"/>
        <v>6400</v>
      </c>
      <c r="O50" s="668">
        <f t="shared" si="4"/>
        <v>7900</v>
      </c>
      <c r="P50" s="673"/>
      <c r="Q50" s="676">
        <f t="shared" si="2"/>
        <v>3446.1538461538462</v>
      </c>
    </row>
    <row r="51" spans="1:17" ht="18.75" customHeight="1" x14ac:dyDescent="0.25">
      <c r="A51" s="984"/>
      <c r="B51" s="665">
        <v>0.46</v>
      </c>
      <c r="C51" s="659">
        <f t="shared" si="1"/>
        <v>800</v>
      </c>
      <c r="D51" s="660">
        <f t="shared" si="4"/>
        <v>1200</v>
      </c>
      <c r="E51" s="660">
        <f t="shared" si="4"/>
        <v>1500</v>
      </c>
      <c r="F51" s="660">
        <f t="shared" si="4"/>
        <v>1900</v>
      </c>
      <c r="G51" s="660">
        <f t="shared" si="4"/>
        <v>2300</v>
      </c>
      <c r="H51" s="660">
        <f t="shared" si="4"/>
        <v>2700</v>
      </c>
      <c r="I51" s="660">
        <f t="shared" si="4"/>
        <v>3100</v>
      </c>
      <c r="J51" s="660">
        <f t="shared" si="4"/>
        <v>3500</v>
      </c>
      <c r="K51" s="660">
        <f t="shared" si="4"/>
        <v>3800</v>
      </c>
      <c r="L51" s="660">
        <f t="shared" si="4"/>
        <v>4200</v>
      </c>
      <c r="M51" s="660">
        <f t="shared" si="4"/>
        <v>6100</v>
      </c>
      <c r="N51" s="660">
        <f t="shared" si="4"/>
        <v>6500</v>
      </c>
      <c r="O51" s="668">
        <f t="shared" si="4"/>
        <v>8000</v>
      </c>
      <c r="P51" s="673"/>
      <c r="Q51" s="676">
        <f t="shared" si="2"/>
        <v>3507.6923076923076</v>
      </c>
    </row>
    <row r="52" spans="1:17" ht="18.75" customHeight="1" x14ac:dyDescent="0.25">
      <c r="A52" s="984"/>
      <c r="B52" s="665">
        <v>0.47</v>
      </c>
      <c r="C52" s="659">
        <f t="shared" si="1"/>
        <v>800</v>
      </c>
      <c r="D52" s="660">
        <f t="shared" si="4"/>
        <v>1200</v>
      </c>
      <c r="E52" s="660">
        <f t="shared" si="4"/>
        <v>1600</v>
      </c>
      <c r="F52" s="660">
        <f t="shared" si="4"/>
        <v>2000</v>
      </c>
      <c r="G52" s="660">
        <f t="shared" si="4"/>
        <v>2400</v>
      </c>
      <c r="H52" s="660">
        <f t="shared" si="4"/>
        <v>2700</v>
      </c>
      <c r="I52" s="660">
        <f t="shared" si="4"/>
        <v>3100</v>
      </c>
      <c r="J52" s="660">
        <f t="shared" si="4"/>
        <v>3500</v>
      </c>
      <c r="K52" s="660">
        <f t="shared" si="4"/>
        <v>3900</v>
      </c>
      <c r="L52" s="660">
        <f t="shared" si="4"/>
        <v>4300</v>
      </c>
      <c r="M52" s="660">
        <f t="shared" si="4"/>
        <v>6300</v>
      </c>
      <c r="N52" s="660">
        <f t="shared" si="4"/>
        <v>6600</v>
      </c>
      <c r="O52" s="668">
        <f t="shared" si="4"/>
        <v>8200</v>
      </c>
      <c r="P52" s="673"/>
      <c r="Q52" s="676">
        <f t="shared" si="2"/>
        <v>3584.6153846153848</v>
      </c>
    </row>
    <row r="53" spans="1:17" ht="18.75" customHeight="1" x14ac:dyDescent="0.25">
      <c r="A53" s="984"/>
      <c r="B53" s="665">
        <v>0.48</v>
      </c>
      <c r="C53" s="659">
        <f t="shared" si="1"/>
        <v>800</v>
      </c>
      <c r="D53" s="660">
        <f t="shared" si="4"/>
        <v>1200</v>
      </c>
      <c r="E53" s="660">
        <f t="shared" si="4"/>
        <v>1600</v>
      </c>
      <c r="F53" s="660">
        <f t="shared" si="4"/>
        <v>2000</v>
      </c>
      <c r="G53" s="660">
        <f t="shared" si="4"/>
        <v>2400</v>
      </c>
      <c r="H53" s="660">
        <f t="shared" si="4"/>
        <v>2800</v>
      </c>
      <c r="I53" s="660">
        <f t="shared" si="4"/>
        <v>3200</v>
      </c>
      <c r="J53" s="660">
        <f t="shared" si="4"/>
        <v>3600</v>
      </c>
      <c r="K53" s="660">
        <f t="shared" si="4"/>
        <v>4000</v>
      </c>
      <c r="L53" s="660">
        <f t="shared" si="4"/>
        <v>4400</v>
      </c>
      <c r="M53" s="660">
        <f t="shared" si="4"/>
        <v>6400</v>
      </c>
      <c r="N53" s="660">
        <f t="shared" si="4"/>
        <v>6800</v>
      </c>
      <c r="O53" s="668">
        <f t="shared" si="4"/>
        <v>8400</v>
      </c>
      <c r="P53" s="673"/>
      <c r="Q53" s="676">
        <f t="shared" si="2"/>
        <v>3661.5384615384614</v>
      </c>
    </row>
    <row r="54" spans="1:17" ht="18.75" customHeight="1" x14ac:dyDescent="0.25">
      <c r="A54" s="984"/>
      <c r="B54" s="665">
        <v>0.49</v>
      </c>
      <c r="C54" s="659">
        <f t="shared" si="1"/>
        <v>800</v>
      </c>
      <c r="D54" s="660">
        <f t="shared" si="4"/>
        <v>1200</v>
      </c>
      <c r="E54" s="660">
        <f t="shared" si="4"/>
        <v>1600</v>
      </c>
      <c r="F54" s="660">
        <f t="shared" si="4"/>
        <v>2000</v>
      </c>
      <c r="G54" s="660">
        <f t="shared" si="4"/>
        <v>2400</v>
      </c>
      <c r="H54" s="660">
        <f t="shared" si="4"/>
        <v>2800</v>
      </c>
      <c r="I54" s="660">
        <f t="shared" si="4"/>
        <v>3200</v>
      </c>
      <c r="J54" s="660">
        <f t="shared" si="4"/>
        <v>3700</v>
      </c>
      <c r="K54" s="660">
        <f t="shared" si="4"/>
        <v>4100</v>
      </c>
      <c r="L54" s="660">
        <f t="shared" si="4"/>
        <v>4500</v>
      </c>
      <c r="M54" s="660">
        <f t="shared" si="4"/>
        <v>6500</v>
      </c>
      <c r="N54" s="660">
        <f t="shared" si="4"/>
        <v>6900</v>
      </c>
      <c r="O54" s="668">
        <f t="shared" si="4"/>
        <v>8500</v>
      </c>
      <c r="P54" s="673"/>
      <c r="Q54" s="676">
        <f t="shared" si="2"/>
        <v>3707.6923076923076</v>
      </c>
    </row>
    <row r="55" spans="1:17" ht="18.75" customHeight="1" thickBot="1" x14ac:dyDescent="0.3">
      <c r="A55" s="985"/>
      <c r="B55" s="666">
        <v>0.5</v>
      </c>
      <c r="C55" s="669">
        <f t="shared" si="1"/>
        <v>800</v>
      </c>
      <c r="D55" s="670">
        <f t="shared" si="4"/>
        <v>1200</v>
      </c>
      <c r="E55" s="670">
        <f t="shared" si="4"/>
        <v>1600</v>
      </c>
      <c r="F55" s="670">
        <f t="shared" si="4"/>
        <v>2100</v>
      </c>
      <c r="G55" s="670">
        <f t="shared" si="4"/>
        <v>2500</v>
      </c>
      <c r="H55" s="670">
        <f t="shared" si="4"/>
        <v>2900</v>
      </c>
      <c r="I55" s="670">
        <f t="shared" si="4"/>
        <v>3300</v>
      </c>
      <c r="J55" s="670">
        <f t="shared" si="4"/>
        <v>3700</v>
      </c>
      <c r="K55" s="670">
        <f t="shared" si="4"/>
        <v>4100</v>
      </c>
      <c r="L55" s="670">
        <f t="shared" si="4"/>
        <v>4600</v>
      </c>
      <c r="M55" s="670">
        <f t="shared" si="4"/>
        <v>6600</v>
      </c>
      <c r="N55" s="670">
        <f t="shared" si="4"/>
        <v>7000</v>
      </c>
      <c r="O55" s="671">
        <f t="shared" si="4"/>
        <v>8700</v>
      </c>
      <c r="P55" s="674"/>
      <c r="Q55" s="677">
        <f t="shared" si="2"/>
        <v>3776.9230769230771</v>
      </c>
    </row>
    <row r="56" spans="1:17" ht="7.5" customHeight="1" thickTop="1" x14ac:dyDescent="0.25">
      <c r="C56" s="678"/>
      <c r="D56" s="679"/>
      <c r="E56" s="679"/>
      <c r="F56" s="679"/>
      <c r="G56" s="679"/>
      <c r="H56" s="679"/>
      <c r="I56" s="679"/>
      <c r="J56" s="679"/>
      <c r="K56" s="679"/>
      <c r="L56" s="679"/>
      <c r="M56" s="679"/>
      <c r="N56" s="680"/>
      <c r="O56" s="680"/>
      <c r="P56" s="976">
        <f>AVERAGE(C57:O57,Q10:Q55)</f>
        <v>2259.3645484949834</v>
      </c>
      <c r="Q56" s="977"/>
    </row>
    <row r="57" spans="1:17" ht="15.75" thickBot="1" x14ac:dyDescent="0.3">
      <c r="A57" s="975"/>
      <c r="B57" s="975"/>
      <c r="C57" s="681">
        <f>AVERAGE(C10:C55)</f>
        <v>626.08695652173913</v>
      </c>
      <c r="D57" s="682">
        <f t="shared" ref="D57:O57" si="5">AVERAGE(D10:D55)</f>
        <v>850</v>
      </c>
      <c r="E57" s="682">
        <f t="shared" si="5"/>
        <v>1073.9130434782608</v>
      </c>
      <c r="F57" s="682">
        <f t="shared" si="5"/>
        <v>1317.391304347826</v>
      </c>
      <c r="G57" s="682">
        <f t="shared" si="5"/>
        <v>1541.304347826087</v>
      </c>
      <c r="H57" s="682">
        <f t="shared" si="5"/>
        <v>1750</v>
      </c>
      <c r="I57" s="682">
        <f t="shared" si="5"/>
        <v>1997.8260869565217</v>
      </c>
      <c r="J57" s="682">
        <f t="shared" si="5"/>
        <v>2232.608695652174</v>
      </c>
      <c r="K57" s="682">
        <f t="shared" si="5"/>
        <v>2450</v>
      </c>
      <c r="L57" s="682">
        <f t="shared" si="5"/>
        <v>2684.782608695652</v>
      </c>
      <c r="M57" s="682">
        <f t="shared" si="5"/>
        <v>3823.913043478261</v>
      </c>
      <c r="N57" s="682">
        <f t="shared" si="5"/>
        <v>4056.521739130435</v>
      </c>
      <c r="O57" s="683">
        <f t="shared" si="5"/>
        <v>4967.391304347826</v>
      </c>
      <c r="P57" s="978"/>
      <c r="Q57" s="979"/>
    </row>
  </sheetData>
  <sheetProtection algorithmName="SHA-512" hashValue="t9ULnhd7q2r8UIU/jpBrqKrtO1IYSAF/LHqi5wNnwjtC3cBisIEO9TlGKm9mL3ZYqiiBNEQF84IxD+NdHxgTbQ==" saltValue="crv1QI9dFG1jcPoQK6f/XA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300" verticalDpi="300" r:id="rId1"/>
  <rowBreaks count="2" manualBreakCount="2">
    <brk id="34" max="16" man="1"/>
    <brk id="57" max="16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6xblgv++C3VbBFMq6JT+6YQxUTvczgNSsAniydSwp0IdP3vPyiJCoht/9AiUHQa8d2BQk6xX0eYNrivH9LP6aw==" saltValue="KySn7qnLLMuPKjiNdE33U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19</vt:i4>
      </vt:variant>
    </vt:vector>
  </HeadingPairs>
  <TitlesOfParts>
    <vt:vector size="32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Aufteilung Aufwände</vt:lpstr>
      <vt:lpstr>Lizenzgebühr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2018-01-14T19:24:11Z</cp:lastPrinted>
  <dcterms:created xsi:type="dcterms:W3CDTF">2017-11-17T17:38:13Z</dcterms:created>
  <dcterms:modified xsi:type="dcterms:W3CDTF">2018-01-14T19:28:16Z</dcterms:modified>
</cp:coreProperties>
</file>