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Dominik\GitHub\BWL-project\Finanzen\"/>
    </mc:Choice>
  </mc:AlternateContent>
  <bookViews>
    <workbookView xWindow="24180" yWindow="0" windowWidth="19560" windowHeight="8115" tabRatio="769" firstSheet="3" activeTab="10"/>
  </bookViews>
  <sheets>
    <sheet name="Stammdaten" sheetId="1" r:id="rId1"/>
    <sheet name="Investitionsplan" sheetId="2" r:id="rId2"/>
    <sheet name="Plankosten" sheetId="3" r:id="rId3"/>
    <sheet name="Abschreibung" sheetId="8" r:id="rId4"/>
    <sheet name="Plan G&amp;V" sheetId="6" r:id="rId5"/>
    <sheet name="Liquiditätsplan" sheetId="9" r:id="rId6"/>
    <sheet name="Planbilanz" sheetId="11" r:id="rId7"/>
    <sheet name="Cash Flow" sheetId="12" r:id="rId8"/>
    <sheet name="Kennzahlen" sheetId="13" r:id="rId9"/>
    <sheet name="Lizenzgebühr" sheetId="10" r:id="rId10"/>
    <sheet name="Break-Even-Point" sheetId="14" r:id="rId11"/>
    <sheet name="Auswahltabellen" sheetId="4" state="hidden" r:id="rId12"/>
  </sheets>
  <definedNames>
    <definedName name="Anually">Auswahltabellen!$B$2:$B$13</definedName>
    <definedName name="Bimonthly">Auswahltabellen!$E$2:$E$3</definedName>
    <definedName name="_xlnm.Print_Area" localSheetId="3">Abschreibung!$A$1:$M$34</definedName>
    <definedName name="_xlnm.Print_Area" localSheetId="7">'Cash Flow'!$A$1:$H$18</definedName>
    <definedName name="_xlnm.Print_Area" localSheetId="1">Investitionsplan!$A$1:$Y$34</definedName>
    <definedName name="_xlnm.Print_Area" localSheetId="8">Kennzahlen!$A$1:$H$18</definedName>
    <definedName name="_xlnm.Print_Area" localSheetId="5">Liquiditätsplan!$A$1:$X$85</definedName>
    <definedName name="_xlnm.Print_Area" localSheetId="9">Lizenzgebühr!$A$1:$K$19</definedName>
    <definedName name="_xlnm.Print_Area" localSheetId="4">'Plan G&amp;V'!$A$1:$X$56</definedName>
    <definedName name="_xlnm.Print_Area" localSheetId="6">Planbilanz!$A$1:$L$40</definedName>
    <definedName name="_xlnm.Print_Area" localSheetId="2">Plankosten!$A$1:$X$139</definedName>
    <definedName name="_xlnm.Print_Area" localSheetId="0">Stammdaten!$A$1:$D$43</definedName>
    <definedName name="Monthly">Auswahltabellen!$F$2</definedName>
    <definedName name="Quaterly">Auswahltabellen!$D$2:$D$4</definedName>
    <definedName name="SemiAnually">Auswahltabellen!$C$2:$C$7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" i="14" l="1"/>
  <c r="E5" i="14"/>
  <c r="D5" i="14"/>
  <c r="C5" i="14"/>
  <c r="F4" i="14"/>
  <c r="E4" i="14"/>
  <c r="D4" i="14"/>
  <c r="C4" i="14"/>
  <c r="V9" i="6"/>
  <c r="Q22" i="9"/>
  <c r="V22" i="9"/>
  <c r="A27" i="8" l="1" a="1"/>
  <c r="A27" i="8" s="1"/>
  <c r="A18" i="8" a="1"/>
  <c r="A18" i="8" s="1"/>
  <c r="F19" i="2"/>
  <c r="G19" i="2"/>
  <c r="H19" i="2"/>
  <c r="I19" i="2"/>
  <c r="R19" i="2" s="1"/>
  <c r="J19" i="2"/>
  <c r="K19" i="2"/>
  <c r="L19" i="2"/>
  <c r="M19" i="2"/>
  <c r="N19" i="2"/>
  <c r="O19" i="2"/>
  <c r="P19" i="2"/>
  <c r="Q19" i="2"/>
  <c r="S19" i="2"/>
  <c r="T19" i="2"/>
  <c r="U19" i="2"/>
  <c r="W19" i="2" s="1"/>
  <c r="V19" i="2"/>
  <c r="X19" i="2"/>
  <c r="Y19" i="2"/>
  <c r="A5" i="8" a="1"/>
  <c r="D5" i="8" s="1"/>
  <c r="B21" i="2"/>
  <c r="W21" i="9"/>
  <c r="X21" i="9"/>
  <c r="R21" i="9"/>
  <c r="S21" i="9" s="1"/>
  <c r="C31" i="8" l="1"/>
  <c r="C30" i="8"/>
  <c r="C29" i="8"/>
  <c r="C28" i="8"/>
  <c r="C27" i="8"/>
  <c r="D31" i="8"/>
  <c r="D30" i="8"/>
  <c r="D29" i="8"/>
  <c r="D28" i="8"/>
  <c r="D27" i="8"/>
  <c r="B31" i="8"/>
  <c r="B30" i="8"/>
  <c r="B29" i="8"/>
  <c r="B28" i="8"/>
  <c r="B27" i="8"/>
  <c r="A31" i="8"/>
  <c r="A30" i="8"/>
  <c r="A29" i="8"/>
  <c r="A28" i="8"/>
  <c r="C20" i="8"/>
  <c r="C19" i="8"/>
  <c r="C18" i="8"/>
  <c r="D20" i="8"/>
  <c r="D19" i="8"/>
  <c r="D18" i="8"/>
  <c r="B20" i="8"/>
  <c r="B19" i="8"/>
  <c r="B18" i="8"/>
  <c r="A20" i="8"/>
  <c r="A19" i="8"/>
  <c r="C14" i="8"/>
  <c r="C13" i="8"/>
  <c r="C12" i="8"/>
  <c r="C11" i="8"/>
  <c r="C10" i="8"/>
  <c r="C9" i="8"/>
  <c r="C8" i="8"/>
  <c r="C7" i="8"/>
  <c r="C6" i="8"/>
  <c r="C5" i="8"/>
  <c r="B14" i="8"/>
  <c r="B13" i="8"/>
  <c r="B12" i="8"/>
  <c r="B11" i="8"/>
  <c r="B10" i="8"/>
  <c r="B9" i="8"/>
  <c r="B8" i="8"/>
  <c r="B7" i="8"/>
  <c r="B6" i="8"/>
  <c r="B5" i="8"/>
  <c r="A14" i="8"/>
  <c r="A13" i="8"/>
  <c r="A12" i="8"/>
  <c r="A11" i="8"/>
  <c r="A10" i="8"/>
  <c r="A9" i="8"/>
  <c r="A8" i="8"/>
  <c r="A7" i="8"/>
  <c r="A6" i="8"/>
  <c r="A5" i="8"/>
  <c r="D14" i="8"/>
  <c r="E14" i="8" s="1"/>
  <c r="D13" i="8"/>
  <c r="D12" i="8"/>
  <c r="E12" i="8" s="1"/>
  <c r="D11" i="8"/>
  <c r="D10" i="8"/>
  <c r="D9" i="8"/>
  <c r="E9" i="8" s="1"/>
  <c r="D8" i="8"/>
  <c r="E8" i="8" s="1"/>
  <c r="D7" i="8"/>
  <c r="E7" i="8" s="1"/>
  <c r="D6" i="8"/>
  <c r="E13" i="8"/>
  <c r="E5" i="8"/>
  <c r="E11" i="8"/>
  <c r="E10" i="8"/>
  <c r="E6" i="8"/>
  <c r="U21" i="9"/>
  <c r="T21" i="9"/>
  <c r="F28" i="2"/>
  <c r="G28" i="2"/>
  <c r="H28" i="2"/>
  <c r="I28" i="2"/>
  <c r="J28" i="2"/>
  <c r="K28" i="2"/>
  <c r="L28" i="2"/>
  <c r="M28" i="2"/>
  <c r="N28" i="2"/>
  <c r="O28" i="2"/>
  <c r="P28" i="2"/>
  <c r="Q28" i="2"/>
  <c r="F29" i="2"/>
  <c r="G29" i="2"/>
  <c r="H29" i="2"/>
  <c r="I29" i="2"/>
  <c r="J29" i="2"/>
  <c r="K29" i="2"/>
  <c r="L29" i="2"/>
  <c r="M29" i="2"/>
  <c r="N29" i="2"/>
  <c r="O29" i="2"/>
  <c r="P29" i="2"/>
  <c r="Q29" i="2"/>
  <c r="F30" i="2"/>
  <c r="G30" i="2"/>
  <c r="H30" i="2"/>
  <c r="I30" i="2"/>
  <c r="J30" i="2"/>
  <c r="K30" i="2"/>
  <c r="L30" i="2"/>
  <c r="M30" i="2"/>
  <c r="N30" i="2"/>
  <c r="O30" i="2"/>
  <c r="P30" i="2"/>
  <c r="Q30" i="2"/>
  <c r="G27" i="2"/>
  <c r="H27" i="2"/>
  <c r="I27" i="2"/>
  <c r="J27" i="2"/>
  <c r="K27" i="2"/>
  <c r="L27" i="2"/>
  <c r="M27" i="2"/>
  <c r="N27" i="2"/>
  <c r="O27" i="2"/>
  <c r="P27" i="2"/>
  <c r="Q27" i="2"/>
  <c r="F27" i="2"/>
  <c r="S27" i="2"/>
  <c r="T27" i="2"/>
  <c r="U27" i="2"/>
  <c r="V27" i="2"/>
  <c r="X27" i="2"/>
  <c r="Y27" i="2"/>
  <c r="H10" i="12"/>
  <c r="G10" i="12"/>
  <c r="F10" i="12"/>
  <c r="E10" i="12"/>
  <c r="W27" i="2" l="1"/>
  <c r="R27" i="2"/>
  <c r="D3" i="11"/>
  <c r="V30" i="9" l="1"/>
  <c r="Q30" i="9"/>
  <c r="E26" i="11" s="1"/>
  <c r="G26" i="11" s="1"/>
  <c r="I26" i="11" s="1"/>
  <c r="K26" i="11" s="1"/>
  <c r="Q31" i="9"/>
  <c r="O25" i="9"/>
  <c r="V21" i="9"/>
  <c r="V23" i="9"/>
  <c r="V20" i="9"/>
  <c r="Q21" i="9"/>
  <c r="Q23" i="9"/>
  <c r="Q20" i="9"/>
  <c r="D7" i="9"/>
  <c r="V66" i="9"/>
  <c r="V67" i="9"/>
  <c r="Q69" i="9"/>
  <c r="Q67" i="9"/>
  <c r="A65" i="9"/>
  <c r="A64" i="9"/>
  <c r="X85" i="9"/>
  <c r="T85" i="9"/>
  <c r="U65" i="9" s="1"/>
  <c r="U85" i="9"/>
  <c r="W65" i="9" s="1"/>
  <c r="S85" i="9"/>
  <c r="T65" i="9" s="1"/>
  <c r="R85" i="9"/>
  <c r="S65" i="9" s="1"/>
  <c r="K85" i="9"/>
  <c r="N65" i="9" s="1"/>
  <c r="N85" i="9"/>
  <c r="R65" i="9" s="1"/>
  <c r="H85" i="9"/>
  <c r="K65" i="9" s="1"/>
  <c r="E85" i="9"/>
  <c r="H65" i="9" s="1"/>
  <c r="V81" i="9"/>
  <c r="W85" i="9" s="1"/>
  <c r="X65" i="9" s="1"/>
  <c r="Q81" i="9"/>
  <c r="Q65" i="9" l="1"/>
  <c r="V65" i="9"/>
  <c r="V85" i="9"/>
  <c r="Q85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V60" i="9"/>
  <c r="Q60" i="9"/>
  <c r="V54" i="9"/>
  <c r="Q54" i="9"/>
  <c r="F15" i="9"/>
  <c r="H68" i="9" s="1"/>
  <c r="G15" i="9"/>
  <c r="I68" i="9" s="1"/>
  <c r="H15" i="9"/>
  <c r="J68" i="9" s="1"/>
  <c r="I15" i="9"/>
  <c r="K68" i="9" s="1"/>
  <c r="J15" i="9"/>
  <c r="L68" i="9" s="1"/>
  <c r="K15" i="9"/>
  <c r="M68" i="9" s="1"/>
  <c r="L15" i="9"/>
  <c r="N68" i="9" s="1"/>
  <c r="M15" i="9"/>
  <c r="O68" i="9" s="1"/>
  <c r="N15" i="9"/>
  <c r="P68" i="9" s="1"/>
  <c r="O15" i="9"/>
  <c r="P15" i="9"/>
  <c r="R15" i="9"/>
  <c r="S15" i="9"/>
  <c r="T15" i="9"/>
  <c r="U15" i="9"/>
  <c r="W15" i="9"/>
  <c r="X15" i="9"/>
  <c r="V12" i="9"/>
  <c r="V11" i="9"/>
  <c r="Q11" i="9"/>
  <c r="T68" i="9" l="1"/>
  <c r="X68" i="9"/>
  <c r="W68" i="9"/>
  <c r="U68" i="9"/>
  <c r="R68" i="9"/>
  <c r="S68" i="9"/>
  <c r="V69" i="9"/>
  <c r="Q12" i="9"/>
  <c r="E15" i="9"/>
  <c r="G68" i="9" s="1"/>
  <c r="Q68" i="9" s="1"/>
  <c r="V68" i="9" l="1"/>
  <c r="B7" i="10" l="1"/>
  <c r="U31" i="9" l="1"/>
  <c r="T31" i="9"/>
  <c r="S31" i="9"/>
  <c r="R31" i="9"/>
  <c r="V31" i="9" s="1"/>
  <c r="X13" i="9"/>
  <c r="W13" i="9"/>
  <c r="U13" i="9"/>
  <c r="T13" i="9"/>
  <c r="S13" i="9"/>
  <c r="R13" i="9"/>
  <c r="F13" i="9"/>
  <c r="G13" i="9"/>
  <c r="H13" i="9"/>
  <c r="I13" i="9"/>
  <c r="J13" i="9"/>
  <c r="K13" i="9"/>
  <c r="L13" i="9"/>
  <c r="M13" i="9"/>
  <c r="N13" i="9"/>
  <c r="O13" i="9"/>
  <c r="P13" i="9"/>
  <c r="E13" i="9"/>
  <c r="V13" i="9" l="1"/>
  <c r="R25" i="9"/>
  <c r="W25" i="9"/>
  <c r="Q13" i="9"/>
  <c r="T25" i="9"/>
  <c r="S25" i="9"/>
  <c r="X25" i="9"/>
  <c r="U25" i="9"/>
  <c r="F33" i="9"/>
  <c r="X16" i="9" l="1"/>
  <c r="K16" i="11" s="1"/>
  <c r="K25" i="9"/>
  <c r="S16" i="9"/>
  <c r="V25" i="9"/>
  <c r="U16" i="9"/>
  <c r="T16" i="9"/>
  <c r="W16" i="9"/>
  <c r="I16" i="11" s="1"/>
  <c r="J25" i="9"/>
  <c r="I25" i="9"/>
  <c r="G25" i="9"/>
  <c r="P25" i="9"/>
  <c r="F25" i="9"/>
  <c r="L25" i="9"/>
  <c r="E33" i="9"/>
  <c r="H25" i="9"/>
  <c r="N25" i="9"/>
  <c r="M25" i="9"/>
  <c r="E25" i="9"/>
  <c r="H11" i="12" l="1"/>
  <c r="M16" i="9"/>
  <c r="K16" i="9"/>
  <c r="E35" i="9"/>
  <c r="E16" i="9"/>
  <c r="N16" i="9"/>
  <c r="L16" i="9"/>
  <c r="P16" i="9"/>
  <c r="R16" i="9"/>
  <c r="V16" i="9" s="1"/>
  <c r="I16" i="9"/>
  <c r="J16" i="9"/>
  <c r="H16" i="9"/>
  <c r="F35" i="9"/>
  <c r="F16" i="9"/>
  <c r="G16" i="9"/>
  <c r="O16" i="9"/>
  <c r="Q25" i="9"/>
  <c r="B21" i="8"/>
  <c r="L30" i="8" l="1"/>
  <c r="J28" i="8"/>
  <c r="E28" i="8"/>
  <c r="H28" i="8" s="1"/>
  <c r="J27" i="8"/>
  <c r="H27" i="8"/>
  <c r="E27" i="8"/>
  <c r="F27" i="8" s="1"/>
  <c r="G27" i="8" s="1"/>
  <c r="E29" i="8"/>
  <c r="H29" i="8" s="1"/>
  <c r="F29" i="8"/>
  <c r="G29" i="8" s="1"/>
  <c r="J29" i="8"/>
  <c r="B32" i="8"/>
  <c r="J30" i="8"/>
  <c r="H30" i="8"/>
  <c r="E30" i="8"/>
  <c r="F30" i="8" s="1"/>
  <c r="G30" i="8" s="1"/>
  <c r="L13" i="8"/>
  <c r="Q16" i="9"/>
  <c r="K19" i="8"/>
  <c r="M19" i="8"/>
  <c r="I19" i="8"/>
  <c r="G19" i="8"/>
  <c r="G18" i="8"/>
  <c r="E6" i="11" s="1"/>
  <c r="K18" i="8"/>
  <c r="I6" i="11" s="1"/>
  <c r="M18" i="8"/>
  <c r="I18" i="8"/>
  <c r="G6" i="11" s="1"/>
  <c r="F7" i="8"/>
  <c r="G7" i="8" s="1"/>
  <c r="H7" i="8"/>
  <c r="J7" i="8"/>
  <c r="F11" i="8"/>
  <c r="G11" i="8" s="1"/>
  <c r="H11" i="8"/>
  <c r="J11" i="8"/>
  <c r="F8" i="8"/>
  <c r="G8" i="8" s="1"/>
  <c r="J8" i="8"/>
  <c r="H8" i="8"/>
  <c r="H12" i="8"/>
  <c r="F12" i="8"/>
  <c r="G12" i="8" s="1"/>
  <c r="J12" i="8"/>
  <c r="J5" i="8"/>
  <c r="H5" i="8"/>
  <c r="F9" i="8"/>
  <c r="G9" i="8" s="1"/>
  <c r="H9" i="8"/>
  <c r="J9" i="8"/>
  <c r="J13" i="8"/>
  <c r="G13" i="8"/>
  <c r="F13" i="8"/>
  <c r="H13" i="8"/>
  <c r="F6" i="8"/>
  <c r="G6" i="8" s="1"/>
  <c r="H6" i="8"/>
  <c r="J6" i="8"/>
  <c r="F10" i="8"/>
  <c r="G10" i="8" s="1"/>
  <c r="J10" i="8"/>
  <c r="F5" i="8"/>
  <c r="G5" i="8" s="1"/>
  <c r="B15" i="8"/>
  <c r="B23" i="8" s="1"/>
  <c r="X10" i="6"/>
  <c r="X12" i="6" s="1"/>
  <c r="X14" i="6" s="1"/>
  <c r="W10" i="6"/>
  <c r="W12" i="6" s="1"/>
  <c r="W13" i="6" s="1"/>
  <c r="S10" i="6"/>
  <c r="S12" i="6" s="1"/>
  <c r="S14" i="6" s="1"/>
  <c r="T10" i="6"/>
  <c r="T12" i="6" s="1"/>
  <c r="T13" i="6" s="1"/>
  <c r="U10" i="6"/>
  <c r="U12" i="6" s="1"/>
  <c r="U14" i="6" s="1"/>
  <c r="R10" i="6"/>
  <c r="R12" i="6" s="1"/>
  <c r="R13" i="6" s="1"/>
  <c r="F10" i="6"/>
  <c r="F12" i="6" s="1"/>
  <c r="F14" i="6" s="1"/>
  <c r="G10" i="6"/>
  <c r="G12" i="6" s="1"/>
  <c r="G13" i="6" s="1"/>
  <c r="H10" i="6"/>
  <c r="I10" i="6"/>
  <c r="I12" i="6" s="1"/>
  <c r="I14" i="6" s="1"/>
  <c r="J10" i="6"/>
  <c r="J12" i="6" s="1"/>
  <c r="J14" i="6" s="1"/>
  <c r="K10" i="6"/>
  <c r="K12" i="6" s="1"/>
  <c r="K13" i="6" s="1"/>
  <c r="L10" i="6"/>
  <c r="L12" i="6" s="1"/>
  <c r="L14" i="6" s="1"/>
  <c r="M10" i="6"/>
  <c r="M12" i="6" s="1"/>
  <c r="M14" i="6" s="1"/>
  <c r="N10" i="6"/>
  <c r="O10" i="6"/>
  <c r="O12" i="6" s="1"/>
  <c r="O13" i="6" s="1"/>
  <c r="P10" i="6"/>
  <c r="P12" i="6" s="1"/>
  <c r="P14" i="6" s="1"/>
  <c r="E10" i="6"/>
  <c r="E12" i="6" s="1"/>
  <c r="E13" i="6" s="1"/>
  <c r="V15" i="6"/>
  <c r="V16" i="6"/>
  <c r="V15" i="9"/>
  <c r="G16" i="11" s="1"/>
  <c r="Q15" i="6"/>
  <c r="Q16" i="6"/>
  <c r="Q9" i="6"/>
  <c r="Q15" i="9" s="1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0" i="6"/>
  <c r="B19" i="6"/>
  <c r="H12" i="6"/>
  <c r="H14" i="6" s="1"/>
  <c r="N12" i="6"/>
  <c r="N14" i="6" s="1"/>
  <c r="G11" i="12" l="1"/>
  <c r="I30" i="8"/>
  <c r="K30" i="8" s="1"/>
  <c r="M30" i="8" s="1"/>
  <c r="I29" i="8"/>
  <c r="K29" i="8" s="1"/>
  <c r="L29" i="8" s="1"/>
  <c r="M29" i="8" s="1"/>
  <c r="F28" i="8"/>
  <c r="G28" i="8" s="1"/>
  <c r="I28" i="8" s="1"/>
  <c r="K28" i="8" s="1"/>
  <c r="L28" i="8" s="1"/>
  <c r="M28" i="8" s="1"/>
  <c r="I13" i="8"/>
  <c r="K13" i="8" s="1"/>
  <c r="M13" i="8" s="1"/>
  <c r="I12" i="8"/>
  <c r="K12" i="8" s="1"/>
  <c r="I7" i="8"/>
  <c r="K7" i="8" s="1"/>
  <c r="L7" i="8" s="1"/>
  <c r="H10" i="8"/>
  <c r="H15" i="8" s="1"/>
  <c r="E16" i="11"/>
  <c r="F11" i="12" s="1"/>
  <c r="E7" i="11"/>
  <c r="I27" i="8"/>
  <c r="J32" i="8"/>
  <c r="H32" i="8"/>
  <c r="I11" i="8"/>
  <c r="E8" i="11"/>
  <c r="M21" i="8"/>
  <c r="K6" i="11"/>
  <c r="I21" i="8"/>
  <c r="K21" i="8"/>
  <c r="G21" i="8"/>
  <c r="I8" i="8"/>
  <c r="I6" i="8"/>
  <c r="K6" i="8" s="1"/>
  <c r="L6" i="8" s="1"/>
  <c r="I9" i="8"/>
  <c r="K9" i="8" s="1"/>
  <c r="L9" i="8" s="1"/>
  <c r="J15" i="8"/>
  <c r="I5" i="8"/>
  <c r="X13" i="6"/>
  <c r="W14" i="6"/>
  <c r="T14" i="6"/>
  <c r="S13" i="6"/>
  <c r="U13" i="6"/>
  <c r="U18" i="6" s="1"/>
  <c r="R14" i="6"/>
  <c r="N13" i="6"/>
  <c r="J13" i="6"/>
  <c r="F13" i="6"/>
  <c r="O14" i="6"/>
  <c r="K14" i="6"/>
  <c r="G14" i="6"/>
  <c r="M13" i="6"/>
  <c r="M18" i="6" s="1"/>
  <c r="I13" i="6"/>
  <c r="P13" i="6"/>
  <c r="L13" i="6"/>
  <c r="H13" i="6"/>
  <c r="E14" i="6"/>
  <c r="V10" i="6"/>
  <c r="V12" i="6" s="1"/>
  <c r="Q10" i="6"/>
  <c r="Q12" i="6"/>
  <c r="W18" i="6"/>
  <c r="G12" i="13" s="1"/>
  <c r="S28" i="2"/>
  <c r="T28" i="2"/>
  <c r="U28" i="2"/>
  <c r="V28" i="2"/>
  <c r="X28" i="2"/>
  <c r="Y28" i="2"/>
  <c r="S29" i="2"/>
  <c r="T29" i="2"/>
  <c r="U29" i="2"/>
  <c r="V29" i="2"/>
  <c r="X29" i="2"/>
  <c r="Y29" i="2"/>
  <c r="S30" i="2"/>
  <c r="T30" i="2"/>
  <c r="U30" i="2"/>
  <c r="V30" i="2"/>
  <c r="X30" i="2"/>
  <c r="Y30" i="2"/>
  <c r="B32" i="2"/>
  <c r="F10" i="2"/>
  <c r="G10" i="2"/>
  <c r="H10" i="2"/>
  <c r="I10" i="2"/>
  <c r="J10" i="2"/>
  <c r="K10" i="2"/>
  <c r="L10" i="2"/>
  <c r="M10" i="2"/>
  <c r="N10" i="2"/>
  <c r="O10" i="2"/>
  <c r="P10" i="2"/>
  <c r="Q10" i="2"/>
  <c r="S10" i="2"/>
  <c r="T10" i="2"/>
  <c r="U10" i="2"/>
  <c r="V10" i="2"/>
  <c r="X10" i="2"/>
  <c r="Y10" i="2"/>
  <c r="R91" i="3"/>
  <c r="S91" i="3"/>
  <c r="T91" i="3"/>
  <c r="U91" i="3"/>
  <c r="W91" i="3"/>
  <c r="X91" i="3"/>
  <c r="F91" i="3"/>
  <c r="G91" i="3"/>
  <c r="H91" i="3"/>
  <c r="I91" i="3"/>
  <c r="J91" i="3"/>
  <c r="K91" i="3"/>
  <c r="L91" i="3"/>
  <c r="M91" i="3"/>
  <c r="N91" i="3"/>
  <c r="O91" i="3"/>
  <c r="P91" i="3"/>
  <c r="E91" i="3"/>
  <c r="T28" i="3"/>
  <c r="R28" i="3"/>
  <c r="E11" i="12" l="1"/>
  <c r="G32" i="8"/>
  <c r="E9" i="11" s="1"/>
  <c r="F32" i="8"/>
  <c r="L12" i="8"/>
  <c r="M12" i="8" s="1"/>
  <c r="I10" i="8"/>
  <c r="K10" i="8" s="1"/>
  <c r="L10" i="8" s="1"/>
  <c r="M10" i="8" s="1"/>
  <c r="E10" i="11"/>
  <c r="M7" i="8"/>
  <c r="F15" i="8"/>
  <c r="N36" i="6" s="1"/>
  <c r="G15" i="8"/>
  <c r="G23" i="8" s="1"/>
  <c r="G7" i="11"/>
  <c r="J34" i="8"/>
  <c r="R29" i="2"/>
  <c r="R30" i="2"/>
  <c r="W30" i="2"/>
  <c r="W29" i="2"/>
  <c r="K27" i="8"/>
  <c r="I32" i="8"/>
  <c r="G9" i="11" s="1"/>
  <c r="R28" i="2"/>
  <c r="W28" i="2"/>
  <c r="K36" i="6"/>
  <c r="K11" i="8"/>
  <c r="G8" i="11"/>
  <c r="W10" i="2"/>
  <c r="S36" i="6"/>
  <c r="T36" i="6"/>
  <c r="U36" i="6"/>
  <c r="H34" i="8"/>
  <c r="R36" i="6"/>
  <c r="K8" i="8"/>
  <c r="M9" i="8"/>
  <c r="K5" i="8"/>
  <c r="H18" i="6"/>
  <c r="N18" i="6"/>
  <c r="X18" i="6"/>
  <c r="G18" i="6"/>
  <c r="L18" i="6"/>
  <c r="J18" i="6"/>
  <c r="F18" i="6"/>
  <c r="I18" i="6"/>
  <c r="T18" i="6"/>
  <c r="S18" i="6"/>
  <c r="V14" i="6"/>
  <c r="R18" i="6"/>
  <c r="V13" i="6"/>
  <c r="P18" i="6"/>
  <c r="O18" i="6"/>
  <c r="K18" i="6"/>
  <c r="Q14" i="6"/>
  <c r="Q13" i="6"/>
  <c r="E18" i="6"/>
  <c r="Q91" i="3"/>
  <c r="Z91" i="3" s="1"/>
  <c r="V91" i="3"/>
  <c r="R10" i="2"/>
  <c r="E17" i="3"/>
  <c r="F17" i="3"/>
  <c r="G17" i="3"/>
  <c r="H17" i="3"/>
  <c r="I17" i="3"/>
  <c r="J17" i="3"/>
  <c r="K17" i="3"/>
  <c r="L17" i="3"/>
  <c r="M17" i="3"/>
  <c r="N17" i="3"/>
  <c r="O17" i="3"/>
  <c r="P17" i="3"/>
  <c r="R17" i="3"/>
  <c r="S17" i="3"/>
  <c r="T17" i="3"/>
  <c r="U17" i="3"/>
  <c r="W17" i="3"/>
  <c r="X17" i="3"/>
  <c r="E18" i="3"/>
  <c r="F18" i="3"/>
  <c r="G18" i="3"/>
  <c r="H18" i="3"/>
  <c r="I18" i="3"/>
  <c r="J18" i="3"/>
  <c r="K18" i="3"/>
  <c r="L18" i="3"/>
  <c r="M18" i="3"/>
  <c r="N18" i="3"/>
  <c r="O18" i="3"/>
  <c r="P18" i="3"/>
  <c r="R18" i="3"/>
  <c r="S18" i="3"/>
  <c r="T18" i="3"/>
  <c r="U18" i="3"/>
  <c r="W18" i="3"/>
  <c r="X18" i="3"/>
  <c r="E19" i="3"/>
  <c r="F19" i="3"/>
  <c r="G19" i="3"/>
  <c r="H19" i="3"/>
  <c r="I19" i="3"/>
  <c r="J19" i="3"/>
  <c r="K19" i="3"/>
  <c r="L19" i="3"/>
  <c r="M19" i="3"/>
  <c r="N19" i="3"/>
  <c r="O19" i="3"/>
  <c r="P19" i="3"/>
  <c r="R19" i="3"/>
  <c r="S19" i="3"/>
  <c r="T19" i="3"/>
  <c r="U19" i="3"/>
  <c r="W19" i="3"/>
  <c r="X19" i="3"/>
  <c r="X16" i="3"/>
  <c r="W16" i="3"/>
  <c r="U16" i="3"/>
  <c r="T16" i="3"/>
  <c r="S16" i="3"/>
  <c r="R16" i="3"/>
  <c r="P16" i="3"/>
  <c r="O16" i="3"/>
  <c r="N16" i="3"/>
  <c r="M16" i="3"/>
  <c r="L16" i="3"/>
  <c r="K16" i="3"/>
  <c r="J16" i="3"/>
  <c r="I16" i="3"/>
  <c r="H16" i="3"/>
  <c r="G16" i="3"/>
  <c r="F16" i="3"/>
  <c r="E16" i="3"/>
  <c r="W9" i="3"/>
  <c r="X9" i="3"/>
  <c r="W10" i="3"/>
  <c r="X10" i="3"/>
  <c r="W11" i="3"/>
  <c r="X11" i="3"/>
  <c r="X8" i="3"/>
  <c r="W8" i="3"/>
  <c r="R9" i="3"/>
  <c r="S9" i="3"/>
  <c r="T9" i="3"/>
  <c r="U9" i="3"/>
  <c r="R10" i="3"/>
  <c r="S10" i="3"/>
  <c r="T10" i="3"/>
  <c r="U10" i="3"/>
  <c r="R11" i="3"/>
  <c r="S11" i="3"/>
  <c r="T11" i="3"/>
  <c r="U11" i="3"/>
  <c r="S8" i="3"/>
  <c r="T8" i="3"/>
  <c r="U8" i="3"/>
  <c r="R8" i="3"/>
  <c r="E9" i="3"/>
  <c r="F9" i="3"/>
  <c r="G9" i="3"/>
  <c r="H9" i="3"/>
  <c r="I9" i="3"/>
  <c r="J9" i="3"/>
  <c r="K9" i="3"/>
  <c r="L9" i="3"/>
  <c r="M9" i="3"/>
  <c r="N9" i="3"/>
  <c r="O9" i="3"/>
  <c r="P9" i="3"/>
  <c r="E10" i="3"/>
  <c r="F10" i="3"/>
  <c r="G10" i="3"/>
  <c r="H10" i="3"/>
  <c r="I10" i="3"/>
  <c r="J10" i="3"/>
  <c r="K10" i="3"/>
  <c r="L10" i="3"/>
  <c r="M10" i="3"/>
  <c r="N10" i="3"/>
  <c r="O10" i="3"/>
  <c r="P10" i="3"/>
  <c r="E11" i="3"/>
  <c r="F11" i="3"/>
  <c r="G11" i="3"/>
  <c r="H11" i="3"/>
  <c r="I11" i="3"/>
  <c r="J11" i="3"/>
  <c r="K11" i="3"/>
  <c r="L11" i="3"/>
  <c r="M11" i="3"/>
  <c r="N11" i="3"/>
  <c r="O11" i="3"/>
  <c r="P11" i="3"/>
  <c r="F8" i="3"/>
  <c r="G8" i="3"/>
  <c r="H8" i="3"/>
  <c r="I8" i="3"/>
  <c r="J8" i="3"/>
  <c r="K8" i="3"/>
  <c r="L8" i="3"/>
  <c r="M8" i="3"/>
  <c r="N8" i="3"/>
  <c r="O8" i="3"/>
  <c r="P8" i="3"/>
  <c r="E8" i="3"/>
  <c r="K13" i="3" l="1"/>
  <c r="T13" i="3"/>
  <c r="G13" i="3"/>
  <c r="O13" i="3"/>
  <c r="G21" i="3"/>
  <c r="K21" i="3"/>
  <c r="O21" i="3"/>
  <c r="T21" i="3"/>
  <c r="E12" i="11"/>
  <c r="H12" i="13"/>
  <c r="G34" i="8"/>
  <c r="I15" i="8"/>
  <c r="G10" i="11"/>
  <c r="F34" i="8"/>
  <c r="J36" i="6"/>
  <c r="I36" i="6"/>
  <c r="P36" i="6"/>
  <c r="F36" i="6"/>
  <c r="O36" i="6"/>
  <c r="P13" i="3"/>
  <c r="L13" i="3"/>
  <c r="E21" i="3"/>
  <c r="I21" i="3"/>
  <c r="M21" i="3"/>
  <c r="H13" i="3"/>
  <c r="U13" i="3"/>
  <c r="N13" i="3"/>
  <c r="L21" i="3"/>
  <c r="P21" i="3"/>
  <c r="U21" i="3"/>
  <c r="J13" i="3"/>
  <c r="S13" i="3"/>
  <c r="H21" i="3"/>
  <c r="E13" i="3"/>
  <c r="M13" i="3"/>
  <c r="I13" i="3"/>
  <c r="R13" i="3"/>
  <c r="W13" i="3"/>
  <c r="R21" i="3"/>
  <c r="W21" i="3"/>
  <c r="F13" i="3"/>
  <c r="X13" i="3"/>
  <c r="F21" i="3"/>
  <c r="J21" i="3"/>
  <c r="N21" i="3"/>
  <c r="S21" i="3"/>
  <c r="X21" i="3"/>
  <c r="E36" i="6"/>
  <c r="L36" i="6"/>
  <c r="G36" i="6"/>
  <c r="M36" i="6"/>
  <c r="H36" i="6"/>
  <c r="G12" i="11"/>
  <c r="K32" i="8"/>
  <c r="I9" i="11" s="1"/>
  <c r="L27" i="8"/>
  <c r="W36" i="6"/>
  <c r="G5" i="12" s="1"/>
  <c r="I10" i="11"/>
  <c r="L8" i="8"/>
  <c r="M8" i="8" s="1"/>
  <c r="K10" i="11" s="1"/>
  <c r="V36" i="6"/>
  <c r="F5" i="12" s="1"/>
  <c r="I8" i="11"/>
  <c r="L11" i="8"/>
  <c r="M11" i="8" s="1"/>
  <c r="K8" i="11" s="1"/>
  <c r="I7" i="11"/>
  <c r="L5" i="8"/>
  <c r="I23" i="8"/>
  <c r="I34" i="8" s="1"/>
  <c r="M6" i="8"/>
  <c r="K15" i="8"/>
  <c r="V18" i="6"/>
  <c r="F12" i="13" s="1"/>
  <c r="Q18" i="6"/>
  <c r="E12" i="13" s="1"/>
  <c r="N29" i="3"/>
  <c r="J29" i="3"/>
  <c r="S29" i="3"/>
  <c r="F29" i="3"/>
  <c r="E29" i="3"/>
  <c r="M29" i="3"/>
  <c r="R29" i="3"/>
  <c r="P29" i="3"/>
  <c r="L29" i="3"/>
  <c r="H29" i="3"/>
  <c r="U29" i="3"/>
  <c r="X29" i="3"/>
  <c r="I29" i="3"/>
  <c r="W29" i="3"/>
  <c r="O29" i="3"/>
  <c r="K29" i="3"/>
  <c r="G29" i="3"/>
  <c r="T29" i="3"/>
  <c r="V17" i="3"/>
  <c r="V19" i="3"/>
  <c r="V18" i="3"/>
  <c r="Q17" i="3"/>
  <c r="Q19" i="3"/>
  <c r="Q18" i="3"/>
  <c r="K23" i="3"/>
  <c r="K27" i="3" s="1"/>
  <c r="V11" i="3"/>
  <c r="V10" i="3"/>
  <c r="Q16" i="3"/>
  <c r="V16" i="3"/>
  <c r="V9" i="3"/>
  <c r="Q8" i="3"/>
  <c r="V8" i="3"/>
  <c r="Q11" i="3"/>
  <c r="Q10" i="3"/>
  <c r="Q9" i="3"/>
  <c r="X137" i="3"/>
  <c r="W137" i="3"/>
  <c r="U137" i="3"/>
  <c r="T137" i="3"/>
  <c r="S137" i="3"/>
  <c r="R137" i="3"/>
  <c r="P137" i="3"/>
  <c r="O137" i="3"/>
  <c r="N137" i="3"/>
  <c r="M137" i="3"/>
  <c r="L137" i="3"/>
  <c r="K137" i="3"/>
  <c r="J137" i="3"/>
  <c r="I137" i="3"/>
  <c r="H137" i="3"/>
  <c r="G137" i="3"/>
  <c r="F137" i="3"/>
  <c r="E137" i="3"/>
  <c r="X136" i="3"/>
  <c r="W136" i="3"/>
  <c r="U136" i="3"/>
  <c r="T136" i="3"/>
  <c r="S136" i="3"/>
  <c r="R136" i="3"/>
  <c r="P136" i="3"/>
  <c r="O136" i="3"/>
  <c r="N136" i="3"/>
  <c r="M136" i="3"/>
  <c r="L136" i="3"/>
  <c r="K136" i="3"/>
  <c r="J136" i="3"/>
  <c r="I136" i="3"/>
  <c r="H136" i="3"/>
  <c r="G136" i="3"/>
  <c r="F136" i="3"/>
  <c r="E136" i="3"/>
  <c r="X135" i="3"/>
  <c r="W135" i="3"/>
  <c r="U135" i="3"/>
  <c r="T135" i="3"/>
  <c r="S135" i="3"/>
  <c r="R135" i="3"/>
  <c r="P135" i="3"/>
  <c r="O135" i="3"/>
  <c r="N135" i="3"/>
  <c r="M135" i="3"/>
  <c r="L135" i="3"/>
  <c r="K135" i="3"/>
  <c r="J135" i="3"/>
  <c r="I135" i="3"/>
  <c r="H135" i="3"/>
  <c r="G135" i="3"/>
  <c r="F135" i="3"/>
  <c r="E135" i="3"/>
  <c r="E139" i="3" s="1"/>
  <c r="X129" i="3"/>
  <c r="W129" i="3"/>
  <c r="U129" i="3"/>
  <c r="T129" i="3"/>
  <c r="S129" i="3"/>
  <c r="R129" i="3"/>
  <c r="P129" i="3"/>
  <c r="O129" i="3"/>
  <c r="N129" i="3"/>
  <c r="M129" i="3"/>
  <c r="L129" i="3"/>
  <c r="K129" i="3"/>
  <c r="J129" i="3"/>
  <c r="I129" i="3"/>
  <c r="H129" i="3"/>
  <c r="G129" i="3"/>
  <c r="F129" i="3"/>
  <c r="E129" i="3"/>
  <c r="X128" i="3"/>
  <c r="W128" i="3"/>
  <c r="W131" i="3" s="1"/>
  <c r="U128" i="3"/>
  <c r="T128" i="3"/>
  <c r="S128" i="3"/>
  <c r="R128" i="3"/>
  <c r="R131" i="3" s="1"/>
  <c r="P128" i="3"/>
  <c r="O128" i="3"/>
  <c r="N128" i="3"/>
  <c r="M128" i="3"/>
  <c r="M131" i="3" s="1"/>
  <c r="L128" i="3"/>
  <c r="K128" i="3"/>
  <c r="J128" i="3"/>
  <c r="I128" i="3"/>
  <c r="I131" i="3" s="1"/>
  <c r="H128" i="3"/>
  <c r="G128" i="3"/>
  <c r="F128" i="3"/>
  <c r="E128" i="3"/>
  <c r="E131" i="3" s="1"/>
  <c r="X122" i="3"/>
  <c r="X124" i="3" s="1"/>
  <c r="W122" i="3"/>
  <c r="W124" i="3" s="1"/>
  <c r="U122" i="3"/>
  <c r="T122" i="3"/>
  <c r="S122" i="3"/>
  <c r="R122" i="3"/>
  <c r="P122" i="3"/>
  <c r="O122" i="3"/>
  <c r="N122" i="3"/>
  <c r="M122" i="3"/>
  <c r="L122" i="3"/>
  <c r="K122" i="3"/>
  <c r="J122" i="3"/>
  <c r="I122" i="3"/>
  <c r="H122" i="3"/>
  <c r="G122" i="3"/>
  <c r="F122" i="3"/>
  <c r="E122" i="3"/>
  <c r="U121" i="3"/>
  <c r="U124" i="3" s="1"/>
  <c r="T121" i="3"/>
  <c r="T124" i="3" s="1"/>
  <c r="S121" i="3"/>
  <c r="S124" i="3" s="1"/>
  <c r="R121" i="3"/>
  <c r="R124" i="3" s="1"/>
  <c r="P121" i="3"/>
  <c r="P124" i="3" s="1"/>
  <c r="O121" i="3"/>
  <c r="O124" i="3" s="1"/>
  <c r="N121" i="3"/>
  <c r="N124" i="3" s="1"/>
  <c r="M121" i="3"/>
  <c r="M124" i="3" s="1"/>
  <c r="L121" i="3"/>
  <c r="L124" i="3" s="1"/>
  <c r="K121" i="3"/>
  <c r="K124" i="3" s="1"/>
  <c r="J121" i="3"/>
  <c r="J124" i="3" s="1"/>
  <c r="I121" i="3"/>
  <c r="I124" i="3" s="1"/>
  <c r="H121" i="3"/>
  <c r="H124" i="3" s="1"/>
  <c r="G121" i="3"/>
  <c r="G124" i="3" s="1"/>
  <c r="F121" i="3"/>
  <c r="F124" i="3" s="1"/>
  <c r="E121" i="3"/>
  <c r="E124" i="3" s="1"/>
  <c r="X115" i="3"/>
  <c r="W115" i="3"/>
  <c r="U115" i="3"/>
  <c r="T115" i="3"/>
  <c r="S115" i="3"/>
  <c r="R115" i="3"/>
  <c r="P115" i="3"/>
  <c r="O115" i="3"/>
  <c r="N115" i="3"/>
  <c r="M115" i="3"/>
  <c r="L115" i="3"/>
  <c r="K115" i="3"/>
  <c r="J115" i="3"/>
  <c r="I115" i="3"/>
  <c r="H115" i="3"/>
  <c r="G115" i="3"/>
  <c r="F115" i="3"/>
  <c r="E115" i="3"/>
  <c r="X114" i="3"/>
  <c r="W114" i="3"/>
  <c r="U114" i="3"/>
  <c r="T114" i="3"/>
  <c r="S114" i="3"/>
  <c r="R114" i="3"/>
  <c r="P114" i="3"/>
  <c r="O114" i="3"/>
  <c r="N114" i="3"/>
  <c r="M114" i="3"/>
  <c r="L114" i="3"/>
  <c r="K114" i="3"/>
  <c r="J114" i="3"/>
  <c r="I114" i="3"/>
  <c r="H114" i="3"/>
  <c r="G114" i="3"/>
  <c r="F114" i="3"/>
  <c r="E114" i="3"/>
  <c r="X108" i="3"/>
  <c r="W108" i="3"/>
  <c r="U108" i="3"/>
  <c r="T108" i="3"/>
  <c r="S108" i="3"/>
  <c r="R108" i="3"/>
  <c r="P108" i="3"/>
  <c r="O108" i="3"/>
  <c r="N108" i="3"/>
  <c r="M108" i="3"/>
  <c r="L108" i="3"/>
  <c r="K108" i="3"/>
  <c r="J108" i="3"/>
  <c r="I108" i="3"/>
  <c r="H108" i="3"/>
  <c r="G108" i="3"/>
  <c r="F108" i="3"/>
  <c r="E108" i="3"/>
  <c r="X105" i="3"/>
  <c r="W105" i="3"/>
  <c r="U105" i="3"/>
  <c r="T105" i="3"/>
  <c r="S105" i="3"/>
  <c r="R105" i="3"/>
  <c r="P105" i="3"/>
  <c r="O105" i="3"/>
  <c r="N105" i="3"/>
  <c r="M105" i="3"/>
  <c r="L105" i="3"/>
  <c r="K105" i="3"/>
  <c r="J105" i="3"/>
  <c r="I105" i="3"/>
  <c r="H105" i="3"/>
  <c r="G105" i="3"/>
  <c r="F105" i="3"/>
  <c r="E105" i="3"/>
  <c r="X99" i="3"/>
  <c r="W99" i="3"/>
  <c r="U99" i="3"/>
  <c r="T99" i="3"/>
  <c r="S99" i="3"/>
  <c r="R99" i="3"/>
  <c r="P99" i="3"/>
  <c r="O99" i="3"/>
  <c r="N99" i="3"/>
  <c r="M99" i="3"/>
  <c r="L99" i="3"/>
  <c r="K99" i="3"/>
  <c r="J99" i="3"/>
  <c r="I99" i="3"/>
  <c r="H99" i="3"/>
  <c r="G99" i="3"/>
  <c r="F99" i="3"/>
  <c r="E99" i="3"/>
  <c r="X98" i="3"/>
  <c r="W98" i="3"/>
  <c r="U98" i="3"/>
  <c r="T98" i="3"/>
  <c r="S98" i="3"/>
  <c r="R98" i="3"/>
  <c r="P98" i="3"/>
  <c r="O98" i="3"/>
  <c r="N98" i="3"/>
  <c r="M98" i="3"/>
  <c r="L98" i="3"/>
  <c r="K98" i="3"/>
  <c r="J98" i="3"/>
  <c r="I98" i="3"/>
  <c r="H98" i="3"/>
  <c r="G98" i="3"/>
  <c r="F98" i="3"/>
  <c r="E98" i="3"/>
  <c r="X92" i="3"/>
  <c r="W92" i="3"/>
  <c r="U92" i="3"/>
  <c r="T92" i="3"/>
  <c r="S92" i="3"/>
  <c r="R92" i="3"/>
  <c r="P92" i="3"/>
  <c r="O92" i="3"/>
  <c r="N92" i="3"/>
  <c r="M92" i="3"/>
  <c r="L92" i="3"/>
  <c r="K92" i="3"/>
  <c r="J92" i="3"/>
  <c r="I92" i="3"/>
  <c r="H92" i="3"/>
  <c r="G92" i="3"/>
  <c r="F92" i="3"/>
  <c r="E92" i="3"/>
  <c r="X90" i="3"/>
  <c r="W90" i="3"/>
  <c r="U90" i="3"/>
  <c r="T90" i="3"/>
  <c r="S90" i="3"/>
  <c r="R90" i="3"/>
  <c r="P90" i="3"/>
  <c r="O90" i="3"/>
  <c r="N90" i="3"/>
  <c r="M90" i="3"/>
  <c r="L90" i="3"/>
  <c r="K90" i="3"/>
  <c r="J90" i="3"/>
  <c r="I90" i="3"/>
  <c r="H90" i="3"/>
  <c r="G90" i="3"/>
  <c r="F90" i="3"/>
  <c r="E90" i="3"/>
  <c r="P89" i="3"/>
  <c r="O89" i="3"/>
  <c r="N89" i="3"/>
  <c r="M89" i="3"/>
  <c r="L89" i="3"/>
  <c r="K89" i="3"/>
  <c r="J89" i="3"/>
  <c r="I89" i="3"/>
  <c r="H89" i="3"/>
  <c r="G89" i="3"/>
  <c r="F89" i="3"/>
  <c r="E89" i="3"/>
  <c r="X83" i="3"/>
  <c r="W83" i="3"/>
  <c r="U83" i="3"/>
  <c r="T83" i="3"/>
  <c r="S83" i="3"/>
  <c r="R83" i="3"/>
  <c r="P83" i="3"/>
  <c r="O83" i="3"/>
  <c r="N83" i="3"/>
  <c r="M83" i="3"/>
  <c r="L83" i="3"/>
  <c r="K83" i="3"/>
  <c r="J83" i="3"/>
  <c r="I83" i="3"/>
  <c r="H83" i="3"/>
  <c r="G83" i="3"/>
  <c r="F83" i="3"/>
  <c r="E83" i="3"/>
  <c r="X82" i="3"/>
  <c r="W82" i="3"/>
  <c r="U82" i="3"/>
  <c r="T82" i="3"/>
  <c r="S82" i="3"/>
  <c r="R82" i="3"/>
  <c r="P82" i="3"/>
  <c r="O82" i="3"/>
  <c r="N82" i="3"/>
  <c r="M82" i="3"/>
  <c r="L82" i="3"/>
  <c r="K82" i="3"/>
  <c r="J82" i="3"/>
  <c r="I82" i="3"/>
  <c r="H82" i="3"/>
  <c r="G82" i="3"/>
  <c r="F82" i="3"/>
  <c r="E82" i="3"/>
  <c r="X81" i="3"/>
  <c r="W81" i="3"/>
  <c r="U81" i="3"/>
  <c r="T81" i="3"/>
  <c r="S81" i="3"/>
  <c r="R81" i="3"/>
  <c r="P81" i="3"/>
  <c r="O81" i="3"/>
  <c r="N81" i="3"/>
  <c r="M81" i="3"/>
  <c r="L81" i="3"/>
  <c r="K81" i="3"/>
  <c r="J81" i="3"/>
  <c r="I81" i="3"/>
  <c r="H81" i="3"/>
  <c r="G81" i="3"/>
  <c r="F81" i="3"/>
  <c r="E81" i="3"/>
  <c r="X75" i="3"/>
  <c r="W75" i="3"/>
  <c r="U75" i="3"/>
  <c r="T75" i="3"/>
  <c r="S75" i="3"/>
  <c r="R75" i="3"/>
  <c r="P75" i="3"/>
  <c r="O75" i="3"/>
  <c r="N75" i="3"/>
  <c r="M75" i="3"/>
  <c r="L75" i="3"/>
  <c r="K75" i="3"/>
  <c r="J75" i="3"/>
  <c r="I75" i="3"/>
  <c r="H75" i="3"/>
  <c r="G75" i="3"/>
  <c r="F75" i="3"/>
  <c r="E75" i="3"/>
  <c r="X74" i="3"/>
  <c r="W74" i="3"/>
  <c r="U74" i="3"/>
  <c r="T74" i="3"/>
  <c r="S74" i="3"/>
  <c r="R74" i="3"/>
  <c r="P74" i="3"/>
  <c r="O74" i="3"/>
  <c r="N74" i="3"/>
  <c r="M74" i="3"/>
  <c r="L74" i="3"/>
  <c r="K74" i="3"/>
  <c r="J74" i="3"/>
  <c r="I74" i="3"/>
  <c r="H74" i="3"/>
  <c r="G74" i="3"/>
  <c r="F74" i="3"/>
  <c r="E74" i="3"/>
  <c r="X73" i="3"/>
  <c r="W73" i="3"/>
  <c r="U73" i="3"/>
  <c r="T73" i="3"/>
  <c r="S73" i="3"/>
  <c r="R73" i="3"/>
  <c r="P73" i="3"/>
  <c r="O73" i="3"/>
  <c r="N73" i="3"/>
  <c r="M73" i="3"/>
  <c r="L73" i="3"/>
  <c r="K73" i="3"/>
  <c r="J73" i="3"/>
  <c r="I73" i="3"/>
  <c r="H73" i="3"/>
  <c r="G73" i="3"/>
  <c r="F73" i="3"/>
  <c r="E73" i="3"/>
  <c r="X67" i="3"/>
  <c r="W67" i="3"/>
  <c r="U67" i="3"/>
  <c r="T67" i="3"/>
  <c r="S67" i="3"/>
  <c r="R67" i="3"/>
  <c r="P67" i="3"/>
  <c r="O67" i="3"/>
  <c r="N67" i="3"/>
  <c r="M67" i="3"/>
  <c r="L67" i="3"/>
  <c r="K67" i="3"/>
  <c r="J67" i="3"/>
  <c r="I67" i="3"/>
  <c r="H67" i="3"/>
  <c r="G67" i="3"/>
  <c r="F67" i="3"/>
  <c r="E67" i="3"/>
  <c r="X66" i="3"/>
  <c r="W66" i="3"/>
  <c r="U66" i="3"/>
  <c r="T66" i="3"/>
  <c r="S66" i="3"/>
  <c r="R66" i="3"/>
  <c r="P66" i="3"/>
  <c r="O66" i="3"/>
  <c r="N66" i="3"/>
  <c r="M66" i="3"/>
  <c r="L66" i="3"/>
  <c r="K66" i="3"/>
  <c r="J66" i="3"/>
  <c r="I66" i="3"/>
  <c r="H66" i="3"/>
  <c r="G66" i="3"/>
  <c r="F66" i="3"/>
  <c r="E66" i="3"/>
  <c r="X65" i="3"/>
  <c r="W65" i="3"/>
  <c r="U65" i="3"/>
  <c r="T65" i="3"/>
  <c r="S65" i="3"/>
  <c r="R65" i="3"/>
  <c r="P65" i="3"/>
  <c r="O65" i="3"/>
  <c r="N65" i="3"/>
  <c r="M65" i="3"/>
  <c r="L65" i="3"/>
  <c r="K65" i="3"/>
  <c r="J65" i="3"/>
  <c r="I65" i="3"/>
  <c r="H65" i="3"/>
  <c r="G65" i="3"/>
  <c r="F65" i="3"/>
  <c r="E65" i="3"/>
  <c r="X59" i="3"/>
  <c r="W59" i="3"/>
  <c r="U59" i="3"/>
  <c r="T59" i="3"/>
  <c r="S59" i="3"/>
  <c r="R59" i="3"/>
  <c r="P59" i="3"/>
  <c r="O59" i="3"/>
  <c r="N59" i="3"/>
  <c r="M59" i="3"/>
  <c r="L59" i="3"/>
  <c r="K59" i="3"/>
  <c r="J59" i="3"/>
  <c r="I59" i="3"/>
  <c r="H59" i="3"/>
  <c r="G59" i="3"/>
  <c r="F59" i="3"/>
  <c r="E59" i="3"/>
  <c r="X58" i="3"/>
  <c r="W58" i="3"/>
  <c r="U58" i="3"/>
  <c r="T58" i="3"/>
  <c r="S58" i="3"/>
  <c r="R58" i="3"/>
  <c r="P58" i="3"/>
  <c r="O58" i="3"/>
  <c r="N58" i="3"/>
  <c r="M58" i="3"/>
  <c r="L58" i="3"/>
  <c r="K58" i="3"/>
  <c r="J58" i="3"/>
  <c r="I58" i="3"/>
  <c r="H58" i="3"/>
  <c r="G58" i="3"/>
  <c r="F58" i="3"/>
  <c r="E58" i="3"/>
  <c r="F12" i="2"/>
  <c r="G12" i="2"/>
  <c r="H12" i="2"/>
  <c r="I12" i="2"/>
  <c r="J12" i="2"/>
  <c r="K12" i="2"/>
  <c r="L12" i="2"/>
  <c r="M12" i="2"/>
  <c r="N12" i="2"/>
  <c r="O12" i="2"/>
  <c r="P12" i="2"/>
  <c r="Q12" i="2"/>
  <c r="S12" i="2"/>
  <c r="T12" i="2"/>
  <c r="U12" i="2"/>
  <c r="V12" i="2"/>
  <c r="X12" i="2"/>
  <c r="Y12" i="2"/>
  <c r="F9" i="2"/>
  <c r="G9" i="2"/>
  <c r="H9" i="2"/>
  <c r="I9" i="2"/>
  <c r="J9" i="2"/>
  <c r="K9" i="2"/>
  <c r="L9" i="2"/>
  <c r="M9" i="2"/>
  <c r="N9" i="2"/>
  <c r="O9" i="2"/>
  <c r="P9" i="2"/>
  <c r="Q9" i="2"/>
  <c r="S9" i="2"/>
  <c r="T9" i="2"/>
  <c r="U9" i="2"/>
  <c r="V9" i="2"/>
  <c r="X9" i="2"/>
  <c r="Y9" i="2"/>
  <c r="F7" i="2"/>
  <c r="G7" i="2"/>
  <c r="H7" i="2"/>
  <c r="I7" i="2"/>
  <c r="J7" i="2"/>
  <c r="K7" i="2"/>
  <c r="L7" i="2"/>
  <c r="M7" i="2"/>
  <c r="N7" i="2"/>
  <c r="O7" i="2"/>
  <c r="P7" i="2"/>
  <c r="Q7" i="2"/>
  <c r="S7" i="2"/>
  <c r="T7" i="2"/>
  <c r="U7" i="2"/>
  <c r="V7" i="2"/>
  <c r="X7" i="2"/>
  <c r="Y7" i="2"/>
  <c r="F8" i="2"/>
  <c r="G8" i="2"/>
  <c r="H8" i="2"/>
  <c r="I8" i="2"/>
  <c r="J8" i="2"/>
  <c r="K8" i="2"/>
  <c r="L8" i="2"/>
  <c r="M8" i="2"/>
  <c r="N8" i="2"/>
  <c r="O8" i="2"/>
  <c r="P8" i="2"/>
  <c r="Q8" i="2"/>
  <c r="S8" i="2"/>
  <c r="T8" i="2"/>
  <c r="U8" i="2"/>
  <c r="V8" i="2"/>
  <c r="X8" i="2"/>
  <c r="Y8" i="2"/>
  <c r="F11" i="2"/>
  <c r="G11" i="2"/>
  <c r="H11" i="2"/>
  <c r="I11" i="2"/>
  <c r="J11" i="2"/>
  <c r="K11" i="2"/>
  <c r="L11" i="2"/>
  <c r="M11" i="2"/>
  <c r="N11" i="2"/>
  <c r="O11" i="2"/>
  <c r="P11" i="2"/>
  <c r="Q11" i="2"/>
  <c r="S11" i="2"/>
  <c r="T11" i="2"/>
  <c r="U11" i="2"/>
  <c r="V11" i="2"/>
  <c r="X11" i="2"/>
  <c r="Y11" i="2"/>
  <c r="F6" i="2"/>
  <c r="G6" i="2"/>
  <c r="H6" i="2"/>
  <c r="I6" i="2"/>
  <c r="J6" i="2"/>
  <c r="K6" i="2"/>
  <c r="L6" i="2"/>
  <c r="M6" i="2"/>
  <c r="N6" i="2"/>
  <c r="O6" i="2"/>
  <c r="P6" i="2"/>
  <c r="Q6" i="2"/>
  <c r="S6" i="2"/>
  <c r="T6" i="2"/>
  <c r="U6" i="2"/>
  <c r="V6" i="2"/>
  <c r="X6" i="2"/>
  <c r="Y6" i="2"/>
  <c r="F13" i="2"/>
  <c r="G13" i="2"/>
  <c r="H13" i="2"/>
  <c r="I13" i="2"/>
  <c r="J13" i="2"/>
  <c r="K13" i="2"/>
  <c r="L13" i="2"/>
  <c r="M13" i="2"/>
  <c r="N13" i="2"/>
  <c r="O13" i="2"/>
  <c r="P13" i="2"/>
  <c r="Q13" i="2"/>
  <c r="S13" i="2"/>
  <c r="T13" i="2"/>
  <c r="U13" i="2"/>
  <c r="V13" i="2"/>
  <c r="X13" i="2"/>
  <c r="Y13" i="2"/>
  <c r="X52" i="3"/>
  <c r="W52" i="3"/>
  <c r="U52" i="3"/>
  <c r="T52" i="3"/>
  <c r="S52" i="3"/>
  <c r="R52" i="3"/>
  <c r="P52" i="3"/>
  <c r="O52" i="3"/>
  <c r="N52" i="3"/>
  <c r="M52" i="3"/>
  <c r="L52" i="3"/>
  <c r="K52" i="3"/>
  <c r="J52" i="3"/>
  <c r="I52" i="3"/>
  <c r="H52" i="3"/>
  <c r="G52" i="3"/>
  <c r="F52" i="3"/>
  <c r="E52" i="3"/>
  <c r="X51" i="3"/>
  <c r="W51" i="3"/>
  <c r="U51" i="3"/>
  <c r="T51" i="3"/>
  <c r="S51" i="3"/>
  <c r="R51" i="3"/>
  <c r="P51" i="3"/>
  <c r="O51" i="3"/>
  <c r="N51" i="3"/>
  <c r="M51" i="3"/>
  <c r="L51" i="3"/>
  <c r="K51" i="3"/>
  <c r="J51" i="3"/>
  <c r="I51" i="3"/>
  <c r="H51" i="3"/>
  <c r="G51" i="3"/>
  <c r="F51" i="3"/>
  <c r="E51" i="3"/>
  <c r="X50" i="3"/>
  <c r="W50" i="3"/>
  <c r="U50" i="3"/>
  <c r="T50" i="3"/>
  <c r="S50" i="3"/>
  <c r="R50" i="3"/>
  <c r="P50" i="3"/>
  <c r="O50" i="3"/>
  <c r="N50" i="3"/>
  <c r="M50" i="3"/>
  <c r="L50" i="3"/>
  <c r="K50" i="3"/>
  <c r="J50" i="3"/>
  <c r="I50" i="3"/>
  <c r="H50" i="3"/>
  <c r="G50" i="3"/>
  <c r="F50" i="3"/>
  <c r="E50" i="3"/>
  <c r="X49" i="3"/>
  <c r="W49" i="3"/>
  <c r="U49" i="3"/>
  <c r="T49" i="3"/>
  <c r="S49" i="3"/>
  <c r="R49" i="3"/>
  <c r="P49" i="3"/>
  <c r="O49" i="3"/>
  <c r="N49" i="3"/>
  <c r="M49" i="3"/>
  <c r="L49" i="3"/>
  <c r="K49" i="3"/>
  <c r="J49" i="3"/>
  <c r="I49" i="3"/>
  <c r="H49" i="3"/>
  <c r="G49" i="3"/>
  <c r="F49" i="3"/>
  <c r="E49" i="3"/>
  <c r="X43" i="3"/>
  <c r="W43" i="3"/>
  <c r="U43" i="3"/>
  <c r="T43" i="3"/>
  <c r="S43" i="3"/>
  <c r="R43" i="3"/>
  <c r="P43" i="3"/>
  <c r="O43" i="3"/>
  <c r="N43" i="3"/>
  <c r="M43" i="3"/>
  <c r="L43" i="3"/>
  <c r="K43" i="3"/>
  <c r="J43" i="3"/>
  <c r="I43" i="3"/>
  <c r="H43" i="3"/>
  <c r="G43" i="3"/>
  <c r="F43" i="3"/>
  <c r="E43" i="3"/>
  <c r="X42" i="3"/>
  <c r="W42" i="3"/>
  <c r="U42" i="3"/>
  <c r="T42" i="3"/>
  <c r="S42" i="3"/>
  <c r="R42" i="3"/>
  <c r="P42" i="3"/>
  <c r="O42" i="3"/>
  <c r="N42" i="3"/>
  <c r="M42" i="3"/>
  <c r="L42" i="3"/>
  <c r="K42" i="3"/>
  <c r="J42" i="3"/>
  <c r="I42" i="3"/>
  <c r="H42" i="3"/>
  <c r="G42" i="3"/>
  <c r="F42" i="3"/>
  <c r="E42" i="3"/>
  <c r="E36" i="3"/>
  <c r="F36" i="3"/>
  <c r="G36" i="3"/>
  <c r="H36" i="3"/>
  <c r="I36" i="3"/>
  <c r="J36" i="3"/>
  <c r="K36" i="3"/>
  <c r="L36" i="3"/>
  <c r="M36" i="3"/>
  <c r="N36" i="3"/>
  <c r="O36" i="3"/>
  <c r="P36" i="3"/>
  <c r="R36" i="3"/>
  <c r="S36" i="3"/>
  <c r="T36" i="3"/>
  <c r="U36" i="3"/>
  <c r="W36" i="3"/>
  <c r="X36" i="3"/>
  <c r="X35" i="3"/>
  <c r="W35" i="3"/>
  <c r="U35" i="3"/>
  <c r="S35" i="3"/>
  <c r="S38" i="3" s="1"/>
  <c r="T35" i="3"/>
  <c r="T38" i="3" s="1"/>
  <c r="R35" i="3"/>
  <c r="F35" i="3"/>
  <c r="G35" i="3"/>
  <c r="H35" i="3"/>
  <c r="I35" i="3"/>
  <c r="J35" i="3"/>
  <c r="K35" i="3"/>
  <c r="L35" i="3"/>
  <c r="M35" i="3"/>
  <c r="N35" i="3"/>
  <c r="O35" i="3"/>
  <c r="P35" i="3"/>
  <c r="E35" i="3"/>
  <c r="U38" i="3" l="1"/>
  <c r="Q36" i="6"/>
  <c r="E5" i="12" s="1"/>
  <c r="G131" i="3"/>
  <c r="K131" i="3"/>
  <c r="K34" i="6" s="1"/>
  <c r="O131" i="3"/>
  <c r="T131" i="3"/>
  <c r="T34" i="6" s="1"/>
  <c r="G139" i="3"/>
  <c r="H131" i="3"/>
  <c r="L131" i="3"/>
  <c r="P131" i="3"/>
  <c r="U131" i="3"/>
  <c r="F131" i="3"/>
  <c r="J131" i="3"/>
  <c r="N131" i="3"/>
  <c r="S131" i="3"/>
  <c r="X131" i="3"/>
  <c r="H61" i="3"/>
  <c r="L61" i="3"/>
  <c r="P61" i="3"/>
  <c r="U61" i="3"/>
  <c r="H69" i="3"/>
  <c r="L69" i="3"/>
  <c r="P69" i="3"/>
  <c r="U69" i="3"/>
  <c r="H77" i="3"/>
  <c r="L77" i="3"/>
  <c r="P77" i="3"/>
  <c r="U77" i="3"/>
  <c r="H85" i="3"/>
  <c r="L85" i="3"/>
  <c r="P85" i="3"/>
  <c r="U85" i="3"/>
  <c r="H94" i="3"/>
  <c r="L94" i="3"/>
  <c r="P94" i="3"/>
  <c r="U94" i="3"/>
  <c r="H101" i="3"/>
  <c r="L101" i="3"/>
  <c r="P101" i="3"/>
  <c r="U101" i="3"/>
  <c r="H117" i="3"/>
  <c r="L117" i="3"/>
  <c r="P117" i="3"/>
  <c r="U117" i="3"/>
  <c r="F23" i="3"/>
  <c r="F27" i="3" s="1"/>
  <c r="E61" i="3"/>
  <c r="I61" i="3"/>
  <c r="M61" i="3"/>
  <c r="R61" i="3"/>
  <c r="W61" i="3"/>
  <c r="E69" i="3"/>
  <c r="I69" i="3"/>
  <c r="M69" i="3"/>
  <c r="R69" i="3"/>
  <c r="W69" i="3"/>
  <c r="E77" i="3"/>
  <c r="I77" i="3"/>
  <c r="M77" i="3"/>
  <c r="R77" i="3"/>
  <c r="W77" i="3"/>
  <c r="E85" i="3"/>
  <c r="I85" i="3"/>
  <c r="M85" i="3"/>
  <c r="R85" i="3"/>
  <c r="W85" i="3"/>
  <c r="E94" i="3"/>
  <c r="I94" i="3"/>
  <c r="M94" i="3"/>
  <c r="R94" i="3"/>
  <c r="W94" i="3"/>
  <c r="E101" i="3"/>
  <c r="I101" i="3"/>
  <c r="M101" i="3"/>
  <c r="R101" i="3"/>
  <c r="W101" i="3"/>
  <c r="E117" i="3"/>
  <c r="I117" i="3"/>
  <c r="M117" i="3"/>
  <c r="R117" i="3"/>
  <c r="W117" i="3"/>
  <c r="K139" i="3"/>
  <c r="O139" i="3"/>
  <c r="O53" i="9" s="1"/>
  <c r="T139" i="3"/>
  <c r="T35" i="6" s="1"/>
  <c r="F61" i="3"/>
  <c r="N61" i="3"/>
  <c r="S61" i="3"/>
  <c r="X61" i="3"/>
  <c r="F69" i="3"/>
  <c r="J69" i="3"/>
  <c r="N69" i="3"/>
  <c r="S69" i="3"/>
  <c r="X69" i="3"/>
  <c r="F77" i="3"/>
  <c r="J77" i="3"/>
  <c r="N77" i="3"/>
  <c r="S77" i="3"/>
  <c r="X77" i="3"/>
  <c r="F85" i="3"/>
  <c r="J85" i="3"/>
  <c r="N85" i="3"/>
  <c r="S85" i="3"/>
  <c r="X85" i="3"/>
  <c r="F94" i="3"/>
  <c r="J94" i="3"/>
  <c r="N94" i="3"/>
  <c r="S94" i="3"/>
  <c r="X94" i="3"/>
  <c r="F101" i="3"/>
  <c r="J101" i="3"/>
  <c r="N101" i="3"/>
  <c r="S101" i="3"/>
  <c r="X101" i="3"/>
  <c r="F117" i="3"/>
  <c r="J117" i="3"/>
  <c r="N117" i="3"/>
  <c r="S117" i="3"/>
  <c r="X117" i="3"/>
  <c r="U139" i="3"/>
  <c r="J61" i="3"/>
  <c r="G61" i="3"/>
  <c r="K61" i="3"/>
  <c r="O61" i="3"/>
  <c r="T61" i="3"/>
  <c r="G69" i="3"/>
  <c r="K69" i="3"/>
  <c r="O69" i="3"/>
  <c r="T69" i="3"/>
  <c r="G77" i="3"/>
  <c r="K77" i="3"/>
  <c r="O77" i="3"/>
  <c r="T77" i="3"/>
  <c r="G85" i="3"/>
  <c r="K85" i="3"/>
  <c r="O85" i="3"/>
  <c r="T85" i="3"/>
  <c r="G94" i="3"/>
  <c r="K94" i="3"/>
  <c r="O94" i="3"/>
  <c r="T94" i="3"/>
  <c r="G101" i="3"/>
  <c r="G30" i="6" s="1"/>
  <c r="K101" i="3"/>
  <c r="K48" i="9" s="1"/>
  <c r="O101" i="3"/>
  <c r="O48" i="9" s="1"/>
  <c r="T101" i="3"/>
  <c r="T48" i="9" s="1"/>
  <c r="G117" i="3"/>
  <c r="G50" i="9" s="1"/>
  <c r="K117" i="3"/>
  <c r="K50" i="9" s="1"/>
  <c r="O117" i="3"/>
  <c r="O50" i="9" s="1"/>
  <c r="T117" i="3"/>
  <c r="T50" i="9" s="1"/>
  <c r="J38" i="3"/>
  <c r="N38" i="3"/>
  <c r="F38" i="3"/>
  <c r="V21" i="3"/>
  <c r="P38" i="3"/>
  <c r="L38" i="3"/>
  <c r="H38" i="3"/>
  <c r="X38" i="3"/>
  <c r="V13" i="3"/>
  <c r="Q21" i="3"/>
  <c r="O38" i="3"/>
  <c r="K38" i="3"/>
  <c r="G38" i="3"/>
  <c r="Q13" i="3"/>
  <c r="H139" i="3"/>
  <c r="L139" i="3"/>
  <c r="P139" i="3"/>
  <c r="E38" i="3"/>
  <c r="M38" i="3"/>
  <c r="I38" i="3"/>
  <c r="R38" i="3"/>
  <c r="W38" i="3"/>
  <c r="I139" i="3"/>
  <c r="M139" i="3"/>
  <c r="R139" i="3"/>
  <c r="W139" i="3"/>
  <c r="F139" i="3"/>
  <c r="J139" i="3"/>
  <c r="N139" i="3"/>
  <c r="S139" i="3"/>
  <c r="X139" i="3"/>
  <c r="E23" i="3"/>
  <c r="E27" i="3" s="1"/>
  <c r="E45" i="3"/>
  <c r="E20" i="6" s="1"/>
  <c r="E54" i="3"/>
  <c r="E42" i="9" s="1"/>
  <c r="I54" i="3"/>
  <c r="I42" i="9" s="1"/>
  <c r="M54" i="3"/>
  <c r="M42" i="9" s="1"/>
  <c r="R54" i="3"/>
  <c r="R42" i="9" s="1"/>
  <c r="W54" i="3"/>
  <c r="W42" i="9" s="1"/>
  <c r="G33" i="6"/>
  <c r="K33" i="6"/>
  <c r="O33" i="6"/>
  <c r="G34" i="6"/>
  <c r="O34" i="6"/>
  <c r="G35" i="6"/>
  <c r="K35" i="6"/>
  <c r="F54" i="3"/>
  <c r="F42" i="9" s="1"/>
  <c r="J54" i="3"/>
  <c r="J42" i="9" s="1"/>
  <c r="N54" i="3"/>
  <c r="N42" i="9" s="1"/>
  <c r="S54" i="3"/>
  <c r="S42" i="9" s="1"/>
  <c r="X54" i="3"/>
  <c r="X42" i="9" s="1"/>
  <c r="G54" i="3"/>
  <c r="G42" i="9" s="1"/>
  <c r="K54" i="3"/>
  <c r="K42" i="9" s="1"/>
  <c r="O54" i="3"/>
  <c r="O42" i="9" s="1"/>
  <c r="T54" i="3"/>
  <c r="T42" i="9" s="1"/>
  <c r="H54" i="3"/>
  <c r="H42" i="9" s="1"/>
  <c r="L54" i="3"/>
  <c r="L42" i="9" s="1"/>
  <c r="P54" i="3"/>
  <c r="P42" i="9" s="1"/>
  <c r="U54" i="3"/>
  <c r="U42" i="9" s="1"/>
  <c r="T33" i="6"/>
  <c r="T51" i="9"/>
  <c r="O52" i="9"/>
  <c r="J23" i="3"/>
  <c r="J27" i="3" s="1"/>
  <c r="V29" i="3"/>
  <c r="L15" i="8"/>
  <c r="M27" i="8"/>
  <c r="M32" i="8" s="1"/>
  <c r="K9" i="11" s="1"/>
  <c r="L32" i="8"/>
  <c r="M5" i="8"/>
  <c r="I12" i="11"/>
  <c r="X36" i="6"/>
  <c r="H5" i="12" s="1"/>
  <c r="K23" i="8"/>
  <c r="K34" i="8" s="1"/>
  <c r="W12" i="2"/>
  <c r="R12" i="2"/>
  <c r="Q29" i="3"/>
  <c r="G45" i="3"/>
  <c r="K45" i="3"/>
  <c r="O45" i="3"/>
  <c r="T45" i="3"/>
  <c r="H45" i="3"/>
  <c r="L45" i="3"/>
  <c r="P45" i="3"/>
  <c r="U45" i="3"/>
  <c r="F45" i="3"/>
  <c r="J45" i="3"/>
  <c r="N45" i="3"/>
  <c r="Q59" i="3"/>
  <c r="Z59" i="3" s="1"/>
  <c r="V59" i="3"/>
  <c r="Q67" i="3"/>
  <c r="Z67" i="3" s="1"/>
  <c r="V67" i="3"/>
  <c r="Q74" i="3"/>
  <c r="Z74" i="3" s="1"/>
  <c r="Q75" i="3"/>
  <c r="Z75" i="3" s="1"/>
  <c r="V75" i="3"/>
  <c r="Q83" i="3"/>
  <c r="Z83" i="3" s="1"/>
  <c r="V83" i="3"/>
  <c r="Q92" i="3"/>
  <c r="Z92" i="3" s="1"/>
  <c r="V92" i="3"/>
  <c r="Q99" i="3"/>
  <c r="Z99" i="3" s="1"/>
  <c r="V99" i="3"/>
  <c r="Q108" i="3"/>
  <c r="Z108" i="3" s="1"/>
  <c r="V108" i="3"/>
  <c r="Q115" i="3"/>
  <c r="Z115" i="3" s="1"/>
  <c r="V115" i="3"/>
  <c r="Q122" i="3"/>
  <c r="Z122" i="3" s="1"/>
  <c r="V122" i="3"/>
  <c r="V124" i="3" s="1"/>
  <c r="V129" i="3"/>
  <c r="Q136" i="3"/>
  <c r="Z136" i="3" s="1"/>
  <c r="Q137" i="3"/>
  <c r="Z137" i="3" s="1"/>
  <c r="V137" i="3"/>
  <c r="N23" i="3"/>
  <c r="N27" i="3" s="1"/>
  <c r="H23" i="3"/>
  <c r="H27" i="3" s="1"/>
  <c r="S23" i="3"/>
  <c r="S27" i="3" s="1"/>
  <c r="I23" i="3"/>
  <c r="I27" i="3" s="1"/>
  <c r="M23" i="3"/>
  <c r="M27" i="3" s="1"/>
  <c r="P23" i="3"/>
  <c r="P27" i="3" s="1"/>
  <c r="X23" i="3"/>
  <c r="X27" i="3" s="1"/>
  <c r="X28" i="3" s="1"/>
  <c r="G23" i="3"/>
  <c r="G27" i="3" s="1"/>
  <c r="O23" i="3"/>
  <c r="O27" i="3" s="1"/>
  <c r="T23" i="3"/>
  <c r="T27" i="3" s="1"/>
  <c r="T31" i="3" s="1"/>
  <c r="R23" i="3"/>
  <c r="R27" i="3" s="1"/>
  <c r="L23" i="3"/>
  <c r="L27" i="3" s="1"/>
  <c r="W23" i="3"/>
  <c r="W27" i="3" s="1"/>
  <c r="W28" i="3" s="1"/>
  <c r="U23" i="3"/>
  <c r="U27" i="3" s="1"/>
  <c r="I45" i="3"/>
  <c r="M45" i="3"/>
  <c r="V42" i="3"/>
  <c r="W45" i="3"/>
  <c r="Q51" i="3"/>
  <c r="Z51" i="3" s="1"/>
  <c r="V51" i="3"/>
  <c r="Q129" i="3"/>
  <c r="Z129" i="3" s="1"/>
  <c r="S45" i="3"/>
  <c r="X45" i="3"/>
  <c r="V58" i="3"/>
  <c r="V73" i="3"/>
  <c r="V98" i="3"/>
  <c r="V105" i="3"/>
  <c r="V114" i="3"/>
  <c r="V128" i="3"/>
  <c r="V135" i="3"/>
  <c r="Q43" i="3"/>
  <c r="Z43" i="3" s="1"/>
  <c r="V43" i="3"/>
  <c r="Q52" i="3"/>
  <c r="Z52" i="3" s="1"/>
  <c r="V52" i="3"/>
  <c r="Q90" i="3"/>
  <c r="Z90" i="3" s="1"/>
  <c r="V90" i="3"/>
  <c r="Q135" i="3"/>
  <c r="V136" i="3"/>
  <c r="Q128" i="3"/>
  <c r="Q121" i="3"/>
  <c r="Q114" i="3"/>
  <c r="Q105" i="3"/>
  <c r="Q98" i="3"/>
  <c r="Q66" i="3"/>
  <c r="Z66" i="3" s="1"/>
  <c r="V65" i="3"/>
  <c r="V89" i="3"/>
  <c r="Q89" i="3"/>
  <c r="Q82" i="3"/>
  <c r="Z82" i="3" s="1"/>
  <c r="V81" i="3"/>
  <c r="V82" i="3"/>
  <c r="Q81" i="3"/>
  <c r="V74" i="3"/>
  <c r="Q73" i="3"/>
  <c r="V66" i="3"/>
  <c r="Q65" i="3"/>
  <c r="Q58" i="3"/>
  <c r="G24" i="6"/>
  <c r="Q50" i="3"/>
  <c r="Z50" i="3" s="1"/>
  <c r="E24" i="6"/>
  <c r="V49" i="3"/>
  <c r="W9" i="2"/>
  <c r="R9" i="2"/>
  <c r="R6" i="2"/>
  <c r="R8" i="2"/>
  <c r="W8" i="2"/>
  <c r="W11" i="2"/>
  <c r="R11" i="2"/>
  <c r="R7" i="2"/>
  <c r="W7" i="2"/>
  <c r="R13" i="2"/>
  <c r="W6" i="2"/>
  <c r="W13" i="2"/>
  <c r="V50" i="3"/>
  <c r="Q49" i="3"/>
  <c r="R45" i="3"/>
  <c r="Q42" i="3"/>
  <c r="V36" i="3"/>
  <c r="Q36" i="3"/>
  <c r="Z36" i="3" s="1"/>
  <c r="V35" i="3"/>
  <c r="Q35" i="3"/>
  <c r="Q131" i="3" l="1"/>
  <c r="Q124" i="3"/>
  <c r="O35" i="6"/>
  <c r="V94" i="3"/>
  <c r="N24" i="6"/>
  <c r="T52" i="9"/>
  <c r="Q117" i="3"/>
  <c r="V131" i="3"/>
  <c r="K24" i="6"/>
  <c r="L24" i="6"/>
  <c r="Q61" i="3"/>
  <c r="Q77" i="3"/>
  <c r="V85" i="3"/>
  <c r="V46" i="9" s="1"/>
  <c r="V69" i="3"/>
  <c r="V44" i="9" s="1"/>
  <c r="T32" i="6"/>
  <c r="T30" i="6"/>
  <c r="Q38" i="3"/>
  <c r="T53" i="9"/>
  <c r="O32" i="6"/>
  <c r="O30" i="6"/>
  <c r="W24" i="6"/>
  <c r="O51" i="9"/>
  <c r="V61" i="3"/>
  <c r="V43" i="9" s="1"/>
  <c r="V117" i="3"/>
  <c r="V50" i="9" s="1"/>
  <c r="V101" i="3"/>
  <c r="V48" i="9" s="1"/>
  <c r="Q69" i="3"/>
  <c r="Q44" i="9" s="1"/>
  <c r="Q85" i="3"/>
  <c r="Q94" i="3"/>
  <c r="Q47" i="9" s="1"/>
  <c r="Q101" i="3"/>
  <c r="Q48" i="9" s="1"/>
  <c r="Q139" i="3"/>
  <c r="V77" i="3"/>
  <c r="V45" i="9" s="1"/>
  <c r="E41" i="9"/>
  <c r="R24" i="6"/>
  <c r="V38" i="3"/>
  <c r="V40" i="9" s="1"/>
  <c r="V139" i="3"/>
  <c r="V53" i="9" s="1"/>
  <c r="I24" i="6"/>
  <c r="K52" i="9"/>
  <c r="F24" i="6"/>
  <c r="X24" i="6"/>
  <c r="T24" i="6"/>
  <c r="G48" i="9"/>
  <c r="K51" i="9"/>
  <c r="K32" i="6"/>
  <c r="K53" i="9"/>
  <c r="K30" i="6"/>
  <c r="H24" i="6"/>
  <c r="G53" i="9"/>
  <c r="G52" i="9"/>
  <c r="G51" i="9"/>
  <c r="G32" i="6"/>
  <c r="J24" i="6"/>
  <c r="M24" i="6"/>
  <c r="O24" i="6"/>
  <c r="S24" i="6"/>
  <c r="P24" i="6"/>
  <c r="P19" i="6"/>
  <c r="P40" i="9"/>
  <c r="R20" i="6"/>
  <c r="R41" i="9"/>
  <c r="U28" i="6"/>
  <c r="U46" i="9"/>
  <c r="K47" i="9"/>
  <c r="K29" i="6"/>
  <c r="M34" i="6"/>
  <c r="M52" i="9"/>
  <c r="W50" i="9"/>
  <c r="W32" i="6"/>
  <c r="E48" i="9"/>
  <c r="E30" i="6"/>
  <c r="W27" i="6"/>
  <c r="W45" i="9"/>
  <c r="M44" i="9"/>
  <c r="M26" i="6"/>
  <c r="I43" i="9"/>
  <c r="I25" i="6"/>
  <c r="N50" i="9"/>
  <c r="N32" i="6"/>
  <c r="U34" i="6"/>
  <c r="U52" i="9"/>
  <c r="U48" i="9"/>
  <c r="U30" i="6"/>
  <c r="U44" i="9"/>
  <c r="U26" i="6"/>
  <c r="T27" i="6"/>
  <c r="T45" i="9"/>
  <c r="T43" i="9"/>
  <c r="T25" i="6"/>
  <c r="P20" i="6"/>
  <c r="P41" i="9"/>
  <c r="S27" i="6"/>
  <c r="S45" i="9"/>
  <c r="O20" i="6"/>
  <c r="O41" i="9"/>
  <c r="R33" i="6"/>
  <c r="R51" i="9"/>
  <c r="X34" i="6"/>
  <c r="X52" i="9"/>
  <c r="X50" i="9"/>
  <c r="X32" i="6"/>
  <c r="J19" i="6"/>
  <c r="J40" i="9"/>
  <c r="X19" i="6"/>
  <c r="H16" i="13" s="1"/>
  <c r="H18" i="13" s="1"/>
  <c r="X40" i="9"/>
  <c r="N19" i="6"/>
  <c r="N40" i="9"/>
  <c r="M19" i="6"/>
  <c r="M40" i="9"/>
  <c r="G19" i="6"/>
  <c r="G40" i="9"/>
  <c r="Q54" i="3"/>
  <c r="Q42" i="9" s="1"/>
  <c r="V54" i="3"/>
  <c r="V42" i="9" s="1"/>
  <c r="R28" i="6"/>
  <c r="R46" i="9"/>
  <c r="O28" i="6"/>
  <c r="O46" i="9"/>
  <c r="P28" i="6"/>
  <c r="P46" i="9"/>
  <c r="E47" i="9"/>
  <c r="E29" i="6"/>
  <c r="G47" i="9"/>
  <c r="G29" i="6"/>
  <c r="M35" i="6"/>
  <c r="M53" i="9"/>
  <c r="I34" i="6"/>
  <c r="I52" i="9"/>
  <c r="W33" i="6"/>
  <c r="W51" i="9"/>
  <c r="E33" i="6"/>
  <c r="E51" i="9"/>
  <c r="E28" i="6"/>
  <c r="E46" i="9"/>
  <c r="I44" i="9"/>
  <c r="I26" i="6"/>
  <c r="W43" i="9"/>
  <c r="W25" i="6"/>
  <c r="E43" i="9"/>
  <c r="E25" i="6"/>
  <c r="S20" i="6"/>
  <c r="S41" i="9"/>
  <c r="F35" i="6"/>
  <c r="F53" i="9"/>
  <c r="N33" i="6"/>
  <c r="N51" i="9"/>
  <c r="J50" i="9"/>
  <c r="J32" i="6"/>
  <c r="F48" i="9"/>
  <c r="F30" i="6"/>
  <c r="N43" i="9"/>
  <c r="N25" i="6"/>
  <c r="P35" i="6"/>
  <c r="P53" i="9"/>
  <c r="P34" i="6"/>
  <c r="P52" i="9"/>
  <c r="P33" i="6"/>
  <c r="P51" i="9"/>
  <c r="P50" i="9"/>
  <c r="P32" i="6"/>
  <c r="P48" i="9"/>
  <c r="P30" i="6"/>
  <c r="P47" i="9"/>
  <c r="P29" i="6"/>
  <c r="P27" i="6"/>
  <c r="P45" i="9"/>
  <c r="P44" i="9"/>
  <c r="P26" i="6"/>
  <c r="P43" i="9"/>
  <c r="P25" i="6"/>
  <c r="R34" i="6"/>
  <c r="R52" i="9"/>
  <c r="O27" i="6"/>
  <c r="O45" i="9"/>
  <c r="O44" i="9"/>
  <c r="O26" i="6"/>
  <c r="O43" i="9"/>
  <c r="O25" i="6"/>
  <c r="J20" i="6"/>
  <c r="J41" i="9"/>
  <c r="L20" i="6"/>
  <c r="L41" i="9"/>
  <c r="X28" i="6"/>
  <c r="X46" i="9"/>
  <c r="X44" i="9"/>
  <c r="X26" i="6"/>
  <c r="K20" i="6"/>
  <c r="K41" i="9"/>
  <c r="R50" i="9"/>
  <c r="R32" i="6"/>
  <c r="S34" i="6"/>
  <c r="S52" i="9"/>
  <c r="S50" i="9"/>
  <c r="S32" i="6"/>
  <c r="O19" i="6"/>
  <c r="O22" i="6" s="1"/>
  <c r="O40" i="9"/>
  <c r="T28" i="6"/>
  <c r="T46" i="9"/>
  <c r="F47" i="9"/>
  <c r="F29" i="6"/>
  <c r="I33" i="6"/>
  <c r="I51" i="9"/>
  <c r="J35" i="6"/>
  <c r="J53" i="9"/>
  <c r="J48" i="9"/>
  <c r="J30" i="6"/>
  <c r="W20" i="6"/>
  <c r="W41" i="9"/>
  <c r="U33" i="6"/>
  <c r="U51" i="9"/>
  <c r="U43" i="9"/>
  <c r="U25" i="6"/>
  <c r="H19" i="6"/>
  <c r="H40" i="9"/>
  <c r="T19" i="6"/>
  <c r="T40" i="9"/>
  <c r="N28" i="6"/>
  <c r="N46" i="9"/>
  <c r="K28" i="6"/>
  <c r="K46" i="9"/>
  <c r="N47" i="9"/>
  <c r="N29" i="6"/>
  <c r="R44" i="9"/>
  <c r="R26" i="6"/>
  <c r="I35" i="6"/>
  <c r="I53" i="9"/>
  <c r="W34" i="6"/>
  <c r="W52" i="9"/>
  <c r="E34" i="6"/>
  <c r="E52" i="9"/>
  <c r="M50" i="9"/>
  <c r="M32" i="6"/>
  <c r="M48" i="9"/>
  <c r="M30" i="6"/>
  <c r="M47" i="9"/>
  <c r="M29" i="6"/>
  <c r="W28" i="6"/>
  <c r="W46" i="9"/>
  <c r="M27" i="6"/>
  <c r="M45" i="9"/>
  <c r="E44" i="9"/>
  <c r="E26" i="6"/>
  <c r="N34" i="6"/>
  <c r="N52" i="9"/>
  <c r="J33" i="6"/>
  <c r="J51" i="9"/>
  <c r="F50" i="9"/>
  <c r="F32" i="6"/>
  <c r="N27" i="6"/>
  <c r="N45" i="9"/>
  <c r="J43" i="9"/>
  <c r="J25" i="6"/>
  <c r="M20" i="6"/>
  <c r="M41" i="9"/>
  <c r="L35" i="6"/>
  <c r="L53" i="9"/>
  <c r="L34" i="6"/>
  <c r="L52" i="9"/>
  <c r="L33" i="6"/>
  <c r="L51" i="9"/>
  <c r="L50" i="9"/>
  <c r="L32" i="6"/>
  <c r="L48" i="9"/>
  <c r="L30" i="6"/>
  <c r="L47" i="9"/>
  <c r="L29" i="6"/>
  <c r="L27" i="6"/>
  <c r="L45" i="9"/>
  <c r="L44" i="9"/>
  <c r="L26" i="6"/>
  <c r="L43" i="9"/>
  <c r="L25" i="6"/>
  <c r="R35" i="6"/>
  <c r="R53" i="9"/>
  <c r="K27" i="6"/>
  <c r="K45" i="9"/>
  <c r="K44" i="9"/>
  <c r="K26" i="6"/>
  <c r="K43" i="9"/>
  <c r="K25" i="6"/>
  <c r="F20" i="6"/>
  <c r="F41" i="9"/>
  <c r="H20" i="6"/>
  <c r="H41" i="9"/>
  <c r="S28" i="6"/>
  <c r="S46" i="9"/>
  <c r="S44" i="9"/>
  <c r="S26" i="6"/>
  <c r="G20" i="6"/>
  <c r="G41" i="9"/>
  <c r="X35" i="6"/>
  <c r="X53" i="9"/>
  <c r="X33" i="6"/>
  <c r="X51" i="9"/>
  <c r="X48" i="9"/>
  <c r="X30" i="6"/>
  <c r="F19" i="6"/>
  <c r="F22" i="6" s="1"/>
  <c r="F40" i="9"/>
  <c r="I19" i="6"/>
  <c r="I40" i="9"/>
  <c r="F28" i="6"/>
  <c r="F46" i="9"/>
  <c r="F44" i="9"/>
  <c r="F26" i="6"/>
  <c r="E50" i="9"/>
  <c r="E32" i="6"/>
  <c r="W48" i="9"/>
  <c r="W30" i="6"/>
  <c r="I28" i="6"/>
  <c r="I46" i="9"/>
  <c r="E27" i="6"/>
  <c r="E45" i="9"/>
  <c r="X20" i="6"/>
  <c r="X41" i="9"/>
  <c r="F34" i="6"/>
  <c r="F52" i="9"/>
  <c r="F27" i="6"/>
  <c r="F45" i="9"/>
  <c r="U35" i="6"/>
  <c r="U53" i="9"/>
  <c r="U50" i="9"/>
  <c r="U32" i="6"/>
  <c r="U27" i="6"/>
  <c r="U45" i="9"/>
  <c r="T44" i="9"/>
  <c r="T26" i="6"/>
  <c r="N20" i="6"/>
  <c r="N41" i="9"/>
  <c r="S43" i="9"/>
  <c r="S25" i="6"/>
  <c r="S19" i="6"/>
  <c r="S40" i="9"/>
  <c r="W19" i="6"/>
  <c r="W40" i="9"/>
  <c r="E19" i="6"/>
  <c r="E40" i="9"/>
  <c r="L28" i="6"/>
  <c r="L46" i="9"/>
  <c r="N44" i="9"/>
  <c r="N26" i="6"/>
  <c r="U19" i="6"/>
  <c r="U40" i="9"/>
  <c r="L19" i="6"/>
  <c r="L40" i="9"/>
  <c r="R19" i="6"/>
  <c r="R22" i="6" s="1"/>
  <c r="R40" i="9"/>
  <c r="K19" i="6"/>
  <c r="K22" i="6" s="1"/>
  <c r="K40" i="9"/>
  <c r="U24" i="6"/>
  <c r="R43" i="9"/>
  <c r="R25" i="6"/>
  <c r="J28" i="6"/>
  <c r="J46" i="9"/>
  <c r="G28" i="6"/>
  <c r="G46" i="9"/>
  <c r="H28" i="6"/>
  <c r="H46" i="9"/>
  <c r="J47" i="9"/>
  <c r="J29" i="6"/>
  <c r="J44" i="9"/>
  <c r="J26" i="6"/>
  <c r="O47" i="9"/>
  <c r="O29" i="6"/>
  <c r="W35" i="6"/>
  <c r="W53" i="9"/>
  <c r="E35" i="6"/>
  <c r="E53" i="9"/>
  <c r="M33" i="6"/>
  <c r="M51" i="9"/>
  <c r="I50" i="9"/>
  <c r="I32" i="6"/>
  <c r="I48" i="9"/>
  <c r="I30" i="6"/>
  <c r="I47" i="9"/>
  <c r="I29" i="6"/>
  <c r="M28" i="6"/>
  <c r="M46" i="9"/>
  <c r="I27" i="6"/>
  <c r="I45" i="9"/>
  <c r="W44" i="9"/>
  <c r="W26" i="6"/>
  <c r="M43" i="9"/>
  <c r="M25" i="6"/>
  <c r="N35" i="6"/>
  <c r="N53" i="9"/>
  <c r="J34" i="6"/>
  <c r="J52" i="9"/>
  <c r="F33" i="6"/>
  <c r="F51" i="9"/>
  <c r="N48" i="9"/>
  <c r="N30" i="6"/>
  <c r="J27" i="6"/>
  <c r="J45" i="9"/>
  <c r="F43" i="9"/>
  <c r="F25" i="6"/>
  <c r="I20" i="6"/>
  <c r="I41" i="9"/>
  <c r="H35" i="6"/>
  <c r="H53" i="9"/>
  <c r="H34" i="6"/>
  <c r="H52" i="9"/>
  <c r="H33" i="6"/>
  <c r="H51" i="9"/>
  <c r="H50" i="9"/>
  <c r="H32" i="6"/>
  <c r="H48" i="9"/>
  <c r="H30" i="6"/>
  <c r="H47" i="9"/>
  <c r="H29" i="6"/>
  <c r="H27" i="6"/>
  <c r="H45" i="9"/>
  <c r="H44" i="9"/>
  <c r="H26" i="6"/>
  <c r="H43" i="9"/>
  <c r="H25" i="6"/>
  <c r="R27" i="6"/>
  <c r="R45" i="9"/>
  <c r="G27" i="6"/>
  <c r="G45" i="9"/>
  <c r="G44" i="9"/>
  <c r="G26" i="6"/>
  <c r="G43" i="9"/>
  <c r="G25" i="6"/>
  <c r="U20" i="6"/>
  <c r="U41" i="9"/>
  <c r="X27" i="6"/>
  <c r="X45" i="9"/>
  <c r="X43" i="9"/>
  <c r="X25" i="6"/>
  <c r="T20" i="6"/>
  <c r="T41" i="9"/>
  <c r="R48" i="9"/>
  <c r="R30" i="6"/>
  <c r="S35" i="6"/>
  <c r="S53" i="9"/>
  <c r="S33" i="6"/>
  <c r="S51" i="9"/>
  <c r="S48" i="9"/>
  <c r="S30" i="6"/>
  <c r="L34" i="8"/>
  <c r="X47" i="9"/>
  <c r="X29" i="6"/>
  <c r="W47" i="9"/>
  <c r="W29" i="6"/>
  <c r="U47" i="9"/>
  <c r="U29" i="6"/>
  <c r="T47" i="9"/>
  <c r="T29" i="6"/>
  <c r="S47" i="9"/>
  <c r="S29" i="6"/>
  <c r="R47" i="9"/>
  <c r="R29" i="6"/>
  <c r="R31" i="3"/>
  <c r="V27" i="3"/>
  <c r="T23" i="6"/>
  <c r="T39" i="9"/>
  <c r="M15" i="8"/>
  <c r="M23" i="8" s="1"/>
  <c r="M34" i="8" s="1"/>
  <c r="K7" i="11"/>
  <c r="K12" i="11" s="1"/>
  <c r="V52" i="9"/>
  <c r="B13" i="3"/>
  <c r="B21" i="3"/>
  <c r="Z29" i="3"/>
  <c r="B29" i="3" s="1"/>
  <c r="V51" i="9"/>
  <c r="Q23" i="3"/>
  <c r="V23" i="3"/>
  <c r="V45" i="3"/>
  <c r="V41" i="9" s="1"/>
  <c r="V47" i="9"/>
  <c r="Q53" i="9"/>
  <c r="Z135" i="3"/>
  <c r="Z139" i="3" s="1"/>
  <c r="B139" i="3" s="1"/>
  <c r="Q52" i="9"/>
  <c r="Z128" i="3"/>
  <c r="Z131" i="3" s="1"/>
  <c r="B131" i="3" s="1"/>
  <c r="Q51" i="9"/>
  <c r="Z121" i="3"/>
  <c r="Z124" i="3" s="1"/>
  <c r="B124" i="3" s="1"/>
  <c r="Q50" i="9"/>
  <c r="Z114" i="3"/>
  <c r="Z117" i="3" s="1"/>
  <c r="B117" i="3" s="1"/>
  <c r="Z105" i="3"/>
  <c r="Z98" i="3"/>
  <c r="Z101" i="3" s="1"/>
  <c r="B101" i="3" s="1"/>
  <c r="Z89" i="3"/>
  <c r="Z94" i="3" s="1"/>
  <c r="B94" i="3" s="1"/>
  <c r="Q46" i="9"/>
  <c r="Z81" i="3"/>
  <c r="Z85" i="3" s="1"/>
  <c r="B85" i="3" s="1"/>
  <c r="Q45" i="9"/>
  <c r="Z73" i="3"/>
  <c r="Z77" i="3" s="1"/>
  <c r="B77" i="3" s="1"/>
  <c r="Z65" i="3"/>
  <c r="Z69" i="3" s="1"/>
  <c r="B69" i="3" s="1"/>
  <c r="Q43" i="9"/>
  <c r="Z58" i="3"/>
  <c r="Z61" i="3" s="1"/>
  <c r="B61" i="3" s="1"/>
  <c r="Z49" i="3"/>
  <c r="Q45" i="3"/>
  <c r="Q41" i="9" s="1"/>
  <c r="Z42" i="3"/>
  <c r="Z45" i="3" s="1"/>
  <c r="B45" i="3" s="1"/>
  <c r="Z35" i="3"/>
  <c r="Z38" i="3" s="1"/>
  <c r="B38" i="3" s="1"/>
  <c r="Q40" i="9"/>
  <c r="Y32" i="2"/>
  <c r="X59" i="9" s="1"/>
  <c r="X32" i="2"/>
  <c r="W59" i="9" s="1"/>
  <c r="V32" i="2"/>
  <c r="U59" i="9" s="1"/>
  <c r="U32" i="2"/>
  <c r="T59" i="9" s="1"/>
  <c r="T32" i="2"/>
  <c r="S59" i="9" s="1"/>
  <c r="S32" i="2"/>
  <c r="R59" i="9" s="1"/>
  <c r="Q32" i="2"/>
  <c r="P59" i="9" s="1"/>
  <c r="P32" i="2"/>
  <c r="O59" i="9" s="1"/>
  <c r="O32" i="2"/>
  <c r="N59" i="9" s="1"/>
  <c r="N32" i="2"/>
  <c r="M59" i="9" s="1"/>
  <c r="M32" i="2"/>
  <c r="L59" i="9" s="1"/>
  <c r="L32" i="2"/>
  <c r="K59" i="9" s="1"/>
  <c r="K32" i="2"/>
  <c r="J59" i="9" s="1"/>
  <c r="J32" i="2"/>
  <c r="I59" i="9" s="1"/>
  <c r="I32" i="2"/>
  <c r="H59" i="9" s="1"/>
  <c r="H32" i="2"/>
  <c r="G59" i="9" s="1"/>
  <c r="G32" i="2"/>
  <c r="F59" i="9" s="1"/>
  <c r="F32" i="2"/>
  <c r="E59" i="9" s="1"/>
  <c r="V34" i="6" l="1"/>
  <c r="M22" i="6"/>
  <c r="V33" i="6"/>
  <c r="V24" i="6"/>
  <c r="X22" i="6"/>
  <c r="L22" i="6"/>
  <c r="V19" i="6"/>
  <c r="V22" i="6" s="1"/>
  <c r="G22" i="6"/>
  <c r="Q24" i="6"/>
  <c r="V20" i="6"/>
  <c r="V27" i="6"/>
  <c r="I22" i="6"/>
  <c r="Q20" i="6"/>
  <c r="N22" i="6"/>
  <c r="Q35" i="6"/>
  <c r="J22" i="6"/>
  <c r="V35" i="6"/>
  <c r="Q27" i="6"/>
  <c r="Q33" i="6"/>
  <c r="Q34" i="6"/>
  <c r="Q28" i="6"/>
  <c r="Q32" i="6"/>
  <c r="Q19" i="6"/>
  <c r="E16" i="13" s="1"/>
  <c r="E18" i="13" s="1"/>
  <c r="E22" i="6"/>
  <c r="S22" i="6"/>
  <c r="Q26" i="6"/>
  <c r="V32" i="6"/>
  <c r="Q29" i="6"/>
  <c r="T22" i="6"/>
  <c r="V30" i="6"/>
  <c r="U22" i="6"/>
  <c r="W22" i="6"/>
  <c r="G16" i="13"/>
  <c r="G18" i="13" s="1"/>
  <c r="H22" i="6"/>
  <c r="Z54" i="3"/>
  <c r="B54" i="3" s="1"/>
  <c r="V26" i="6"/>
  <c r="Q25" i="6"/>
  <c r="Q30" i="6"/>
  <c r="V25" i="6"/>
  <c r="V28" i="6"/>
  <c r="P22" i="6"/>
  <c r="V29" i="6"/>
  <c r="R23" i="6"/>
  <c r="R39" i="9"/>
  <c r="B23" i="3"/>
  <c r="R32" i="2"/>
  <c r="Q59" i="9" s="1"/>
  <c r="W32" i="2"/>
  <c r="V59" i="9" s="1"/>
  <c r="F16" i="13" l="1"/>
  <c r="F18" i="13" s="1"/>
  <c r="Q22" i="6"/>
  <c r="U28" i="3"/>
  <c r="U31" i="3" s="1"/>
  <c r="S28" i="3"/>
  <c r="Q27" i="3"/>
  <c r="Y18" i="2"/>
  <c r="Y21" i="2" s="1"/>
  <c r="X18" i="2"/>
  <c r="X21" i="2" s="1"/>
  <c r="V18" i="2"/>
  <c r="V21" i="2" s="1"/>
  <c r="U18" i="2"/>
  <c r="U21" i="2" s="1"/>
  <c r="T18" i="2"/>
  <c r="T21" i="2" s="1"/>
  <c r="S18" i="2"/>
  <c r="S21" i="2" s="1"/>
  <c r="Q18" i="2"/>
  <c r="Q21" i="2" s="1"/>
  <c r="P18" i="2"/>
  <c r="P21" i="2" s="1"/>
  <c r="O18" i="2"/>
  <c r="O21" i="2" s="1"/>
  <c r="N18" i="2"/>
  <c r="N21" i="2" s="1"/>
  <c r="M18" i="2"/>
  <c r="M21" i="2" s="1"/>
  <c r="L18" i="2"/>
  <c r="L21" i="2" s="1"/>
  <c r="K18" i="2"/>
  <c r="K21" i="2" s="1"/>
  <c r="J18" i="2"/>
  <c r="J21" i="2" s="1"/>
  <c r="I18" i="2"/>
  <c r="I21" i="2" s="1"/>
  <c r="H18" i="2"/>
  <c r="H21" i="2" s="1"/>
  <c r="G18" i="2"/>
  <c r="G21" i="2" s="1"/>
  <c r="F18" i="2"/>
  <c r="F21" i="2" s="1"/>
  <c r="V5" i="2"/>
  <c r="U5" i="2"/>
  <c r="T5" i="2"/>
  <c r="Q5" i="2"/>
  <c r="Q15" i="2" s="1"/>
  <c r="B15" i="2"/>
  <c r="V28" i="3" l="1"/>
  <c r="U23" i="6"/>
  <c r="U39" i="9"/>
  <c r="V31" i="3"/>
  <c r="V39" i="9" s="1"/>
  <c r="S31" i="3"/>
  <c r="Z27" i="3"/>
  <c r="B27" i="3" s="1"/>
  <c r="I28" i="3"/>
  <c r="I31" i="3" s="1"/>
  <c r="M28" i="3"/>
  <c r="M31" i="3" s="1"/>
  <c r="E28" i="3"/>
  <c r="E31" i="3" s="1"/>
  <c r="H28" i="3"/>
  <c r="H31" i="3" s="1"/>
  <c r="L28" i="3"/>
  <c r="L31" i="3" s="1"/>
  <c r="P28" i="3"/>
  <c r="P31" i="3" s="1"/>
  <c r="F28" i="3"/>
  <c r="F31" i="3" s="1"/>
  <c r="J28" i="3"/>
  <c r="J31" i="3" s="1"/>
  <c r="N28" i="3"/>
  <c r="N31" i="3" s="1"/>
  <c r="G28" i="3"/>
  <c r="G31" i="3" s="1"/>
  <c r="K28" i="3"/>
  <c r="K31" i="3" s="1"/>
  <c r="O28" i="3"/>
  <c r="O31" i="3" s="1"/>
  <c r="B23" i="2"/>
  <c r="B34" i="2" s="1"/>
  <c r="Q23" i="2"/>
  <c r="R18" i="2"/>
  <c r="R21" i="2" s="1"/>
  <c r="W18" i="2"/>
  <c r="W21" i="2" s="1"/>
  <c r="V15" i="2"/>
  <c r="Y5" i="2"/>
  <c r="Y15" i="2" s="1"/>
  <c r="Y23" i="2" s="1"/>
  <c r="X5" i="2"/>
  <c r="X15" i="2" s="1"/>
  <c r="X23" i="2" s="1"/>
  <c r="U15" i="2"/>
  <c r="T15" i="2"/>
  <c r="S5" i="2"/>
  <c r="S15" i="2" s="1"/>
  <c r="G5" i="2"/>
  <c r="H5" i="2"/>
  <c r="H15" i="2" s="1"/>
  <c r="H23" i="2" s="1"/>
  <c r="I5" i="2"/>
  <c r="I15" i="2" s="1"/>
  <c r="I23" i="2" s="1"/>
  <c r="J5" i="2"/>
  <c r="J15" i="2" s="1"/>
  <c r="J23" i="2" s="1"/>
  <c r="K5" i="2"/>
  <c r="K15" i="2" s="1"/>
  <c r="K23" i="2" s="1"/>
  <c r="L5" i="2"/>
  <c r="L15" i="2" s="1"/>
  <c r="L23" i="2" s="1"/>
  <c r="M5" i="2"/>
  <c r="M15" i="2" s="1"/>
  <c r="M23" i="2" s="1"/>
  <c r="N5" i="2"/>
  <c r="N15" i="2" s="1"/>
  <c r="N23" i="2" s="1"/>
  <c r="O5" i="2"/>
  <c r="O15" i="2" s="1"/>
  <c r="O23" i="2" s="1"/>
  <c r="P5" i="2"/>
  <c r="P15" i="2" s="1"/>
  <c r="P23" i="2" s="1"/>
  <c r="F5" i="2"/>
  <c r="F15" i="2" s="1"/>
  <c r="F23" i="2" s="1"/>
  <c r="J23" i="6" l="1"/>
  <c r="J39" i="9"/>
  <c r="H23" i="6"/>
  <c r="H39" i="9"/>
  <c r="B107" i="3"/>
  <c r="B106" i="3"/>
  <c r="K23" i="6"/>
  <c r="K39" i="9"/>
  <c r="F23" i="6"/>
  <c r="F39" i="9"/>
  <c r="E23" i="6"/>
  <c r="E39" i="9"/>
  <c r="S23" i="6"/>
  <c r="S39" i="9"/>
  <c r="G23" i="6"/>
  <c r="G39" i="9"/>
  <c r="P23" i="6"/>
  <c r="P39" i="9"/>
  <c r="M23" i="6"/>
  <c r="M39" i="9"/>
  <c r="N23" i="6"/>
  <c r="N39" i="9"/>
  <c r="L23" i="6"/>
  <c r="L39" i="9"/>
  <c r="I23" i="6"/>
  <c r="I39" i="9"/>
  <c r="O23" i="6"/>
  <c r="O39" i="9"/>
  <c r="T23" i="2"/>
  <c r="L34" i="2"/>
  <c r="K58" i="9"/>
  <c r="K61" i="9" s="1"/>
  <c r="M29" i="9"/>
  <c r="M33" i="9" s="1"/>
  <c r="M35" i="9" s="1"/>
  <c r="X34" i="2"/>
  <c r="W58" i="9"/>
  <c r="W61" i="9" s="1"/>
  <c r="X29" i="9"/>
  <c r="P34" i="2"/>
  <c r="O58" i="9"/>
  <c r="O61" i="9" s="1"/>
  <c r="H34" i="2"/>
  <c r="G58" i="9"/>
  <c r="G61" i="9" s="1"/>
  <c r="I29" i="9"/>
  <c r="I33" i="9" s="1"/>
  <c r="I35" i="9" s="1"/>
  <c r="Q34" i="2"/>
  <c r="P58" i="9"/>
  <c r="P61" i="9" s="1"/>
  <c r="O34" i="2"/>
  <c r="N58" i="9"/>
  <c r="N61" i="9" s="1"/>
  <c r="P29" i="9"/>
  <c r="P33" i="9" s="1"/>
  <c r="P35" i="9" s="1"/>
  <c r="K34" i="2"/>
  <c r="J58" i="9"/>
  <c r="J61" i="9" s="1"/>
  <c r="L29" i="9"/>
  <c r="L33" i="9" s="1"/>
  <c r="L35" i="9" s="1"/>
  <c r="N34" i="2"/>
  <c r="M58" i="9"/>
  <c r="M61" i="9" s="1"/>
  <c r="O29" i="9"/>
  <c r="O33" i="9" s="1"/>
  <c r="O35" i="9" s="1"/>
  <c r="J34" i="2"/>
  <c r="I58" i="9"/>
  <c r="I61" i="9" s="1"/>
  <c r="K29" i="9"/>
  <c r="Y34" i="2"/>
  <c r="X58" i="9"/>
  <c r="X61" i="9" s="1"/>
  <c r="F34" i="2"/>
  <c r="E58" i="9"/>
  <c r="E61" i="9" s="1"/>
  <c r="G29" i="9"/>
  <c r="M34" i="2"/>
  <c r="L58" i="9"/>
  <c r="L61" i="9" s="1"/>
  <c r="N29" i="9"/>
  <c r="I34" i="2"/>
  <c r="H58" i="9"/>
  <c r="H61" i="9" s="1"/>
  <c r="J29" i="9"/>
  <c r="J33" i="9" s="1"/>
  <c r="J35" i="9" s="1"/>
  <c r="T34" i="2"/>
  <c r="S58" i="9"/>
  <c r="S61" i="9" s="1"/>
  <c r="T29" i="9"/>
  <c r="V23" i="6"/>
  <c r="Q28" i="3"/>
  <c r="Q31" i="3" s="1"/>
  <c r="Q39" i="9" s="1"/>
  <c r="V23" i="2"/>
  <c r="U23" i="2"/>
  <c r="W5" i="2"/>
  <c r="W15" i="2" s="1"/>
  <c r="S23" i="2"/>
  <c r="R5" i="2"/>
  <c r="R15" i="2" s="1"/>
  <c r="R23" i="2" s="1"/>
  <c r="G15" i="2"/>
  <c r="G23" i="2" s="1"/>
  <c r="Q23" i="6" l="1"/>
  <c r="E4" i="13" s="1"/>
  <c r="F4" i="13"/>
  <c r="U106" i="3"/>
  <c r="P106" i="3"/>
  <c r="L106" i="3"/>
  <c r="H106" i="3"/>
  <c r="T106" i="3"/>
  <c r="O106" i="3"/>
  <c r="K106" i="3"/>
  <c r="G106" i="3"/>
  <c r="X106" i="3"/>
  <c r="S106" i="3"/>
  <c r="N106" i="3"/>
  <c r="J106" i="3"/>
  <c r="F106" i="3"/>
  <c r="W106" i="3"/>
  <c r="R106" i="3"/>
  <c r="M106" i="3"/>
  <c r="I106" i="3"/>
  <c r="E106" i="3"/>
  <c r="X107" i="3"/>
  <c r="S107" i="3"/>
  <c r="N107" i="3"/>
  <c r="J107" i="3"/>
  <c r="F107" i="3"/>
  <c r="W107" i="3"/>
  <c r="R107" i="3"/>
  <c r="M107" i="3"/>
  <c r="I107" i="3"/>
  <c r="E107" i="3"/>
  <c r="U107" i="3"/>
  <c r="P107" i="3"/>
  <c r="L107" i="3"/>
  <c r="H107" i="3"/>
  <c r="T107" i="3"/>
  <c r="O107" i="3"/>
  <c r="K107" i="3"/>
  <c r="G107" i="3"/>
  <c r="R34" i="2"/>
  <c r="Q58" i="9"/>
  <c r="Q61" i="9" s="1"/>
  <c r="U34" i="2"/>
  <c r="T58" i="9"/>
  <c r="T61" i="9" s="1"/>
  <c r="U29" i="9"/>
  <c r="G33" i="9"/>
  <c r="G35" i="9" s="1"/>
  <c r="G34" i="2"/>
  <c r="F58" i="9"/>
  <c r="F61" i="9" s="1"/>
  <c r="H29" i="9"/>
  <c r="Q29" i="9" s="1"/>
  <c r="V34" i="2"/>
  <c r="U58" i="9"/>
  <c r="U61" i="9" s="1"/>
  <c r="W29" i="9"/>
  <c r="S34" i="2"/>
  <c r="R58" i="9"/>
  <c r="R61" i="9" s="1"/>
  <c r="S29" i="9"/>
  <c r="R29" i="9"/>
  <c r="W23" i="2"/>
  <c r="E110" i="3" l="1"/>
  <c r="W110" i="3"/>
  <c r="S110" i="3"/>
  <c r="P110" i="3"/>
  <c r="I110" i="3"/>
  <c r="F110" i="3"/>
  <c r="X110" i="3"/>
  <c r="T110" i="3"/>
  <c r="U110" i="3"/>
  <c r="O110" i="3"/>
  <c r="M110" i="3"/>
  <c r="J110" i="3"/>
  <c r="G110" i="3"/>
  <c r="H110" i="3"/>
  <c r="R110" i="3"/>
  <c r="N110" i="3"/>
  <c r="K110" i="3"/>
  <c r="L110" i="3"/>
  <c r="Q107" i="3"/>
  <c r="Z107" i="3" s="1"/>
  <c r="V106" i="3"/>
  <c r="V107" i="3"/>
  <c r="Q106" i="3"/>
  <c r="W34" i="2"/>
  <c r="V58" i="9"/>
  <c r="V61" i="9" s="1"/>
  <c r="V29" i="9"/>
  <c r="W31" i="3"/>
  <c r="X31" i="3"/>
  <c r="V110" i="3" l="1"/>
  <c r="Q110" i="3"/>
  <c r="S31" i="6"/>
  <c r="S38" i="6" s="1"/>
  <c r="S49" i="9"/>
  <c r="S55" i="9" s="1"/>
  <c r="V49" i="9"/>
  <c r="V55" i="9" s="1"/>
  <c r="J31" i="6"/>
  <c r="J38" i="6" s="1"/>
  <c r="J49" i="9"/>
  <c r="J55" i="9" s="1"/>
  <c r="X31" i="6"/>
  <c r="X49" i="9"/>
  <c r="L31" i="6"/>
  <c r="L38" i="6" s="1"/>
  <c r="L49" i="9"/>
  <c r="L55" i="9" s="1"/>
  <c r="M31" i="6"/>
  <c r="M38" i="6" s="1"/>
  <c r="M49" i="9"/>
  <c r="M55" i="9" s="1"/>
  <c r="F31" i="6"/>
  <c r="F38" i="6" s="1"/>
  <c r="F49" i="9"/>
  <c r="F55" i="9" s="1"/>
  <c r="X23" i="6"/>
  <c r="X39" i="9"/>
  <c r="X55" i="9" s="1"/>
  <c r="W23" i="6"/>
  <c r="W39" i="9"/>
  <c r="W31" i="6"/>
  <c r="W49" i="9"/>
  <c r="R31" i="6"/>
  <c r="R49" i="9"/>
  <c r="R55" i="9" s="1"/>
  <c r="P31" i="6"/>
  <c r="P38" i="6" s="1"/>
  <c r="P49" i="9"/>
  <c r="P55" i="9" s="1"/>
  <c r="E31" i="6"/>
  <c r="E49" i="9"/>
  <c r="E55" i="9" s="1"/>
  <c r="K31" i="6"/>
  <c r="K38" i="6" s="1"/>
  <c r="K49" i="9"/>
  <c r="K55" i="9" s="1"/>
  <c r="H31" i="6"/>
  <c r="H38" i="6" s="1"/>
  <c r="H49" i="9"/>
  <c r="H55" i="9" s="1"/>
  <c r="U31" i="6"/>
  <c r="U38" i="6" s="1"/>
  <c r="U49" i="9"/>
  <c r="U55" i="9" s="1"/>
  <c r="I31" i="6"/>
  <c r="I38" i="6" s="1"/>
  <c r="I49" i="9"/>
  <c r="I55" i="9" s="1"/>
  <c r="O31" i="6"/>
  <c r="O38" i="6" s="1"/>
  <c r="O49" i="9"/>
  <c r="O55" i="9" s="1"/>
  <c r="Z106" i="3"/>
  <c r="Z110" i="3" s="1"/>
  <c r="B110" i="3" s="1"/>
  <c r="Q49" i="9"/>
  <c r="Q55" i="9" s="1"/>
  <c r="N31" i="6"/>
  <c r="N38" i="6" s="1"/>
  <c r="N49" i="9"/>
  <c r="N55" i="9" s="1"/>
  <c r="G31" i="6"/>
  <c r="G38" i="6" s="1"/>
  <c r="G49" i="9"/>
  <c r="G55" i="9" s="1"/>
  <c r="T31" i="6"/>
  <c r="T38" i="6" s="1"/>
  <c r="T49" i="9"/>
  <c r="T55" i="9" s="1"/>
  <c r="Z28" i="3"/>
  <c r="W55" i="9" l="1"/>
  <c r="Z31" i="3"/>
  <c r="B31" i="3" s="1"/>
  <c r="B28" i="3"/>
  <c r="Q31" i="6"/>
  <c r="E38" i="6"/>
  <c r="V31" i="6"/>
  <c r="R38" i="6"/>
  <c r="W38" i="6"/>
  <c r="G4" i="13"/>
  <c r="I34" i="11"/>
  <c r="X38" i="6"/>
  <c r="H4" i="13"/>
  <c r="K34" i="11"/>
  <c r="F71" i="9"/>
  <c r="F73" i="9" s="1"/>
  <c r="F75" i="9" s="1"/>
  <c r="J71" i="9"/>
  <c r="J73" i="9" s="1"/>
  <c r="J75" i="9" s="1"/>
  <c r="L71" i="9"/>
  <c r="L73" i="9" s="1"/>
  <c r="L75" i="9" s="1"/>
  <c r="I71" i="9"/>
  <c r="I73" i="9" s="1"/>
  <c r="I75" i="9" s="1"/>
  <c r="P71" i="9"/>
  <c r="P73" i="9" s="1"/>
  <c r="P75" i="9" s="1"/>
  <c r="O71" i="9"/>
  <c r="O73" i="9" s="1"/>
  <c r="O75" i="9" s="1"/>
  <c r="M71" i="9"/>
  <c r="M73" i="9" s="1"/>
  <c r="M75" i="9" s="1"/>
  <c r="E71" i="9"/>
  <c r="E73" i="9"/>
  <c r="E75" i="9" s="1"/>
  <c r="E77" i="9" s="1"/>
  <c r="H12" i="12" l="1"/>
  <c r="Q38" i="6"/>
  <c r="E34" i="11"/>
  <c r="H14" i="13"/>
  <c r="V38" i="6"/>
  <c r="G34" i="11"/>
  <c r="G12" i="12" s="1"/>
  <c r="F77" i="9"/>
  <c r="G71" i="9"/>
  <c r="G73" i="9" s="1"/>
  <c r="G75" i="9" s="1"/>
  <c r="F14" i="13" l="1"/>
  <c r="G14" i="13"/>
  <c r="F12" i="12"/>
  <c r="E14" i="13"/>
  <c r="E12" i="12"/>
  <c r="G77" i="9"/>
  <c r="E83" i="9" s="1"/>
  <c r="E84" i="9" l="1"/>
  <c r="G40" i="6" s="1"/>
  <c r="H64" i="9"/>
  <c r="F39" i="6"/>
  <c r="E39" i="6"/>
  <c r="G39" i="6"/>
  <c r="H28" i="9" l="1"/>
  <c r="H33" i="9" s="1"/>
  <c r="H35" i="9" s="1"/>
  <c r="F40" i="6"/>
  <c r="F42" i="6" s="1"/>
  <c r="F44" i="6" s="1"/>
  <c r="E40" i="6"/>
  <c r="E42" i="6" s="1"/>
  <c r="E44" i="6" s="1"/>
  <c r="G42" i="6"/>
  <c r="G44" i="6" s="1"/>
  <c r="Q66" i="9"/>
  <c r="H71" i="9"/>
  <c r="H73" i="9" s="1"/>
  <c r="H75" i="9" l="1"/>
  <c r="H77" i="9" s="1"/>
  <c r="I77" i="9" s="1"/>
  <c r="J77" i="9" s="1"/>
  <c r="H84" i="9" l="1"/>
  <c r="H83" i="9"/>
  <c r="J39" i="6" l="1"/>
  <c r="K64" i="9"/>
  <c r="H39" i="6"/>
  <c r="I39" i="6"/>
  <c r="H40" i="6"/>
  <c r="I40" i="6"/>
  <c r="K28" i="9"/>
  <c r="J40" i="6"/>
  <c r="H42" i="6" l="1"/>
  <c r="H44" i="6" s="1"/>
  <c r="K71" i="9"/>
  <c r="K73" i="9" s="1"/>
  <c r="J42" i="6"/>
  <c r="J44" i="6" s="1"/>
  <c r="K33" i="9"/>
  <c r="K35" i="9" s="1"/>
  <c r="I42" i="6"/>
  <c r="I44" i="6" s="1"/>
  <c r="K75" i="9" l="1"/>
  <c r="K77" i="9" s="1"/>
  <c r="L77" i="9" l="1"/>
  <c r="M77" i="9" s="1"/>
  <c r="K84" i="9" l="1"/>
  <c r="K83" i="9"/>
  <c r="K39" i="6" l="1"/>
  <c r="M39" i="6"/>
  <c r="L39" i="6"/>
  <c r="N64" i="9"/>
  <c r="M40" i="6"/>
  <c r="L40" i="6"/>
  <c r="K40" i="6"/>
  <c r="N28" i="9"/>
  <c r="L42" i="6" l="1"/>
  <c r="L44" i="6" s="1"/>
  <c r="M42" i="6"/>
  <c r="M44" i="6" s="1"/>
  <c r="N71" i="9"/>
  <c r="N73" i="9" s="1"/>
  <c r="Q64" i="9"/>
  <c r="Q71" i="9" s="1"/>
  <c r="Q73" i="9" s="1"/>
  <c r="N33" i="9"/>
  <c r="N35" i="9" s="1"/>
  <c r="Q28" i="9"/>
  <c r="Q33" i="9" s="1"/>
  <c r="Q35" i="9" s="1"/>
  <c r="K42" i="6"/>
  <c r="K44" i="6" s="1"/>
  <c r="Q75" i="9" l="1"/>
  <c r="N75" i="9"/>
  <c r="N77" i="9" s="1"/>
  <c r="O77" i="9" l="1"/>
  <c r="P77" i="9" s="1"/>
  <c r="N84" i="9" l="1"/>
  <c r="N83" i="9"/>
  <c r="Q77" i="9"/>
  <c r="E36" i="11" l="1"/>
  <c r="E18" i="11"/>
  <c r="O39" i="6"/>
  <c r="N39" i="6"/>
  <c r="R64" i="9"/>
  <c r="P39" i="6"/>
  <c r="Q83" i="9"/>
  <c r="O40" i="6"/>
  <c r="R28" i="9"/>
  <c r="P40" i="6"/>
  <c r="N40" i="6"/>
  <c r="Q84" i="9"/>
  <c r="Q40" i="6" l="1"/>
  <c r="E10" i="13" s="1"/>
  <c r="P42" i="6"/>
  <c r="P44" i="6" s="1"/>
  <c r="R33" i="9"/>
  <c r="R35" i="9" s="1"/>
  <c r="R71" i="9"/>
  <c r="R73" i="9" s="1"/>
  <c r="N42" i="6"/>
  <c r="N44" i="6" s="1"/>
  <c r="Q39" i="6"/>
  <c r="O42" i="6"/>
  <c r="O44" i="6" s="1"/>
  <c r="Q42" i="6" l="1"/>
  <c r="Q44" i="6" s="1"/>
  <c r="Q49" i="6" s="1"/>
  <c r="R75" i="9"/>
  <c r="R77" i="9" s="1"/>
  <c r="R84" i="9" l="1"/>
  <c r="R83" i="9"/>
  <c r="Q54" i="6"/>
  <c r="Q50" i="6"/>
  <c r="Q52" i="6" s="1"/>
  <c r="V51" i="6" s="1"/>
  <c r="S64" i="9" l="1"/>
  <c r="R39" i="6"/>
  <c r="Q55" i="6"/>
  <c r="Q56" i="6" s="1"/>
  <c r="R40" i="6"/>
  <c r="S28" i="9"/>
  <c r="Q45" i="6" l="1"/>
  <c r="L45" i="6" s="1"/>
  <c r="L47" i="6" s="1"/>
  <c r="E33" i="11"/>
  <c r="R42" i="6"/>
  <c r="R44" i="6" s="1"/>
  <c r="S33" i="9"/>
  <c r="S35" i="9" s="1"/>
  <c r="S71" i="9"/>
  <c r="S73" i="9" s="1"/>
  <c r="Q47" i="6" l="1"/>
  <c r="E28" i="11" s="1"/>
  <c r="G27" i="11" s="1"/>
  <c r="F45" i="6"/>
  <c r="F47" i="6" s="1"/>
  <c r="M45" i="6"/>
  <c r="M47" i="6" s="1"/>
  <c r="G45" i="6"/>
  <c r="G47" i="6" s="1"/>
  <c r="J45" i="6"/>
  <c r="J47" i="6" s="1"/>
  <c r="H45" i="6"/>
  <c r="H47" i="6" s="1"/>
  <c r="P45" i="6"/>
  <c r="P47" i="6" s="1"/>
  <c r="K45" i="6"/>
  <c r="K47" i="6" s="1"/>
  <c r="E45" i="6"/>
  <c r="E47" i="6" s="1"/>
  <c r="O45" i="6"/>
  <c r="O47" i="6" s="1"/>
  <c r="I45" i="6"/>
  <c r="I47" i="6" s="1"/>
  <c r="N45" i="6"/>
  <c r="N47" i="6" s="1"/>
  <c r="E6" i="12"/>
  <c r="S75" i="9"/>
  <c r="S77" i="9" s="1"/>
  <c r="S84" i="9" s="1"/>
  <c r="E4" i="12" l="1"/>
  <c r="E8" i="12" s="1"/>
  <c r="E30" i="11"/>
  <c r="E35" i="11" s="1"/>
  <c r="S83" i="9"/>
  <c r="T64" i="9" s="1"/>
  <c r="S40" i="6"/>
  <c r="T28" i="9"/>
  <c r="E17" i="11" l="1"/>
  <c r="E13" i="12" s="1"/>
  <c r="E38" i="11"/>
  <c r="E14" i="12"/>
  <c r="S39" i="6"/>
  <c r="S42" i="6" s="1"/>
  <c r="S44" i="6" s="1"/>
  <c r="T71" i="9"/>
  <c r="T73" i="9" s="1"/>
  <c r="T33" i="9"/>
  <c r="T35" i="9" s="1"/>
  <c r="E20" i="11" l="1"/>
  <c r="E22" i="11" s="1"/>
  <c r="F15" i="11" s="1"/>
  <c r="E40" i="11"/>
  <c r="E16" i="12"/>
  <c r="E18" i="12" s="1"/>
  <c r="T75" i="9"/>
  <c r="T77" i="9" s="1"/>
  <c r="T84" i="9" s="1"/>
  <c r="F9" i="11" l="1"/>
  <c r="F16" i="11"/>
  <c r="F6" i="11"/>
  <c r="F17" i="11"/>
  <c r="F10" i="11"/>
  <c r="F7" i="11"/>
  <c r="F18" i="11"/>
  <c r="F8" i="11"/>
  <c r="E6" i="13"/>
  <c r="F34" i="11"/>
  <c r="F35" i="11"/>
  <c r="F36" i="11"/>
  <c r="F28" i="11"/>
  <c r="F33" i="11"/>
  <c r="F26" i="11"/>
  <c r="E8" i="13"/>
  <c r="T83" i="9"/>
  <c r="T39" i="6" s="1"/>
  <c r="T40" i="6"/>
  <c r="U28" i="9"/>
  <c r="F20" i="11" l="1"/>
  <c r="F12" i="11"/>
  <c r="F30" i="11"/>
  <c r="F38" i="11"/>
  <c r="U64" i="9"/>
  <c r="U71" i="9" s="1"/>
  <c r="U73" i="9" s="1"/>
  <c r="U33" i="9"/>
  <c r="U35" i="9" s="1"/>
  <c r="V28" i="9"/>
  <c r="V33" i="9" s="1"/>
  <c r="V35" i="9" s="1"/>
  <c r="T42" i="6"/>
  <c r="T44" i="6" s="1"/>
  <c r="F22" i="11" l="1"/>
  <c r="F40" i="11"/>
  <c r="V64" i="9"/>
  <c r="V71" i="9" s="1"/>
  <c r="V73" i="9" s="1"/>
  <c r="V75" i="9" s="1"/>
  <c r="U75" i="9"/>
  <c r="U77" i="9" s="1"/>
  <c r="U83" i="9" s="1"/>
  <c r="V77" i="9" l="1"/>
  <c r="G18" i="11" s="1"/>
  <c r="U84" i="9"/>
  <c r="V84" i="9" s="1"/>
  <c r="W64" i="9"/>
  <c r="W71" i="9" s="1"/>
  <c r="W73" i="9" s="1"/>
  <c r="U39" i="6"/>
  <c r="V83" i="9"/>
  <c r="W84" i="9" l="1"/>
  <c r="X28" i="9" s="1"/>
  <c r="X33" i="9" s="1"/>
  <c r="X35" i="9" s="1"/>
  <c r="G36" i="11"/>
  <c r="W28" i="9"/>
  <c r="W33" i="9" s="1"/>
  <c r="W35" i="9" s="1"/>
  <c r="W75" i="9" s="1"/>
  <c r="W77" i="9" s="1"/>
  <c r="U40" i="6"/>
  <c r="V40" i="6" s="1"/>
  <c r="F10" i="13" s="1"/>
  <c r="W83" i="9"/>
  <c r="X64" i="9" s="1"/>
  <c r="X71" i="9" s="1"/>
  <c r="X73" i="9" s="1"/>
  <c r="V39" i="6"/>
  <c r="W40" i="6" l="1"/>
  <c r="G10" i="13" s="1"/>
  <c r="I36" i="11"/>
  <c r="I18" i="11"/>
  <c r="V42" i="6"/>
  <c r="V44" i="6" s="1"/>
  <c r="V49" i="6" s="1"/>
  <c r="U42" i="6"/>
  <c r="U44" i="6" s="1"/>
  <c r="W39" i="6"/>
  <c r="X75" i="9"/>
  <c r="X77" i="9" s="1"/>
  <c r="X83" i="9"/>
  <c r="X39" i="6" s="1"/>
  <c r="X84" i="9"/>
  <c r="X40" i="6" s="1"/>
  <c r="H10" i="13" s="1"/>
  <c r="W42" i="6" l="1"/>
  <c r="W44" i="6" s="1"/>
  <c r="W49" i="6" s="1"/>
  <c r="K36" i="11"/>
  <c r="K18" i="11"/>
  <c r="X42" i="6"/>
  <c r="X44" i="6" s="1"/>
  <c r="X49" i="6" s="1"/>
  <c r="V54" i="6"/>
  <c r="V50" i="6"/>
  <c r="V55" i="6" l="1"/>
  <c r="V56" i="6" s="1"/>
  <c r="X50" i="6"/>
  <c r="W50" i="6"/>
  <c r="V52" i="6"/>
  <c r="W51" i="6" s="1"/>
  <c r="W52" i="6" l="1"/>
  <c r="X51" i="6" s="1"/>
  <c r="X54" i="6" s="1"/>
  <c r="X55" i="6" s="1"/>
  <c r="X56" i="6" s="1"/>
  <c r="V45" i="6"/>
  <c r="R45" i="6" s="1"/>
  <c r="R47" i="6" s="1"/>
  <c r="G33" i="11"/>
  <c r="W54" i="6"/>
  <c r="W55" i="6" s="1"/>
  <c r="W56" i="6" s="1"/>
  <c r="X52" i="6" l="1"/>
  <c r="S45" i="6"/>
  <c r="S47" i="6" s="1"/>
  <c r="U45" i="6"/>
  <c r="U47" i="6" s="1"/>
  <c r="V47" i="6"/>
  <c r="F4" i="12" s="1"/>
  <c r="T45" i="6"/>
  <c r="T47" i="6" s="1"/>
  <c r="F6" i="12"/>
  <c r="W45" i="6"/>
  <c r="W47" i="6" s="1"/>
  <c r="I33" i="11"/>
  <c r="X45" i="6"/>
  <c r="X47" i="6" s="1"/>
  <c r="K33" i="11"/>
  <c r="G28" i="11" l="1"/>
  <c r="G30" i="11" s="1"/>
  <c r="G35" i="11" s="1"/>
  <c r="F8" i="12"/>
  <c r="H6" i="12"/>
  <c r="I28" i="11"/>
  <c r="G4" i="12"/>
  <c r="K28" i="11"/>
  <c r="H4" i="12"/>
  <c r="G6" i="12"/>
  <c r="G17" i="11" l="1"/>
  <c r="F13" i="12" s="1"/>
  <c r="I27" i="11"/>
  <c r="K27" i="11" s="1"/>
  <c r="K30" i="11" s="1"/>
  <c r="K35" i="11" s="1"/>
  <c r="H8" i="12"/>
  <c r="F14" i="12"/>
  <c r="G8" i="12"/>
  <c r="G38" i="11"/>
  <c r="I30" i="11" l="1"/>
  <c r="I35" i="11" s="1"/>
  <c r="G14" i="12" s="1"/>
  <c r="F16" i="12"/>
  <c r="F18" i="12" s="1"/>
  <c r="G20" i="11"/>
  <c r="G22" i="11" s="1"/>
  <c r="H18" i="11" s="1"/>
  <c r="K17" i="11"/>
  <c r="K20" i="11" s="1"/>
  <c r="K22" i="11" s="1"/>
  <c r="G40" i="11"/>
  <c r="F6" i="13" s="1"/>
  <c r="K38" i="11"/>
  <c r="I38" i="11" l="1"/>
  <c r="I40" i="11" s="1"/>
  <c r="G6" i="13" s="1"/>
  <c r="H14" i="12"/>
  <c r="I17" i="11"/>
  <c r="I20" i="11" s="1"/>
  <c r="I22" i="11" s="1"/>
  <c r="J15" i="11" s="1"/>
  <c r="H9" i="11"/>
  <c r="F8" i="13"/>
  <c r="H33" i="11"/>
  <c r="H36" i="11"/>
  <c r="H16" i="11"/>
  <c r="H10" i="11"/>
  <c r="H17" i="11"/>
  <c r="H15" i="11"/>
  <c r="H7" i="11"/>
  <c r="H6" i="11"/>
  <c r="H8" i="11"/>
  <c r="H28" i="11"/>
  <c r="K40" i="11"/>
  <c r="H6" i="13" s="1"/>
  <c r="H35" i="11"/>
  <c r="H27" i="11"/>
  <c r="H26" i="11"/>
  <c r="H34" i="11"/>
  <c r="L16" i="11"/>
  <c r="L6" i="11"/>
  <c r="L10" i="11"/>
  <c r="L18" i="11"/>
  <c r="L7" i="11"/>
  <c r="L15" i="11"/>
  <c r="L9" i="11"/>
  <c r="L17" i="11"/>
  <c r="L8" i="11"/>
  <c r="H13" i="12" l="1"/>
  <c r="H16" i="12" s="1"/>
  <c r="H18" i="12" s="1"/>
  <c r="G13" i="12"/>
  <c r="G16" i="12" s="1"/>
  <c r="G18" i="12" s="1"/>
  <c r="H12" i="11"/>
  <c r="J16" i="11"/>
  <c r="H20" i="11"/>
  <c r="J18" i="11"/>
  <c r="J10" i="11"/>
  <c r="J8" i="11"/>
  <c r="L26" i="11"/>
  <c r="L35" i="11"/>
  <c r="L33" i="11"/>
  <c r="H8" i="13"/>
  <c r="H30" i="11"/>
  <c r="J7" i="11"/>
  <c r="J6" i="11"/>
  <c r="J17" i="11"/>
  <c r="J9" i="11"/>
  <c r="H38" i="11"/>
  <c r="J35" i="11"/>
  <c r="J28" i="11"/>
  <c r="J36" i="11"/>
  <c r="J26" i="11"/>
  <c r="G8" i="13"/>
  <c r="J27" i="11"/>
  <c r="J34" i="11"/>
  <c r="J33" i="11"/>
  <c r="L20" i="11"/>
  <c r="L12" i="11"/>
  <c r="L36" i="11"/>
  <c r="L34" i="11"/>
  <c r="L28" i="11"/>
  <c r="L27" i="11"/>
  <c r="M40" i="11"/>
  <c r="H22" i="11" l="1"/>
  <c r="J20" i="11"/>
  <c r="H40" i="11"/>
  <c r="J30" i="11"/>
  <c r="J38" i="11"/>
  <c r="J12" i="11"/>
  <c r="L38" i="11"/>
  <c r="L30" i="11"/>
  <c r="L22" i="11"/>
  <c r="J22" i="11" l="1"/>
  <c r="J40" i="11"/>
  <c r="L40" i="11"/>
</calcChain>
</file>

<file path=xl/sharedStrings.xml><?xml version="1.0" encoding="utf-8"?>
<sst xmlns="http://schemas.openxmlformats.org/spreadsheetml/2006/main" count="727" uniqueCount="270">
  <si>
    <t>Gründer</t>
  </si>
  <si>
    <t>Alexander Balasch, BSc</t>
  </si>
  <si>
    <t>Christine Bräuer, BSc</t>
  </si>
  <si>
    <t>Christopher Neuwirt, BSc</t>
  </si>
  <si>
    <t>Ing. Dominik Schönberger, BSc</t>
  </si>
  <si>
    <t>Stammdaten</t>
  </si>
  <si>
    <t>RTI - Robot Technology and Innovation</t>
  </si>
  <si>
    <t>Gesellschaft mit beschränkter Haftung</t>
  </si>
  <si>
    <t>Franzosenhausweg 49a/EG
4030 Linz, Österreich</t>
  </si>
  <si>
    <t>Rechtsform:</t>
  </si>
  <si>
    <t>Name</t>
  </si>
  <si>
    <t>Name:</t>
  </si>
  <si>
    <t>Wohnadresse</t>
  </si>
  <si>
    <t>Kontaktdaten</t>
  </si>
  <si>
    <t>Firma</t>
  </si>
  <si>
    <t>Mail: do.schoenberger@gmail.com
Mobil: +43 (0)660 165 99 77</t>
  </si>
  <si>
    <t>Anschrift:</t>
  </si>
  <si>
    <t>Gründung:</t>
  </si>
  <si>
    <t>Investionsplan</t>
  </si>
  <si>
    <t>Betrag netto [€]</t>
  </si>
  <si>
    <t>1. Jahr</t>
  </si>
  <si>
    <t>1. Qua.</t>
  </si>
  <si>
    <t>2. Qua.</t>
  </si>
  <si>
    <t>3. Qua.</t>
  </si>
  <si>
    <t>4. Qua.</t>
  </si>
  <si>
    <t>2. Jahr</t>
  </si>
  <si>
    <t>3. Jahr</t>
  </si>
  <si>
    <t>4. Jahr</t>
  </si>
  <si>
    <t>Zwischensummen:</t>
  </si>
  <si>
    <t>Nicht abzuschreibende Investitionen</t>
  </si>
  <si>
    <t>Geplante vorsteuerabzugsfähige Investitionen (netto)</t>
  </si>
  <si>
    <t>Monat der
IBN</t>
  </si>
  <si>
    <t>ND
[Jahre]</t>
  </si>
  <si>
    <t>Gesamtsumme (vorsteuerfrei):</t>
  </si>
  <si>
    <t>Gesamtsumme (nicht vorsteuerfrei):</t>
  </si>
  <si>
    <t>Gesamtsumme Investitionen:</t>
  </si>
  <si>
    <t>Billundstraße 66, 
A-4600 Wels</t>
  </si>
  <si>
    <t>Gollensdorf 13,
4300 St. Valentin</t>
  </si>
  <si>
    <t>Kremsmünstererstraße 175,
4030 Linz</t>
  </si>
  <si>
    <t>Hauptstraße 7,
4133 Niederkappel</t>
  </si>
  <si>
    <t>Information:</t>
  </si>
  <si>
    <t>Diese Berechnungen und Prognosen wurden aus heutiger Sicht erstellt und können naturgemäß von den tatsächlichen Werten abweichen.</t>
  </si>
  <si>
    <t>Die Ersteller dieses Finanzplanes haben nach bestem Wissen alle Informationen, die zum Zeitpunkt der Erstellung bekannt waren, berücksichtigt.</t>
  </si>
  <si>
    <t>Plankosten</t>
  </si>
  <si>
    <t>Materialeinsatz</t>
  </si>
  <si>
    <t>Zahlweise
[j,h,q,z,m]</t>
  </si>
  <si>
    <t>m</t>
  </si>
  <si>
    <t>h</t>
  </si>
  <si>
    <t>j</t>
  </si>
  <si>
    <t>X</t>
  </si>
  <si>
    <t>Durchschnittliche
Kosten / Monat</t>
  </si>
  <si>
    <t>Durchschnittliche Kosten / Monat</t>
  </si>
  <si>
    <t>Geschäftsführer</t>
  </si>
  <si>
    <t>Mitarbeiter</t>
  </si>
  <si>
    <t>Monatliches
Bruttogehalt</t>
  </si>
  <si>
    <t>Grundgehälter</t>
  </si>
  <si>
    <t>Sonderzahlungen</t>
  </si>
  <si>
    <t>Durchschnittliche Kosten / Monat (in 4 Jahren)</t>
  </si>
  <si>
    <t>Roh-, Betriebs- uns Hilfsstoffe</t>
  </si>
  <si>
    <t>Sonstige betriebliche Aufwendungen
(Miete, Pacht, Betriebskosten)</t>
  </si>
  <si>
    <t>Büroeinrichtung</t>
  </si>
  <si>
    <t>Küchenausstattung</t>
  </si>
  <si>
    <t>EDV - Ausstattung (allgemein)</t>
  </si>
  <si>
    <t>EDV - Ausstattung (Mitarbeiter)</t>
  </si>
  <si>
    <t>Server</t>
  </si>
  <si>
    <t>Sekretariat</t>
  </si>
  <si>
    <t>EDV - Ausstattung (Gründer)</t>
  </si>
  <si>
    <t>Messaufbau</t>
  </si>
  <si>
    <t>Miete</t>
  </si>
  <si>
    <t>Heizkosten</t>
  </si>
  <si>
    <t>Instandhaltung</t>
  </si>
  <si>
    <t>Kfz-Kosten und Reisekosten</t>
  </si>
  <si>
    <t>Betrag brutto [€]</t>
  </si>
  <si>
    <t>Büromaterial</t>
  </si>
  <si>
    <t>Programmierung</t>
  </si>
  <si>
    <t>Robotik</t>
  </si>
  <si>
    <t>Telefon / Fax / Internet</t>
  </si>
  <si>
    <t>Internet</t>
  </si>
  <si>
    <t>Telefon (Mobil)</t>
  </si>
  <si>
    <t>Steuer- und Rechtsberatung</t>
  </si>
  <si>
    <t>Reisekosten</t>
  </si>
  <si>
    <t>Werbungskosten</t>
  </si>
  <si>
    <t>Gebühren, Kammerbeiträge</t>
  </si>
  <si>
    <t>Betriebsversicherung</t>
  </si>
  <si>
    <t>Leasinggebühren</t>
  </si>
  <si>
    <t>Spesen-, Bank-, Kreditgebühren</t>
  </si>
  <si>
    <t>Sonstige Kosten</t>
  </si>
  <si>
    <t>Gründungsberatung</t>
  </si>
  <si>
    <t>Jahresabschluss</t>
  </si>
  <si>
    <t>Jährlicher Gehaltsanpassung:</t>
  </si>
  <si>
    <t>Gehaltstabelle</t>
  </si>
  <si>
    <t>Durchschnittliche Gehälter / Monat (in 4 Jahren):</t>
  </si>
  <si>
    <t>Kundendienst</t>
  </si>
  <si>
    <t>Anpasssungsfaktor Personalkosten Arbeitgeber:</t>
  </si>
  <si>
    <t>Buchhaltung</t>
  </si>
  <si>
    <t>Buchhaltungssatz / Mitarbeiter / Monat:</t>
  </si>
  <si>
    <t>Vertriebsauto</t>
  </si>
  <si>
    <t>Kundendienstauto</t>
  </si>
  <si>
    <t>Plan Gewinn- &amp; Verlustrechnung</t>
  </si>
  <si>
    <t>Beschreibung</t>
  </si>
  <si>
    <t>Umsatzerlöse (brutto)</t>
  </si>
  <si>
    <t>Umsatzsteuer</t>
  </si>
  <si>
    <t>Umsatzerlöse (netto)</t>
  </si>
  <si>
    <t>Skonti</t>
  </si>
  <si>
    <t>Rabatt</t>
  </si>
  <si>
    <t>Umsatzsteuer:</t>
  </si>
  <si>
    <t>Sonstige Erlöse</t>
  </si>
  <si>
    <t>Bestandsveränderungen</t>
  </si>
  <si>
    <t>Skonti:</t>
  </si>
  <si>
    <t>Rabatt:</t>
  </si>
  <si>
    <t>Betriebsleistung</t>
  </si>
  <si>
    <t>Rohertrag</t>
  </si>
  <si>
    <t>-</t>
  </si>
  <si>
    <t>+</t>
  </si>
  <si>
    <t>Personalkosten</t>
  </si>
  <si>
    <t>Versicherung Auto (Haftpflicht + Kasko)</t>
  </si>
  <si>
    <r>
      <rPr>
        <b/>
        <sz val="9"/>
        <color theme="1"/>
        <rFont val="Calibri"/>
        <family val="2"/>
      </rPr>
      <t>Ø-</t>
    </r>
    <r>
      <rPr>
        <b/>
        <sz val="9"/>
        <color theme="1"/>
        <rFont val="Calibri"/>
        <family val="2"/>
        <scheme val="minor"/>
      </rPr>
      <t>Betrag netto [€]</t>
    </r>
  </si>
  <si>
    <t>Stromkosten</t>
  </si>
  <si>
    <t>Allgemein</t>
  </si>
  <si>
    <t>Betriebserfolg (EBIT)</t>
  </si>
  <si>
    <t>WKO Kammerumlage 1 (0,3% vom Jahresumsatz)</t>
  </si>
  <si>
    <t>WKO Kammerumlage 2 (0,36% von den Bruttogehältern)</t>
  </si>
  <si>
    <t>WKO Grundumlage (FV Autoindustrie, 0,043% der BG)</t>
  </si>
  <si>
    <t>q</t>
  </si>
  <si>
    <t>Finanzergebnis</t>
  </si>
  <si>
    <t>Ergebnis vor Steuern</t>
  </si>
  <si>
    <t>Jahresergebnis</t>
  </si>
  <si>
    <t xml:space="preserve">Ergebnis vor Steuern </t>
  </si>
  <si>
    <t>Verlustvortrag Vorjahr</t>
  </si>
  <si>
    <t>Verlustvortragsrest</t>
  </si>
  <si>
    <t>BMG Rest bei VV-Verbrauch</t>
  </si>
  <si>
    <t>Steuerbemessungsgrundlage</t>
  </si>
  <si>
    <t>Körperschaftssteuer:</t>
  </si>
  <si>
    <t>Bemessungsgrundlage für KöSt.</t>
  </si>
  <si>
    <t>KöSt.</t>
  </si>
  <si>
    <t>Lizenzgebühren Software</t>
  </si>
  <si>
    <t>Roboter (FH Wels)</t>
  </si>
  <si>
    <t>Abschreibung</t>
  </si>
  <si>
    <t>AfA</t>
  </si>
  <si>
    <t>Buchwert</t>
  </si>
  <si>
    <t>AfA / Buchwert gesamt:</t>
  </si>
  <si>
    <t>Patentkosten Europa</t>
  </si>
  <si>
    <t>Patentkosten Weltweit</t>
  </si>
  <si>
    <t>Patentanträge</t>
  </si>
  <si>
    <t>Eingang im 1. Monat nach Fakturierung</t>
  </si>
  <si>
    <t>Eingang im 2. Monat nach Fakturierung</t>
  </si>
  <si>
    <t>Eingang im 3. Monat nach Fakturierung</t>
  </si>
  <si>
    <t>Plan Umsatz lt. G&amp;V</t>
  </si>
  <si>
    <t>Kontoführungsgebühren</t>
  </si>
  <si>
    <t>Sonstige Einnahmen</t>
  </si>
  <si>
    <t>Umsatzerlöse</t>
  </si>
  <si>
    <t>Plan Einnahmen:</t>
  </si>
  <si>
    <t>Plan Umsatzerlöse</t>
  </si>
  <si>
    <t>Summe "Sonstige Einahmen":</t>
  </si>
  <si>
    <t>Summe "Plan Einnahmen":</t>
  </si>
  <si>
    <t>Summe "Plan Umsatzerlöse":</t>
  </si>
  <si>
    <t>Gebühr</t>
  </si>
  <si>
    <t>Lizenzgebühr</t>
  </si>
  <si>
    <t>Energie- 
ersparnis</t>
  </si>
  <si>
    <t>Plan Ausgaben:</t>
  </si>
  <si>
    <t>Plankosten:</t>
  </si>
  <si>
    <t>Summe "Plankosten":</t>
  </si>
  <si>
    <t>Summe "Investitionen":</t>
  </si>
  <si>
    <t>Investitionen:</t>
  </si>
  <si>
    <t>Mehrwertsteuersatz:</t>
  </si>
  <si>
    <t>Vorsteuerabzugsfähige Investitionen</t>
  </si>
  <si>
    <t>Nicht vorsteuerabzugsfähige Investitionen</t>
  </si>
  <si>
    <t>Summe "Plan Ausgaben":</t>
  </si>
  <si>
    <t>Sollzinsen Kontokorrentkredit</t>
  </si>
  <si>
    <t>Sollzinssatz Kontokorrentkredit:</t>
  </si>
  <si>
    <t>Habenzinssatz Kontokorrentkredit:</t>
  </si>
  <si>
    <t>Habenzinsen Kontokorrentkredit</t>
  </si>
  <si>
    <t>Sonstige Ausgaben</t>
  </si>
  <si>
    <t>Zinsen Einmalkredit</t>
  </si>
  <si>
    <t>KöSt. / Ertragssteuer</t>
  </si>
  <si>
    <t>Kredittilgung</t>
  </si>
  <si>
    <t>Stand Einmalkredit</t>
  </si>
  <si>
    <t>Differenz Einnahmen/Ausgaben:</t>
  </si>
  <si>
    <t>Kumuliert (Kontostand):</t>
  </si>
  <si>
    <t>Kredite und Zinsen</t>
  </si>
  <si>
    <t>Kontostand bei Gründung:</t>
  </si>
  <si>
    <t>KöSt. / Ertragssteuer (tatsächlich)</t>
  </si>
  <si>
    <t>Zinserträge</t>
  </si>
  <si>
    <t>Zinsaufwand</t>
  </si>
  <si>
    <t>Vorsteuer</t>
  </si>
  <si>
    <t>Liquiditätsplan</t>
  </si>
  <si>
    <t>Geplante vorsteuerabzugsfähige 
Investitionen (netto)</t>
  </si>
  <si>
    <t>Halbj. 
der IBN</t>
  </si>
  <si>
    <t>Betrag
netto [€]</t>
  </si>
  <si>
    <t>Zinssatz Einmalkredit:</t>
  </si>
  <si>
    <t>Planbilanz</t>
  </si>
  <si>
    <t>Wert</t>
  </si>
  <si>
    <t>%</t>
  </si>
  <si>
    <t>Aktiva</t>
  </si>
  <si>
    <t>Summe Anlagevermögen:</t>
  </si>
  <si>
    <t>Anlagevermögen:</t>
  </si>
  <si>
    <t>Umlaufvermögen:</t>
  </si>
  <si>
    <t>Summe Umlaufvermögen:</t>
  </si>
  <si>
    <t>Summe Aktiva:</t>
  </si>
  <si>
    <t>Passiva</t>
  </si>
  <si>
    <t>Eigenkapital</t>
  </si>
  <si>
    <t>Summe Eigenkapital:</t>
  </si>
  <si>
    <t>Summe Fremdkapital:</t>
  </si>
  <si>
    <t>Fremdkapital:</t>
  </si>
  <si>
    <t>Eigenkapital (Stamm/Grundkapital)</t>
  </si>
  <si>
    <t>Vorjahresergebnis</t>
  </si>
  <si>
    <t>Einlagen</t>
  </si>
  <si>
    <t>Sonstige Rückstellungen</t>
  </si>
  <si>
    <t>Verbindlichkeiten aus Lieferungen und Leistungen</t>
  </si>
  <si>
    <t>Sonstige Verbindlichkeiten</t>
  </si>
  <si>
    <t>Verbindlichkeiten gegenüber Kreditinstituten</t>
  </si>
  <si>
    <t>Vorräte</t>
  </si>
  <si>
    <t>Forderungen aus Lieferungen und Leistungen</t>
  </si>
  <si>
    <t>Sonstige Forderungen</t>
  </si>
  <si>
    <t>Kassenbestand, Guthaben bei Kreditinstituten</t>
  </si>
  <si>
    <t>Summe Passiva:</t>
  </si>
  <si>
    <t>KFZ</t>
  </si>
  <si>
    <t>EDV - Ausstattung</t>
  </si>
  <si>
    <t>Patente</t>
  </si>
  <si>
    <t>Gebäude, Büroeinrichtung</t>
  </si>
  <si>
    <t>Maschinen und Messanlagen</t>
  </si>
  <si>
    <t>Erhöhung (-Senkung) Rückstellungen</t>
  </si>
  <si>
    <t>Cash-Flow aus dem Ergebnis:</t>
  </si>
  <si>
    <t>Cash-Flow</t>
  </si>
  <si>
    <t>-Erhöhung (+Senkung) von Vorräten</t>
  </si>
  <si>
    <t>-Erhöhung (+Senkung) von Forderungen LL</t>
  </si>
  <si>
    <t>+Erhöhung (-Senkung) von Verbindlichkeiten LL, Kredite</t>
  </si>
  <si>
    <t>-Erhöhung (+Senkung) von sonstigen Forderungen</t>
  </si>
  <si>
    <t>+Erhöhung (-Senkung) von sonstigen Verbindlichkeiten</t>
  </si>
  <si>
    <t>Erhöhung (+Senkung) von Vorräten</t>
  </si>
  <si>
    <t>Erhöhung (+Senkung) von Forderungen LL</t>
  </si>
  <si>
    <t>Erhöhung (-Senkung) von Verbindlichkeiten LL, Kredite</t>
  </si>
  <si>
    <t>Erhöhung (+Senkung) von sonstigen Forderungen</t>
  </si>
  <si>
    <t>Erhöhung (-Senkung) von sonstigen Verbindlichkeiten</t>
  </si>
  <si>
    <t>Veränderung Working Capital:</t>
  </si>
  <si>
    <t>Cash-Flow aus dem operativen Bereich:</t>
  </si>
  <si>
    <t>Kennzahlen</t>
  </si>
  <si>
    <t>Personalkosten in % der Betriebsleistung</t>
  </si>
  <si>
    <t>Eigenkapitalquote</t>
  </si>
  <si>
    <t>Fremdkapitalquote</t>
  </si>
  <si>
    <t>Umsatzrentabilität</t>
  </si>
  <si>
    <t>Geldeingangsdauer in Tagen</t>
  </si>
  <si>
    <t>Lieferantenkreditdauer in Tagen</t>
  </si>
  <si>
    <t>Lagerumschlagshäufigkeit</t>
  </si>
  <si>
    <t>Lagerdauer in Tagen</t>
  </si>
  <si>
    <t>Mail: balaschalexander@gmail.com
Mobil: +43 (0)681 841 06 358</t>
  </si>
  <si>
    <t>Mail: brauer_chrissi@gmx.net
Mobil: +43 (0)699 181 19 053</t>
  </si>
  <si>
    <t>Mail: c.neuwirt@gmx.net
Mobil: +43 (0)660 410 94 24</t>
  </si>
  <si>
    <t>… Überschrift (1. Ebene)</t>
  </si>
  <si>
    <t>… Überschrift (2. Ebene)</t>
  </si>
  <si>
    <t>… Eingabefeld (Ziffern)</t>
  </si>
  <si>
    <t>… Eingabefeld (Text)</t>
  </si>
  <si>
    <t>… Summenfeld (1. Ebene)</t>
  </si>
  <si>
    <t>… Summenfeld (2. Ebene)</t>
  </si>
  <si>
    <t>… Summenfeld (3. Ebene)</t>
  </si>
  <si>
    <t>Monat 
der IBN</t>
  </si>
  <si>
    <t>Monat der
Zahlung</t>
  </si>
  <si>
    <t>Monat der
Anstellung</t>
  </si>
  <si>
    <t>… keine Werte notwendig</t>
  </si>
  <si>
    <t>Monat der Bezahlung</t>
  </si>
  <si>
    <t>Geplante nicht vorsteuerabzugsfähige 
Investitionen (netto)</t>
  </si>
  <si>
    <t>Geplante nicht vorsteuerabzugsfähige
Investitionen (netto)</t>
  </si>
  <si>
    <t>Summe "Sonstige Ausgaben":</t>
  </si>
  <si>
    <t>Legende:</t>
  </si>
  <si>
    <t>Neuentwicklungen</t>
  </si>
  <si>
    <t>Lizenzen</t>
  </si>
  <si>
    <t>Schulungen</t>
  </si>
  <si>
    <t>Umsätze</t>
  </si>
  <si>
    <t>Kosten</t>
  </si>
  <si>
    <t>Break-Even-Point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</si>
</sst>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8" formatCode="#,##0.00\ &quot;€&quot;;[Red]\-#,##0.00\ &quot;€&quot;"/>
    <numFmt numFmtId="164" formatCode="#,##0.00\ &quot;€&quot;"/>
    <numFmt numFmtId="165" formatCode="0\ &quot;Tage&quot;"/>
  </numFmts>
  <fonts count="15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b/>
      <sz val="9"/>
      <color theme="1"/>
      <name val="Calibri"/>
      <family val="2"/>
    </font>
    <font>
      <sz val="12"/>
      <color theme="1"/>
      <name val="Calibri"/>
      <family val="2"/>
      <scheme val="minor"/>
    </font>
    <font>
      <sz val="9"/>
      <name val="Arial"/>
      <family val="2"/>
    </font>
    <font>
      <b/>
      <sz val="10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29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dashed">
        <color indexed="64"/>
      </left>
      <right style="dashed">
        <color indexed="64"/>
      </right>
      <top/>
      <bottom style="double">
        <color indexed="64"/>
      </bottom>
      <diagonal/>
    </border>
    <border>
      <left style="dashed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/>
      <bottom style="double">
        <color indexed="64"/>
      </bottom>
      <diagonal/>
    </border>
    <border>
      <left/>
      <right style="dashed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dashed">
        <color auto="1"/>
      </left>
      <right style="dashed">
        <color auto="1"/>
      </right>
      <top style="medium">
        <color auto="1"/>
      </top>
      <bottom/>
      <diagonal/>
    </border>
    <border>
      <left style="dashed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indexed="64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 style="dashed">
        <color auto="1"/>
      </right>
      <top/>
      <bottom style="double">
        <color auto="1"/>
      </bottom>
      <diagonal/>
    </border>
    <border>
      <left style="dashed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dashed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medium">
        <color indexed="64"/>
      </right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dashed">
        <color auto="1"/>
      </left>
      <right style="double">
        <color auto="1"/>
      </right>
      <top style="medium">
        <color auto="1"/>
      </top>
      <bottom/>
      <diagonal/>
    </border>
    <border>
      <left style="dashed">
        <color auto="1"/>
      </left>
      <right style="double">
        <color auto="1"/>
      </right>
      <top/>
      <bottom style="double">
        <color auto="1"/>
      </bottom>
      <diagonal/>
    </border>
    <border>
      <left style="dashed">
        <color auto="1"/>
      </left>
      <right style="dashed">
        <color auto="1"/>
      </right>
      <top style="double">
        <color indexed="64"/>
      </top>
      <bottom style="thin">
        <color indexed="64"/>
      </bottom>
      <diagonal/>
    </border>
    <border>
      <left style="dashed">
        <color auto="1"/>
      </left>
      <right style="double">
        <color auto="1"/>
      </right>
      <top style="double">
        <color indexed="64"/>
      </top>
      <bottom style="thin">
        <color indexed="64"/>
      </bottom>
      <diagonal/>
    </border>
    <border>
      <left style="double">
        <color auto="1"/>
      </left>
      <right style="dashed">
        <color auto="1"/>
      </right>
      <top style="double">
        <color indexed="64"/>
      </top>
      <bottom style="thin">
        <color indexed="64"/>
      </bottom>
      <diagonal/>
    </border>
    <border>
      <left style="dashed">
        <color auto="1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dashed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double">
        <color indexed="64"/>
      </top>
      <bottom style="thin">
        <color indexed="64"/>
      </bottom>
      <diagonal/>
    </border>
    <border>
      <left style="dashed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ashed">
        <color auto="1"/>
      </right>
      <top style="thin">
        <color indexed="64"/>
      </top>
      <bottom style="thin">
        <color indexed="64"/>
      </bottom>
      <diagonal/>
    </border>
    <border>
      <left style="dashed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ashed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dashed">
        <color auto="1"/>
      </left>
      <right style="dashed">
        <color auto="1"/>
      </right>
      <top style="thin">
        <color indexed="64"/>
      </top>
      <bottom/>
      <diagonal/>
    </border>
    <border>
      <left style="dashed">
        <color auto="1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dashed">
        <color auto="1"/>
      </right>
      <top style="thin">
        <color indexed="64"/>
      </top>
      <bottom/>
      <diagonal/>
    </border>
    <border>
      <left style="dashed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dashed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medium">
        <color auto="1"/>
      </right>
      <top style="thin">
        <color indexed="64"/>
      </top>
      <bottom/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 style="dashed">
        <color auto="1"/>
      </right>
      <top style="medium">
        <color auto="1"/>
      </top>
      <bottom/>
      <diagonal/>
    </border>
    <border>
      <left/>
      <right style="thin">
        <color auto="1"/>
      </right>
      <top style="double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dashed">
        <color auto="1"/>
      </left>
      <right style="dashed">
        <color auto="1"/>
      </right>
      <top style="double">
        <color indexed="64"/>
      </top>
      <bottom/>
      <diagonal/>
    </border>
    <border>
      <left style="dashed">
        <color auto="1"/>
      </left>
      <right style="double">
        <color auto="1"/>
      </right>
      <top style="double">
        <color indexed="64"/>
      </top>
      <bottom/>
      <diagonal/>
    </border>
    <border>
      <left style="double">
        <color auto="1"/>
      </left>
      <right style="dashed">
        <color auto="1"/>
      </right>
      <top style="double">
        <color indexed="64"/>
      </top>
      <bottom/>
      <diagonal/>
    </border>
    <border>
      <left style="dashed">
        <color auto="1"/>
      </left>
      <right/>
      <top style="double">
        <color indexed="64"/>
      </top>
      <bottom/>
      <diagonal/>
    </border>
    <border>
      <left style="dashed">
        <color auto="1"/>
      </left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dashed">
        <color auto="1"/>
      </right>
      <top style="double">
        <color indexed="64"/>
      </top>
      <bottom/>
      <diagonal/>
    </border>
    <border>
      <left/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medium">
        <color auto="1"/>
      </right>
      <top style="double">
        <color indexed="64"/>
      </top>
      <bottom/>
      <diagonal/>
    </border>
    <border>
      <left style="medium">
        <color auto="1"/>
      </left>
      <right/>
      <top style="mediumDashed">
        <color auto="1"/>
      </top>
      <bottom style="medium">
        <color auto="1"/>
      </bottom>
      <diagonal/>
    </border>
    <border>
      <left style="dashed">
        <color auto="1"/>
      </left>
      <right/>
      <top style="mediumDashed">
        <color auto="1"/>
      </top>
      <bottom style="medium">
        <color auto="1"/>
      </bottom>
      <diagonal/>
    </border>
    <border>
      <left/>
      <right style="dashed">
        <color auto="1"/>
      </right>
      <top style="mediumDashed">
        <color auto="1"/>
      </top>
      <bottom style="medium">
        <color auto="1"/>
      </bottom>
      <diagonal/>
    </border>
    <border>
      <left style="dashed">
        <color auto="1"/>
      </left>
      <right style="dashed">
        <color auto="1"/>
      </right>
      <top style="mediumDashed">
        <color auto="1"/>
      </top>
      <bottom style="medium">
        <color auto="1"/>
      </bottom>
      <diagonal/>
    </border>
    <border>
      <left style="dashed">
        <color auto="1"/>
      </left>
      <right style="thin">
        <color auto="1"/>
      </right>
      <top style="mediumDashed">
        <color auto="1"/>
      </top>
      <bottom style="medium">
        <color auto="1"/>
      </bottom>
      <diagonal/>
    </border>
    <border>
      <left style="thin">
        <color auto="1"/>
      </left>
      <right style="dashed">
        <color auto="1"/>
      </right>
      <top style="mediumDashed">
        <color auto="1"/>
      </top>
      <bottom style="medium">
        <color auto="1"/>
      </bottom>
      <diagonal/>
    </border>
    <border>
      <left/>
      <right style="thin">
        <color auto="1"/>
      </right>
      <top style="mediumDash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Dashed">
        <color auto="1"/>
      </top>
      <bottom style="medium">
        <color auto="1"/>
      </bottom>
      <diagonal/>
    </border>
    <border>
      <left style="thin">
        <color auto="1"/>
      </left>
      <right style="medium">
        <color indexed="64"/>
      </right>
      <top style="mediumDashed">
        <color auto="1"/>
      </top>
      <bottom style="medium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dashed">
        <color indexed="64"/>
      </right>
      <top style="thin">
        <color indexed="64"/>
      </top>
      <bottom/>
      <diagonal/>
    </border>
    <border>
      <left style="dashed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dashed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/>
      <diagonal/>
    </border>
    <border>
      <left style="medium">
        <color indexed="64"/>
      </left>
      <right style="dashed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Dashed">
        <color auto="1"/>
      </top>
      <bottom style="medium">
        <color auto="1"/>
      </bottom>
      <diagonal/>
    </border>
    <border>
      <left style="medium">
        <color auto="1"/>
      </left>
      <right style="dashed">
        <color auto="1"/>
      </right>
      <top style="mediumDashed">
        <color auto="1"/>
      </top>
      <bottom style="medium">
        <color auto="1"/>
      </bottom>
      <diagonal/>
    </border>
    <border>
      <left style="dashed">
        <color auto="1"/>
      </left>
      <right style="medium">
        <color auto="1"/>
      </right>
      <top style="mediumDashed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double">
        <color auto="1"/>
      </bottom>
      <diagonal/>
    </border>
    <border>
      <left style="medium">
        <color auto="1"/>
      </left>
      <right style="medium">
        <color auto="1"/>
      </right>
      <top style="double">
        <color auto="1"/>
      </top>
      <bottom style="mediumDashed">
        <color auto="1"/>
      </bottom>
      <diagonal/>
    </border>
    <border>
      <left style="dashed">
        <color auto="1"/>
      </left>
      <right style="double">
        <color auto="1"/>
      </right>
      <top style="double">
        <color indexed="64"/>
      </top>
      <bottom style="medium">
        <color auto="1"/>
      </bottom>
      <diagonal/>
    </border>
    <border>
      <left style="dashed">
        <color auto="1"/>
      </left>
      <right style="dashed">
        <color auto="1"/>
      </right>
      <top style="double">
        <color indexed="64"/>
      </top>
      <bottom style="medium">
        <color auto="1"/>
      </bottom>
      <diagonal/>
    </border>
    <border>
      <left/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/>
      <diagonal/>
    </border>
    <border>
      <left style="medium">
        <color indexed="64"/>
      </left>
      <right style="dashed">
        <color indexed="64"/>
      </right>
      <top style="thin">
        <color auto="1"/>
      </top>
      <bottom style="double">
        <color auto="1"/>
      </bottom>
      <diagonal/>
    </border>
    <border>
      <left style="medium">
        <color indexed="64"/>
      </left>
      <right style="dashed">
        <color indexed="64"/>
      </right>
      <top/>
      <bottom/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 style="double">
        <color auto="1"/>
      </right>
      <top/>
      <bottom/>
      <diagonal/>
    </border>
    <border>
      <left style="double">
        <color auto="1"/>
      </left>
      <right style="dashed">
        <color auto="1"/>
      </right>
      <top/>
      <bottom/>
      <diagonal/>
    </border>
    <border>
      <left style="dashed">
        <color auto="1"/>
      </left>
      <right style="thin">
        <color auto="1"/>
      </right>
      <top/>
      <bottom/>
      <diagonal/>
    </border>
    <border>
      <left style="thin">
        <color auto="1"/>
      </left>
      <right style="dashed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dashed">
        <color indexed="64"/>
      </left>
      <right style="double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auto="1"/>
      </top>
      <bottom style="double">
        <color auto="1"/>
      </bottom>
      <diagonal/>
    </border>
    <border>
      <left style="dashed">
        <color indexed="64"/>
      </left>
      <right style="double">
        <color indexed="64"/>
      </right>
      <top style="thin">
        <color auto="1"/>
      </top>
      <bottom style="double">
        <color auto="1"/>
      </bottom>
      <diagonal/>
    </border>
    <border>
      <left style="medium">
        <color auto="1"/>
      </left>
      <right style="dashed">
        <color auto="1"/>
      </right>
      <top style="mediumDashed">
        <color auto="1"/>
      </top>
      <bottom/>
      <diagonal/>
    </border>
    <border>
      <left style="double">
        <color auto="1"/>
      </left>
      <right style="dashed">
        <color auto="1"/>
      </right>
      <top style="thin">
        <color auto="1"/>
      </top>
      <bottom style="double">
        <color auto="1"/>
      </bottom>
      <diagonal/>
    </border>
    <border>
      <left style="dashed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ashed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double">
        <color auto="1"/>
      </bottom>
      <diagonal/>
    </border>
    <border>
      <left/>
      <right style="dashed">
        <color indexed="64"/>
      </right>
      <top/>
      <bottom/>
      <diagonal/>
    </border>
    <border>
      <left style="dashed">
        <color auto="1"/>
      </left>
      <right style="dashed">
        <color auto="1"/>
      </right>
      <top style="mediumDashed">
        <color auto="1"/>
      </top>
      <bottom/>
      <diagonal/>
    </border>
    <border>
      <left style="dashed">
        <color auto="1"/>
      </left>
      <right style="thin">
        <color auto="1"/>
      </right>
      <top style="mediumDashed">
        <color auto="1"/>
      </top>
      <bottom/>
      <diagonal/>
    </border>
    <border>
      <left style="thin">
        <color auto="1"/>
      </left>
      <right style="dashed">
        <color auto="1"/>
      </right>
      <top style="mediumDashed">
        <color auto="1"/>
      </top>
      <bottom/>
      <diagonal/>
    </border>
    <border>
      <left style="thin">
        <color auto="1"/>
      </left>
      <right style="thin">
        <color auto="1"/>
      </right>
      <top style="mediumDashed">
        <color auto="1"/>
      </top>
      <bottom/>
      <diagonal/>
    </border>
    <border>
      <left style="thin">
        <color auto="1"/>
      </left>
      <right style="medium">
        <color indexed="64"/>
      </right>
      <top style="mediumDashed">
        <color auto="1"/>
      </top>
      <bottom/>
      <diagonal/>
    </border>
    <border>
      <left style="medium">
        <color indexed="64"/>
      </left>
      <right style="dashed">
        <color indexed="64"/>
      </right>
      <top/>
      <bottom style="medium">
        <color indexed="64"/>
      </bottom>
      <diagonal/>
    </border>
    <border>
      <left style="medium">
        <color auto="1"/>
      </left>
      <right style="dashed">
        <color auto="1"/>
      </right>
      <top style="medium">
        <color auto="1"/>
      </top>
      <bottom style="thin">
        <color auto="1"/>
      </bottom>
      <diagonal/>
    </border>
    <border>
      <left style="dashed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dashed">
        <color auto="1"/>
      </right>
      <top style="thin">
        <color auto="1"/>
      </top>
      <bottom style="medium">
        <color auto="1"/>
      </bottom>
      <diagonal/>
    </border>
    <border>
      <left style="dashed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double">
        <color auto="1"/>
      </right>
      <top/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 style="double">
        <color auto="1"/>
      </right>
      <top/>
      <bottom style="double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auto="1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auto="1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 style="dashed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/>
      <right style="dashed">
        <color indexed="64"/>
      </right>
      <top style="thin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auto="1"/>
      </left>
      <right/>
      <top style="double">
        <color indexed="64"/>
      </top>
      <bottom style="thin">
        <color indexed="64"/>
      </bottom>
      <diagonal/>
    </border>
    <border>
      <left style="dashed">
        <color auto="1"/>
      </left>
      <right/>
      <top style="thin">
        <color indexed="64"/>
      </top>
      <bottom style="thin">
        <color indexed="64"/>
      </bottom>
      <diagonal/>
    </border>
    <border>
      <left style="dashed">
        <color auto="1"/>
      </left>
      <right/>
      <top style="thin">
        <color auto="1"/>
      </top>
      <bottom style="double">
        <color auto="1"/>
      </bottom>
      <diagonal/>
    </border>
    <border>
      <left style="dashed">
        <color auto="1"/>
      </left>
      <right/>
      <top/>
      <bottom/>
      <diagonal/>
    </border>
    <border>
      <left style="dashed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dashed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medium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auto="1"/>
      </right>
      <top style="double">
        <color indexed="64"/>
      </top>
      <bottom style="double">
        <color indexed="64"/>
      </bottom>
      <diagonal/>
    </border>
    <border>
      <left/>
      <right style="dashed">
        <color indexed="64"/>
      </right>
      <top style="double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double">
        <color indexed="64"/>
      </bottom>
      <diagonal/>
    </border>
    <border>
      <left/>
      <right style="dashed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/>
      <top style="medium">
        <color indexed="64"/>
      </top>
      <bottom style="medium">
        <color indexed="64"/>
      </bottom>
      <diagonal/>
    </border>
    <border>
      <left style="dashed">
        <color auto="1"/>
      </left>
      <right/>
      <top style="double">
        <color indexed="64"/>
      </top>
      <bottom style="medium">
        <color auto="1"/>
      </bottom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auto="1"/>
      </top>
      <bottom style="medium">
        <color indexed="64"/>
      </bottom>
      <diagonal/>
    </border>
    <border>
      <left style="thin">
        <color auto="1"/>
      </left>
      <right/>
      <top style="double">
        <color auto="1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ashed">
        <color auto="1"/>
      </right>
      <top style="medium">
        <color auto="1"/>
      </top>
      <bottom style="thin">
        <color auto="1"/>
      </bottom>
      <diagonal/>
    </border>
    <border>
      <left/>
      <right style="dashed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double">
        <color indexed="64"/>
      </top>
      <bottom style="thin">
        <color indexed="64"/>
      </bottom>
      <diagonal/>
    </border>
    <border>
      <left style="thin">
        <color auto="1"/>
      </left>
      <right/>
      <top style="double">
        <color indexed="64"/>
      </top>
      <bottom/>
      <diagonal/>
    </border>
    <border>
      <left style="thin">
        <color auto="1"/>
      </left>
      <right/>
      <top style="mediumDashed">
        <color auto="1"/>
      </top>
      <bottom style="medium">
        <color auto="1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 style="dashed">
        <color auto="1"/>
      </left>
      <right style="medium">
        <color auto="1"/>
      </right>
      <top style="double">
        <color indexed="64"/>
      </top>
      <bottom style="thin">
        <color indexed="64"/>
      </bottom>
      <diagonal/>
    </border>
    <border>
      <left style="dashed">
        <color auto="1"/>
      </left>
      <right style="medium">
        <color auto="1"/>
      </right>
      <top/>
      <bottom/>
      <diagonal/>
    </border>
    <border>
      <left style="dashed">
        <color auto="1"/>
      </left>
      <right style="medium">
        <color auto="1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auto="1"/>
      </right>
      <top style="double">
        <color indexed="64"/>
      </top>
      <bottom/>
      <diagonal/>
    </border>
    <border>
      <left/>
      <right/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double">
        <color auto="1"/>
      </right>
      <top style="medium">
        <color indexed="64"/>
      </top>
      <bottom style="double">
        <color indexed="64"/>
      </bottom>
      <diagonal/>
    </border>
    <border>
      <left style="dashed">
        <color auto="1"/>
      </left>
      <right/>
      <top style="mediumDashed">
        <color auto="1"/>
      </top>
      <bottom/>
      <diagonal/>
    </border>
    <border>
      <left style="medium">
        <color indexed="64"/>
      </left>
      <right/>
      <top style="mediumDashed">
        <color indexed="64"/>
      </top>
      <bottom style="thin">
        <color indexed="64"/>
      </bottom>
      <diagonal/>
    </border>
    <border>
      <left/>
      <right/>
      <top style="mediumDashed">
        <color indexed="64"/>
      </top>
      <bottom style="thin">
        <color indexed="64"/>
      </bottom>
      <diagonal/>
    </border>
    <border>
      <left style="double">
        <color auto="1"/>
      </left>
      <right style="dashed">
        <color auto="1"/>
      </right>
      <top style="mediumDashed">
        <color indexed="64"/>
      </top>
      <bottom style="thin">
        <color indexed="64"/>
      </bottom>
      <diagonal/>
    </border>
    <border>
      <left style="dashed">
        <color auto="1"/>
      </left>
      <right style="dashed">
        <color auto="1"/>
      </right>
      <top style="mediumDashed">
        <color indexed="64"/>
      </top>
      <bottom style="thin">
        <color indexed="64"/>
      </bottom>
      <diagonal/>
    </border>
    <border>
      <left style="dashed">
        <color auto="1"/>
      </left>
      <right style="thin">
        <color auto="1"/>
      </right>
      <top style="mediumDashed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Dashed">
        <color indexed="64"/>
      </top>
      <bottom style="thin">
        <color indexed="64"/>
      </bottom>
      <diagonal/>
    </border>
    <border>
      <left style="thin">
        <color auto="1"/>
      </left>
      <right style="dashed">
        <color auto="1"/>
      </right>
      <top style="mediumDashed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Dashed">
        <color indexed="64"/>
      </top>
      <bottom style="thin">
        <color indexed="64"/>
      </bottom>
      <diagonal/>
    </border>
    <border>
      <left style="double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auto="1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dashed">
        <color auto="1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auto="1"/>
      </left>
      <right style="dashed">
        <color auto="1"/>
      </right>
      <top/>
      <bottom style="thin">
        <color indexed="64"/>
      </bottom>
      <diagonal/>
    </border>
    <border>
      <left style="dashed">
        <color auto="1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dashed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ouble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ouble">
        <color auto="1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auto="1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mediumDashed">
        <color indexed="64"/>
      </bottom>
      <diagonal/>
    </border>
    <border>
      <left/>
      <right/>
      <top style="double">
        <color indexed="64"/>
      </top>
      <bottom style="mediumDashed">
        <color indexed="64"/>
      </bottom>
      <diagonal/>
    </border>
    <border>
      <left/>
      <right style="double">
        <color auto="1"/>
      </right>
      <top style="double">
        <color indexed="64"/>
      </top>
      <bottom style="mediumDashed">
        <color indexed="64"/>
      </bottom>
      <diagonal/>
    </border>
    <border>
      <left/>
      <right style="dashed">
        <color auto="1"/>
      </right>
      <top style="mediumDashed">
        <color auto="1"/>
      </top>
      <bottom/>
      <diagonal/>
    </border>
    <border>
      <left/>
      <right style="double">
        <color auto="1"/>
      </right>
      <top style="mediumDashed">
        <color auto="1"/>
      </top>
      <bottom style="medium">
        <color indexed="64"/>
      </bottom>
      <diagonal/>
    </border>
    <border>
      <left style="dashed">
        <color auto="1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dashed">
        <color auto="1"/>
      </right>
      <top/>
      <bottom style="thin">
        <color indexed="64"/>
      </bottom>
      <diagonal/>
    </border>
    <border>
      <left/>
      <right style="double">
        <color auto="1"/>
      </right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mediumDashed">
        <color auto="1"/>
      </bottom>
      <diagonal/>
    </border>
    <border>
      <left/>
      <right/>
      <top style="medium">
        <color auto="1"/>
      </top>
      <bottom style="mediumDashed">
        <color auto="1"/>
      </bottom>
      <diagonal/>
    </border>
    <border>
      <left style="double">
        <color auto="1"/>
      </left>
      <right style="dashed">
        <color auto="1"/>
      </right>
      <top style="medium">
        <color auto="1"/>
      </top>
      <bottom style="double">
        <color auto="1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 style="double">
        <color auto="1"/>
      </bottom>
      <diagonal/>
    </border>
    <border>
      <left style="dashed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dashed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double">
        <color auto="1"/>
      </left>
      <right style="dashed">
        <color auto="1"/>
      </right>
      <top style="double">
        <color auto="1"/>
      </top>
      <bottom style="double">
        <color auto="1"/>
      </bottom>
      <diagonal/>
    </border>
    <border>
      <left style="dashed">
        <color auto="1"/>
      </left>
      <right style="dashed">
        <color auto="1"/>
      </right>
      <top style="double">
        <color auto="1"/>
      </top>
      <bottom style="double">
        <color auto="1"/>
      </bottom>
      <diagonal/>
    </border>
    <border>
      <left style="dashed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dashed">
        <color auto="1"/>
      </right>
      <top style="double">
        <color auto="1"/>
      </top>
      <bottom style="double">
        <color auto="1"/>
      </bottom>
      <diagonal/>
    </border>
    <border>
      <left style="medium">
        <color auto="1"/>
      </left>
      <right/>
      <top style="double">
        <color auto="1"/>
      </top>
      <bottom style="medium">
        <color indexed="64"/>
      </bottom>
      <diagonal/>
    </border>
    <border>
      <left style="double">
        <color auto="1"/>
      </left>
      <right style="dashed">
        <color auto="1"/>
      </right>
      <top style="double">
        <color auto="1"/>
      </top>
      <bottom style="medium">
        <color indexed="64"/>
      </bottom>
      <diagonal/>
    </border>
    <border>
      <left style="dashed">
        <color auto="1"/>
      </left>
      <right style="thin">
        <color auto="1"/>
      </right>
      <top style="double">
        <color auto="1"/>
      </top>
      <bottom style="medium">
        <color indexed="64"/>
      </bottom>
      <diagonal/>
    </border>
    <border>
      <left style="thin">
        <color auto="1"/>
      </left>
      <right style="dashed">
        <color auto="1"/>
      </right>
      <top style="double">
        <color auto="1"/>
      </top>
      <bottom style="medium">
        <color indexed="64"/>
      </bottom>
      <diagonal/>
    </border>
    <border>
      <left/>
      <right style="medium">
        <color indexed="64"/>
      </right>
      <top style="double">
        <color auto="1"/>
      </top>
      <bottom style="medium">
        <color indexed="64"/>
      </bottom>
      <diagonal/>
    </border>
    <border>
      <left style="dashed">
        <color auto="1"/>
      </left>
      <right style="medium">
        <color auto="1"/>
      </right>
      <top style="medium">
        <color auto="1"/>
      </top>
      <bottom style="mediumDashed">
        <color auto="1"/>
      </bottom>
      <diagonal/>
    </border>
    <border>
      <left style="dashed">
        <color auto="1"/>
      </left>
      <right style="medium">
        <color auto="1"/>
      </right>
      <top style="mediumDashed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medium">
        <color indexed="64"/>
      </bottom>
      <diagonal/>
    </border>
    <border>
      <left style="dashed">
        <color auto="1"/>
      </left>
      <right/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 style="dashed">
        <color auto="1"/>
      </right>
      <top style="medium">
        <color auto="1"/>
      </top>
      <bottom style="mediumDashed">
        <color auto="1"/>
      </bottom>
      <diagonal/>
    </border>
    <border>
      <left/>
      <right style="dashed">
        <color auto="1"/>
      </right>
      <top style="mediumDashed">
        <color auto="1"/>
      </top>
      <bottom style="thin">
        <color indexed="64"/>
      </bottom>
      <diagonal/>
    </border>
    <border>
      <left style="dashed">
        <color auto="1"/>
      </left>
      <right style="thin">
        <color auto="1"/>
      </right>
      <top/>
      <bottom style="thin">
        <color indexed="64"/>
      </bottom>
      <diagonal/>
    </border>
    <border>
      <left/>
      <right style="double">
        <color auto="1"/>
      </right>
      <top style="medium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dashed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dashed">
        <color auto="1"/>
      </right>
      <top style="medium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indexed="64"/>
      </top>
      <bottom style="medium">
        <color auto="1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 style="thin">
        <color indexed="64"/>
      </bottom>
      <diagonal/>
    </border>
    <border>
      <left style="dashed">
        <color auto="1"/>
      </left>
      <right style="double">
        <color auto="1"/>
      </right>
      <top style="medium">
        <color auto="1"/>
      </top>
      <bottom style="thin">
        <color indexed="64"/>
      </bottom>
      <diagonal/>
    </border>
    <border>
      <left style="dashed">
        <color auto="1"/>
      </left>
      <right style="thin">
        <color auto="1"/>
      </right>
      <top style="medium">
        <color auto="1"/>
      </top>
      <bottom style="thin">
        <color indexed="64"/>
      </bottom>
      <diagonal/>
    </border>
    <border>
      <left/>
      <right style="thin">
        <color auto="1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 style="double">
        <color indexed="64"/>
      </bottom>
      <diagonal/>
    </border>
    <border>
      <left style="dashed">
        <color indexed="64"/>
      </left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923">
    <xf numFmtId="0" fontId="0" fillId="0" borderId="0" xfId="0"/>
    <xf numFmtId="0" fontId="0" fillId="0" borderId="34" xfId="0" applyBorder="1" applyAlignment="1" applyProtection="1">
      <alignment horizontal="center" vertical="center" wrapText="1"/>
    </xf>
    <xf numFmtId="0" fontId="0" fillId="0" borderId="16" xfId="0" applyBorder="1" applyAlignment="1" applyProtection="1">
      <alignment horizontal="center" vertical="center" wrapText="1"/>
    </xf>
    <xf numFmtId="0" fontId="0" fillId="0" borderId="68" xfId="0" applyBorder="1" applyAlignment="1" applyProtection="1">
      <alignment horizontal="center" vertical="center" wrapText="1"/>
    </xf>
    <xf numFmtId="0" fontId="0" fillId="0" borderId="36" xfId="0" applyBorder="1" applyAlignment="1" applyProtection="1">
      <alignment horizontal="center" vertical="center" wrapText="1"/>
    </xf>
    <xf numFmtId="0" fontId="0" fillId="0" borderId="0" xfId="0" applyAlignment="1" applyProtection="1">
      <alignment vertical="center" wrapText="1"/>
    </xf>
    <xf numFmtId="164" fontId="0" fillId="0" borderId="44" xfId="0" applyNumberFormat="1" applyBorder="1" applyAlignment="1" applyProtection="1">
      <alignment vertical="center"/>
    </xf>
    <xf numFmtId="164" fontId="0" fillId="0" borderId="42" xfId="0" applyNumberFormat="1" applyBorder="1" applyAlignment="1" applyProtection="1">
      <alignment vertical="center"/>
    </xf>
    <xf numFmtId="164" fontId="0" fillId="0" borderId="47" xfId="0" applyNumberFormat="1" applyBorder="1" applyAlignment="1" applyProtection="1">
      <alignment vertical="center"/>
    </xf>
    <xf numFmtId="164" fontId="0" fillId="0" borderId="48" xfId="0" applyNumberFormat="1" applyBorder="1" applyAlignment="1" applyProtection="1">
      <alignment vertical="center"/>
    </xf>
    <xf numFmtId="164" fontId="0" fillId="0" borderId="50" xfId="0" applyNumberFormat="1" applyBorder="1" applyAlignment="1" applyProtection="1">
      <alignment vertical="center"/>
    </xf>
    <xf numFmtId="164" fontId="0" fillId="0" borderId="22" xfId="0" applyNumberFormat="1" applyBorder="1" applyAlignment="1" applyProtection="1">
      <alignment vertical="center"/>
    </xf>
    <xf numFmtId="164" fontId="0" fillId="0" borderId="53" xfId="0" applyNumberFormat="1" applyBorder="1" applyAlignment="1" applyProtection="1">
      <alignment vertical="center"/>
    </xf>
    <xf numFmtId="164" fontId="0" fillId="0" borderId="54" xfId="0" applyNumberFormat="1" applyBorder="1" applyAlignment="1" applyProtection="1">
      <alignment vertical="center"/>
    </xf>
    <xf numFmtId="164" fontId="0" fillId="0" borderId="58" xfId="0" applyNumberFormat="1" applyBorder="1" applyAlignment="1" applyProtection="1">
      <alignment vertical="center"/>
    </xf>
    <xf numFmtId="164" fontId="0" fillId="0" borderId="56" xfId="0" applyNumberFormat="1" applyBorder="1" applyAlignment="1" applyProtection="1">
      <alignment vertical="center"/>
    </xf>
    <xf numFmtId="164" fontId="0" fillId="0" borderId="61" xfId="0" applyNumberFormat="1" applyBorder="1" applyAlignment="1" applyProtection="1">
      <alignment vertical="center"/>
    </xf>
    <xf numFmtId="164" fontId="0" fillId="0" borderId="62" xfId="0" applyNumberFormat="1" applyBorder="1" applyAlignment="1" applyProtection="1">
      <alignment vertical="center"/>
    </xf>
    <xf numFmtId="164" fontId="0" fillId="7" borderId="42" xfId="0" applyNumberFormat="1" applyFill="1" applyBorder="1" applyAlignment="1" applyProtection="1">
      <alignment vertical="center"/>
      <protection locked="0"/>
    </xf>
    <xf numFmtId="0" fontId="0" fillId="7" borderId="42" xfId="0" applyFill="1" applyBorder="1" applyAlignment="1" applyProtection="1">
      <alignment horizontal="center" vertical="center"/>
      <protection locked="0"/>
    </xf>
    <xf numFmtId="0" fontId="0" fillId="7" borderId="43" xfId="0" applyFill="1" applyBorder="1" applyAlignment="1" applyProtection="1">
      <alignment horizontal="center" vertical="center"/>
      <protection locked="0"/>
    </xf>
    <xf numFmtId="0" fontId="0" fillId="3" borderId="10" xfId="0" applyFill="1" applyBorder="1" applyAlignment="1" applyProtection="1">
      <alignment vertical="center"/>
      <protection locked="0"/>
    </xf>
    <xf numFmtId="0" fontId="0" fillId="3" borderId="11" xfId="0" applyFill="1" applyBorder="1" applyAlignment="1" applyProtection="1">
      <alignment vertical="center"/>
      <protection locked="0"/>
    </xf>
    <xf numFmtId="0" fontId="0" fillId="3" borderId="55" xfId="0" applyFill="1" applyBorder="1" applyAlignment="1" applyProtection="1">
      <alignment vertical="center"/>
      <protection locked="0"/>
    </xf>
    <xf numFmtId="0" fontId="0" fillId="3" borderId="77" xfId="0" applyFill="1" applyBorder="1" applyAlignment="1" applyProtection="1">
      <alignment vertical="center"/>
      <protection locked="0"/>
    </xf>
    <xf numFmtId="0" fontId="0" fillId="7" borderId="78" xfId="0" applyFill="1" applyBorder="1" applyAlignment="1" applyProtection="1">
      <alignment vertical="center"/>
      <protection locked="0"/>
    </xf>
    <xf numFmtId="0" fontId="0" fillId="7" borderId="79" xfId="0" applyFill="1" applyBorder="1" applyAlignment="1" applyProtection="1">
      <alignment vertical="center"/>
      <protection locked="0"/>
    </xf>
    <xf numFmtId="164" fontId="0" fillId="0" borderId="80" xfId="0" applyNumberFormat="1" applyBorder="1" applyAlignment="1" applyProtection="1">
      <alignment vertical="center"/>
    </xf>
    <xf numFmtId="164" fontId="0" fillId="0" borderId="78" xfId="0" applyNumberFormat="1" applyBorder="1" applyAlignment="1" applyProtection="1">
      <alignment vertical="center"/>
    </xf>
    <xf numFmtId="164" fontId="0" fillId="0" borderId="81" xfId="0" applyNumberFormat="1" applyBorder="1" applyAlignment="1" applyProtection="1">
      <alignment vertical="center"/>
    </xf>
    <xf numFmtId="164" fontId="0" fillId="0" borderId="82" xfId="0" applyNumberFormat="1" applyBorder="1" applyAlignment="1" applyProtection="1">
      <alignment vertical="center"/>
    </xf>
    <xf numFmtId="164" fontId="0" fillId="0" borderId="83" xfId="0" applyNumberFormat="1" applyBorder="1" applyAlignment="1" applyProtection="1">
      <alignment vertical="center"/>
    </xf>
    <xf numFmtId="164" fontId="0" fillId="0" borderId="84" xfId="0" applyNumberFormat="1" applyBorder="1" applyAlignment="1" applyProtection="1">
      <alignment vertical="center"/>
    </xf>
    <xf numFmtId="164" fontId="0" fillId="0" borderId="85" xfId="0" applyNumberFormat="1" applyBorder="1" applyAlignment="1" applyProtection="1">
      <alignment vertical="center"/>
    </xf>
    <xf numFmtId="164" fontId="0" fillId="0" borderId="86" xfId="0" applyNumberFormat="1" applyBorder="1" applyAlignment="1" applyProtection="1">
      <alignment vertical="center"/>
    </xf>
    <xf numFmtId="0" fontId="6" fillId="0" borderId="87" xfId="0" applyFont="1" applyBorder="1" applyAlignment="1" applyProtection="1">
      <alignment horizontal="right" vertical="center"/>
    </xf>
    <xf numFmtId="164" fontId="6" fillId="5" borderId="88" xfId="0" applyNumberFormat="1" applyFont="1" applyFill="1" applyBorder="1" applyAlignment="1" applyProtection="1">
      <alignment vertical="center"/>
    </xf>
    <xf numFmtId="164" fontId="6" fillId="5" borderId="91" xfId="0" applyNumberFormat="1" applyFont="1" applyFill="1" applyBorder="1" applyAlignment="1" applyProtection="1">
      <alignment vertical="center"/>
    </xf>
    <xf numFmtId="164" fontId="6" fillId="5" borderId="93" xfId="0" applyNumberFormat="1" applyFont="1" applyFill="1" applyBorder="1" applyAlignment="1" applyProtection="1">
      <alignment vertical="center"/>
    </xf>
    <xf numFmtId="164" fontId="6" fillId="5" borderId="94" xfId="0" applyNumberFormat="1" applyFont="1" applyFill="1" applyBorder="1" applyAlignment="1" applyProtection="1">
      <alignment vertical="center"/>
    </xf>
    <xf numFmtId="164" fontId="6" fillId="5" borderId="95" xfId="0" applyNumberFormat="1" applyFont="1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2" borderId="27" xfId="0" applyFill="1" applyBorder="1" applyAlignment="1" applyProtection="1">
      <alignment vertical="center"/>
    </xf>
    <xf numFmtId="0" fontId="0" fillId="2" borderId="28" xfId="0" applyFill="1" applyBorder="1" applyAlignment="1" applyProtection="1">
      <alignment vertical="center"/>
    </xf>
    <xf numFmtId="0" fontId="0" fillId="2" borderId="69" xfId="0" applyFill="1" applyBorder="1" applyAlignment="1" applyProtection="1">
      <alignment vertical="center"/>
    </xf>
    <xf numFmtId="0" fontId="0" fillId="0" borderId="5" xfId="0" applyFill="1" applyBorder="1" applyAlignment="1" applyProtection="1">
      <alignment vertical="center"/>
    </xf>
    <xf numFmtId="0" fontId="0" fillId="2" borderId="0" xfId="0" applyFill="1" applyBorder="1" applyAlignment="1" applyProtection="1">
      <alignment vertical="center"/>
    </xf>
    <xf numFmtId="0" fontId="0" fillId="2" borderId="6" xfId="0" applyFill="1" applyBorder="1" applyAlignment="1" applyProtection="1">
      <alignment vertical="center"/>
    </xf>
    <xf numFmtId="0" fontId="0" fillId="2" borderId="5" xfId="0" applyFill="1" applyBorder="1" applyAlignment="1" applyProtection="1">
      <alignment vertical="center"/>
    </xf>
    <xf numFmtId="0" fontId="0" fillId="0" borderId="0" xfId="0" applyFont="1" applyAlignment="1" applyProtection="1">
      <alignment vertical="center"/>
    </xf>
    <xf numFmtId="0" fontId="7" fillId="0" borderId="2" xfId="0" applyFont="1" applyBorder="1" applyAlignment="1" applyProtection="1">
      <alignment horizontal="right" vertical="center"/>
    </xf>
    <xf numFmtId="164" fontId="7" fillId="5" borderId="96" xfId="0" applyNumberFormat="1" applyFont="1" applyFill="1" applyBorder="1" applyAlignment="1" applyProtection="1">
      <alignment vertical="center"/>
    </xf>
    <xf numFmtId="0" fontId="7" fillId="2" borderId="8" xfId="0" applyFont="1" applyFill="1" applyBorder="1" applyAlignment="1" applyProtection="1">
      <alignment vertical="center"/>
    </xf>
    <xf numFmtId="164" fontId="7" fillId="5" borderId="64" xfId="0" applyNumberFormat="1" applyFont="1" applyFill="1" applyBorder="1" applyAlignment="1" applyProtection="1">
      <alignment vertical="center"/>
    </xf>
    <xf numFmtId="164" fontId="7" fillId="5" borderId="65" xfId="0" applyNumberFormat="1" applyFont="1" applyFill="1" applyBorder="1" applyAlignment="1" applyProtection="1">
      <alignment vertical="center"/>
    </xf>
    <xf numFmtId="164" fontId="7" fillId="5" borderId="67" xfId="0" applyNumberFormat="1" applyFont="1" applyFill="1" applyBorder="1" applyAlignment="1" applyProtection="1">
      <alignment vertical="center"/>
    </xf>
    <xf numFmtId="164" fontId="2" fillId="6" borderId="97" xfId="0" applyNumberFormat="1" applyFont="1" applyFill="1" applyBorder="1" applyAlignment="1" applyProtection="1">
      <alignment vertical="center"/>
    </xf>
    <xf numFmtId="164" fontId="2" fillId="6" borderId="63" xfId="0" applyNumberFormat="1" applyFont="1" applyFill="1" applyBorder="1" applyAlignment="1" applyProtection="1">
      <alignment vertical="center"/>
    </xf>
    <xf numFmtId="164" fontId="2" fillId="6" borderId="64" xfId="0" applyNumberFormat="1" applyFont="1" applyFill="1" applyBorder="1" applyAlignment="1" applyProtection="1">
      <alignment vertical="center"/>
    </xf>
    <xf numFmtId="164" fontId="2" fillId="6" borderId="66" xfId="0" applyNumberFormat="1" applyFont="1" applyFill="1" applyBorder="1" applyAlignment="1" applyProtection="1">
      <alignment vertical="center"/>
    </xf>
    <xf numFmtId="164" fontId="2" fillId="6" borderId="65" xfId="0" applyNumberFormat="1" applyFont="1" applyFill="1" applyBorder="1" applyAlignment="1" applyProtection="1">
      <alignment vertical="center"/>
    </xf>
    <xf numFmtId="164" fontId="2" fillId="6" borderId="67" xfId="0" applyNumberFormat="1" applyFont="1" applyFill="1" applyBorder="1" applyAlignment="1" applyProtection="1">
      <alignment vertical="center"/>
    </xf>
    <xf numFmtId="164" fontId="2" fillId="6" borderId="4" xfId="0" applyNumberFormat="1" applyFont="1" applyFill="1" applyBorder="1" applyAlignment="1" applyProtection="1">
      <alignment vertical="center"/>
    </xf>
    <xf numFmtId="0" fontId="2" fillId="2" borderId="8" xfId="0" applyFont="1" applyFill="1" applyBorder="1" applyAlignment="1" applyProtection="1">
      <alignment vertical="center"/>
    </xf>
    <xf numFmtId="0" fontId="0" fillId="2" borderId="2" xfId="0" applyFill="1" applyBorder="1" applyAlignment="1" applyProtection="1">
      <alignment vertical="center"/>
    </xf>
    <xf numFmtId="0" fontId="0" fillId="2" borderId="3" xfId="0" applyFill="1" applyBorder="1" applyAlignment="1" applyProtection="1">
      <alignment vertical="center"/>
    </xf>
    <xf numFmtId="0" fontId="0" fillId="2" borderId="4" xfId="0" applyFill="1" applyBorder="1" applyAlignment="1" applyProtection="1">
      <alignment vertical="center"/>
    </xf>
    <xf numFmtId="164" fontId="7" fillId="5" borderId="88" xfId="0" applyNumberFormat="1" applyFont="1" applyFill="1" applyBorder="1" applyAlignment="1" applyProtection="1">
      <alignment vertical="center"/>
    </xf>
    <xf numFmtId="164" fontId="7" fillId="5" borderId="91" xfId="0" applyNumberFormat="1" applyFont="1" applyFill="1" applyBorder="1" applyAlignment="1" applyProtection="1">
      <alignment vertical="center"/>
    </xf>
    <xf numFmtId="164" fontId="7" fillId="5" borderId="93" xfId="0" applyNumberFormat="1" applyFont="1" applyFill="1" applyBorder="1" applyAlignment="1" applyProtection="1">
      <alignment vertical="center"/>
    </xf>
    <xf numFmtId="164" fontId="7" fillId="5" borderId="94" xfId="0" applyNumberFormat="1" applyFont="1" applyFill="1" applyBorder="1" applyAlignment="1" applyProtection="1">
      <alignment vertical="center"/>
    </xf>
    <xf numFmtId="164" fontId="7" fillId="5" borderId="95" xfId="0" applyNumberFormat="1" applyFont="1" applyFill="1" applyBorder="1" applyAlignment="1" applyProtection="1">
      <alignment vertical="center"/>
    </xf>
    <xf numFmtId="164" fontId="0" fillId="0" borderId="45" xfId="0" applyNumberFormat="1" applyFill="1" applyBorder="1" applyAlignment="1" applyProtection="1">
      <alignment vertical="center"/>
    </xf>
    <xf numFmtId="164" fontId="0" fillId="0" borderId="46" xfId="0" applyNumberFormat="1" applyFill="1" applyBorder="1" applyAlignment="1" applyProtection="1">
      <alignment vertical="center"/>
    </xf>
    <xf numFmtId="164" fontId="0" fillId="0" borderId="42" xfId="0" applyNumberFormat="1" applyFill="1" applyBorder="1" applyAlignment="1" applyProtection="1">
      <alignment vertical="center"/>
    </xf>
    <xf numFmtId="164" fontId="0" fillId="0" borderId="74" xfId="0" applyNumberFormat="1" applyFill="1" applyBorder="1" applyAlignment="1" applyProtection="1">
      <alignment vertical="center"/>
    </xf>
    <xf numFmtId="164" fontId="0" fillId="0" borderId="51" xfId="0" applyNumberFormat="1" applyFill="1" applyBorder="1" applyAlignment="1" applyProtection="1">
      <alignment vertical="center"/>
    </xf>
    <xf numFmtId="164" fontId="0" fillId="0" borderId="52" xfId="0" applyNumberFormat="1" applyFill="1" applyBorder="1" applyAlignment="1" applyProtection="1">
      <alignment vertical="center"/>
    </xf>
    <xf numFmtId="164" fontId="0" fillId="0" borderId="22" xfId="0" applyNumberFormat="1" applyFill="1" applyBorder="1" applyAlignment="1" applyProtection="1">
      <alignment vertical="center"/>
    </xf>
    <xf numFmtId="164" fontId="0" fillId="0" borderId="75" xfId="0" applyNumberFormat="1" applyFill="1" applyBorder="1" applyAlignment="1" applyProtection="1">
      <alignment vertical="center"/>
    </xf>
    <xf numFmtId="164" fontId="0" fillId="0" borderId="59" xfId="0" applyNumberFormat="1" applyFill="1" applyBorder="1" applyAlignment="1" applyProtection="1">
      <alignment vertical="center"/>
    </xf>
    <xf numFmtId="164" fontId="0" fillId="0" borderId="60" xfId="0" applyNumberFormat="1" applyFill="1" applyBorder="1" applyAlignment="1" applyProtection="1">
      <alignment vertical="center"/>
    </xf>
    <xf numFmtId="164" fontId="0" fillId="0" borderId="56" xfId="0" applyNumberFormat="1" applyFill="1" applyBorder="1" applyAlignment="1" applyProtection="1">
      <alignment vertical="center"/>
    </xf>
    <xf numFmtId="164" fontId="0" fillId="0" borderId="76" xfId="0" applyNumberFormat="1" applyFill="1" applyBorder="1" applyAlignment="1" applyProtection="1">
      <alignment vertical="center"/>
    </xf>
    <xf numFmtId="0" fontId="0" fillId="3" borderId="19" xfId="0" applyFill="1" applyBorder="1" applyAlignment="1" applyProtection="1">
      <alignment horizontal="left" vertical="center" wrapText="1"/>
      <protection locked="0"/>
    </xf>
    <xf numFmtId="0" fontId="0" fillId="3" borderId="20" xfId="0" applyFill="1" applyBorder="1" applyAlignment="1" applyProtection="1">
      <alignment wrapText="1"/>
      <protection locked="0"/>
    </xf>
    <xf numFmtId="0" fontId="0" fillId="3" borderId="22" xfId="0" applyFill="1" applyBorder="1" applyAlignment="1" applyProtection="1">
      <alignment horizontal="left" vertical="center" wrapText="1"/>
      <protection locked="0"/>
    </xf>
    <xf numFmtId="0" fontId="0" fillId="3" borderId="23" xfId="0" applyFill="1" applyBorder="1" applyAlignment="1" applyProtection="1">
      <alignment wrapText="1"/>
      <protection locked="0"/>
    </xf>
    <xf numFmtId="0" fontId="0" fillId="3" borderId="56" xfId="0" applyFill="1" applyBorder="1" applyAlignment="1" applyProtection="1">
      <alignment horizontal="left" vertical="center" wrapText="1"/>
      <protection locked="0"/>
    </xf>
    <xf numFmtId="0" fontId="0" fillId="3" borderId="100" xfId="0" applyFill="1" applyBorder="1" applyAlignment="1" applyProtection="1">
      <alignment wrapText="1"/>
      <protection locked="0"/>
    </xf>
    <xf numFmtId="0" fontId="0" fillId="3" borderId="14" xfId="0" applyFill="1" applyBorder="1" applyAlignment="1" applyProtection="1">
      <alignment vertical="center"/>
      <protection locked="0"/>
    </xf>
    <xf numFmtId="0" fontId="0" fillId="3" borderId="13" xfId="0" applyFill="1" applyBorder="1" applyAlignment="1" applyProtection="1">
      <alignment vertical="center" wrapText="1"/>
      <protection locked="0"/>
    </xf>
    <xf numFmtId="0" fontId="0" fillId="3" borderId="13" xfId="0" applyFill="1" applyBorder="1" applyAlignment="1" applyProtection="1">
      <alignment vertical="center"/>
      <protection locked="0"/>
    </xf>
    <xf numFmtId="14" fontId="0" fillId="3" borderId="103" xfId="0" applyNumberFormat="1" applyFill="1" applyBorder="1" applyAlignment="1" applyProtection="1">
      <alignment vertical="center"/>
      <protection locked="0"/>
    </xf>
    <xf numFmtId="0" fontId="0" fillId="3" borderId="110" xfId="0" applyFill="1" applyBorder="1" applyAlignment="1" applyProtection="1">
      <alignment vertical="center"/>
      <protection locked="0"/>
    </xf>
    <xf numFmtId="0" fontId="0" fillId="3" borderId="21" xfId="0" applyFill="1" applyBorder="1" applyAlignment="1" applyProtection="1">
      <alignment vertical="center"/>
      <protection locked="0"/>
    </xf>
    <xf numFmtId="164" fontId="0" fillId="7" borderId="22" xfId="0" applyNumberFormat="1" applyFill="1" applyBorder="1" applyAlignment="1" applyProtection="1">
      <alignment vertical="center"/>
      <protection locked="0"/>
    </xf>
    <xf numFmtId="0" fontId="0" fillId="7" borderId="22" xfId="0" applyFill="1" applyBorder="1" applyAlignment="1" applyProtection="1">
      <alignment horizontal="center" vertical="center"/>
      <protection locked="0"/>
    </xf>
    <xf numFmtId="0" fontId="0" fillId="7" borderId="49" xfId="0" applyFill="1" applyBorder="1" applyAlignment="1" applyProtection="1">
      <alignment horizontal="center" vertical="center"/>
      <protection locked="0"/>
    </xf>
    <xf numFmtId="0" fontId="0" fillId="3" borderId="101" xfId="0" applyFill="1" applyBorder="1" applyAlignment="1" applyProtection="1">
      <alignment vertical="center"/>
      <protection locked="0"/>
    </xf>
    <xf numFmtId="164" fontId="0" fillId="7" borderId="56" xfId="0" applyNumberFormat="1" applyFill="1" applyBorder="1" applyAlignment="1" applyProtection="1">
      <alignment vertical="center"/>
      <protection locked="0"/>
    </xf>
    <xf numFmtId="0" fontId="0" fillId="7" borderId="56" xfId="0" applyFill="1" applyBorder="1" applyAlignment="1" applyProtection="1">
      <alignment horizontal="center" vertical="center"/>
      <protection locked="0"/>
    </xf>
    <xf numFmtId="0" fontId="0" fillId="7" borderId="57" xfId="0" applyFill="1" applyBorder="1" applyAlignment="1" applyProtection="1">
      <alignment horizontal="center" vertical="center"/>
      <protection locked="0"/>
    </xf>
    <xf numFmtId="0" fontId="0" fillId="3" borderId="109" xfId="0" applyFill="1" applyBorder="1" applyAlignment="1" applyProtection="1">
      <alignment vertical="center"/>
      <protection locked="0"/>
    </xf>
    <xf numFmtId="164" fontId="0" fillId="7" borderId="78" xfId="0" applyNumberFormat="1" applyFill="1" applyBorder="1" applyAlignment="1" applyProtection="1">
      <alignment vertical="center"/>
      <protection locked="0"/>
    </xf>
    <xf numFmtId="0" fontId="0" fillId="7" borderId="121" xfId="0" applyFill="1" applyBorder="1" applyAlignment="1" applyProtection="1">
      <alignment horizontal="center" vertical="center"/>
      <protection locked="0"/>
    </xf>
    <xf numFmtId="0" fontId="0" fillId="7" borderId="120" xfId="0" applyFill="1" applyBorder="1" applyAlignment="1" applyProtection="1">
      <alignment horizontal="center" vertical="center"/>
      <protection locked="0"/>
    </xf>
    <xf numFmtId="164" fontId="0" fillId="7" borderId="42" xfId="0" applyNumberFormat="1" applyFill="1" applyBorder="1" applyAlignment="1" applyProtection="1">
      <alignment horizontal="right" vertical="center"/>
      <protection locked="0"/>
    </xf>
    <xf numFmtId="164" fontId="0" fillId="7" borderId="22" xfId="0" applyNumberFormat="1" applyFill="1" applyBorder="1" applyAlignment="1" applyProtection="1">
      <alignment horizontal="right" vertical="center"/>
      <protection locked="0"/>
    </xf>
    <xf numFmtId="164" fontId="0" fillId="7" borderId="56" xfId="0" applyNumberFormat="1" applyFill="1" applyBorder="1" applyAlignment="1" applyProtection="1">
      <alignment horizontal="right" vertical="center"/>
      <protection locked="0"/>
    </xf>
    <xf numFmtId="164" fontId="0" fillId="7" borderId="126" xfId="0" applyNumberFormat="1" applyFill="1" applyBorder="1" applyAlignment="1" applyProtection="1">
      <alignment vertical="center"/>
      <protection locked="0"/>
    </xf>
    <xf numFmtId="164" fontId="0" fillId="0" borderId="126" xfId="0" applyNumberFormat="1" applyBorder="1" applyAlignment="1" applyProtection="1">
      <alignment vertical="center"/>
    </xf>
    <xf numFmtId="164" fontId="0" fillId="0" borderId="126" xfId="0" applyNumberFormat="1" applyFill="1" applyBorder="1" applyAlignment="1" applyProtection="1">
      <alignment vertical="center"/>
    </xf>
    <xf numFmtId="0" fontId="0" fillId="0" borderId="24" xfId="0" applyBorder="1" applyAlignment="1" applyProtection="1">
      <alignment horizontal="center" vertical="center" wrapText="1"/>
    </xf>
    <xf numFmtId="0" fontId="0" fillId="0" borderId="42" xfId="0" applyFill="1" applyBorder="1" applyAlignment="1" applyProtection="1">
      <alignment horizontal="center" vertical="center"/>
    </xf>
    <xf numFmtId="0" fontId="0" fillId="0" borderId="43" xfId="0" applyFill="1" applyBorder="1" applyAlignment="1" applyProtection="1">
      <alignment horizontal="center" vertical="center"/>
    </xf>
    <xf numFmtId="0" fontId="0" fillId="0" borderId="22" xfId="0" applyFill="1" applyBorder="1" applyAlignment="1" applyProtection="1">
      <alignment horizontal="center" vertical="center"/>
    </xf>
    <xf numFmtId="0" fontId="0" fillId="0" borderId="121" xfId="0" applyFill="1" applyBorder="1" applyAlignment="1" applyProtection="1">
      <alignment horizontal="center" vertical="center"/>
    </xf>
    <xf numFmtId="0" fontId="0" fillId="0" borderId="120" xfId="0" applyFill="1" applyBorder="1" applyAlignment="1" applyProtection="1">
      <alignment horizontal="center" vertical="center"/>
    </xf>
    <xf numFmtId="0" fontId="0" fillId="0" borderId="110" xfId="0" applyFill="1" applyBorder="1" applyAlignment="1" applyProtection="1">
      <alignment vertical="center"/>
    </xf>
    <xf numFmtId="0" fontId="0" fillId="0" borderId="21" xfId="0" applyFill="1" applyBorder="1" applyAlignment="1" applyProtection="1">
      <alignment vertical="center"/>
    </xf>
    <xf numFmtId="0" fontId="0" fillId="0" borderId="109" xfId="0" applyFill="1" applyBorder="1" applyAlignment="1" applyProtection="1">
      <alignment vertical="center"/>
    </xf>
    <xf numFmtId="164" fontId="0" fillId="0" borderId="78" xfId="0" applyNumberFormat="1" applyFill="1" applyBorder="1" applyAlignment="1" applyProtection="1">
      <alignment vertical="center"/>
    </xf>
    <xf numFmtId="0" fontId="0" fillId="0" borderId="125" xfId="0" applyFill="1" applyBorder="1" applyAlignment="1" applyProtection="1">
      <alignment vertical="center"/>
    </xf>
    <xf numFmtId="0" fontId="0" fillId="0" borderId="126" xfId="0" applyFill="1" applyBorder="1" applyAlignment="1" applyProtection="1">
      <alignment horizontal="center" vertical="center"/>
    </xf>
    <xf numFmtId="0" fontId="0" fillId="0" borderId="127" xfId="0" applyFill="1" applyBorder="1" applyAlignment="1" applyProtection="1">
      <alignment horizontal="center" vertical="center"/>
    </xf>
    <xf numFmtId="0" fontId="7" fillId="2" borderId="9" xfId="0" applyFont="1" applyFill="1" applyBorder="1" applyAlignment="1" applyProtection="1">
      <alignment vertical="center"/>
    </xf>
    <xf numFmtId="0" fontId="0" fillId="3" borderId="154" xfId="0" applyFill="1" applyBorder="1" applyAlignment="1" applyProtection="1">
      <alignment vertical="center"/>
      <protection locked="0"/>
    </xf>
    <xf numFmtId="0" fontId="0" fillId="7" borderId="134" xfId="0" applyFill="1" applyBorder="1" applyAlignment="1" applyProtection="1">
      <alignment vertical="center"/>
      <protection locked="0"/>
    </xf>
    <xf numFmtId="0" fontId="0" fillId="7" borderId="135" xfId="0" applyFill="1" applyBorder="1" applyAlignment="1" applyProtection="1">
      <alignment vertical="center"/>
      <protection locked="0"/>
    </xf>
    <xf numFmtId="164" fontId="0" fillId="0" borderId="137" xfId="0" applyNumberFormat="1" applyBorder="1" applyAlignment="1" applyProtection="1">
      <alignment vertical="center"/>
    </xf>
    <xf numFmtId="164" fontId="0" fillId="0" borderId="134" xfId="0" applyNumberFormat="1" applyBorder="1" applyAlignment="1" applyProtection="1">
      <alignment vertical="center"/>
    </xf>
    <xf numFmtId="164" fontId="0" fillId="0" borderId="138" xfId="0" applyNumberFormat="1" applyFill="1" applyBorder="1" applyAlignment="1" applyProtection="1">
      <alignment vertical="center"/>
    </xf>
    <xf numFmtId="164" fontId="0" fillId="0" borderId="139" xfId="0" applyNumberFormat="1" applyFill="1" applyBorder="1" applyAlignment="1" applyProtection="1">
      <alignment vertical="center"/>
    </xf>
    <xf numFmtId="164" fontId="0" fillId="0" borderId="134" xfId="0" applyNumberFormat="1" applyFill="1" applyBorder="1" applyAlignment="1" applyProtection="1">
      <alignment vertical="center"/>
    </xf>
    <xf numFmtId="164" fontId="0" fillId="0" borderId="155" xfId="0" applyNumberFormat="1" applyFill="1" applyBorder="1" applyAlignment="1" applyProtection="1">
      <alignment vertical="center"/>
    </xf>
    <xf numFmtId="164" fontId="0" fillId="0" borderId="140" xfId="0" applyNumberFormat="1" applyBorder="1" applyAlignment="1" applyProtection="1">
      <alignment vertical="center"/>
    </xf>
    <xf numFmtId="164" fontId="0" fillId="0" borderId="141" xfId="0" applyNumberFormat="1" applyBorder="1" applyAlignment="1" applyProtection="1">
      <alignment vertical="center"/>
    </xf>
    <xf numFmtId="0" fontId="2" fillId="2" borderId="9" xfId="0" applyFont="1" applyFill="1" applyBorder="1" applyAlignment="1" applyProtection="1">
      <alignment vertical="center"/>
    </xf>
    <xf numFmtId="164" fontId="0" fillId="7" borderId="25" xfId="0" applyNumberFormat="1" applyFill="1" applyBorder="1" applyAlignment="1" applyProtection="1">
      <alignment vertical="center"/>
      <protection locked="0"/>
    </xf>
    <xf numFmtId="164" fontId="0" fillId="7" borderId="171" xfId="0" applyNumberFormat="1" applyFill="1" applyBorder="1" applyAlignment="1" applyProtection="1">
      <alignment vertical="center"/>
      <protection locked="0"/>
    </xf>
    <xf numFmtId="164" fontId="0" fillId="7" borderId="134" xfId="0" applyNumberFormat="1" applyFill="1" applyBorder="1" applyAlignment="1" applyProtection="1">
      <alignment vertical="center"/>
      <protection locked="0"/>
    </xf>
    <xf numFmtId="164" fontId="0" fillId="7" borderId="75" xfId="0" applyNumberFormat="1" applyFill="1" applyBorder="1" applyAlignment="1" applyProtection="1">
      <alignment vertical="center"/>
      <protection locked="0"/>
    </xf>
    <xf numFmtId="164" fontId="0" fillId="7" borderId="13" xfId="0" applyNumberFormat="1" applyFill="1" applyBorder="1" applyAlignment="1" applyProtection="1">
      <alignment vertical="center"/>
      <protection locked="0"/>
    </xf>
    <xf numFmtId="164" fontId="0" fillId="7" borderId="155" xfId="0" applyNumberFormat="1" applyFill="1" applyBorder="1" applyAlignment="1" applyProtection="1">
      <alignment vertical="center"/>
      <protection locked="0"/>
    </xf>
    <xf numFmtId="164" fontId="0" fillId="7" borderId="164" xfId="0" applyNumberFormat="1" applyFill="1" applyBorder="1" applyAlignment="1" applyProtection="1">
      <alignment vertical="center"/>
      <protection locked="0"/>
    </xf>
    <xf numFmtId="164" fontId="0" fillId="7" borderId="47" xfId="0" applyNumberFormat="1" applyFill="1" applyBorder="1" applyAlignment="1" applyProtection="1">
      <alignment vertical="center"/>
      <protection locked="0"/>
    </xf>
    <xf numFmtId="164" fontId="0" fillId="7" borderId="48" xfId="0" applyNumberFormat="1" applyFill="1" applyBorder="1" applyAlignment="1" applyProtection="1">
      <alignment vertical="center"/>
      <protection locked="0"/>
    </xf>
    <xf numFmtId="164" fontId="0" fillId="7" borderId="46" xfId="0" applyNumberFormat="1" applyFill="1" applyBorder="1" applyAlignment="1" applyProtection="1">
      <alignment vertical="center"/>
      <protection locked="0"/>
    </xf>
    <xf numFmtId="164" fontId="0" fillId="7" borderId="44" xfId="0" applyNumberFormat="1" applyFill="1" applyBorder="1" applyAlignment="1" applyProtection="1">
      <alignment vertical="center"/>
      <protection locked="0"/>
    </xf>
    <xf numFmtId="9" fontId="0" fillId="7" borderId="150" xfId="0" applyNumberFormat="1" applyFill="1" applyBorder="1" applyAlignment="1" applyProtection="1">
      <alignment vertical="center"/>
      <protection locked="0"/>
    </xf>
    <xf numFmtId="9" fontId="0" fillId="7" borderId="23" xfId="0" applyNumberFormat="1" applyFill="1" applyBorder="1" applyAlignment="1" applyProtection="1">
      <alignment vertical="center"/>
      <protection locked="0"/>
    </xf>
    <xf numFmtId="9" fontId="0" fillId="7" borderId="152" xfId="0" applyNumberFormat="1" applyFill="1" applyBorder="1" applyAlignment="1" applyProtection="1">
      <alignment vertical="center"/>
      <protection locked="0"/>
    </xf>
    <xf numFmtId="9" fontId="0" fillId="7" borderId="100" xfId="0" applyNumberFormat="1" applyFill="1" applyBorder="1" applyAlignment="1" applyProtection="1">
      <alignment vertical="center"/>
      <protection locked="0"/>
    </xf>
    <xf numFmtId="164" fontId="0" fillId="7" borderId="174" xfId="0" applyNumberFormat="1" applyFill="1" applyBorder="1" applyAlignment="1" applyProtection="1">
      <alignment vertical="center"/>
      <protection locked="0"/>
    </xf>
    <xf numFmtId="164" fontId="0" fillId="7" borderId="175" xfId="0" applyNumberFormat="1" applyFill="1" applyBorder="1" applyAlignment="1" applyProtection="1">
      <alignment vertical="center"/>
      <protection locked="0"/>
    </xf>
    <xf numFmtId="164" fontId="0" fillId="7" borderId="176" xfId="0" applyNumberFormat="1" applyFill="1" applyBorder="1" applyAlignment="1" applyProtection="1">
      <alignment vertical="center"/>
      <protection locked="0"/>
    </xf>
    <xf numFmtId="9" fontId="0" fillId="0" borderId="5" xfId="0" applyNumberFormat="1" applyFill="1" applyBorder="1" applyAlignment="1" applyProtection="1">
      <alignment vertical="center"/>
    </xf>
    <xf numFmtId="9" fontId="0" fillId="0" borderId="7" xfId="0" applyNumberFormat="1" applyFill="1" applyBorder="1" applyAlignment="1" applyProtection="1">
      <alignment vertical="center"/>
    </xf>
    <xf numFmtId="0" fontId="0" fillId="0" borderId="10" xfId="0" quotePrefix="1" applyBorder="1" applyAlignment="1" applyProtection="1">
      <alignment horizontal="right" vertical="center"/>
    </xf>
    <xf numFmtId="0" fontId="0" fillId="0" borderId="154" xfId="0" quotePrefix="1" applyBorder="1" applyAlignment="1" applyProtection="1">
      <alignment horizontal="right" vertical="center"/>
    </xf>
    <xf numFmtId="164" fontId="0" fillId="0" borderId="176" xfId="0" applyNumberFormat="1" applyBorder="1" applyAlignment="1" applyProtection="1">
      <alignment vertical="center"/>
    </xf>
    <xf numFmtId="164" fontId="0" fillId="0" borderId="139" xfId="0" applyNumberFormat="1" applyBorder="1" applyAlignment="1" applyProtection="1">
      <alignment vertical="center"/>
    </xf>
    <xf numFmtId="0" fontId="0" fillId="0" borderId="5" xfId="0" applyFill="1" applyBorder="1" applyAlignment="1" applyProtection="1"/>
    <xf numFmtId="0" fontId="0" fillId="0" borderId="0" xfId="0" applyFill="1" applyBorder="1" applyAlignment="1" applyProtection="1"/>
    <xf numFmtId="0" fontId="0" fillId="0" borderId="156" xfId="0" applyFill="1" applyBorder="1" applyAlignment="1" applyProtection="1"/>
    <xf numFmtId="0" fontId="0" fillId="0" borderId="80" xfId="0" applyFill="1" applyBorder="1" applyAlignment="1" applyProtection="1"/>
    <xf numFmtId="0" fontId="0" fillId="0" borderId="78" xfId="0" applyFill="1" applyBorder="1" applyAlignment="1" applyProtection="1"/>
    <xf numFmtId="0" fontId="0" fillId="0" borderId="81" xfId="0" applyFill="1" applyBorder="1" applyAlignment="1" applyProtection="1"/>
    <xf numFmtId="0" fontId="0" fillId="0" borderId="85" xfId="0" applyFill="1" applyBorder="1" applyAlignment="1" applyProtection="1"/>
    <xf numFmtId="0" fontId="0" fillId="0" borderId="169" xfId="0" applyFill="1" applyBorder="1" applyAlignment="1" applyProtection="1"/>
    <xf numFmtId="0" fontId="0" fillId="0" borderId="84" xfId="0" applyFill="1" applyBorder="1" applyAlignment="1" applyProtection="1"/>
    <xf numFmtId="0" fontId="0" fillId="0" borderId="86" xfId="0" applyFill="1" applyBorder="1" applyAlignment="1" applyProtection="1"/>
    <xf numFmtId="0" fontId="0" fillId="0" borderId="0" xfId="0" applyProtection="1"/>
    <xf numFmtId="8" fontId="0" fillId="9" borderId="34" xfId="0" applyNumberFormat="1" applyFill="1" applyBorder="1" applyAlignment="1" applyProtection="1">
      <alignment vertical="center"/>
    </xf>
    <xf numFmtId="8" fontId="0" fillId="9" borderId="16" xfId="0" applyNumberFormat="1" applyFill="1" applyBorder="1" applyAlignment="1" applyProtection="1">
      <alignment vertical="center"/>
    </xf>
    <xf numFmtId="8" fontId="0" fillId="9" borderId="68" xfId="0" applyNumberFormat="1" applyFill="1" applyBorder="1" applyAlignment="1" applyProtection="1">
      <alignment vertical="center"/>
    </xf>
    <xf numFmtId="8" fontId="6" fillId="9" borderId="37" xfId="0" applyNumberFormat="1" applyFont="1" applyFill="1" applyBorder="1" applyAlignment="1" applyProtection="1">
      <alignment vertical="center"/>
    </xf>
    <xf numFmtId="8" fontId="0" fillId="9" borderId="24" xfId="0" applyNumberFormat="1" applyFill="1" applyBorder="1" applyAlignment="1" applyProtection="1">
      <alignment vertical="center"/>
    </xf>
    <xf numFmtId="8" fontId="6" fillId="9" borderId="39" xfId="0" applyNumberFormat="1" applyFont="1" applyFill="1" applyBorder="1" applyAlignment="1" applyProtection="1">
      <alignment vertical="center"/>
    </xf>
    <xf numFmtId="8" fontId="6" fillId="9" borderId="38" xfId="0" applyNumberFormat="1" applyFont="1" applyFill="1" applyBorder="1" applyAlignment="1" applyProtection="1">
      <alignment vertical="center"/>
    </xf>
    <xf numFmtId="164" fontId="0" fillId="0" borderId="26" xfId="0" applyNumberFormat="1" applyBorder="1" applyAlignment="1" applyProtection="1">
      <alignment vertical="center"/>
    </xf>
    <xf numFmtId="164" fontId="0" fillId="0" borderId="174" xfId="0" applyNumberFormat="1" applyBorder="1" applyAlignment="1" applyProtection="1">
      <alignment vertical="center"/>
    </xf>
    <xf numFmtId="164" fontId="0" fillId="0" borderId="74" xfId="0" applyNumberFormat="1" applyBorder="1" applyAlignment="1" applyProtection="1">
      <alignment vertical="center"/>
    </xf>
    <xf numFmtId="164" fontId="0" fillId="0" borderId="166" xfId="0" applyNumberFormat="1" applyBorder="1" applyAlignment="1" applyProtection="1">
      <alignment vertical="center"/>
    </xf>
    <xf numFmtId="0" fontId="0" fillId="0" borderId="11" xfId="0" quotePrefix="1" applyBorder="1" applyAlignment="1" applyProtection="1">
      <alignment horizontal="right" vertical="center"/>
    </xf>
    <xf numFmtId="164" fontId="0" fillId="0" borderId="25" xfId="0" applyNumberFormat="1" applyBorder="1" applyAlignment="1" applyProtection="1">
      <alignment vertical="center"/>
    </xf>
    <xf numFmtId="164" fontId="0" fillId="0" borderId="175" xfId="0" applyNumberFormat="1" applyBorder="1" applyAlignment="1" applyProtection="1">
      <alignment vertical="center"/>
    </xf>
    <xf numFmtId="164" fontId="0" fillId="0" borderId="75" xfId="0" applyNumberFormat="1" applyBorder="1" applyAlignment="1" applyProtection="1">
      <alignment vertical="center"/>
    </xf>
    <xf numFmtId="164" fontId="0" fillId="0" borderId="13" xfId="0" applyNumberFormat="1" applyBorder="1" applyAlignment="1" applyProtection="1">
      <alignment vertical="center"/>
    </xf>
    <xf numFmtId="0" fontId="0" fillId="0" borderId="142" xfId="0" applyFill="1" applyBorder="1" applyAlignment="1" applyProtection="1"/>
    <xf numFmtId="0" fontId="0" fillId="0" borderId="126" xfId="0" applyFill="1" applyBorder="1" applyAlignment="1" applyProtection="1"/>
    <xf numFmtId="0" fontId="0" fillId="0" borderId="177" xfId="0" applyFill="1" applyBorder="1" applyAlignment="1" applyProtection="1"/>
    <xf numFmtId="0" fontId="0" fillId="0" borderId="131" xfId="0" applyFill="1" applyBorder="1" applyAlignment="1" applyProtection="1"/>
    <xf numFmtId="0" fontId="0" fillId="0" borderId="106" xfId="0" applyFill="1" applyBorder="1" applyAlignment="1" applyProtection="1"/>
    <xf numFmtId="0" fontId="0" fillId="0" borderId="6" xfId="0" applyFill="1" applyBorder="1" applyAlignment="1" applyProtection="1"/>
    <xf numFmtId="0" fontId="0" fillId="0" borderId="0" xfId="0" applyFill="1" applyProtection="1"/>
    <xf numFmtId="8" fontId="6" fillId="9" borderId="98" xfId="0" applyNumberFormat="1" applyFont="1" applyFill="1" applyBorder="1" applyAlignment="1" applyProtection="1">
      <alignment vertical="center"/>
    </xf>
    <xf numFmtId="164" fontId="0" fillId="0" borderId="171" xfId="0" applyNumberFormat="1" applyBorder="1" applyAlignment="1" applyProtection="1">
      <alignment vertical="center"/>
    </xf>
    <xf numFmtId="164" fontId="0" fillId="0" borderId="155" xfId="0" applyNumberFormat="1" applyBorder="1" applyAlignment="1" applyProtection="1">
      <alignment vertical="center"/>
    </xf>
    <xf numFmtId="164" fontId="0" fillId="0" borderId="164" xfId="0" applyNumberFormat="1" applyBorder="1" applyAlignment="1" applyProtection="1">
      <alignment vertical="center"/>
    </xf>
    <xf numFmtId="0" fontId="0" fillId="0" borderId="5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156" xfId="0" applyFill="1" applyBorder="1" applyAlignment="1" applyProtection="1">
      <alignment horizontal="left" vertical="center"/>
    </xf>
    <xf numFmtId="164" fontId="0" fillId="0" borderId="142" xfId="0" applyNumberFormat="1" applyFill="1" applyBorder="1" applyAlignment="1" applyProtection="1">
      <alignment vertical="center"/>
    </xf>
    <xf numFmtId="164" fontId="0" fillId="0" borderId="177" xfId="0" applyNumberFormat="1" applyFill="1" applyBorder="1" applyAlignment="1" applyProtection="1">
      <alignment vertical="center"/>
    </xf>
    <xf numFmtId="164" fontId="6" fillId="0" borderId="131" xfId="0" applyNumberFormat="1" applyFont="1" applyFill="1" applyBorder="1" applyAlignment="1" applyProtection="1">
      <alignment vertical="center"/>
    </xf>
    <xf numFmtId="164" fontId="6" fillId="0" borderId="106" xfId="0" applyNumberFormat="1" applyFont="1" applyFill="1" applyBorder="1" applyAlignment="1" applyProtection="1">
      <alignment vertical="center"/>
    </xf>
    <xf numFmtId="164" fontId="6" fillId="0" borderId="6" xfId="0" applyNumberFormat="1" applyFont="1" applyFill="1" applyBorder="1" applyAlignment="1" applyProtection="1">
      <alignment vertical="center"/>
    </xf>
    <xf numFmtId="0" fontId="0" fillId="0" borderId="184" xfId="0" quotePrefix="1" applyBorder="1" applyAlignment="1" applyProtection="1">
      <alignment horizontal="right" vertical="center"/>
    </xf>
    <xf numFmtId="164" fontId="0" fillId="0" borderId="187" xfId="0" applyNumberFormat="1" applyBorder="1" applyAlignment="1" applyProtection="1">
      <alignment vertical="center"/>
    </xf>
    <xf numFmtId="164" fontId="0" fillId="0" borderId="185" xfId="0" applyNumberFormat="1" applyBorder="1" applyAlignment="1" applyProtection="1">
      <alignment vertical="center"/>
    </xf>
    <xf numFmtId="164" fontId="0" fillId="0" borderId="165" xfId="0" applyNumberFormat="1" applyBorder="1" applyAlignment="1" applyProtection="1">
      <alignment vertical="center"/>
    </xf>
    <xf numFmtId="164" fontId="0" fillId="0" borderId="168" xfId="0" applyNumberFormat="1" applyBorder="1" applyAlignment="1" applyProtection="1">
      <alignment vertical="center"/>
    </xf>
    <xf numFmtId="164" fontId="0" fillId="0" borderId="188" xfId="0" applyNumberFormat="1" applyBorder="1" applyAlignment="1" applyProtection="1">
      <alignment vertical="center"/>
    </xf>
    <xf numFmtId="0" fontId="0" fillId="0" borderId="7" xfId="0" applyBorder="1" applyProtection="1"/>
    <xf numFmtId="0" fontId="0" fillId="0" borderId="8" xfId="0" applyBorder="1" applyProtection="1"/>
    <xf numFmtId="0" fontId="0" fillId="0" borderId="159" xfId="0" applyBorder="1" applyProtection="1"/>
    <xf numFmtId="0" fontId="0" fillId="0" borderId="179" xfId="0" applyBorder="1" applyProtection="1"/>
    <xf numFmtId="0" fontId="0" fillId="0" borderId="172" xfId="0" applyBorder="1" applyProtection="1"/>
    <xf numFmtId="0" fontId="0" fillId="0" borderId="178" xfId="0" applyBorder="1" applyProtection="1"/>
    <xf numFmtId="0" fontId="0" fillId="0" borderId="193" xfId="0" applyBorder="1" applyProtection="1"/>
    <xf numFmtId="0" fontId="0" fillId="0" borderId="189" xfId="0" applyBorder="1" applyProtection="1"/>
    <xf numFmtId="0" fontId="0" fillId="0" borderId="121" xfId="0" applyBorder="1" applyProtection="1"/>
    <xf numFmtId="0" fontId="0" fillId="0" borderId="192" xfId="0" applyBorder="1" applyProtection="1"/>
    <xf numFmtId="0" fontId="0" fillId="0" borderId="194" xfId="0" applyBorder="1" applyProtection="1"/>
    <xf numFmtId="0" fontId="0" fillId="0" borderId="170" xfId="0" applyBorder="1" applyProtection="1"/>
    <xf numFmtId="0" fontId="0" fillId="0" borderId="190" xfId="0" applyBorder="1" applyProtection="1"/>
    <xf numFmtId="8" fontId="12" fillId="5" borderId="182" xfId="0" applyNumberFormat="1" applyFont="1" applyFill="1" applyBorder="1" applyAlignment="1" applyProtection="1">
      <alignment vertical="center"/>
    </xf>
    <xf numFmtId="8" fontId="12" fillId="5" borderId="63" xfId="0" applyNumberFormat="1" applyFont="1" applyFill="1" applyBorder="1" applyAlignment="1" applyProtection="1">
      <alignment vertical="center"/>
    </xf>
    <xf numFmtId="8" fontId="12" fillId="5" borderId="191" xfId="0" applyNumberFormat="1" applyFont="1" applyFill="1" applyBorder="1" applyAlignment="1" applyProtection="1">
      <alignment vertical="center"/>
    </xf>
    <xf numFmtId="8" fontId="2" fillId="5" borderId="65" xfId="0" applyNumberFormat="1" applyFont="1" applyFill="1" applyBorder="1" applyAlignment="1" applyProtection="1">
      <alignment vertical="center"/>
    </xf>
    <xf numFmtId="8" fontId="2" fillId="5" borderId="183" xfId="0" applyNumberFormat="1" applyFont="1" applyFill="1" applyBorder="1" applyAlignment="1" applyProtection="1">
      <alignment vertical="center"/>
    </xf>
    <xf numFmtId="8" fontId="2" fillId="5" borderId="4" xfId="0" applyNumberFormat="1" applyFont="1" applyFill="1" applyBorder="1" applyAlignment="1" applyProtection="1">
      <alignment vertical="center"/>
    </xf>
    <xf numFmtId="164" fontId="0" fillId="0" borderId="197" xfId="0" applyNumberFormat="1" applyBorder="1" applyAlignment="1" applyProtection="1">
      <alignment vertical="center"/>
    </xf>
    <xf numFmtId="164" fontId="0" fillId="0" borderId="196" xfId="0" applyNumberFormat="1" applyBorder="1" applyAlignment="1" applyProtection="1">
      <alignment vertical="center"/>
    </xf>
    <xf numFmtId="164" fontId="0" fillId="0" borderId="198" xfId="0" applyNumberFormat="1" applyBorder="1" applyAlignment="1" applyProtection="1">
      <alignment vertical="center"/>
    </xf>
    <xf numFmtId="164" fontId="0" fillId="0" borderId="199" xfId="0" applyNumberFormat="1" applyBorder="1" applyAlignment="1" applyProtection="1">
      <alignment vertical="center"/>
    </xf>
    <xf numFmtId="164" fontId="0" fillId="0" borderId="180" xfId="0" applyNumberFormat="1" applyBorder="1" applyAlignment="1" applyProtection="1">
      <alignment vertical="center"/>
    </xf>
    <xf numFmtId="164" fontId="0" fillId="0" borderId="12" xfId="0" applyNumberFormat="1" applyBorder="1" applyAlignment="1" applyProtection="1">
      <alignment vertical="center"/>
    </xf>
    <xf numFmtId="164" fontId="0" fillId="0" borderId="200" xfId="0" applyNumberFormat="1" applyBorder="1" applyAlignment="1" applyProtection="1">
      <alignment vertical="center"/>
    </xf>
    <xf numFmtId="164" fontId="0" fillId="0" borderId="203" xfId="0" applyNumberFormat="1" applyBorder="1" applyAlignment="1" applyProtection="1">
      <alignment vertical="center"/>
    </xf>
    <xf numFmtId="164" fontId="0" fillId="0" borderId="102" xfId="0" applyNumberFormat="1" applyBorder="1" applyAlignment="1" applyProtection="1">
      <alignment vertical="center"/>
    </xf>
    <xf numFmtId="164" fontId="0" fillId="0" borderId="104" xfId="0" applyNumberFormat="1" applyBorder="1" applyAlignment="1" applyProtection="1">
      <alignment vertical="center"/>
    </xf>
    <xf numFmtId="164" fontId="0" fillId="0" borderId="206" xfId="0" applyNumberFormat="1" applyBorder="1" applyAlignment="1" applyProtection="1">
      <alignment vertical="center"/>
    </xf>
    <xf numFmtId="164" fontId="0" fillId="0" borderId="1" xfId="0" applyNumberFormat="1" applyBorder="1" applyAlignment="1" applyProtection="1">
      <alignment vertical="center"/>
    </xf>
    <xf numFmtId="164" fontId="0" fillId="0" borderId="107" xfId="0" applyNumberFormat="1" applyBorder="1" applyAlignment="1" applyProtection="1">
      <alignment vertical="center"/>
    </xf>
    <xf numFmtId="164" fontId="0" fillId="0" borderId="153" xfId="0" applyNumberFormat="1" applyBorder="1" applyAlignment="1" applyProtection="1">
      <alignment vertical="center"/>
    </xf>
    <xf numFmtId="164" fontId="6" fillId="5" borderId="173" xfId="0" applyNumberFormat="1" applyFont="1" applyFill="1" applyBorder="1" applyAlignment="1" applyProtection="1">
      <alignment vertical="center"/>
    </xf>
    <xf numFmtId="164" fontId="6" fillId="0" borderId="204" xfId="0" applyNumberFormat="1" applyFont="1" applyBorder="1" applyAlignment="1" applyProtection="1">
      <alignment vertical="center"/>
    </xf>
    <xf numFmtId="164" fontId="6" fillId="5" borderId="205" xfId="0" applyNumberFormat="1" applyFont="1" applyFill="1" applyBorder="1" applyAlignment="1" applyProtection="1">
      <alignment vertical="center"/>
    </xf>
    <xf numFmtId="164" fontId="6" fillId="5" borderId="190" xfId="0" applyNumberFormat="1" applyFont="1" applyFill="1" applyBorder="1" applyAlignment="1" applyProtection="1">
      <alignment vertical="center"/>
    </xf>
    <xf numFmtId="164" fontId="0" fillId="0" borderId="42" xfId="0" applyNumberFormat="1" applyFill="1" applyBorder="1" applyAlignment="1" applyProtection="1">
      <alignment horizontal="right" vertical="center"/>
    </xf>
    <xf numFmtId="164" fontId="0" fillId="0" borderId="22" xfId="0" applyNumberFormat="1" applyFill="1" applyBorder="1" applyAlignment="1" applyProtection="1">
      <alignment horizontal="right" vertical="center"/>
    </xf>
    <xf numFmtId="0" fontId="0" fillId="0" borderId="49" xfId="0" applyFill="1" applyBorder="1" applyAlignment="1" applyProtection="1">
      <alignment horizontal="center" vertical="center"/>
    </xf>
    <xf numFmtId="0" fontId="0" fillId="0" borderId="55" xfId="0" applyFill="1" applyBorder="1" applyAlignment="1" applyProtection="1">
      <alignment vertical="center"/>
    </xf>
    <xf numFmtId="164" fontId="0" fillId="0" borderId="56" xfId="0" applyNumberFormat="1" applyFill="1" applyBorder="1" applyAlignment="1" applyProtection="1">
      <alignment horizontal="right" vertical="center"/>
    </xf>
    <xf numFmtId="0" fontId="0" fillId="0" borderId="56" xfId="0" applyFill="1" applyBorder="1" applyAlignment="1" applyProtection="1">
      <alignment horizontal="center" vertical="center"/>
    </xf>
    <xf numFmtId="0" fontId="0" fillId="0" borderId="57" xfId="0" applyFill="1" applyBorder="1" applyAlignment="1" applyProtection="1">
      <alignment horizontal="center" vertical="center"/>
    </xf>
    <xf numFmtId="0" fontId="0" fillId="0" borderId="77" xfId="0" applyFill="1" applyBorder="1" applyAlignment="1" applyProtection="1">
      <alignment vertical="center"/>
    </xf>
    <xf numFmtId="0" fontId="0" fillId="0" borderId="78" xfId="0" applyFill="1" applyBorder="1" applyAlignment="1" applyProtection="1">
      <alignment vertical="center"/>
    </xf>
    <xf numFmtId="0" fontId="0" fillId="0" borderId="79" xfId="0" applyFill="1" applyBorder="1" applyAlignment="1" applyProtection="1">
      <alignment vertical="center"/>
    </xf>
    <xf numFmtId="0" fontId="0" fillId="0" borderId="34" xfId="0" applyFont="1" applyBorder="1" applyAlignment="1" applyProtection="1">
      <alignment horizontal="center" vertical="center"/>
    </xf>
    <xf numFmtId="0" fontId="0" fillId="0" borderId="35" xfId="0" applyFont="1" applyBorder="1" applyAlignment="1" applyProtection="1">
      <alignment horizontal="center" vertical="center"/>
    </xf>
    <xf numFmtId="0" fontId="0" fillId="0" borderId="36" xfId="0" applyFont="1" applyBorder="1" applyAlignment="1" applyProtection="1">
      <alignment horizontal="center" vertical="center" wrapText="1"/>
    </xf>
    <xf numFmtId="164" fontId="2" fillId="6" borderId="183" xfId="0" applyNumberFormat="1" applyFont="1" applyFill="1" applyBorder="1" applyAlignment="1" applyProtection="1">
      <alignment vertical="center"/>
    </xf>
    <xf numFmtId="164" fontId="0" fillId="0" borderId="209" xfId="0" applyNumberFormat="1" applyBorder="1" applyAlignment="1" applyProtection="1">
      <alignment vertical="center"/>
    </xf>
    <xf numFmtId="164" fontId="0" fillId="0" borderId="210" xfId="0" applyNumberFormat="1" applyBorder="1" applyAlignment="1" applyProtection="1">
      <alignment vertical="center"/>
    </xf>
    <xf numFmtId="164" fontId="0" fillId="0" borderId="213" xfId="0" applyNumberFormat="1" applyBorder="1" applyAlignment="1" applyProtection="1">
      <alignment vertical="center"/>
    </xf>
    <xf numFmtId="164" fontId="7" fillId="5" borderId="211" xfId="0" applyNumberFormat="1" applyFont="1" applyFill="1" applyBorder="1" applyAlignment="1" applyProtection="1">
      <alignment vertical="center"/>
    </xf>
    <xf numFmtId="164" fontId="2" fillId="6" borderId="212" xfId="0" applyNumberFormat="1" applyFont="1" applyFill="1" applyBorder="1" applyAlignment="1" applyProtection="1">
      <alignment vertical="center"/>
    </xf>
    <xf numFmtId="0" fontId="0" fillId="0" borderId="39" xfId="0" applyFont="1" applyBorder="1" applyAlignment="1" applyProtection="1">
      <alignment horizontal="center" vertical="center"/>
    </xf>
    <xf numFmtId="164" fontId="0" fillId="0" borderId="45" xfId="0" applyNumberFormat="1" applyBorder="1" applyAlignment="1" applyProtection="1">
      <alignment vertical="center"/>
    </xf>
    <xf numFmtId="164" fontId="0" fillId="0" borderId="59" xfId="0" applyNumberFormat="1" applyBorder="1" applyAlignment="1" applyProtection="1">
      <alignment vertical="center"/>
    </xf>
    <xf numFmtId="164" fontId="0" fillId="0" borderId="214" xfId="0" applyNumberFormat="1" applyBorder="1" applyAlignment="1" applyProtection="1">
      <alignment vertical="center"/>
    </xf>
    <xf numFmtId="164" fontId="0" fillId="0" borderId="100" xfId="0" applyNumberFormat="1" applyBorder="1" applyAlignment="1" applyProtection="1">
      <alignment vertical="center"/>
    </xf>
    <xf numFmtId="164" fontId="0" fillId="0" borderId="216" xfId="0" applyNumberFormat="1" applyBorder="1" applyAlignment="1" applyProtection="1">
      <alignment vertical="center"/>
    </xf>
    <xf numFmtId="0" fontId="2" fillId="2" borderId="7" xfId="0" applyFont="1" applyFill="1" applyBorder="1" applyAlignment="1" applyProtection="1">
      <alignment vertical="center"/>
    </xf>
    <xf numFmtId="164" fontId="0" fillId="10" borderId="44" xfId="0" applyNumberFormat="1" applyFill="1" applyBorder="1" applyAlignment="1" applyProtection="1">
      <alignment vertical="center"/>
    </xf>
    <xf numFmtId="164" fontId="0" fillId="10" borderId="58" xfId="0" applyNumberFormat="1" applyFill="1" applyBorder="1" applyAlignment="1" applyProtection="1">
      <alignment vertical="center"/>
    </xf>
    <xf numFmtId="164" fontId="0" fillId="10" borderId="46" xfId="0" applyNumberFormat="1" applyFill="1" applyBorder="1" applyAlignment="1" applyProtection="1">
      <alignment vertical="center"/>
    </xf>
    <xf numFmtId="164" fontId="0" fillId="10" borderId="60" xfId="0" applyNumberFormat="1" applyFill="1" applyBorder="1" applyAlignment="1" applyProtection="1">
      <alignment vertical="center"/>
    </xf>
    <xf numFmtId="164" fontId="7" fillId="5" borderId="89" xfId="0" applyNumberFormat="1" applyFont="1" applyFill="1" applyBorder="1" applyAlignment="1" applyProtection="1">
      <alignment vertical="center"/>
    </xf>
    <xf numFmtId="164" fontId="7" fillId="5" borderId="92" xfId="0" applyNumberFormat="1" applyFont="1" applyFill="1" applyBorder="1" applyAlignment="1" applyProtection="1">
      <alignment vertical="center"/>
    </xf>
    <xf numFmtId="164" fontId="0" fillId="10" borderId="92" xfId="0" applyNumberFormat="1" applyFont="1" applyFill="1" applyBorder="1" applyAlignment="1" applyProtection="1">
      <alignment vertical="center"/>
    </xf>
    <xf numFmtId="164" fontId="8" fillId="10" borderId="66" xfId="0" applyNumberFormat="1" applyFont="1" applyFill="1" applyBorder="1" applyAlignment="1" applyProtection="1">
      <alignment vertical="center"/>
    </xf>
    <xf numFmtId="164" fontId="8" fillId="10" borderId="97" xfId="0" applyNumberFormat="1" applyFont="1" applyFill="1" applyBorder="1" applyAlignment="1" applyProtection="1">
      <alignment vertical="center"/>
    </xf>
    <xf numFmtId="164" fontId="0" fillId="10" borderId="89" xfId="0" applyNumberFormat="1" applyFont="1" applyFill="1" applyBorder="1" applyAlignment="1" applyProtection="1">
      <alignment vertical="center"/>
    </xf>
    <xf numFmtId="164" fontId="7" fillId="10" borderId="183" xfId="0" applyNumberFormat="1" applyFont="1" applyFill="1" applyBorder="1" applyAlignment="1" applyProtection="1">
      <alignment vertical="center"/>
    </xf>
    <xf numFmtId="164" fontId="7" fillId="10" borderId="212" xfId="0" applyNumberFormat="1" applyFont="1" applyFill="1" applyBorder="1" applyAlignment="1" applyProtection="1">
      <alignment vertical="center"/>
    </xf>
    <xf numFmtId="0" fontId="0" fillId="0" borderId="35" xfId="0" applyBorder="1" applyAlignment="1" applyProtection="1">
      <alignment horizontal="center" vertical="center" wrapText="1"/>
    </xf>
    <xf numFmtId="0" fontId="1" fillId="0" borderId="0" xfId="0" applyFont="1" applyFill="1" applyBorder="1" applyAlignment="1" applyProtection="1">
      <alignment vertical="center"/>
    </xf>
    <xf numFmtId="10" fontId="0" fillId="7" borderId="148" xfId="0" applyNumberFormat="1" applyFill="1" applyBorder="1" applyAlignment="1" applyProtection="1">
      <alignment vertical="center"/>
      <protection locked="0"/>
    </xf>
    <xf numFmtId="164" fontId="0" fillId="0" borderId="47" xfId="0" applyNumberFormat="1" applyFill="1" applyBorder="1" applyAlignment="1" applyProtection="1">
      <alignment vertical="center"/>
    </xf>
    <xf numFmtId="164" fontId="0" fillId="0" borderId="53" xfId="0" applyNumberFormat="1" applyFill="1" applyBorder="1" applyAlignment="1" applyProtection="1">
      <alignment vertical="center"/>
    </xf>
    <xf numFmtId="164" fontId="0" fillId="0" borderId="54" xfId="0" applyNumberFormat="1" applyFill="1" applyBorder="1" applyAlignment="1" applyProtection="1">
      <alignment vertical="center"/>
    </xf>
    <xf numFmtId="164" fontId="0" fillId="0" borderId="233" xfId="0" applyNumberFormat="1" applyFill="1" applyBorder="1" applyAlignment="1" applyProtection="1">
      <alignment vertical="center"/>
    </xf>
    <xf numFmtId="164" fontId="0" fillId="0" borderId="234" xfId="0" applyNumberFormat="1" applyFill="1" applyBorder="1" applyAlignment="1" applyProtection="1">
      <alignment vertical="center"/>
    </xf>
    <xf numFmtId="164" fontId="0" fillId="0" borderId="235" xfId="0" applyNumberFormat="1" applyFill="1" applyBorder="1" applyAlignment="1" applyProtection="1">
      <alignment vertical="center"/>
    </xf>
    <xf numFmtId="164" fontId="0" fillId="0" borderId="236" xfId="0" applyNumberFormat="1" applyFill="1" applyBorder="1" applyAlignment="1" applyProtection="1">
      <alignment vertical="center"/>
    </xf>
    <xf numFmtId="164" fontId="0" fillId="0" borderId="237" xfId="0" applyNumberFormat="1" applyFill="1" applyBorder="1" applyAlignment="1" applyProtection="1">
      <alignment vertical="center"/>
    </xf>
    <xf numFmtId="164" fontId="0" fillId="0" borderId="175" xfId="0" applyNumberFormat="1" applyFill="1" applyBorder="1" applyAlignment="1" applyProtection="1">
      <alignment vertical="center"/>
    </xf>
    <xf numFmtId="164" fontId="0" fillId="2" borderId="238" xfId="0" applyNumberFormat="1" applyFill="1" applyBorder="1" applyAlignment="1" applyProtection="1">
      <alignment vertical="center"/>
    </xf>
    <xf numFmtId="164" fontId="0" fillId="2" borderId="19" xfId="0" applyNumberFormat="1" applyFill="1" applyBorder="1" applyAlignment="1" applyProtection="1">
      <alignment vertical="center"/>
    </xf>
    <xf numFmtId="164" fontId="0" fillId="2" borderId="239" xfId="0" applyNumberFormat="1" applyFill="1" applyBorder="1" applyAlignment="1" applyProtection="1">
      <alignment vertical="center"/>
    </xf>
    <xf numFmtId="164" fontId="0" fillId="2" borderId="240" xfId="0" applyNumberFormat="1" applyFill="1" applyBorder="1" applyAlignment="1" applyProtection="1">
      <alignment vertical="center"/>
    </xf>
    <xf numFmtId="164" fontId="0" fillId="2" borderId="254" xfId="0" applyNumberFormat="1" applyFill="1" applyBorder="1" applyAlignment="1" applyProtection="1">
      <alignment vertical="center"/>
    </xf>
    <xf numFmtId="164" fontId="0" fillId="2" borderId="153" xfId="0" applyNumberFormat="1" applyFill="1" applyBorder="1" applyAlignment="1" applyProtection="1">
      <alignment vertical="center"/>
    </xf>
    <xf numFmtId="164" fontId="0" fillId="10" borderId="42" xfId="0" applyNumberFormat="1" applyFill="1" applyBorder="1" applyAlignment="1" applyProtection="1">
      <alignment vertical="center"/>
    </xf>
    <xf numFmtId="164" fontId="0" fillId="10" borderId="174" xfId="0" applyNumberFormat="1" applyFill="1" applyBorder="1" applyAlignment="1" applyProtection="1">
      <alignment vertical="center"/>
    </xf>
    <xf numFmtId="164" fontId="0" fillId="0" borderId="46" xfId="0" applyNumberFormat="1" applyBorder="1" applyAlignment="1" applyProtection="1">
      <alignment vertical="center"/>
    </xf>
    <xf numFmtId="164" fontId="0" fillId="0" borderId="52" xfId="0" applyNumberFormat="1" applyBorder="1" applyAlignment="1" applyProtection="1">
      <alignment vertical="center"/>
    </xf>
    <xf numFmtId="164" fontId="0" fillId="7" borderId="58" xfId="0" applyNumberFormat="1" applyFill="1" applyBorder="1" applyAlignment="1" applyProtection="1">
      <alignment vertical="center"/>
      <protection locked="0"/>
    </xf>
    <xf numFmtId="164" fontId="0" fillId="7" borderId="252" xfId="0" applyNumberFormat="1" applyFill="1" applyBorder="1" applyAlignment="1" applyProtection="1">
      <alignment vertical="center"/>
      <protection locked="0"/>
    </xf>
    <xf numFmtId="164" fontId="0" fillId="7" borderId="137" xfId="0" applyNumberFormat="1" applyFill="1" applyBorder="1" applyAlignment="1" applyProtection="1">
      <alignment vertical="center"/>
      <protection locked="0"/>
    </xf>
    <xf numFmtId="164" fontId="0" fillId="7" borderId="142" xfId="0" applyNumberFormat="1" applyFill="1" applyBorder="1" applyAlignment="1" applyProtection="1">
      <alignment vertical="center"/>
      <protection locked="0"/>
    </xf>
    <xf numFmtId="164" fontId="0" fillId="7" borderId="177" xfId="0" applyNumberFormat="1" applyFill="1" applyBorder="1" applyAlignment="1" applyProtection="1">
      <alignment vertical="center"/>
      <protection locked="0"/>
    </xf>
    <xf numFmtId="10" fontId="0" fillId="0" borderId="47" xfId="0" applyNumberFormat="1" applyBorder="1" applyAlignment="1" applyProtection="1">
      <alignment vertical="center"/>
    </xf>
    <xf numFmtId="10" fontId="0" fillId="0" borderId="53" xfId="0" applyNumberFormat="1" applyBorder="1" applyAlignment="1" applyProtection="1">
      <alignment vertical="center"/>
    </xf>
    <xf numFmtId="10" fontId="0" fillId="0" borderId="137" xfId="0" applyNumberFormat="1" applyBorder="1" applyAlignment="1" applyProtection="1">
      <alignment vertical="center"/>
    </xf>
    <xf numFmtId="10" fontId="0" fillId="0" borderId="134" xfId="0" applyNumberFormat="1" applyBorder="1" applyAlignment="1" applyProtection="1">
      <alignment vertical="center"/>
    </xf>
    <xf numFmtId="10" fontId="0" fillId="0" borderId="138" xfId="0" applyNumberFormat="1" applyBorder="1" applyAlignment="1" applyProtection="1">
      <alignment vertical="center"/>
    </xf>
    <xf numFmtId="10" fontId="0" fillId="0" borderId="140" xfId="0" applyNumberFormat="1" applyBorder="1" applyAlignment="1" applyProtection="1">
      <alignment vertical="center"/>
    </xf>
    <xf numFmtId="10" fontId="0" fillId="0" borderId="139" xfId="0" applyNumberFormat="1" applyBorder="1" applyAlignment="1" applyProtection="1">
      <alignment vertical="center"/>
    </xf>
    <xf numFmtId="10" fontId="0" fillId="0" borderId="141" xfId="0" applyNumberFormat="1" applyBorder="1" applyAlignment="1" applyProtection="1">
      <alignment vertical="center"/>
    </xf>
    <xf numFmtId="0" fontId="0" fillId="0" borderId="5" xfId="0" applyBorder="1" applyAlignment="1" applyProtection="1">
      <alignment vertical="center"/>
    </xf>
    <xf numFmtId="0" fontId="0" fillId="0" borderId="0" xfId="0" applyBorder="1" applyAlignment="1" applyProtection="1">
      <alignment vertical="center"/>
    </xf>
    <xf numFmtId="0" fontId="0" fillId="0" borderId="128" xfId="0" applyBorder="1" applyAlignment="1" applyProtection="1">
      <alignment vertical="center"/>
    </xf>
    <xf numFmtId="0" fontId="0" fillId="0" borderId="126" xfId="0" applyBorder="1" applyAlignment="1" applyProtection="1">
      <alignment vertical="center"/>
    </xf>
    <xf numFmtId="0" fontId="0" fillId="0" borderId="129" xfId="0" applyBorder="1" applyAlignment="1" applyProtection="1">
      <alignment vertical="center"/>
    </xf>
    <xf numFmtId="0" fontId="0" fillId="0" borderId="131" xfId="0" applyBorder="1" applyAlignment="1" applyProtection="1">
      <alignment vertical="center"/>
    </xf>
    <xf numFmtId="0" fontId="0" fillId="0" borderId="130" xfId="0" applyBorder="1" applyAlignment="1" applyProtection="1">
      <alignment vertical="center"/>
    </xf>
    <xf numFmtId="0" fontId="0" fillId="0" borderId="132" xfId="0" applyBorder="1" applyAlignment="1" applyProtection="1">
      <alignment vertical="center"/>
    </xf>
    <xf numFmtId="0" fontId="2" fillId="0" borderId="157" xfId="0" applyFont="1" applyBorder="1" applyAlignment="1" applyProtection="1">
      <alignment vertical="center"/>
    </xf>
    <xf numFmtId="164" fontId="0" fillId="0" borderId="240" xfId="0" applyNumberFormat="1" applyBorder="1" applyAlignment="1" applyProtection="1">
      <alignment vertical="center"/>
    </xf>
    <xf numFmtId="0" fontId="0" fillId="0" borderId="246" xfId="0" applyBorder="1" applyAlignment="1" applyProtection="1">
      <alignment vertical="center"/>
    </xf>
    <xf numFmtId="164" fontId="6" fillId="5" borderId="65" xfId="0" applyNumberFormat="1" applyFont="1" applyFill="1" applyBorder="1" applyAlignment="1" applyProtection="1">
      <alignment vertical="center"/>
    </xf>
    <xf numFmtId="164" fontId="6" fillId="5" borderId="67" xfId="0" applyNumberFormat="1" applyFont="1" applyFill="1" applyBorder="1" applyAlignment="1" applyProtection="1">
      <alignment vertical="center"/>
    </xf>
    <xf numFmtId="164" fontId="0" fillId="0" borderId="238" xfId="0" applyNumberFormat="1" applyBorder="1" applyAlignment="1" applyProtection="1">
      <alignment vertical="center"/>
    </xf>
    <xf numFmtId="164" fontId="0" fillId="0" borderId="19" xfId="0" applyNumberFormat="1" applyBorder="1" applyAlignment="1" applyProtection="1">
      <alignment vertical="center"/>
    </xf>
    <xf numFmtId="164" fontId="0" fillId="0" borderId="239" xfId="0" applyNumberFormat="1" applyBorder="1" applyAlignment="1" applyProtection="1">
      <alignment vertical="center"/>
    </xf>
    <xf numFmtId="164" fontId="0" fillId="0" borderId="241" xfId="0" applyNumberFormat="1" applyBorder="1" applyAlignment="1" applyProtection="1">
      <alignment vertical="center"/>
    </xf>
    <xf numFmtId="164" fontId="0" fillId="0" borderId="108" xfId="0" applyNumberFormat="1" applyBorder="1" applyAlignment="1" applyProtection="1">
      <alignment vertical="center"/>
    </xf>
    <xf numFmtId="164" fontId="0" fillId="0" borderId="142" xfId="0" applyNumberFormat="1" applyBorder="1" applyAlignment="1" applyProtection="1">
      <alignment vertical="center"/>
    </xf>
    <xf numFmtId="164" fontId="0" fillId="0" borderId="177" xfId="0" applyNumberFormat="1" applyBorder="1" applyAlignment="1" applyProtection="1">
      <alignment vertical="center"/>
    </xf>
    <xf numFmtId="0" fontId="0" fillId="0" borderId="142" xfId="0" applyBorder="1" applyAlignment="1" applyProtection="1">
      <alignment vertical="center"/>
    </xf>
    <xf numFmtId="0" fontId="0" fillId="0" borderId="177" xfId="0" applyBorder="1" applyAlignment="1" applyProtection="1">
      <alignment vertical="center"/>
    </xf>
    <xf numFmtId="0" fontId="0" fillId="0" borderId="106" xfId="0" applyBorder="1" applyAlignment="1" applyProtection="1">
      <alignment vertical="center"/>
    </xf>
    <xf numFmtId="164" fontId="0" fillId="0" borderId="61" xfId="0" applyNumberFormat="1" applyFill="1" applyBorder="1" applyAlignment="1" applyProtection="1">
      <alignment vertical="center"/>
    </xf>
    <xf numFmtId="164" fontId="0" fillId="0" borderId="140" xfId="0" applyNumberFormat="1" applyFill="1" applyBorder="1" applyAlignment="1" applyProtection="1">
      <alignment vertical="center"/>
    </xf>
    <xf numFmtId="0" fontId="0" fillId="0" borderId="131" xfId="0" applyFill="1" applyBorder="1" applyAlignment="1" applyProtection="1">
      <alignment vertical="center"/>
    </xf>
    <xf numFmtId="8" fontId="12" fillId="6" borderId="258" xfId="0" applyNumberFormat="1" applyFont="1" applyFill="1" applyBorder="1" applyAlignment="1" applyProtection="1">
      <alignment vertical="center"/>
    </xf>
    <xf numFmtId="8" fontId="12" fillId="6" borderId="259" xfId="0" applyNumberFormat="1" applyFont="1" applyFill="1" applyBorder="1" applyAlignment="1" applyProtection="1">
      <alignment vertical="center"/>
    </xf>
    <xf numFmtId="8" fontId="12" fillId="6" borderId="260" xfId="0" applyNumberFormat="1" applyFont="1" applyFill="1" applyBorder="1" applyAlignment="1" applyProtection="1">
      <alignment vertical="center"/>
    </xf>
    <xf numFmtId="8" fontId="12" fillId="6" borderId="221" xfId="0" applyNumberFormat="1" applyFont="1" applyFill="1" applyBorder="1" applyAlignment="1" applyProtection="1">
      <alignment vertical="center"/>
    </xf>
    <xf numFmtId="8" fontId="12" fillId="6" borderId="261" xfId="0" applyNumberFormat="1" applyFont="1" applyFill="1" applyBorder="1" applyAlignment="1" applyProtection="1">
      <alignment vertical="center"/>
    </xf>
    <xf numFmtId="8" fontId="12" fillId="6" borderId="262" xfId="0" applyNumberFormat="1" applyFont="1" applyFill="1" applyBorder="1" applyAlignment="1" applyProtection="1">
      <alignment vertical="center"/>
    </xf>
    <xf numFmtId="8" fontId="12" fillId="6" borderId="246" xfId="0" applyNumberFormat="1" applyFont="1" applyFill="1" applyBorder="1" applyAlignment="1" applyProtection="1">
      <alignment vertical="center"/>
    </xf>
    <xf numFmtId="0" fontId="2" fillId="2" borderId="184" xfId="0" applyFont="1" applyFill="1" applyBorder="1" applyAlignment="1" applyProtection="1">
      <alignment vertical="center"/>
    </xf>
    <xf numFmtId="0" fontId="2" fillId="2" borderId="185" xfId="0" applyFont="1" applyFill="1" applyBorder="1" applyAlignment="1" applyProtection="1">
      <alignment vertical="center"/>
    </xf>
    <xf numFmtId="8" fontId="2" fillId="2" borderId="263" xfId="0" applyNumberFormat="1" applyFont="1" applyFill="1" applyBorder="1" applyAlignment="1" applyProtection="1">
      <alignment vertical="center"/>
    </xf>
    <xf numFmtId="8" fontId="2" fillId="2" borderId="264" xfId="0" applyNumberFormat="1" applyFont="1" applyFill="1" applyBorder="1" applyAlignment="1" applyProtection="1">
      <alignment vertical="center"/>
    </xf>
    <xf numFmtId="8" fontId="2" fillId="2" borderId="265" xfId="0" applyNumberFormat="1" applyFont="1" applyFill="1" applyBorder="1" applyAlignment="1" applyProtection="1">
      <alignment vertical="center"/>
    </xf>
    <xf numFmtId="8" fontId="2" fillId="2" borderId="185" xfId="0" applyNumberFormat="1" applyFont="1" applyFill="1" applyBorder="1" applyAlignment="1" applyProtection="1">
      <alignment vertical="center"/>
    </xf>
    <xf numFmtId="8" fontId="2" fillId="2" borderId="266" xfId="0" applyNumberFormat="1" applyFont="1" applyFill="1" applyBorder="1" applyAlignment="1" applyProtection="1">
      <alignment vertical="center"/>
    </xf>
    <xf numFmtId="8" fontId="2" fillId="2" borderId="165" xfId="0" applyNumberFormat="1" applyFont="1" applyFill="1" applyBorder="1" applyAlignment="1" applyProtection="1">
      <alignment vertical="center"/>
    </xf>
    <xf numFmtId="8" fontId="2" fillId="2" borderId="188" xfId="0" applyNumberFormat="1" applyFont="1" applyFill="1" applyBorder="1" applyAlignment="1" applyProtection="1">
      <alignment vertical="center"/>
    </xf>
    <xf numFmtId="8" fontId="2" fillId="6" borderId="268" xfId="0" applyNumberFormat="1" applyFont="1" applyFill="1" applyBorder="1" applyAlignment="1" applyProtection="1">
      <alignment vertical="center"/>
    </xf>
    <xf numFmtId="8" fontId="2" fillId="6" borderId="121" xfId="0" applyNumberFormat="1" applyFont="1" applyFill="1" applyBorder="1" applyAlignment="1" applyProtection="1">
      <alignment vertical="center"/>
    </xf>
    <xf numFmtId="8" fontId="2" fillId="6" borderId="269" xfId="0" applyNumberFormat="1" applyFont="1" applyFill="1" applyBorder="1" applyAlignment="1" applyProtection="1">
      <alignment vertical="center"/>
    </xf>
    <xf numFmtId="8" fontId="2" fillId="6" borderId="204" xfId="0" applyNumberFormat="1" applyFont="1" applyFill="1" applyBorder="1" applyAlignment="1" applyProtection="1">
      <alignment vertical="center"/>
    </xf>
    <xf numFmtId="8" fontId="2" fillId="6" borderId="270" xfId="0" applyNumberFormat="1" applyFont="1" applyFill="1" applyBorder="1" applyAlignment="1" applyProtection="1">
      <alignment vertical="center"/>
    </xf>
    <xf numFmtId="8" fontId="2" fillId="6" borderId="194" xfId="0" applyNumberFormat="1" applyFont="1" applyFill="1" applyBorder="1" applyAlignment="1" applyProtection="1">
      <alignment vertical="center"/>
    </xf>
    <xf numFmtId="8" fontId="2" fillId="6" borderId="271" xfId="0" applyNumberFormat="1" applyFont="1" applyFill="1" applyBorder="1" applyAlignment="1" applyProtection="1">
      <alignment vertical="center"/>
    </xf>
    <xf numFmtId="0" fontId="0" fillId="2" borderId="253" xfId="0" applyFill="1" applyBorder="1" applyAlignment="1" applyProtection="1">
      <alignment horizontal="left" vertical="center"/>
    </xf>
    <xf numFmtId="0" fontId="0" fillId="2" borderId="1" xfId="0" applyFill="1" applyBorder="1" applyAlignment="1" applyProtection="1">
      <alignment horizontal="left" vertical="center"/>
    </xf>
    <xf numFmtId="0" fontId="0" fillId="2" borderId="255" xfId="0" applyFill="1" applyBorder="1" applyAlignment="1" applyProtection="1">
      <alignment horizontal="left" vertical="center"/>
    </xf>
    <xf numFmtId="0" fontId="0" fillId="0" borderId="0" xfId="0" applyFill="1" applyAlignment="1" applyProtection="1">
      <alignment vertical="center"/>
    </xf>
    <xf numFmtId="164" fontId="0" fillId="0" borderId="0" xfId="0" applyNumberFormat="1" applyAlignment="1" applyProtection="1">
      <alignment vertical="center"/>
    </xf>
    <xf numFmtId="164" fontId="0" fillId="10" borderId="50" xfId="0" applyNumberFormat="1" applyFill="1" applyBorder="1" applyAlignment="1" applyProtection="1">
      <alignment vertical="center"/>
    </xf>
    <xf numFmtId="164" fontId="0" fillId="10" borderId="22" xfId="0" applyNumberFormat="1" applyFill="1" applyBorder="1" applyAlignment="1" applyProtection="1">
      <alignment vertical="center"/>
    </xf>
    <xf numFmtId="164" fontId="0" fillId="10" borderId="175" xfId="0" applyNumberFormat="1" applyFill="1" applyBorder="1" applyAlignment="1" applyProtection="1">
      <alignment vertical="center"/>
    </xf>
    <xf numFmtId="164" fontId="0" fillId="10" borderId="56" xfId="0" applyNumberFormat="1" applyFill="1" applyBorder="1" applyAlignment="1" applyProtection="1">
      <alignment vertical="center"/>
    </xf>
    <xf numFmtId="10" fontId="0" fillId="11" borderId="100" xfId="0" applyNumberFormat="1" applyFill="1" applyBorder="1" applyAlignment="1" applyProtection="1">
      <alignment vertical="center"/>
    </xf>
    <xf numFmtId="164" fontId="0" fillId="0" borderId="62" xfId="0" applyNumberFormat="1" applyFill="1" applyBorder="1" applyAlignment="1" applyProtection="1">
      <alignment vertical="center"/>
    </xf>
    <xf numFmtId="164" fontId="0" fillId="0" borderId="252" xfId="0" applyNumberFormat="1" applyFill="1" applyBorder="1" applyAlignment="1" applyProtection="1">
      <alignment vertical="center"/>
    </xf>
    <xf numFmtId="0" fontId="0" fillId="0" borderId="98" xfId="0" applyFont="1" applyBorder="1" applyAlignment="1" applyProtection="1">
      <alignment horizontal="center" vertical="center"/>
    </xf>
    <xf numFmtId="164" fontId="0" fillId="0" borderId="166" xfId="0" applyNumberFormat="1" applyFill="1" applyBorder="1" applyAlignment="1" applyProtection="1">
      <alignment vertical="center"/>
    </xf>
    <xf numFmtId="164" fontId="0" fillId="0" borderId="13" xfId="0" applyNumberFormat="1" applyFill="1" applyBorder="1" applyAlignment="1" applyProtection="1">
      <alignment vertical="center"/>
    </xf>
    <xf numFmtId="164" fontId="0" fillId="0" borderId="103" xfId="0" applyNumberFormat="1" applyFill="1" applyBorder="1" applyAlignment="1" applyProtection="1">
      <alignment vertical="center"/>
    </xf>
    <xf numFmtId="164" fontId="0" fillId="0" borderId="278" xfId="0" applyNumberFormat="1" applyBorder="1" applyAlignment="1" applyProtection="1">
      <alignment vertical="center"/>
    </xf>
    <xf numFmtId="164" fontId="0" fillId="7" borderId="272" xfId="0" applyNumberFormat="1" applyFill="1" applyBorder="1" applyAlignment="1" applyProtection="1">
      <alignment vertical="center"/>
      <protection locked="0"/>
    </xf>
    <xf numFmtId="10" fontId="0" fillId="7" borderId="273" xfId="0" applyNumberFormat="1" applyFill="1" applyBorder="1" applyAlignment="1" applyProtection="1">
      <alignment vertical="center"/>
      <protection locked="0"/>
    </xf>
    <xf numFmtId="10" fontId="0" fillId="7" borderId="23" xfId="0" applyNumberFormat="1" applyFill="1" applyBorder="1" applyAlignment="1" applyProtection="1">
      <alignment vertical="center"/>
      <protection locked="0"/>
    </xf>
    <xf numFmtId="10" fontId="0" fillId="7" borderId="152" xfId="0" applyNumberFormat="1" applyFill="1" applyBorder="1" applyAlignment="1" applyProtection="1">
      <alignment vertical="center"/>
      <protection locked="0"/>
    </xf>
    <xf numFmtId="10" fontId="0" fillId="7" borderId="44" xfId="0" applyNumberFormat="1" applyFill="1" applyBorder="1" applyAlignment="1" applyProtection="1">
      <alignment vertical="center"/>
      <protection locked="0"/>
    </xf>
    <xf numFmtId="10" fontId="0" fillId="7" borderId="42" xfId="0" applyNumberFormat="1" applyFill="1" applyBorder="1" applyAlignment="1" applyProtection="1">
      <alignment vertical="center"/>
      <protection locked="0"/>
    </xf>
    <xf numFmtId="10" fontId="0" fillId="7" borderId="45" xfId="0" applyNumberFormat="1" applyFill="1" applyBorder="1" applyAlignment="1" applyProtection="1">
      <alignment vertical="center"/>
      <protection locked="0"/>
    </xf>
    <xf numFmtId="10" fontId="0" fillId="7" borderId="50" xfId="0" applyNumberFormat="1" applyFill="1" applyBorder="1" applyAlignment="1" applyProtection="1">
      <alignment vertical="center"/>
      <protection locked="0"/>
    </xf>
    <xf numFmtId="10" fontId="0" fillId="7" borderId="22" xfId="0" applyNumberFormat="1" applyFill="1" applyBorder="1" applyAlignment="1" applyProtection="1">
      <alignment vertical="center"/>
      <protection locked="0"/>
    </xf>
    <xf numFmtId="10" fontId="0" fillId="7" borderId="46" xfId="0" applyNumberFormat="1" applyFill="1" applyBorder="1" applyAlignment="1" applyProtection="1">
      <alignment vertical="center"/>
      <protection locked="0"/>
    </xf>
    <xf numFmtId="10" fontId="0" fillId="7" borderId="52" xfId="0" applyNumberFormat="1" applyFill="1" applyBorder="1" applyAlignment="1" applyProtection="1">
      <alignment vertical="center"/>
      <protection locked="0"/>
    </xf>
    <xf numFmtId="10" fontId="0" fillId="7" borderId="47" xfId="0" applyNumberFormat="1" applyFill="1" applyBorder="1" applyAlignment="1" applyProtection="1">
      <alignment vertical="center"/>
      <protection locked="0"/>
    </xf>
    <xf numFmtId="10" fontId="0" fillId="7" borderId="48" xfId="0" applyNumberFormat="1" applyFill="1" applyBorder="1" applyAlignment="1" applyProtection="1">
      <alignment vertical="center"/>
      <protection locked="0"/>
    </xf>
    <xf numFmtId="10" fontId="0" fillId="7" borderId="53" xfId="0" applyNumberFormat="1" applyFill="1" applyBorder="1" applyAlignment="1" applyProtection="1">
      <alignment vertical="center"/>
      <protection locked="0"/>
    </xf>
    <xf numFmtId="10" fontId="0" fillId="7" borderId="54" xfId="0" applyNumberFormat="1" applyFill="1" applyBorder="1" applyAlignment="1" applyProtection="1">
      <alignment vertical="center"/>
      <protection locked="0"/>
    </xf>
    <xf numFmtId="164" fontId="0" fillId="7" borderId="238" xfId="0" applyNumberFormat="1" applyFill="1" applyBorder="1" applyAlignment="1" applyProtection="1">
      <alignment vertical="center"/>
      <protection locked="0"/>
    </xf>
    <xf numFmtId="164" fontId="0" fillId="7" borderId="19" xfId="0" applyNumberFormat="1" applyFill="1" applyBorder="1" applyAlignment="1" applyProtection="1">
      <alignment vertical="center"/>
      <protection locked="0"/>
    </xf>
    <xf numFmtId="164" fontId="0" fillId="7" borderId="239" xfId="0" applyNumberFormat="1" applyFill="1" applyBorder="1" applyAlignment="1" applyProtection="1">
      <alignment vertical="center"/>
      <protection locked="0"/>
    </xf>
    <xf numFmtId="164" fontId="0" fillId="7" borderId="50" xfId="0" applyNumberFormat="1" applyFill="1" applyBorder="1" applyAlignment="1" applyProtection="1">
      <alignment vertical="center"/>
      <protection locked="0"/>
    </xf>
    <xf numFmtId="164" fontId="0" fillId="7" borderId="26" xfId="0" applyNumberFormat="1" applyFill="1" applyBorder="1" applyAlignment="1" applyProtection="1">
      <alignment vertical="center"/>
      <protection locked="0"/>
    </xf>
    <xf numFmtId="164" fontId="0" fillId="7" borderId="241" xfId="0" applyNumberFormat="1" applyFill="1" applyBorder="1" applyAlignment="1" applyProtection="1">
      <alignment vertical="center"/>
      <protection locked="0"/>
    </xf>
    <xf numFmtId="0" fontId="0" fillId="7" borderId="142" xfId="0" applyFill="1" applyBorder="1" applyAlignment="1" applyProtection="1">
      <alignment vertical="center"/>
      <protection locked="0"/>
    </xf>
    <xf numFmtId="0" fontId="0" fillId="7" borderId="126" xfId="0" applyFill="1" applyBorder="1" applyAlignment="1" applyProtection="1">
      <alignment vertical="center"/>
      <protection locked="0"/>
    </xf>
    <xf numFmtId="0" fontId="0" fillId="7" borderId="177" xfId="0" applyFill="1" applyBorder="1" applyAlignment="1" applyProtection="1">
      <alignment vertical="center"/>
      <protection locked="0"/>
    </xf>
    <xf numFmtId="164" fontId="0" fillId="7" borderId="74" xfId="0" applyNumberFormat="1" applyFill="1" applyBorder="1" applyAlignment="1" applyProtection="1">
      <alignment vertical="center"/>
      <protection locked="0"/>
    </xf>
    <xf numFmtId="164" fontId="0" fillId="7" borderId="108" xfId="0" applyNumberFormat="1" applyFill="1" applyBorder="1" applyAlignment="1" applyProtection="1">
      <alignment vertical="center"/>
      <protection locked="0"/>
    </xf>
    <xf numFmtId="164" fontId="0" fillId="7" borderId="153" xfId="0" applyNumberFormat="1" applyFill="1" applyBorder="1" applyAlignment="1" applyProtection="1">
      <alignment vertical="center"/>
      <protection locked="0"/>
    </xf>
    <xf numFmtId="164" fontId="0" fillId="7" borderId="54" xfId="0" applyNumberFormat="1" applyFill="1" applyBorder="1" applyAlignment="1" applyProtection="1">
      <alignment vertical="center"/>
      <protection locked="0"/>
    </xf>
    <xf numFmtId="164" fontId="0" fillId="7" borderId="141" xfId="0" applyNumberFormat="1" applyFill="1" applyBorder="1" applyAlignment="1" applyProtection="1">
      <alignment vertical="center"/>
      <protection locked="0"/>
    </xf>
    <xf numFmtId="0" fontId="0" fillId="7" borderId="106" xfId="0" applyFill="1" applyBorder="1" applyAlignment="1" applyProtection="1">
      <alignment vertical="center"/>
      <protection locked="0"/>
    </xf>
    <xf numFmtId="0" fontId="0" fillId="7" borderId="132" xfId="0" applyFill="1" applyBorder="1" applyAlignment="1" applyProtection="1">
      <alignment vertical="center"/>
      <protection locked="0"/>
    </xf>
    <xf numFmtId="164" fontId="0" fillId="7" borderId="52" xfId="0" applyNumberFormat="1" applyFill="1" applyBorder="1" applyAlignment="1" applyProtection="1">
      <alignment vertical="center"/>
      <protection locked="0"/>
    </xf>
    <xf numFmtId="164" fontId="0" fillId="7" borderId="60" xfId="0" applyNumberFormat="1" applyFill="1" applyBorder="1" applyAlignment="1" applyProtection="1">
      <alignment vertical="center"/>
      <protection locked="0"/>
    </xf>
    <xf numFmtId="164" fontId="0" fillId="7" borderId="139" xfId="0" applyNumberFormat="1" applyFill="1" applyBorder="1" applyAlignment="1" applyProtection="1">
      <alignment vertical="center"/>
      <protection locked="0"/>
    </xf>
    <xf numFmtId="0" fontId="0" fillId="7" borderId="130" xfId="0" applyFill="1" applyBorder="1" applyAlignment="1" applyProtection="1">
      <alignment vertical="center"/>
      <protection locked="0"/>
    </xf>
    <xf numFmtId="164" fontId="0" fillId="7" borderId="53" xfId="0" applyNumberFormat="1" applyFill="1" applyBorder="1" applyAlignment="1" applyProtection="1">
      <alignment vertical="center"/>
      <protection locked="0"/>
    </xf>
    <xf numFmtId="164" fontId="0" fillId="7" borderId="61" xfId="0" applyNumberFormat="1" applyFill="1" applyBorder="1" applyAlignment="1" applyProtection="1">
      <alignment vertical="center"/>
      <protection locked="0"/>
    </xf>
    <xf numFmtId="164" fontId="0" fillId="7" borderId="62" xfId="0" applyNumberFormat="1" applyFill="1" applyBorder="1" applyAlignment="1" applyProtection="1">
      <alignment vertical="center"/>
      <protection locked="0"/>
    </xf>
    <xf numFmtId="164" fontId="0" fillId="7" borderId="140" xfId="0" applyNumberFormat="1" applyFill="1" applyBorder="1" applyAlignment="1" applyProtection="1">
      <alignment vertical="center"/>
      <protection locked="0"/>
    </xf>
    <xf numFmtId="0" fontId="0" fillId="7" borderId="131" xfId="0" applyFill="1" applyBorder="1" applyAlignment="1" applyProtection="1">
      <alignment vertical="center"/>
      <protection locked="0"/>
    </xf>
    <xf numFmtId="164" fontId="0" fillId="7" borderId="45" xfId="0" applyNumberFormat="1" applyFill="1" applyBorder="1" applyAlignment="1" applyProtection="1">
      <alignment vertical="center"/>
      <protection locked="0"/>
    </xf>
    <xf numFmtId="10" fontId="0" fillId="0" borderId="45" xfId="0" applyNumberFormat="1" applyFill="1" applyBorder="1" applyAlignment="1" applyProtection="1">
      <alignment vertical="center"/>
    </xf>
    <xf numFmtId="10" fontId="0" fillId="0" borderId="51" xfId="0" applyNumberFormat="1" applyFill="1" applyBorder="1" applyAlignment="1" applyProtection="1">
      <alignment vertical="center"/>
    </xf>
    <xf numFmtId="10" fontId="0" fillId="0" borderId="82" xfId="0" applyNumberFormat="1" applyBorder="1" applyAlignment="1" applyProtection="1">
      <alignment vertical="center"/>
    </xf>
    <xf numFmtId="10" fontId="0" fillId="0" borderId="74" xfId="0" applyNumberFormat="1" applyFill="1" applyBorder="1" applyAlignment="1" applyProtection="1">
      <alignment vertical="center"/>
    </xf>
    <xf numFmtId="10" fontId="0" fillId="0" borderId="75" xfId="0" applyNumberFormat="1" applyFill="1" applyBorder="1" applyAlignment="1" applyProtection="1">
      <alignment vertical="center"/>
    </xf>
    <xf numFmtId="10" fontId="0" fillId="0" borderId="84" xfId="0" applyNumberFormat="1" applyBorder="1" applyAlignment="1" applyProtection="1">
      <alignment vertical="center"/>
    </xf>
    <xf numFmtId="10" fontId="0" fillId="0" borderId="166" xfId="0" applyNumberFormat="1" applyFill="1" applyBorder="1" applyAlignment="1" applyProtection="1">
      <alignment vertical="center"/>
    </xf>
    <xf numFmtId="10" fontId="0" fillId="0" borderId="13" xfId="0" applyNumberFormat="1" applyFill="1" applyBorder="1" applyAlignment="1" applyProtection="1">
      <alignment vertical="center"/>
    </xf>
    <xf numFmtId="10" fontId="0" fillId="0" borderId="278" xfId="0" applyNumberFormat="1" applyBorder="1" applyAlignment="1" applyProtection="1">
      <alignment vertical="center"/>
    </xf>
    <xf numFmtId="0" fontId="6" fillId="0" borderId="28" xfId="0" applyFont="1" applyBorder="1" applyAlignment="1" applyProtection="1">
      <alignment vertical="center" wrapText="1"/>
    </xf>
    <xf numFmtId="0" fontId="6" fillId="0" borderId="157" xfId="0" applyFont="1" applyBorder="1" applyAlignment="1" applyProtection="1">
      <alignment vertical="center" wrapText="1"/>
    </xf>
    <xf numFmtId="0" fontId="6" fillId="0" borderId="33" xfId="0" applyFont="1" applyBorder="1" applyAlignment="1" applyProtection="1">
      <alignment vertical="center" wrapText="1"/>
    </xf>
    <xf numFmtId="0" fontId="6" fillId="0" borderId="158" xfId="0" applyFont="1" applyBorder="1" applyAlignment="1" applyProtection="1">
      <alignment vertical="center" wrapText="1"/>
    </xf>
    <xf numFmtId="0" fontId="10" fillId="0" borderId="15" xfId="0" applyFont="1" applyBorder="1" applyAlignment="1" applyProtection="1">
      <alignment vertical="center" wrapText="1"/>
    </xf>
    <xf numFmtId="0" fontId="10" fillId="0" borderId="220" xfId="0" applyFont="1" applyFill="1" applyBorder="1" applyAlignment="1" applyProtection="1">
      <alignment vertical="center"/>
    </xf>
    <xf numFmtId="0" fontId="0" fillId="0" borderId="221" xfId="0" applyFill="1" applyBorder="1" applyAlignment="1" applyProtection="1">
      <alignment vertical="center"/>
    </xf>
    <xf numFmtId="0" fontId="0" fillId="0" borderId="246" xfId="0" applyFill="1" applyBorder="1" applyAlignment="1" applyProtection="1">
      <alignment vertical="center"/>
    </xf>
    <xf numFmtId="0" fontId="2" fillId="0" borderId="115" xfId="0" applyFont="1" applyBorder="1" applyAlignment="1" applyProtection="1">
      <alignment vertical="center" wrapText="1"/>
    </xf>
    <xf numFmtId="164" fontId="0" fillId="0" borderId="44" xfId="0" applyNumberFormat="1" applyFill="1" applyBorder="1" applyAlignment="1" applyProtection="1">
      <alignment vertical="center"/>
    </xf>
    <xf numFmtId="10" fontId="0" fillId="10" borderId="51" xfId="0" applyNumberFormat="1" applyFill="1" applyBorder="1" applyAlignment="1" applyProtection="1">
      <alignment vertical="center"/>
    </xf>
    <xf numFmtId="164" fontId="8" fillId="9" borderId="89" xfId="0" applyNumberFormat="1" applyFont="1" applyFill="1" applyBorder="1" applyAlignment="1" applyProtection="1">
      <alignment vertical="center"/>
    </xf>
    <xf numFmtId="10" fontId="8" fillId="9" borderId="91" xfId="0" applyNumberFormat="1" applyFont="1" applyFill="1" applyBorder="1" applyAlignment="1" applyProtection="1">
      <alignment vertical="center"/>
    </xf>
    <xf numFmtId="164" fontId="8" fillId="9" borderId="92" xfId="0" applyNumberFormat="1" applyFont="1" applyFill="1" applyBorder="1" applyAlignment="1" applyProtection="1">
      <alignment vertical="center"/>
    </xf>
    <xf numFmtId="10" fontId="8" fillId="9" borderId="93" xfId="0" applyNumberFormat="1" applyFont="1" applyFill="1" applyBorder="1" applyAlignment="1" applyProtection="1">
      <alignment vertical="center"/>
    </xf>
    <xf numFmtId="10" fontId="8" fillId="9" borderId="113" xfId="0" applyNumberFormat="1" applyFont="1" applyFill="1" applyBorder="1" applyAlignment="1" applyProtection="1">
      <alignment vertical="center"/>
    </xf>
    <xf numFmtId="164" fontId="0" fillId="0" borderId="80" xfId="0" applyNumberFormat="1" applyFill="1" applyBorder="1" applyAlignment="1" applyProtection="1">
      <alignment vertical="center"/>
    </xf>
    <xf numFmtId="164" fontId="0" fillId="0" borderId="83" xfId="0" applyNumberFormat="1" applyFill="1" applyBorder="1" applyAlignment="1" applyProtection="1">
      <alignment vertical="center"/>
    </xf>
    <xf numFmtId="164" fontId="6" fillId="5" borderId="182" xfId="0" applyNumberFormat="1" applyFont="1" applyFill="1" applyBorder="1" applyAlignment="1" applyProtection="1">
      <alignment vertical="center"/>
    </xf>
    <xf numFmtId="164" fontId="6" fillId="5" borderId="66" xfId="0" applyNumberFormat="1" applyFont="1" applyFill="1" applyBorder="1" applyAlignment="1" applyProtection="1">
      <alignment vertical="center"/>
    </xf>
    <xf numFmtId="164" fontId="6" fillId="5" borderId="183" xfId="0" applyNumberFormat="1" applyFont="1" applyFill="1" applyBorder="1" applyAlignment="1" applyProtection="1">
      <alignment vertical="center"/>
    </xf>
    <xf numFmtId="164" fontId="6" fillId="5" borderId="212" xfId="0" applyNumberFormat="1" applyFont="1" applyFill="1" applyBorder="1" applyAlignment="1" applyProtection="1">
      <alignment vertical="center"/>
    </xf>
    <xf numFmtId="164" fontId="0" fillId="9" borderId="89" xfId="0" applyNumberFormat="1" applyFont="1" applyFill="1" applyBorder="1" applyAlignment="1" applyProtection="1">
      <alignment vertical="center"/>
    </xf>
    <xf numFmtId="10" fontId="0" fillId="9" borderId="91" xfId="0" applyNumberFormat="1" applyFont="1" applyFill="1" applyBorder="1" applyAlignment="1" applyProtection="1">
      <alignment vertical="center"/>
    </xf>
    <xf numFmtId="164" fontId="0" fillId="9" borderId="92" xfId="0" applyNumberFormat="1" applyFont="1" applyFill="1" applyBorder="1" applyAlignment="1" applyProtection="1">
      <alignment vertical="center"/>
    </xf>
    <xf numFmtId="10" fontId="0" fillId="9" borderId="93" xfId="0" applyNumberFormat="1" applyFont="1" applyFill="1" applyBorder="1" applyAlignment="1" applyProtection="1">
      <alignment vertical="center"/>
    </xf>
    <xf numFmtId="10" fontId="0" fillId="9" borderId="113" xfId="0" applyNumberFormat="1" applyFont="1" applyFill="1" applyBorder="1" applyAlignment="1" applyProtection="1">
      <alignment vertical="center"/>
    </xf>
    <xf numFmtId="164" fontId="0" fillId="0" borderId="50" xfId="0" applyNumberFormat="1" applyFill="1" applyBorder="1" applyAlignment="1" applyProtection="1">
      <alignment vertical="center"/>
    </xf>
    <xf numFmtId="164" fontId="0" fillId="0" borderId="137" xfId="0" applyNumberFormat="1" applyFill="1" applyBorder="1" applyAlignment="1" applyProtection="1">
      <alignment vertical="center"/>
    </xf>
    <xf numFmtId="0" fontId="0" fillId="2" borderId="7" xfId="0" applyFill="1" applyBorder="1" applyAlignment="1" applyProtection="1">
      <alignment vertical="center"/>
    </xf>
    <xf numFmtId="0" fontId="0" fillId="2" borderId="8" xfId="0" applyFill="1" applyBorder="1" applyAlignment="1" applyProtection="1">
      <alignment vertical="center"/>
    </xf>
    <xf numFmtId="0" fontId="0" fillId="2" borderId="9" xfId="0" applyFill="1" applyBorder="1" applyAlignment="1" applyProtection="1">
      <alignment vertical="center"/>
    </xf>
    <xf numFmtId="10" fontId="0" fillId="0" borderId="138" xfId="0" applyNumberFormat="1" applyFill="1" applyBorder="1" applyAlignment="1" applyProtection="1">
      <alignment vertical="center"/>
    </xf>
    <xf numFmtId="10" fontId="0" fillId="0" borderId="82" xfId="0" applyNumberFormat="1" applyFill="1" applyBorder="1" applyAlignment="1" applyProtection="1">
      <alignment vertical="center"/>
    </xf>
    <xf numFmtId="10" fontId="0" fillId="0" borderId="155" xfId="0" applyNumberFormat="1" applyFill="1" applyBorder="1" applyAlignment="1" applyProtection="1">
      <alignment vertical="center"/>
    </xf>
    <xf numFmtId="10" fontId="0" fillId="0" borderId="84" xfId="0" applyNumberFormat="1" applyFill="1" applyBorder="1" applyAlignment="1" applyProtection="1">
      <alignment vertical="center"/>
    </xf>
    <xf numFmtId="10" fontId="0" fillId="0" borderId="214" xfId="0" applyNumberFormat="1" applyFill="1" applyBorder="1" applyAlignment="1" applyProtection="1">
      <alignment vertical="center"/>
    </xf>
    <xf numFmtId="10" fontId="0" fillId="0" borderId="23" xfId="0" applyNumberFormat="1" applyFill="1" applyBorder="1" applyAlignment="1" applyProtection="1">
      <alignment vertical="center"/>
    </xf>
    <xf numFmtId="10" fontId="0" fillId="0" borderId="245" xfId="0" applyNumberFormat="1" applyFill="1" applyBorder="1" applyAlignment="1" applyProtection="1">
      <alignment vertical="center"/>
    </xf>
    <xf numFmtId="10" fontId="0" fillId="0" borderId="216" xfId="0" applyNumberFormat="1" applyFill="1" applyBorder="1" applyAlignment="1" applyProtection="1">
      <alignment vertical="center"/>
    </xf>
    <xf numFmtId="10" fontId="6" fillId="5" borderId="64" xfId="0" applyNumberFormat="1" applyFont="1" applyFill="1" applyBorder="1" applyAlignment="1" applyProtection="1">
      <alignment vertical="center"/>
    </xf>
    <xf numFmtId="10" fontId="6" fillId="5" borderId="65" xfId="0" applyNumberFormat="1" applyFont="1" applyFill="1" applyBorder="1" applyAlignment="1" applyProtection="1">
      <alignment vertical="center"/>
    </xf>
    <xf numFmtId="10" fontId="6" fillId="5" borderId="67" xfId="0" applyNumberFormat="1" applyFont="1" applyFill="1" applyBorder="1" applyAlignment="1" applyProtection="1">
      <alignment vertical="center"/>
    </xf>
    <xf numFmtId="10" fontId="0" fillId="0" borderId="96" xfId="0" applyNumberFormat="1" applyBorder="1" applyAlignment="1" applyProtection="1">
      <alignment horizontal="right" vertical="center"/>
    </xf>
    <xf numFmtId="10" fontId="0" fillId="0" borderId="281" xfId="0" applyNumberFormat="1" applyFill="1" applyBorder="1" applyAlignment="1" applyProtection="1">
      <alignment vertical="center"/>
    </xf>
    <xf numFmtId="10" fontId="0" fillId="0" borderId="108" xfId="0" applyNumberFormat="1" applyFill="1" applyBorder="1" applyAlignment="1" applyProtection="1">
      <alignment vertical="center"/>
    </xf>
    <xf numFmtId="10" fontId="0" fillId="0" borderId="20" xfId="0" applyNumberFormat="1" applyFill="1" applyBorder="1" applyAlignment="1" applyProtection="1">
      <alignment vertical="center"/>
    </xf>
    <xf numFmtId="0" fontId="6" fillId="0" borderId="32" xfId="0" applyFont="1" applyBorder="1" applyAlignment="1" applyProtection="1">
      <alignment horizontal="center" vertical="center"/>
    </xf>
    <xf numFmtId="0" fontId="6" fillId="0" borderId="70" xfId="0" applyFont="1" applyBorder="1" applyAlignment="1" applyProtection="1">
      <alignment horizontal="center" vertical="center"/>
    </xf>
    <xf numFmtId="0" fontId="0" fillId="0" borderId="0" xfId="0" applyBorder="1" applyAlignment="1" applyProtection="1">
      <alignment horizontal="right" vertical="center"/>
    </xf>
    <xf numFmtId="0" fontId="2" fillId="0" borderId="2" xfId="0" applyFont="1" applyBorder="1" applyAlignment="1" applyProtection="1">
      <alignment horizontal="right" vertical="center"/>
    </xf>
    <xf numFmtId="0" fontId="7" fillId="0" borderId="87" xfId="0" applyFont="1" applyBorder="1" applyAlignment="1" applyProtection="1">
      <alignment horizontal="right" vertical="center"/>
    </xf>
    <xf numFmtId="0" fontId="0" fillId="0" borderId="11" xfId="0" applyFill="1" applyBorder="1" applyAlignment="1" applyProtection="1">
      <alignment vertical="center"/>
    </xf>
    <xf numFmtId="0" fontId="0" fillId="0" borderId="10" xfId="0" applyFill="1" applyBorder="1" applyAlignment="1" applyProtection="1">
      <alignment vertical="center"/>
    </xf>
    <xf numFmtId="0" fontId="10" fillId="0" borderId="87" xfId="0" applyFont="1" applyBorder="1" applyAlignment="1" applyProtection="1">
      <alignment horizontal="right" vertical="center"/>
    </xf>
    <xf numFmtId="0" fontId="6" fillId="0" borderId="28" xfId="0" applyFont="1" applyBorder="1" applyAlignment="1" applyProtection="1">
      <alignment horizontal="center" vertical="center" wrapText="1"/>
    </xf>
    <xf numFmtId="0" fontId="2" fillId="0" borderId="0" xfId="0" applyFont="1" applyBorder="1" applyAlignment="1" applyProtection="1">
      <alignment vertical="center" wrapText="1"/>
    </xf>
    <xf numFmtId="0" fontId="6" fillId="0" borderId="0" xfId="0" applyFont="1" applyBorder="1" applyAlignment="1" applyProtection="1">
      <alignment vertical="center" wrapText="1"/>
    </xf>
    <xf numFmtId="0" fontId="6" fillId="0" borderId="6" xfId="0" applyFont="1" applyBorder="1" applyAlignment="1" applyProtection="1">
      <alignment vertical="center" wrapText="1"/>
    </xf>
    <xf numFmtId="0" fontId="0" fillId="0" borderId="195" xfId="0" applyFill="1" applyBorder="1" applyAlignment="1" applyProtection="1">
      <alignment horizontal="right" vertical="center"/>
    </xf>
    <xf numFmtId="0" fontId="0" fillId="0" borderId="11" xfId="0" applyFill="1" applyBorder="1" applyAlignment="1" applyProtection="1">
      <alignment horizontal="right" vertical="center"/>
    </xf>
    <xf numFmtId="164" fontId="0" fillId="0" borderId="58" xfId="0" applyNumberFormat="1" applyFill="1" applyBorder="1" applyAlignment="1" applyProtection="1">
      <alignment vertical="center"/>
    </xf>
    <xf numFmtId="0" fontId="0" fillId="0" borderId="154" xfId="0" applyFill="1" applyBorder="1" applyAlignment="1" applyProtection="1">
      <alignment vertical="center"/>
    </xf>
    <xf numFmtId="0" fontId="0" fillId="0" borderId="55" xfId="0" applyFill="1" applyBorder="1" applyAlignment="1" applyProtection="1">
      <alignment horizontal="right" vertical="center"/>
    </xf>
    <xf numFmtId="0" fontId="0" fillId="0" borderId="154" xfId="0" applyFill="1" applyBorder="1" applyAlignment="1" applyProtection="1">
      <alignment horizontal="right" vertical="center"/>
    </xf>
    <xf numFmtId="164" fontId="0" fillId="0" borderId="48" xfId="0" applyNumberFormat="1" applyFill="1" applyBorder="1" applyAlignment="1" applyProtection="1">
      <alignment vertical="center"/>
    </xf>
    <xf numFmtId="164" fontId="8" fillId="9" borderId="95" xfId="0" applyNumberFormat="1" applyFont="1" applyFill="1" applyBorder="1" applyAlignment="1" applyProtection="1">
      <alignment vertical="center"/>
    </xf>
    <xf numFmtId="164" fontId="0" fillId="0" borderId="141" xfId="0" applyNumberFormat="1" applyFill="1" applyBorder="1" applyAlignment="1" applyProtection="1">
      <alignment vertical="center"/>
    </xf>
    <xf numFmtId="164" fontId="0" fillId="0" borderId="86" xfId="0" applyNumberFormat="1" applyFill="1" applyBorder="1" applyAlignment="1" applyProtection="1">
      <alignment vertical="center"/>
    </xf>
    <xf numFmtId="164" fontId="0" fillId="0" borderId="284" xfId="0" applyNumberFormat="1" applyFill="1" applyBorder="1" applyAlignment="1" applyProtection="1">
      <alignment vertical="center"/>
    </xf>
    <xf numFmtId="164" fontId="0" fillId="0" borderId="285" xfId="0" applyNumberFormat="1" applyFill="1" applyBorder="1" applyAlignment="1" applyProtection="1">
      <alignment vertical="center"/>
    </xf>
    <xf numFmtId="164" fontId="0" fillId="0" borderId="199" xfId="0" applyNumberFormat="1" applyFill="1" applyBorder="1" applyAlignment="1" applyProtection="1">
      <alignment vertical="center"/>
    </xf>
    <xf numFmtId="0" fontId="0" fillId="2" borderId="11" xfId="0" applyFill="1" applyBorder="1" applyAlignment="1" applyProtection="1">
      <alignment horizontal="left" vertical="center"/>
    </xf>
    <xf numFmtId="0" fontId="0" fillId="2" borderId="12" xfId="0" applyFill="1" applyBorder="1" applyAlignment="1" applyProtection="1">
      <alignment horizontal="left" vertical="center"/>
    </xf>
    <xf numFmtId="0" fontId="0" fillId="2" borderId="167" xfId="0" applyFill="1" applyBorder="1" applyAlignment="1" applyProtection="1">
      <alignment horizontal="left" vertical="center"/>
    </xf>
    <xf numFmtId="164" fontId="0" fillId="2" borderId="50" xfId="0" applyNumberFormat="1" applyFill="1" applyBorder="1" applyAlignment="1" applyProtection="1">
      <alignment vertical="center"/>
    </xf>
    <xf numFmtId="164" fontId="0" fillId="2" borderId="52" xfId="0" applyNumberFormat="1" applyFill="1" applyBorder="1" applyAlignment="1" applyProtection="1">
      <alignment vertical="center"/>
    </xf>
    <xf numFmtId="164" fontId="0" fillId="2" borderId="54" xfId="0" applyNumberFormat="1" applyFill="1" applyBorder="1" applyAlignment="1" applyProtection="1">
      <alignment vertical="center"/>
    </xf>
    <xf numFmtId="164" fontId="0" fillId="2" borderId="58" xfId="0" applyNumberFormat="1" applyFill="1" applyBorder="1" applyAlignment="1" applyProtection="1">
      <alignment vertical="center"/>
    </xf>
    <xf numFmtId="164" fontId="0" fillId="2" borderId="60" xfId="0" applyNumberFormat="1" applyFill="1" applyBorder="1" applyAlignment="1" applyProtection="1">
      <alignment vertical="center"/>
    </xf>
    <xf numFmtId="164" fontId="0" fillId="2" borderId="62" xfId="0" applyNumberFormat="1" applyFill="1" applyBorder="1" applyAlignment="1" applyProtection="1">
      <alignment vertical="center"/>
    </xf>
    <xf numFmtId="0" fontId="0" fillId="2" borderId="55" xfId="0" applyFill="1" applyBorder="1" applyAlignment="1" applyProtection="1">
      <alignment horizontal="left" vertical="center"/>
    </xf>
    <xf numFmtId="0" fontId="0" fillId="2" borderId="102" xfId="0" applyFill="1" applyBorder="1" applyAlignment="1" applyProtection="1">
      <alignment horizontal="left" vertical="center"/>
    </xf>
    <xf numFmtId="0" fontId="0" fillId="2" borderId="283" xfId="0" applyFill="1" applyBorder="1" applyAlignment="1" applyProtection="1">
      <alignment horizontal="left" vertical="center"/>
    </xf>
    <xf numFmtId="10" fontId="0" fillId="0" borderId="44" xfId="0" applyNumberFormat="1" applyFill="1" applyBorder="1" applyAlignment="1" applyProtection="1">
      <alignment vertical="center"/>
    </xf>
    <xf numFmtId="10" fontId="0" fillId="0" borderId="46" xfId="0" applyNumberFormat="1" applyFill="1" applyBorder="1" applyAlignment="1" applyProtection="1">
      <alignment vertical="center"/>
    </xf>
    <xf numFmtId="10" fontId="0" fillId="0" borderId="48" xfId="0" applyNumberFormat="1" applyFill="1" applyBorder="1" applyAlignment="1" applyProtection="1">
      <alignment vertical="center"/>
    </xf>
    <xf numFmtId="10" fontId="0" fillId="0" borderId="50" xfId="0" applyNumberFormat="1" applyFill="1" applyBorder="1" applyAlignment="1" applyProtection="1">
      <alignment vertical="center"/>
    </xf>
    <xf numFmtId="10" fontId="0" fillId="0" borderId="52" xfId="0" applyNumberFormat="1" applyFill="1" applyBorder="1" applyAlignment="1" applyProtection="1">
      <alignment vertical="center"/>
    </xf>
    <xf numFmtId="10" fontId="0" fillId="0" borderId="54" xfId="0" applyNumberFormat="1" applyFill="1" applyBorder="1" applyAlignment="1" applyProtection="1">
      <alignment vertical="center"/>
    </xf>
    <xf numFmtId="10" fontId="0" fillId="0" borderId="238" xfId="0" applyNumberFormat="1" applyFill="1" applyBorder="1" applyAlignment="1" applyProtection="1">
      <alignment vertical="center"/>
    </xf>
    <xf numFmtId="10" fontId="0" fillId="0" borderId="254" xfId="0" applyNumberFormat="1" applyFill="1" applyBorder="1" applyAlignment="1" applyProtection="1">
      <alignment vertical="center"/>
    </xf>
    <xf numFmtId="10" fontId="0" fillId="0" borderId="153" xfId="0" applyNumberFormat="1" applyFill="1" applyBorder="1" applyAlignment="1" applyProtection="1">
      <alignment vertical="center"/>
    </xf>
    <xf numFmtId="165" fontId="0" fillId="0" borderId="50" xfId="0" applyNumberFormat="1" applyFill="1" applyBorder="1" applyAlignment="1" applyProtection="1">
      <alignment vertical="center"/>
    </xf>
    <xf numFmtId="165" fontId="0" fillId="0" borderId="52" xfId="0" applyNumberFormat="1" applyFill="1" applyBorder="1" applyAlignment="1" applyProtection="1">
      <alignment vertical="center"/>
    </xf>
    <xf numFmtId="165" fontId="0" fillId="0" borderId="54" xfId="0" applyNumberFormat="1" applyFill="1" applyBorder="1" applyAlignment="1" applyProtection="1">
      <alignment vertical="center"/>
    </xf>
    <xf numFmtId="3" fontId="0" fillId="0" borderId="58" xfId="0" applyNumberFormat="1" applyFill="1" applyBorder="1" applyAlignment="1" applyProtection="1">
      <alignment vertical="center"/>
    </xf>
    <xf numFmtId="3" fontId="0" fillId="0" borderId="60" xfId="0" applyNumberFormat="1" applyFill="1" applyBorder="1" applyAlignment="1" applyProtection="1">
      <alignment vertical="center"/>
    </xf>
    <xf numFmtId="3" fontId="0" fillId="0" borderId="62" xfId="0" applyNumberFormat="1" applyFill="1" applyBorder="1" applyAlignment="1" applyProtection="1">
      <alignment vertical="center"/>
    </xf>
    <xf numFmtId="165" fontId="0" fillId="0" borderId="232" xfId="0" applyNumberFormat="1" applyFill="1" applyBorder="1" applyAlignment="1" applyProtection="1">
      <alignment vertical="center"/>
    </xf>
    <xf numFmtId="165" fontId="0" fillId="0" borderId="236" xfId="0" applyNumberFormat="1" applyFill="1" applyBorder="1" applyAlignment="1" applyProtection="1">
      <alignment vertical="center"/>
    </xf>
    <xf numFmtId="165" fontId="0" fillId="0" borderId="237" xfId="0" applyNumberFormat="1" applyFill="1" applyBorder="1" applyAlignment="1" applyProtection="1">
      <alignment vertical="center"/>
    </xf>
    <xf numFmtId="0" fontId="0" fillId="0" borderId="5" xfId="0" applyBorder="1" applyProtection="1"/>
    <xf numFmtId="0" fontId="0" fillId="0" borderId="0" xfId="0" applyBorder="1" applyProtection="1"/>
    <xf numFmtId="0" fontId="0" fillId="0" borderId="6" xfId="0" applyBorder="1" applyProtection="1"/>
    <xf numFmtId="0" fontId="3" fillId="0" borderId="16" xfId="0" applyFont="1" applyBorder="1" applyAlignment="1" applyProtection="1">
      <alignment vertical="center"/>
    </xf>
    <xf numFmtId="0" fontId="3" fillId="0" borderId="17" xfId="0" applyFont="1" applyBorder="1" applyAlignment="1" applyProtection="1">
      <alignment vertical="center"/>
    </xf>
    <xf numFmtId="0" fontId="0" fillId="0" borderId="9" xfId="0" applyBorder="1" applyProtection="1"/>
    <xf numFmtId="0" fontId="0" fillId="0" borderId="3" xfId="0" applyBorder="1" applyProtection="1"/>
    <xf numFmtId="0" fontId="2" fillId="0" borderId="5" xfId="0" applyFont="1" applyFill="1" applyBorder="1" applyAlignment="1" applyProtection="1">
      <alignment horizontal="left" vertical="center"/>
    </xf>
    <xf numFmtId="0" fontId="2" fillId="0" borderId="0" xfId="0" applyFont="1" applyFill="1" applyBorder="1" applyAlignment="1" applyProtection="1">
      <alignment horizontal="left" vertical="center"/>
    </xf>
    <xf numFmtId="0" fontId="2" fillId="0" borderId="6" xfId="0" applyFont="1" applyFill="1" applyBorder="1" applyAlignment="1" applyProtection="1">
      <alignment horizontal="left" vertical="center"/>
    </xf>
    <xf numFmtId="0" fontId="4" fillId="0" borderId="18" xfId="0" applyFont="1" applyFill="1" applyBorder="1" applyAlignment="1" applyProtection="1">
      <alignment horizontal="right" vertical="center"/>
    </xf>
    <xf numFmtId="0" fontId="3" fillId="0" borderId="21" xfId="0" applyFont="1" applyBorder="1" applyAlignment="1" applyProtection="1">
      <alignment horizontal="right" vertical="top"/>
    </xf>
    <xf numFmtId="0" fontId="3" fillId="0" borderId="101" xfId="0" applyFont="1" applyBorder="1" applyAlignment="1" applyProtection="1">
      <alignment horizontal="right"/>
    </xf>
    <xf numFmtId="0" fontId="0" fillId="0" borderId="0" xfId="0" applyAlignment="1" applyProtection="1">
      <alignment horizontal="left" vertical="top"/>
    </xf>
    <xf numFmtId="0" fontId="0" fillId="0" borderId="105" xfId="0" applyBorder="1" applyAlignment="1" applyProtection="1">
      <alignment vertical="top" wrapText="1"/>
    </xf>
    <xf numFmtId="0" fontId="0" fillId="0" borderId="0" xfId="0" applyBorder="1" applyAlignment="1" applyProtection="1">
      <alignment vertical="top" wrapText="1"/>
    </xf>
    <xf numFmtId="0" fontId="0" fillId="0" borderId="106" xfId="0" applyBorder="1" applyAlignment="1" applyProtection="1">
      <alignment vertical="top" wrapText="1"/>
    </xf>
    <xf numFmtId="0" fontId="0" fillId="0" borderId="0" xfId="0" applyAlignment="1" applyProtection="1">
      <alignment vertical="top" wrapText="1"/>
    </xf>
    <xf numFmtId="164" fontId="0" fillId="9" borderId="88" xfId="0" applyNumberFormat="1" applyFont="1" applyFill="1" applyBorder="1" applyAlignment="1" applyProtection="1">
      <alignment vertical="center"/>
    </xf>
    <xf numFmtId="164" fontId="8" fillId="9" borderId="88" xfId="0" applyNumberFormat="1" applyFont="1" applyFill="1" applyBorder="1" applyAlignment="1" applyProtection="1">
      <alignment vertical="center"/>
    </xf>
    <xf numFmtId="164" fontId="0" fillId="9" borderId="91" xfId="0" applyNumberFormat="1" applyFont="1" applyFill="1" applyBorder="1" applyAlignment="1" applyProtection="1">
      <alignment vertical="center"/>
    </xf>
    <xf numFmtId="164" fontId="0" fillId="9" borderId="93" xfId="0" applyNumberFormat="1" applyFont="1" applyFill="1" applyBorder="1" applyAlignment="1" applyProtection="1">
      <alignment vertical="center"/>
    </xf>
    <xf numFmtId="164" fontId="8" fillId="9" borderId="90" xfId="0" applyNumberFormat="1" applyFont="1" applyFill="1" applyBorder="1" applyAlignment="1" applyProtection="1">
      <alignment vertical="center"/>
    </xf>
    <xf numFmtId="164" fontId="8" fillId="9" borderId="91" xfId="0" applyNumberFormat="1" applyFont="1" applyFill="1" applyBorder="1" applyAlignment="1" applyProtection="1">
      <alignment vertical="center"/>
    </xf>
    <xf numFmtId="164" fontId="8" fillId="9" borderId="93" xfId="0" applyNumberFormat="1" applyFont="1" applyFill="1" applyBorder="1" applyAlignment="1" applyProtection="1">
      <alignment vertical="center"/>
    </xf>
    <xf numFmtId="164" fontId="8" fillId="9" borderId="94" xfId="0" applyNumberFormat="1" applyFont="1" applyFill="1" applyBorder="1" applyAlignment="1" applyProtection="1">
      <alignment vertical="center"/>
    </xf>
    <xf numFmtId="0" fontId="6" fillId="0" borderId="2" xfId="0" applyFont="1" applyBorder="1" applyAlignment="1" applyProtection="1">
      <alignment horizontal="right" vertical="center"/>
    </xf>
    <xf numFmtId="164" fontId="6" fillId="5" borderId="96" xfId="0" applyNumberFormat="1" applyFont="1" applyFill="1" applyBorder="1" applyAlignment="1" applyProtection="1">
      <alignment vertical="center"/>
    </xf>
    <xf numFmtId="164" fontId="6" fillId="5" borderId="64" xfId="0" applyNumberFormat="1" applyFont="1" applyFill="1" applyBorder="1" applyAlignment="1" applyProtection="1">
      <alignment vertical="center"/>
    </xf>
    <xf numFmtId="164" fontId="6" fillId="5" borderId="97" xfId="0" applyNumberFormat="1" applyFont="1" applyFill="1" applyBorder="1" applyAlignment="1" applyProtection="1">
      <alignment vertical="center"/>
    </xf>
    <xf numFmtId="164" fontId="6" fillId="5" borderId="63" xfId="0" applyNumberFormat="1" applyFont="1" applyFill="1" applyBorder="1" applyAlignment="1" applyProtection="1">
      <alignment vertical="center"/>
    </xf>
    <xf numFmtId="164" fontId="6" fillId="5" borderId="89" xfId="0" applyNumberFormat="1" applyFont="1" applyFill="1" applyBorder="1" applyAlignment="1" applyProtection="1">
      <alignment vertical="center"/>
    </xf>
    <xf numFmtId="164" fontId="6" fillId="5" borderId="90" xfId="0" applyNumberFormat="1" applyFont="1" applyFill="1" applyBorder="1" applyAlignment="1" applyProtection="1">
      <alignment vertical="center"/>
    </xf>
    <xf numFmtId="164" fontId="6" fillId="5" borderId="92" xfId="0" applyNumberFormat="1" applyFont="1" applyFill="1" applyBorder="1" applyAlignment="1" applyProtection="1">
      <alignment vertical="center"/>
    </xf>
    <xf numFmtId="164" fontId="0" fillId="7" borderId="287" xfId="0" applyNumberFormat="1" applyFill="1" applyBorder="1" applyAlignment="1" applyProtection="1">
      <alignment vertical="center"/>
      <protection locked="0"/>
    </xf>
    <xf numFmtId="0" fontId="0" fillId="7" borderId="287" xfId="0" applyFill="1" applyBorder="1" applyAlignment="1" applyProtection="1">
      <alignment horizontal="center" vertical="center"/>
      <protection locked="0"/>
    </xf>
    <xf numFmtId="0" fontId="0" fillId="7" borderId="288" xfId="0" applyFill="1" applyBorder="1" applyAlignment="1" applyProtection="1">
      <alignment horizontal="center" vertical="center"/>
      <protection locked="0"/>
    </xf>
    <xf numFmtId="164" fontId="0" fillId="0" borderId="284" xfId="0" applyNumberFormat="1" applyBorder="1" applyAlignment="1" applyProtection="1">
      <alignment vertical="center"/>
    </xf>
    <xf numFmtId="164" fontId="0" fillId="0" borderId="287" xfId="0" applyNumberFormat="1" applyBorder="1" applyAlignment="1" applyProtection="1">
      <alignment vertical="center"/>
    </xf>
    <xf numFmtId="164" fontId="0" fillId="0" borderId="289" xfId="0" applyNumberFormat="1" applyFill="1" applyBorder="1" applyAlignment="1" applyProtection="1">
      <alignment vertical="center"/>
    </xf>
    <xf numFmtId="164" fontId="0" fillId="0" borderId="287" xfId="0" applyNumberFormat="1" applyFill="1" applyBorder="1" applyAlignment="1" applyProtection="1">
      <alignment vertical="center"/>
    </xf>
    <xf numFmtId="164" fontId="0" fillId="0" borderId="290" xfId="0" applyNumberFormat="1" applyFill="1" applyBorder="1" applyAlignment="1" applyProtection="1">
      <alignment vertical="center"/>
    </xf>
    <xf numFmtId="164" fontId="0" fillId="0" borderId="291" xfId="0" applyNumberFormat="1" applyBorder="1" applyAlignment="1" applyProtection="1">
      <alignment vertical="center"/>
    </xf>
    <xf numFmtId="0" fontId="0" fillId="0" borderId="149" xfId="0" applyBorder="1" applyAlignment="1" applyProtection="1">
      <alignment horizontal="right" vertical="center"/>
    </xf>
    <xf numFmtId="0" fontId="0" fillId="0" borderId="21" xfId="0" applyBorder="1" applyAlignment="1" applyProtection="1">
      <alignment horizontal="right" vertical="center"/>
    </xf>
    <xf numFmtId="0" fontId="0" fillId="0" borderId="151" xfId="0" applyBorder="1" applyAlignment="1" applyProtection="1">
      <alignment horizontal="right" vertical="center"/>
    </xf>
    <xf numFmtId="0" fontId="2" fillId="0" borderId="115" xfId="0" applyFont="1" applyBorder="1" applyAlignment="1" applyProtection="1">
      <alignment vertical="center"/>
    </xf>
    <xf numFmtId="0" fontId="10" fillId="0" borderId="123" xfId="0" applyFont="1" applyBorder="1" applyAlignment="1" applyProtection="1">
      <alignment vertical="center"/>
    </xf>
    <xf numFmtId="164" fontId="0" fillId="0" borderId="51" xfId="0" applyNumberFormat="1" applyBorder="1" applyAlignment="1" applyProtection="1">
      <alignment vertical="center"/>
    </xf>
    <xf numFmtId="164" fontId="0" fillId="0" borderId="138" xfId="0" applyNumberFormat="1" applyBorder="1" applyAlignment="1" applyProtection="1">
      <alignment vertical="center"/>
    </xf>
    <xf numFmtId="0" fontId="10" fillId="0" borderId="125" xfId="0" applyFont="1" applyBorder="1" applyAlignment="1" applyProtection="1">
      <alignment vertical="center"/>
    </xf>
    <xf numFmtId="0" fontId="0" fillId="0" borderId="127" xfId="0" applyBorder="1" applyAlignment="1" applyProtection="1">
      <alignment vertical="center"/>
    </xf>
    <xf numFmtId="164" fontId="0" fillId="0" borderId="60" xfId="0" applyNumberFormat="1" applyBorder="1" applyAlignment="1" applyProtection="1">
      <alignment vertical="center"/>
    </xf>
    <xf numFmtId="0" fontId="6" fillId="0" borderId="148" xfId="0" applyFont="1" applyBorder="1" applyAlignment="1" applyProtection="1">
      <alignment horizontal="right" vertical="center"/>
    </xf>
    <xf numFmtId="164" fontId="0" fillId="0" borderId="0" xfId="0" applyNumberFormat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164" fontId="0" fillId="0" borderId="116" xfId="0" applyNumberFormat="1" applyBorder="1" applyAlignment="1" applyProtection="1">
      <alignment vertical="center"/>
    </xf>
    <xf numFmtId="164" fontId="0" fillId="0" borderId="117" xfId="0" applyNumberFormat="1" applyBorder="1" applyAlignment="1" applyProtection="1">
      <alignment vertical="center"/>
    </xf>
    <xf numFmtId="0" fontId="0" fillId="0" borderId="119" xfId="0" applyBorder="1" applyAlignment="1" applyProtection="1">
      <alignment vertical="center"/>
    </xf>
    <xf numFmtId="0" fontId="6" fillId="0" borderId="112" xfId="0" applyFont="1" applyBorder="1" applyAlignment="1" applyProtection="1">
      <alignment horizontal="right" vertical="center"/>
    </xf>
    <xf numFmtId="164" fontId="6" fillId="5" borderId="113" xfId="0" applyNumberFormat="1" applyFont="1" applyFill="1" applyBorder="1" applyAlignment="1" applyProtection="1">
      <alignment vertical="center"/>
    </xf>
    <xf numFmtId="164" fontId="6" fillId="5" borderId="111" xfId="0" applyNumberFormat="1" applyFont="1" applyFill="1" applyBorder="1" applyAlignment="1" applyProtection="1">
      <alignment vertical="center"/>
    </xf>
    <xf numFmtId="164" fontId="0" fillId="0" borderId="118" xfId="0" applyNumberFormat="1" applyBorder="1" applyAlignment="1" applyProtection="1">
      <alignment vertical="center"/>
    </xf>
    <xf numFmtId="164" fontId="0" fillId="7" borderId="150" xfId="0" applyNumberFormat="1" applyFill="1" applyBorder="1" applyAlignment="1" applyProtection="1">
      <alignment vertical="center"/>
      <protection locked="0"/>
    </xf>
    <xf numFmtId="1" fontId="0" fillId="7" borderId="43" xfId="0" applyNumberFormat="1" applyFill="1" applyBorder="1" applyAlignment="1" applyProtection="1">
      <alignment horizontal="center" vertical="center"/>
      <protection locked="0"/>
    </xf>
    <xf numFmtId="1" fontId="0" fillId="7" borderId="49" xfId="0" applyNumberFormat="1" applyFill="1" applyBorder="1" applyAlignment="1" applyProtection="1">
      <alignment horizontal="center" vertical="center"/>
      <protection locked="0"/>
    </xf>
    <xf numFmtId="0" fontId="0" fillId="3" borderId="124" xfId="0" applyFill="1" applyBorder="1" applyAlignment="1" applyProtection="1">
      <alignment vertical="center"/>
      <protection locked="0"/>
    </xf>
    <xf numFmtId="1" fontId="0" fillId="7" borderId="135" xfId="0" applyNumberFormat="1" applyFill="1" applyBorder="1" applyAlignment="1" applyProtection="1">
      <alignment horizontal="center" vertical="center"/>
      <protection locked="0"/>
    </xf>
    <xf numFmtId="0" fontId="0" fillId="3" borderId="125" xfId="0" applyFill="1" applyBorder="1" applyAlignment="1" applyProtection="1">
      <alignment vertical="center"/>
      <protection locked="0"/>
    </xf>
    <xf numFmtId="1" fontId="0" fillId="7" borderId="120" xfId="0" applyNumberFormat="1" applyFill="1" applyBorder="1" applyAlignment="1" applyProtection="1">
      <alignment horizontal="center" vertical="center"/>
      <protection locked="0"/>
    </xf>
    <xf numFmtId="0" fontId="0" fillId="7" borderId="135" xfId="0" applyFill="1" applyBorder="1" applyAlignment="1" applyProtection="1">
      <alignment horizontal="center" vertical="center"/>
      <protection locked="0"/>
    </xf>
    <xf numFmtId="0" fontId="0" fillId="7" borderId="133" xfId="0" applyFill="1" applyBorder="1" applyAlignment="1" applyProtection="1">
      <alignment horizontal="center" vertical="center"/>
      <protection locked="0"/>
    </xf>
    <xf numFmtId="164" fontId="0" fillId="9" borderId="113" xfId="0" applyNumberFormat="1" applyFont="1" applyFill="1" applyBorder="1" applyAlignment="1" applyProtection="1">
      <alignment vertical="center"/>
    </xf>
    <xf numFmtId="0" fontId="0" fillId="0" borderId="56" xfId="0" applyFill="1" applyBorder="1" applyAlignment="1" applyProtection="1">
      <alignment vertical="center"/>
    </xf>
    <xf numFmtId="0" fontId="0" fillId="0" borderId="134" xfId="0" applyFill="1" applyBorder="1" applyAlignment="1" applyProtection="1">
      <alignment vertical="center"/>
    </xf>
    <xf numFmtId="0" fontId="0" fillId="0" borderId="135" xfId="0" applyFill="1" applyBorder="1" applyAlignment="1" applyProtection="1">
      <alignment vertical="center"/>
    </xf>
    <xf numFmtId="164" fontId="8" fillId="0" borderId="226" xfId="0" applyNumberFormat="1" applyFont="1" applyBorder="1" applyAlignment="1" applyProtection="1">
      <alignment vertical="center"/>
    </xf>
    <xf numFmtId="164" fontId="8" fillId="0" borderId="227" xfId="0" applyNumberFormat="1" applyFont="1" applyBorder="1" applyAlignment="1" applyProtection="1">
      <alignment vertical="center"/>
    </xf>
    <xf numFmtId="164" fontId="8" fillId="0" borderId="228" xfId="0" applyNumberFormat="1" applyFont="1" applyBorder="1" applyAlignment="1" applyProtection="1">
      <alignment vertical="center"/>
    </xf>
    <xf numFmtId="164" fontId="8" fillId="0" borderId="229" xfId="0" applyNumberFormat="1" applyFont="1" applyBorder="1" applyAlignment="1" applyProtection="1">
      <alignment vertical="center"/>
    </xf>
    <xf numFmtId="164" fontId="8" fillId="0" borderId="230" xfId="0" applyNumberFormat="1" applyFont="1" applyBorder="1" applyAlignment="1" applyProtection="1">
      <alignment vertical="center"/>
    </xf>
    <xf numFmtId="164" fontId="8" fillId="0" borderId="231" xfId="0" applyNumberFormat="1" applyFont="1" applyBorder="1" applyAlignment="1" applyProtection="1">
      <alignment vertical="center"/>
    </xf>
    <xf numFmtId="164" fontId="8" fillId="9" borderId="232" xfId="0" applyNumberFormat="1" applyFont="1" applyFill="1" applyBorder="1" applyAlignment="1" applyProtection="1">
      <alignment vertical="center"/>
    </xf>
    <xf numFmtId="164" fontId="8" fillId="9" borderId="233" xfId="0" applyNumberFormat="1" applyFont="1" applyFill="1" applyBorder="1" applyAlignment="1" applyProtection="1">
      <alignment vertical="center"/>
    </xf>
    <xf numFmtId="164" fontId="8" fillId="9" borderId="234" xfId="0" applyNumberFormat="1" applyFont="1" applyFill="1" applyBorder="1" applyAlignment="1" applyProtection="1">
      <alignment vertical="center"/>
    </xf>
    <xf numFmtId="164" fontId="8" fillId="9" borderId="236" xfId="0" applyNumberFormat="1" applyFont="1" applyFill="1" applyBorder="1" applyAlignment="1" applyProtection="1">
      <alignment vertical="center"/>
    </xf>
    <xf numFmtId="164" fontId="8" fillId="9" borderId="235" xfId="0" applyNumberFormat="1" applyFont="1" applyFill="1" applyBorder="1" applyAlignment="1" applyProtection="1">
      <alignment vertical="center"/>
    </xf>
    <xf numFmtId="164" fontId="8" fillId="9" borderId="237" xfId="0" applyNumberFormat="1" applyFont="1" applyFill="1" applyBorder="1" applyAlignment="1" applyProtection="1">
      <alignment vertical="center"/>
    </xf>
    <xf numFmtId="164" fontId="8" fillId="9" borderId="112" xfId="0" applyNumberFormat="1" applyFont="1" applyFill="1" applyBorder="1" applyAlignment="1" applyProtection="1">
      <alignment vertical="center"/>
    </xf>
    <xf numFmtId="164" fontId="8" fillId="9" borderId="136" xfId="0" applyNumberFormat="1" applyFont="1" applyFill="1" applyBorder="1" applyAlignment="1" applyProtection="1">
      <alignment vertical="center"/>
    </xf>
    <xf numFmtId="164" fontId="8" fillId="9" borderId="143" xfId="0" applyNumberFormat="1" applyFont="1" applyFill="1" applyBorder="1" applyAlignment="1" applyProtection="1">
      <alignment vertical="center"/>
    </xf>
    <xf numFmtId="164" fontId="8" fillId="9" borderId="223" xfId="0" applyNumberFormat="1" applyFont="1" applyFill="1" applyBorder="1" applyAlignment="1" applyProtection="1">
      <alignment vertical="center"/>
    </xf>
    <xf numFmtId="164" fontId="8" fillId="9" borderId="145" xfId="0" applyNumberFormat="1" applyFont="1" applyFill="1" applyBorder="1" applyAlignment="1" applyProtection="1">
      <alignment vertical="center"/>
    </xf>
    <xf numFmtId="164" fontId="8" fillId="9" borderId="147" xfId="0" applyNumberFormat="1" applyFont="1" applyFill="1" applyBorder="1" applyAlignment="1" applyProtection="1">
      <alignment vertical="center"/>
    </xf>
    <xf numFmtId="164" fontId="6" fillId="5" borderId="191" xfId="0" applyNumberFormat="1" applyFont="1" applyFill="1" applyBorder="1" applyAlignment="1" applyProtection="1">
      <alignment vertical="center"/>
    </xf>
    <xf numFmtId="164" fontId="8" fillId="9" borderId="250" xfId="0" applyNumberFormat="1" applyFont="1" applyFill="1" applyBorder="1" applyAlignment="1" applyProtection="1">
      <alignment vertical="center"/>
    </xf>
    <xf numFmtId="164" fontId="0" fillId="7" borderId="254" xfId="0" applyNumberFormat="1" applyFill="1" applyBorder="1" applyAlignment="1" applyProtection="1">
      <alignment vertical="center"/>
      <protection locked="0"/>
    </xf>
    <xf numFmtId="0" fontId="6" fillId="0" borderId="242" xfId="0" applyFont="1" applyBorder="1" applyAlignment="1" applyProtection="1">
      <alignment horizontal="center" vertical="center" wrapText="1"/>
    </xf>
    <xf numFmtId="0" fontId="6" fillId="0" borderId="243" xfId="0" applyFont="1" applyBorder="1" applyAlignment="1" applyProtection="1">
      <alignment horizontal="center" vertical="center"/>
    </xf>
    <xf numFmtId="10" fontId="0" fillId="0" borderId="110" xfId="0" applyNumberFormat="1" applyBorder="1" applyAlignment="1" applyProtection="1">
      <alignment vertical="center"/>
    </xf>
    <xf numFmtId="8" fontId="0" fillId="0" borderId="214" xfId="0" applyNumberFormat="1" applyBorder="1" applyAlignment="1" applyProtection="1">
      <alignment vertical="center"/>
    </xf>
    <xf numFmtId="10" fontId="0" fillId="0" borderId="124" xfId="0" applyNumberFormat="1" applyBorder="1" applyAlignment="1" applyProtection="1">
      <alignment vertical="center"/>
    </xf>
    <xf numFmtId="8" fontId="0" fillId="0" borderId="245" xfId="0" applyNumberFormat="1" applyBorder="1" applyAlignment="1" applyProtection="1">
      <alignment vertical="center"/>
    </xf>
    <xf numFmtId="10" fontId="0" fillId="0" borderId="125" xfId="0" applyNumberFormat="1" applyBorder="1" applyAlignment="1" applyProtection="1">
      <alignment vertical="center"/>
    </xf>
    <xf numFmtId="8" fontId="0" fillId="0" borderId="215" xfId="0" applyNumberFormat="1" applyBorder="1" applyAlignment="1" applyProtection="1">
      <alignment vertical="center"/>
    </xf>
    <xf numFmtId="8" fontId="0" fillId="0" borderId="244" xfId="0" applyNumberFormat="1" applyBorder="1" applyAlignment="1" applyProtection="1">
      <alignment vertical="center"/>
    </xf>
    <xf numFmtId="0" fontId="0" fillId="4" borderId="110" xfId="0" applyFill="1" applyBorder="1" applyProtection="1"/>
    <xf numFmtId="0" fontId="0" fillId="0" borderId="214" xfId="0" applyBorder="1" applyProtection="1"/>
    <xf numFmtId="0" fontId="0" fillId="8" borderId="124" xfId="0" applyFill="1" applyBorder="1" applyProtection="1"/>
    <xf numFmtId="0" fontId="0" fillId="0" borderId="245" xfId="0" applyBorder="1" applyProtection="1"/>
    <xf numFmtId="0" fontId="0" fillId="7" borderId="110" xfId="0" applyFill="1" applyBorder="1" applyProtection="1"/>
    <xf numFmtId="0" fontId="0" fillId="3" borderId="124" xfId="0" applyFill="1" applyBorder="1" applyProtection="1"/>
    <xf numFmtId="0" fontId="0" fillId="6" borderId="110" xfId="0" applyFill="1" applyBorder="1" applyProtection="1"/>
    <xf numFmtId="0" fontId="0" fillId="5" borderId="21" xfId="0" applyFill="1" applyBorder="1" applyProtection="1"/>
    <xf numFmtId="0" fontId="0" fillId="0" borderId="23" xfId="0" applyBorder="1" applyProtection="1"/>
    <xf numFmtId="0" fontId="0" fillId="9" borderId="124" xfId="0" applyFill="1" applyBorder="1" applyProtection="1"/>
    <xf numFmtId="0" fontId="0" fillId="10" borderId="292" xfId="0" applyFill="1" applyBorder="1" applyProtection="1"/>
    <xf numFmtId="0" fontId="0" fillId="0" borderId="293" xfId="0" applyBorder="1" applyProtection="1"/>
    <xf numFmtId="0" fontId="6" fillId="0" borderId="2" xfId="0" applyFont="1" applyBorder="1" applyProtection="1"/>
    <xf numFmtId="0" fontId="0" fillId="0" borderId="4" xfId="0" applyBorder="1" applyProtection="1"/>
    <xf numFmtId="0" fontId="0" fillId="0" borderId="105" xfId="0" applyBorder="1" applyAlignment="1" applyProtection="1">
      <alignment horizontal="left" vertical="top" wrapText="1"/>
    </xf>
    <xf numFmtId="0" fontId="0" fillId="0" borderId="0" xfId="0" applyBorder="1" applyAlignment="1" applyProtection="1">
      <alignment horizontal="left" vertical="top" wrapText="1"/>
    </xf>
    <xf numFmtId="0" fontId="0" fillId="0" borderId="106" xfId="0" applyBorder="1" applyAlignment="1" applyProtection="1">
      <alignment horizontal="left" vertical="top" wrapText="1"/>
    </xf>
    <xf numFmtId="0" fontId="0" fillId="0" borderId="107" xfId="0" applyBorder="1" applyAlignment="1" applyProtection="1">
      <alignment horizontal="left" vertical="top" wrapText="1"/>
    </xf>
    <xf numFmtId="0" fontId="0" fillId="0" borderId="1" xfId="0" applyBorder="1" applyAlignment="1" applyProtection="1">
      <alignment horizontal="left" vertical="top" wrapText="1"/>
    </xf>
    <xf numFmtId="0" fontId="0" fillId="0" borderId="108" xfId="0" applyBorder="1" applyAlignment="1" applyProtection="1">
      <alignment horizontal="left" vertical="top" wrapText="1"/>
    </xf>
    <xf numFmtId="0" fontId="6" fillId="0" borderId="104" xfId="0" applyFont="1" applyBorder="1" applyAlignment="1" applyProtection="1">
      <alignment horizontal="left" vertical="top"/>
    </xf>
    <xf numFmtId="0" fontId="6" fillId="0" borderId="102" xfId="0" applyFont="1" applyBorder="1" applyAlignment="1" applyProtection="1">
      <alignment horizontal="left" vertical="top"/>
    </xf>
    <xf numFmtId="0" fontId="6" fillId="0" borderId="76" xfId="0" applyFont="1" applyBorder="1" applyAlignment="1" applyProtection="1">
      <alignment horizontal="left" vertical="top"/>
    </xf>
    <xf numFmtId="0" fontId="0" fillId="3" borderId="10" xfId="0" applyFont="1" applyFill="1" applyBorder="1" applyAlignment="1" applyProtection="1">
      <alignment horizontal="left" vertical="center"/>
      <protection locked="0"/>
    </xf>
    <xf numFmtId="0" fontId="0" fillId="3" borderId="26" xfId="0" applyFont="1" applyFill="1" applyBorder="1" applyAlignment="1" applyProtection="1">
      <alignment horizontal="left" vertical="center"/>
      <protection locked="0"/>
    </xf>
    <xf numFmtId="0" fontId="3" fillId="0" borderId="15" xfId="0" applyFont="1" applyBorder="1" applyAlignment="1" applyProtection="1">
      <alignment horizontal="left" vertical="center"/>
    </xf>
    <xf numFmtId="0" fontId="3" fillId="0" borderId="24" xfId="0" applyFont="1" applyBorder="1" applyAlignment="1" applyProtection="1">
      <alignment horizontal="left" vertical="center"/>
    </xf>
    <xf numFmtId="14" fontId="0" fillId="3" borderId="102" xfId="0" applyNumberForma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center"/>
    </xf>
    <xf numFmtId="0" fontId="1" fillId="4" borderId="3" xfId="0" applyFont="1" applyFill="1" applyBorder="1" applyAlignment="1" applyProtection="1">
      <alignment horizontal="center"/>
    </xf>
    <xf numFmtId="0" fontId="1" fillId="4" borderId="4" xfId="0" applyFont="1" applyFill="1" applyBorder="1" applyAlignment="1" applyProtection="1">
      <alignment horizontal="center"/>
    </xf>
    <xf numFmtId="0" fontId="2" fillId="8" borderId="2" xfId="0" applyFont="1" applyFill="1" applyBorder="1" applyAlignment="1" applyProtection="1">
      <alignment horizontal="left" vertical="center"/>
    </xf>
    <xf numFmtId="0" fontId="2" fillId="8" borderId="3" xfId="0" applyFont="1" applyFill="1" applyBorder="1" applyAlignment="1" applyProtection="1">
      <alignment horizontal="left" vertical="center"/>
    </xf>
    <xf numFmtId="0" fontId="2" fillId="8" borderId="4" xfId="0" applyFont="1" applyFill="1" applyBorder="1" applyAlignment="1" applyProtection="1">
      <alignment horizontal="left" vertical="center"/>
    </xf>
    <xf numFmtId="0" fontId="0" fillId="3" borderId="11" xfId="0" applyFill="1" applyBorder="1" applyAlignment="1" applyProtection="1">
      <alignment horizontal="left" vertical="center"/>
      <protection locked="0"/>
    </xf>
    <xf numFmtId="0" fontId="0" fillId="3" borderId="25" xfId="0" applyFill="1" applyBorder="1" applyAlignment="1" applyProtection="1">
      <alignment horizontal="left" vertical="center"/>
      <protection locked="0"/>
    </xf>
    <xf numFmtId="0" fontId="0" fillId="3" borderId="12" xfId="0" applyFill="1" applyBorder="1" applyAlignment="1" applyProtection="1">
      <alignment horizontal="left" vertical="center"/>
      <protection locked="0"/>
    </xf>
    <xf numFmtId="0" fontId="0" fillId="3" borderId="12" xfId="0" applyFill="1" applyBorder="1" applyAlignment="1" applyProtection="1">
      <alignment horizontal="left" vertical="center" wrapText="1"/>
      <protection locked="0"/>
    </xf>
    <xf numFmtId="0" fontId="0" fillId="3" borderId="1" xfId="0" applyFill="1" applyBorder="1" applyAlignment="1" applyProtection="1">
      <alignment horizontal="left" vertical="center"/>
      <protection locked="0"/>
    </xf>
    <xf numFmtId="0" fontId="0" fillId="3" borderId="55" xfId="0" applyFill="1" applyBorder="1" applyAlignment="1" applyProtection="1">
      <alignment horizontal="left" vertical="center"/>
      <protection locked="0"/>
    </xf>
    <xf numFmtId="0" fontId="0" fillId="3" borderId="99" xfId="0" applyFill="1" applyBorder="1" applyAlignment="1" applyProtection="1">
      <alignment horizontal="left" vertical="center"/>
      <protection locked="0"/>
    </xf>
    <xf numFmtId="0" fontId="6" fillId="0" borderId="70" xfId="0" applyFont="1" applyBorder="1" applyAlignment="1" applyProtection="1">
      <alignment horizontal="center" vertical="center"/>
    </xf>
    <xf numFmtId="0" fontId="6" fillId="0" borderId="28" xfId="0" applyFont="1" applyBorder="1" applyAlignment="1" applyProtection="1">
      <alignment horizontal="center" vertical="center"/>
    </xf>
    <xf numFmtId="0" fontId="6" fillId="0" borderId="73" xfId="0" applyFont="1" applyBorder="1" applyAlignment="1" applyProtection="1">
      <alignment horizontal="center" vertical="center"/>
    </xf>
    <xf numFmtId="0" fontId="6" fillId="0" borderId="71" xfId="0" applyFont="1" applyBorder="1" applyAlignment="1" applyProtection="1">
      <alignment horizontal="center" vertical="center"/>
    </xf>
    <xf numFmtId="0" fontId="6" fillId="0" borderId="39" xfId="0" applyFont="1" applyBorder="1" applyAlignment="1" applyProtection="1">
      <alignment horizontal="center" vertical="center"/>
    </xf>
    <xf numFmtId="0" fontId="6" fillId="0" borderId="31" xfId="0" applyFont="1" applyBorder="1" applyAlignment="1" applyProtection="1">
      <alignment horizontal="center" vertical="center"/>
    </xf>
    <xf numFmtId="0" fontId="6" fillId="0" borderId="37" xfId="0" applyFont="1" applyBorder="1" applyAlignment="1" applyProtection="1">
      <alignment horizontal="center" vertical="center"/>
    </xf>
    <xf numFmtId="0" fontId="6" fillId="0" borderId="32" xfId="0" applyFont="1" applyBorder="1" applyAlignment="1" applyProtection="1">
      <alignment horizontal="center" vertical="center"/>
    </xf>
    <xf numFmtId="0" fontId="6" fillId="0" borderId="38" xfId="0" applyFont="1" applyBorder="1" applyAlignment="1" applyProtection="1">
      <alignment horizontal="center" vertical="center"/>
    </xf>
    <xf numFmtId="0" fontId="0" fillId="0" borderId="27" xfId="0" applyBorder="1" applyAlignment="1" applyProtection="1">
      <alignment horizontal="left" vertical="center" wrapText="1"/>
    </xf>
    <xf numFmtId="0" fontId="0" fillId="0" borderId="15" xfId="0" applyBorder="1" applyAlignment="1" applyProtection="1">
      <alignment horizontal="left" vertical="center" wrapText="1"/>
    </xf>
    <xf numFmtId="0" fontId="0" fillId="2" borderId="5" xfId="0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center"/>
    </xf>
    <xf numFmtId="0" fontId="0" fillId="2" borderId="6" xfId="0" applyFill="1" applyBorder="1" applyAlignment="1" applyProtection="1">
      <alignment horizontal="center" vertical="center"/>
    </xf>
    <xf numFmtId="0" fontId="0" fillId="2" borderId="27" xfId="0" applyFill="1" applyBorder="1" applyAlignment="1" applyProtection="1">
      <alignment horizontal="center" vertical="center"/>
    </xf>
    <xf numFmtId="0" fontId="0" fillId="2" borderId="28" xfId="0" applyFill="1" applyBorder="1" applyAlignment="1" applyProtection="1">
      <alignment horizontal="center" vertical="center"/>
    </xf>
    <xf numFmtId="0" fontId="0" fillId="2" borderId="69" xfId="0" applyFill="1" applyBorder="1" applyAlignment="1" applyProtection="1">
      <alignment horizontal="center" vertical="center"/>
    </xf>
    <xf numFmtId="0" fontId="5" fillId="0" borderId="40" xfId="0" applyFont="1" applyBorder="1" applyAlignment="1" applyProtection="1">
      <alignment horizontal="center" vertical="center" wrapText="1"/>
    </xf>
    <xf numFmtId="0" fontId="5" fillId="0" borderId="41" xfId="0" applyFont="1" applyBorder="1" applyAlignment="1" applyProtection="1">
      <alignment horizontal="center" vertical="center" wrapText="1"/>
    </xf>
    <xf numFmtId="0" fontId="5" fillId="0" borderId="29" xfId="0" applyFont="1" applyBorder="1" applyAlignment="1" applyProtection="1">
      <alignment horizontal="center" vertical="center" wrapText="1"/>
    </xf>
    <xf numFmtId="0" fontId="5" fillId="0" borderId="16" xfId="0" applyFont="1" applyBorder="1" applyAlignment="1" applyProtection="1">
      <alignment horizontal="center" vertical="center" wrapText="1"/>
    </xf>
    <xf numFmtId="0" fontId="6" fillId="0" borderId="72" xfId="0" applyFont="1" applyBorder="1" applyAlignment="1" applyProtection="1">
      <alignment horizontal="center" vertical="center"/>
    </xf>
    <xf numFmtId="0" fontId="6" fillId="0" borderId="30" xfId="0" applyFont="1" applyBorder="1" applyAlignment="1" applyProtection="1">
      <alignment horizontal="center" vertical="center"/>
    </xf>
    <xf numFmtId="0" fontId="6" fillId="0" borderId="35" xfId="0" applyFont="1" applyBorder="1" applyAlignment="1" applyProtection="1">
      <alignment horizontal="center" vertical="center"/>
    </xf>
    <xf numFmtId="0" fontId="1" fillId="4" borderId="2" xfId="0" applyFont="1" applyFill="1" applyBorder="1" applyAlignment="1" applyProtection="1">
      <alignment horizontal="center" vertical="center"/>
    </xf>
    <xf numFmtId="0" fontId="1" fillId="4" borderId="3" xfId="0" applyFont="1" applyFill="1" applyBorder="1" applyAlignment="1" applyProtection="1">
      <alignment horizontal="center" vertical="center"/>
    </xf>
    <xf numFmtId="0" fontId="1" fillId="4" borderId="4" xfId="0" applyFont="1" applyFill="1" applyBorder="1" applyAlignment="1" applyProtection="1">
      <alignment horizontal="center" vertical="center"/>
    </xf>
    <xf numFmtId="0" fontId="0" fillId="2" borderId="2" xfId="0" applyFill="1" applyBorder="1" applyAlignment="1" applyProtection="1">
      <alignment horizontal="center" vertical="center"/>
    </xf>
    <xf numFmtId="0" fontId="0" fillId="2" borderId="3" xfId="0" applyFill="1" applyBorder="1" applyAlignment="1" applyProtection="1">
      <alignment horizontal="center" vertical="center"/>
    </xf>
    <xf numFmtId="0" fontId="0" fillId="2" borderId="4" xfId="0" applyFill="1" applyBorder="1" applyAlignment="1" applyProtection="1">
      <alignment horizontal="center" vertical="center"/>
    </xf>
    <xf numFmtId="164" fontId="0" fillId="7" borderId="22" xfId="0" applyNumberFormat="1" applyFill="1" applyBorder="1" applyAlignment="1" applyProtection="1">
      <alignment horizontal="center" vertical="center"/>
      <protection locked="0"/>
    </xf>
    <xf numFmtId="0" fontId="0" fillId="7" borderId="0" xfId="0" applyFill="1" applyBorder="1" applyAlignment="1" applyProtection="1">
      <alignment horizontal="center" vertical="center"/>
      <protection locked="0"/>
    </xf>
    <xf numFmtId="164" fontId="0" fillId="7" borderId="134" xfId="0" applyNumberFormat="1" applyFill="1" applyBorder="1" applyAlignment="1" applyProtection="1">
      <alignment horizontal="center" vertical="center"/>
      <protection locked="0"/>
    </xf>
    <xf numFmtId="0" fontId="0" fillId="7" borderId="126" xfId="0" applyFill="1" applyBorder="1" applyAlignment="1" applyProtection="1">
      <alignment horizontal="center" vertical="center"/>
      <protection locked="0"/>
    </xf>
    <xf numFmtId="0" fontId="14" fillId="0" borderId="40" xfId="0" applyFont="1" applyBorder="1" applyAlignment="1" applyProtection="1">
      <alignment horizontal="center" vertical="center" wrapText="1"/>
    </xf>
    <xf numFmtId="0" fontId="14" fillId="0" borderId="41" xfId="0" applyFont="1" applyBorder="1" applyAlignment="1" applyProtection="1">
      <alignment horizontal="center" vertical="center" wrapText="1"/>
    </xf>
    <xf numFmtId="164" fontId="6" fillId="5" borderId="8" xfId="0" applyNumberFormat="1" applyFont="1" applyFill="1" applyBorder="1" applyAlignment="1" applyProtection="1">
      <alignment horizontal="center" vertical="center"/>
    </xf>
    <xf numFmtId="164" fontId="6" fillId="5" borderId="9" xfId="0" applyNumberFormat="1" applyFont="1" applyFill="1" applyBorder="1" applyAlignment="1" applyProtection="1">
      <alignment horizontal="center" vertical="center"/>
    </xf>
    <xf numFmtId="0" fontId="9" fillId="0" borderId="29" xfId="0" applyFont="1" applyBorder="1" applyAlignment="1" applyProtection="1">
      <alignment horizontal="center" vertical="center" wrapText="1"/>
    </xf>
    <xf numFmtId="0" fontId="9" fillId="0" borderId="16" xfId="0" applyFont="1" applyBorder="1" applyAlignment="1" applyProtection="1">
      <alignment horizontal="center" vertical="center" wrapText="1"/>
    </xf>
    <xf numFmtId="0" fontId="6" fillId="0" borderId="27" xfId="0" applyFont="1" applyBorder="1" applyAlignment="1" applyProtection="1">
      <alignment horizontal="left" vertical="center" wrapText="1"/>
    </xf>
    <xf numFmtId="0" fontId="6" fillId="0" borderId="15" xfId="0" applyFont="1" applyBorder="1" applyAlignment="1" applyProtection="1">
      <alignment horizontal="left" vertical="center" wrapText="1"/>
    </xf>
    <xf numFmtId="0" fontId="9" fillId="0" borderId="40" xfId="0" applyFont="1" applyBorder="1" applyAlignment="1" applyProtection="1">
      <alignment horizontal="center" vertical="center" wrapText="1"/>
    </xf>
    <xf numFmtId="0" fontId="9" fillId="0" borderId="41" xfId="0" applyFont="1" applyBorder="1" applyAlignment="1" applyProtection="1">
      <alignment horizontal="center" vertical="center" wrapText="1"/>
    </xf>
    <xf numFmtId="0" fontId="14" fillId="0" borderId="28" xfId="0" applyFont="1" applyBorder="1" applyAlignment="1" applyProtection="1">
      <alignment horizontal="center" vertical="center" wrapText="1"/>
    </xf>
    <xf numFmtId="0" fontId="14" fillId="0" borderId="28" xfId="0" applyFont="1" applyBorder="1" applyAlignment="1" applyProtection="1">
      <alignment horizontal="center" vertical="center"/>
    </xf>
    <xf numFmtId="0" fontId="14" fillId="0" borderId="0" xfId="0" applyFont="1" applyBorder="1" applyAlignment="1" applyProtection="1">
      <alignment horizontal="center" vertical="center"/>
    </xf>
    <xf numFmtId="164" fontId="0" fillId="7" borderId="42" xfId="0" applyNumberFormat="1" applyFill="1" applyBorder="1" applyAlignment="1" applyProtection="1">
      <alignment horizontal="center" vertical="center"/>
      <protection locked="0"/>
    </xf>
    <xf numFmtId="0" fontId="0" fillId="0" borderId="116" xfId="0" applyBorder="1" applyAlignment="1" applyProtection="1">
      <alignment horizontal="center" vertical="center" wrapText="1"/>
    </xf>
    <xf numFmtId="0" fontId="0" fillId="0" borderId="114" xfId="0" applyBorder="1" applyAlignment="1" applyProtection="1">
      <alignment horizontal="center" vertical="center" wrapText="1"/>
    </xf>
    <xf numFmtId="0" fontId="0" fillId="0" borderId="12" xfId="0" applyBorder="1" applyAlignment="1" applyProtection="1">
      <alignment horizontal="left" vertical="center"/>
    </xf>
    <xf numFmtId="0" fontId="0" fillId="0" borderId="167" xfId="0" applyBorder="1" applyAlignment="1" applyProtection="1">
      <alignment horizontal="left" vertical="center"/>
    </xf>
    <xf numFmtId="0" fontId="0" fillId="0" borderId="162" xfId="0" applyBorder="1" applyAlignment="1" applyProtection="1">
      <alignment horizontal="left" vertical="center"/>
    </xf>
    <xf numFmtId="0" fontId="0" fillId="0" borderId="163" xfId="0" applyBorder="1" applyAlignment="1" applyProtection="1">
      <alignment horizontal="left" vertical="center"/>
    </xf>
    <xf numFmtId="0" fontId="0" fillId="9" borderId="15" xfId="0" applyFill="1" applyBorder="1" applyAlignment="1" applyProtection="1">
      <alignment horizontal="left" vertical="center"/>
    </xf>
    <xf numFmtId="0" fontId="0" fillId="9" borderId="33" xfId="0" applyFill="1" applyBorder="1" applyAlignment="1" applyProtection="1">
      <alignment horizontal="left" vertical="center"/>
    </xf>
    <xf numFmtId="0" fontId="0" fillId="9" borderId="158" xfId="0" applyFill="1" applyBorder="1" applyAlignment="1" applyProtection="1">
      <alignment horizontal="left" vertical="center"/>
    </xf>
    <xf numFmtId="0" fontId="0" fillId="0" borderId="160" xfId="0" applyBorder="1" applyAlignment="1" applyProtection="1">
      <alignment horizontal="left" vertical="center"/>
    </xf>
    <xf numFmtId="0" fontId="0" fillId="0" borderId="161" xfId="0" applyBorder="1" applyAlignment="1" applyProtection="1">
      <alignment horizontal="left" vertical="center"/>
    </xf>
    <xf numFmtId="0" fontId="6" fillId="0" borderId="27" xfId="0" applyFont="1" applyBorder="1" applyAlignment="1" applyProtection="1">
      <alignment horizontal="left" vertical="center"/>
    </xf>
    <xf numFmtId="0" fontId="6" fillId="0" borderId="28" xfId="0" applyFont="1" applyBorder="1" applyAlignment="1" applyProtection="1">
      <alignment horizontal="left" vertical="center"/>
    </xf>
    <xf numFmtId="0" fontId="6" fillId="0" borderId="157" xfId="0" applyFont="1" applyBorder="1" applyAlignment="1" applyProtection="1">
      <alignment horizontal="left" vertical="center"/>
    </xf>
    <xf numFmtId="0" fontId="6" fillId="0" borderId="15" xfId="0" applyFont="1" applyBorder="1" applyAlignment="1" applyProtection="1">
      <alignment horizontal="left" vertical="center"/>
    </xf>
    <xf numFmtId="0" fontId="6" fillId="0" borderId="33" xfId="0" applyFont="1" applyBorder="1" applyAlignment="1" applyProtection="1">
      <alignment horizontal="left" vertical="center"/>
    </xf>
    <xf numFmtId="0" fontId="6" fillId="0" borderId="158" xfId="0" applyFont="1" applyBorder="1" applyAlignment="1" applyProtection="1">
      <alignment horizontal="left" vertical="center"/>
    </xf>
    <xf numFmtId="0" fontId="0" fillId="0" borderId="12" xfId="0" applyBorder="1" applyAlignment="1" applyProtection="1">
      <alignment horizontal="left" vertical="center" wrapText="1"/>
    </xf>
    <xf numFmtId="0" fontId="0" fillId="0" borderId="167" xfId="0" applyBorder="1" applyAlignment="1" applyProtection="1">
      <alignment horizontal="left" vertical="center" wrapText="1"/>
    </xf>
    <xf numFmtId="0" fontId="0" fillId="0" borderId="0" xfId="0" applyBorder="1" applyAlignment="1" applyProtection="1">
      <alignment horizontal="right" vertical="center"/>
    </xf>
    <xf numFmtId="0" fontId="0" fillId="0" borderId="156" xfId="0" applyBorder="1" applyAlignment="1" applyProtection="1">
      <alignment horizontal="right" vertical="center"/>
    </xf>
    <xf numFmtId="0" fontId="0" fillId="0" borderId="185" xfId="0" applyBorder="1" applyAlignment="1" applyProtection="1">
      <alignment horizontal="left" vertical="center"/>
    </xf>
    <xf numFmtId="0" fontId="0" fillId="0" borderId="186" xfId="0" applyBorder="1" applyAlignment="1" applyProtection="1">
      <alignment horizontal="left" vertical="center"/>
    </xf>
    <xf numFmtId="0" fontId="2" fillId="5" borderId="2" xfId="0" applyFont="1" applyFill="1" applyBorder="1" applyAlignment="1" applyProtection="1">
      <alignment horizontal="left" vertical="center"/>
    </xf>
    <xf numFmtId="0" fontId="2" fillId="5" borderId="3" xfId="0" applyFont="1" applyFill="1" applyBorder="1" applyAlignment="1" applyProtection="1">
      <alignment horizontal="left" vertical="center"/>
    </xf>
    <xf numFmtId="0" fontId="2" fillId="5" borderId="181" xfId="0" applyFont="1" applyFill="1" applyBorder="1" applyAlignment="1" applyProtection="1">
      <alignment horizontal="left" vertical="center"/>
    </xf>
    <xf numFmtId="0" fontId="6" fillId="0" borderId="0" xfId="0" applyFont="1" applyFill="1" applyBorder="1" applyAlignment="1" applyProtection="1">
      <alignment horizontal="right" vertical="center"/>
    </xf>
    <xf numFmtId="0" fontId="6" fillId="0" borderId="156" xfId="0" applyFont="1" applyFill="1" applyBorder="1" applyAlignment="1" applyProtection="1">
      <alignment horizontal="right" vertical="center"/>
    </xf>
    <xf numFmtId="0" fontId="0" fillId="0" borderId="195" xfId="0" applyBorder="1" applyAlignment="1" applyProtection="1">
      <alignment horizontal="right" vertical="center"/>
    </xf>
    <xf numFmtId="0" fontId="0" fillId="0" borderId="196" xfId="0" applyBorder="1" applyAlignment="1" applyProtection="1">
      <alignment horizontal="right" vertical="center"/>
    </xf>
    <xf numFmtId="0" fontId="0" fillId="0" borderId="207" xfId="0" applyBorder="1" applyAlignment="1" applyProtection="1">
      <alignment horizontal="right" vertical="center"/>
    </xf>
    <xf numFmtId="0" fontId="0" fillId="0" borderId="11" xfId="0" applyBorder="1" applyAlignment="1" applyProtection="1">
      <alignment horizontal="right" vertical="center"/>
    </xf>
    <xf numFmtId="0" fontId="0" fillId="0" borderId="12" xfId="0" applyBorder="1" applyAlignment="1" applyProtection="1">
      <alignment horizontal="right" vertical="center"/>
    </xf>
    <xf numFmtId="0" fontId="0" fillId="0" borderId="25" xfId="0" applyBorder="1" applyAlignment="1" applyProtection="1">
      <alignment horizontal="right" vertical="center"/>
    </xf>
    <xf numFmtId="0" fontId="0" fillId="0" borderId="201" xfId="0" applyBorder="1" applyAlignment="1" applyProtection="1">
      <alignment horizontal="right" vertical="center"/>
    </xf>
    <xf numFmtId="0" fontId="0" fillId="0" borderId="202" xfId="0" applyBorder="1" applyAlignment="1" applyProtection="1">
      <alignment horizontal="right" vertical="center"/>
    </xf>
    <xf numFmtId="0" fontId="0" fillId="0" borderId="208" xfId="0" applyBorder="1" applyAlignment="1" applyProtection="1">
      <alignment horizontal="right" vertical="center"/>
    </xf>
    <xf numFmtId="0" fontId="2" fillId="0" borderId="2" xfId="0" applyFont="1" applyBorder="1" applyAlignment="1" applyProtection="1">
      <alignment horizontal="right" vertical="center"/>
    </xf>
    <xf numFmtId="0" fontId="2" fillId="0" borderId="3" xfId="0" applyFont="1" applyBorder="1" applyAlignment="1" applyProtection="1">
      <alignment horizontal="right" vertical="center"/>
    </xf>
    <xf numFmtId="0" fontId="2" fillId="0" borderId="4" xfId="0" applyFont="1" applyBorder="1" applyAlignment="1" applyProtection="1">
      <alignment horizontal="right" vertical="center"/>
    </xf>
    <xf numFmtId="0" fontId="6" fillId="0" borderId="72" xfId="0" applyFont="1" applyBorder="1" applyAlignment="1" applyProtection="1">
      <alignment horizontal="center" vertical="center" wrapText="1"/>
    </xf>
    <xf numFmtId="0" fontId="6" fillId="0" borderId="71" xfId="0" applyFont="1" applyBorder="1" applyAlignment="1" applyProtection="1">
      <alignment horizontal="center" vertical="center" wrapText="1"/>
    </xf>
    <xf numFmtId="0" fontId="6" fillId="0" borderId="69" xfId="0" applyFont="1" applyBorder="1" applyAlignment="1" applyProtection="1">
      <alignment horizontal="center" vertical="center"/>
    </xf>
    <xf numFmtId="0" fontId="10" fillId="0" borderId="201" xfId="0" applyFont="1" applyBorder="1" applyAlignment="1" applyProtection="1">
      <alignment horizontal="right" vertical="center"/>
    </xf>
    <xf numFmtId="0" fontId="10" fillId="0" borderId="202" xfId="0" applyFont="1" applyBorder="1" applyAlignment="1" applyProtection="1">
      <alignment horizontal="right" vertical="center"/>
    </xf>
    <xf numFmtId="0" fontId="0" fillId="0" borderId="154" xfId="0" applyBorder="1" applyAlignment="1" applyProtection="1">
      <alignment horizontal="left" vertical="center"/>
    </xf>
    <xf numFmtId="0" fontId="0" fillId="0" borderId="11" xfId="0" applyBorder="1" applyAlignment="1" applyProtection="1">
      <alignment horizontal="left" vertical="center"/>
    </xf>
    <xf numFmtId="0" fontId="0" fillId="0" borderId="10" xfId="0" applyBorder="1" applyAlignment="1" applyProtection="1">
      <alignment horizontal="left" vertical="center"/>
    </xf>
    <xf numFmtId="0" fontId="10" fillId="0" borderId="224" xfId="0" applyFont="1" applyBorder="1" applyAlignment="1" applyProtection="1">
      <alignment horizontal="right" vertical="center"/>
    </xf>
    <xf numFmtId="0" fontId="10" fillId="0" borderId="225" xfId="0" applyFont="1" applyBorder="1" applyAlignment="1" applyProtection="1">
      <alignment horizontal="right" vertical="center"/>
    </xf>
    <xf numFmtId="0" fontId="2" fillId="0" borderId="27" xfId="0" applyFont="1" applyBorder="1" applyAlignment="1" applyProtection="1">
      <alignment horizontal="left" vertical="center"/>
    </xf>
    <xf numFmtId="0" fontId="2" fillId="0" borderId="28" xfId="0" applyFont="1" applyBorder="1" applyAlignment="1" applyProtection="1">
      <alignment horizontal="left" vertical="center"/>
    </xf>
    <xf numFmtId="0" fontId="2" fillId="0" borderId="157" xfId="0" applyFont="1" applyBorder="1" applyAlignment="1" applyProtection="1">
      <alignment horizontal="left" vertical="center"/>
    </xf>
    <xf numFmtId="0" fontId="2" fillId="0" borderId="15" xfId="0" applyFont="1" applyBorder="1" applyAlignment="1" applyProtection="1">
      <alignment horizontal="left" vertical="center"/>
    </xf>
    <xf numFmtId="0" fontId="2" fillId="0" borderId="33" xfId="0" applyFont="1" applyBorder="1" applyAlignment="1" applyProtection="1">
      <alignment horizontal="left" vertical="center"/>
    </xf>
    <xf numFmtId="0" fontId="0" fillId="0" borderId="256" xfId="0" applyBorder="1" applyAlignment="1" applyProtection="1">
      <alignment horizontal="right" vertical="center"/>
    </xf>
    <xf numFmtId="0" fontId="0" fillId="0" borderId="257" xfId="0" applyBorder="1" applyAlignment="1" applyProtection="1">
      <alignment horizontal="right" vertical="center"/>
    </xf>
    <xf numFmtId="0" fontId="0" fillId="0" borderId="279" xfId="0" applyBorder="1" applyAlignment="1" applyProtection="1">
      <alignment horizontal="right" vertical="center"/>
    </xf>
    <xf numFmtId="0" fontId="0" fillId="0" borderId="224" xfId="0" applyBorder="1" applyAlignment="1" applyProtection="1">
      <alignment horizontal="right" vertical="center"/>
    </xf>
    <xf numFmtId="0" fontId="0" fillId="0" borderId="225" xfId="0" applyBorder="1" applyAlignment="1" applyProtection="1">
      <alignment horizontal="right" vertical="center"/>
    </xf>
    <xf numFmtId="0" fontId="0" fillId="0" borderId="280" xfId="0" applyBorder="1" applyAlignment="1" applyProtection="1">
      <alignment horizontal="right" vertical="center"/>
    </xf>
    <xf numFmtId="0" fontId="0" fillId="3" borderId="77" xfId="0" applyFill="1" applyBorder="1" applyAlignment="1" applyProtection="1">
      <alignment horizontal="left" vertical="center"/>
      <protection locked="0"/>
    </xf>
    <xf numFmtId="0" fontId="0" fillId="3" borderId="217" xfId="0" applyFill="1" applyBorder="1" applyAlignment="1" applyProtection="1">
      <alignment horizontal="left" vertical="center"/>
      <protection locked="0"/>
    </xf>
    <xf numFmtId="0" fontId="0" fillId="3" borderId="218" xfId="0" applyFill="1" applyBorder="1" applyAlignment="1" applyProtection="1">
      <alignment horizontal="left" vertical="center"/>
      <protection locked="0"/>
    </xf>
    <xf numFmtId="0" fontId="10" fillId="0" borderId="87" xfId="0" applyFont="1" applyBorder="1" applyAlignment="1" applyProtection="1">
      <alignment horizontal="right" vertical="center"/>
    </xf>
    <xf numFmtId="0" fontId="10" fillId="0" borderId="219" xfId="0" applyFont="1" applyBorder="1" applyAlignment="1" applyProtection="1">
      <alignment horizontal="right" vertical="center"/>
    </xf>
    <xf numFmtId="0" fontId="10" fillId="0" borderId="122" xfId="0" applyFont="1" applyBorder="1" applyAlignment="1" applyProtection="1">
      <alignment horizontal="right" vertical="center"/>
    </xf>
    <xf numFmtId="0" fontId="0" fillId="3" borderId="10" xfId="0" applyFill="1" applyBorder="1" applyAlignment="1" applyProtection="1">
      <alignment horizontal="left" vertical="center"/>
      <protection locked="0"/>
    </xf>
    <xf numFmtId="0" fontId="0" fillId="3" borderId="160" xfId="0" applyFill="1" applyBorder="1" applyAlignment="1" applyProtection="1">
      <alignment horizontal="left" vertical="center"/>
      <protection locked="0"/>
    </xf>
    <xf numFmtId="0" fontId="0" fillId="3" borderId="161" xfId="0" applyFill="1" applyBorder="1" applyAlignment="1" applyProtection="1">
      <alignment horizontal="left" vertical="center"/>
      <protection locked="0"/>
    </xf>
    <xf numFmtId="0" fontId="0" fillId="3" borderId="167" xfId="0" applyFill="1" applyBorder="1" applyAlignment="1" applyProtection="1">
      <alignment horizontal="left" vertical="center"/>
      <protection locked="0"/>
    </xf>
    <xf numFmtId="0" fontId="0" fillId="3" borderId="154" xfId="0" applyFill="1" applyBorder="1" applyAlignment="1" applyProtection="1">
      <alignment horizontal="left" vertical="center"/>
      <protection locked="0"/>
    </xf>
    <xf numFmtId="0" fontId="0" fillId="3" borderId="162" xfId="0" applyFill="1" applyBorder="1" applyAlignment="1" applyProtection="1">
      <alignment horizontal="left" vertical="center"/>
      <protection locked="0"/>
    </xf>
    <xf numFmtId="0" fontId="0" fillId="3" borderId="163" xfId="0" applyFill="1" applyBorder="1" applyAlignment="1" applyProtection="1">
      <alignment horizontal="left" vertical="center"/>
      <protection locked="0"/>
    </xf>
    <xf numFmtId="0" fontId="10" fillId="0" borderId="15" xfId="0" applyFont="1" applyBorder="1" applyAlignment="1" applyProtection="1">
      <alignment horizontal="left" vertical="center"/>
    </xf>
    <xf numFmtId="0" fontId="10" fillId="0" borderId="33" xfId="0" applyFont="1" applyBorder="1" applyAlignment="1" applyProtection="1">
      <alignment horizontal="left" vertical="center"/>
    </xf>
    <xf numFmtId="0" fontId="10" fillId="0" borderId="158" xfId="0" applyFont="1" applyBorder="1" applyAlignment="1" applyProtection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2" fillId="0" borderId="3" xfId="0" applyFont="1" applyBorder="1" applyAlignment="1" applyProtection="1">
      <alignment horizontal="left" vertical="center"/>
    </xf>
    <xf numFmtId="0" fontId="2" fillId="0" borderId="4" xfId="0" applyFont="1" applyBorder="1" applyAlignment="1" applyProtection="1">
      <alignment horizontal="left" vertical="center"/>
    </xf>
    <xf numFmtId="0" fontId="6" fillId="0" borderId="2" xfId="0" applyFont="1" applyBorder="1" applyAlignment="1" applyProtection="1">
      <alignment horizontal="right" vertical="center"/>
    </xf>
    <xf numFmtId="0" fontId="6" fillId="0" borderId="3" xfId="0" applyFont="1" applyBorder="1" applyAlignment="1" applyProtection="1">
      <alignment horizontal="right" vertical="center"/>
    </xf>
    <xf numFmtId="0" fontId="6" fillId="0" borderId="181" xfId="0" applyFont="1" applyBorder="1" applyAlignment="1" applyProtection="1">
      <alignment horizontal="right" vertical="center"/>
    </xf>
    <xf numFmtId="0" fontId="0" fillId="0" borderId="10" xfId="0" applyFill="1" applyBorder="1" applyAlignment="1" applyProtection="1">
      <alignment horizontal="left" vertical="center"/>
    </xf>
    <xf numFmtId="0" fontId="0" fillId="0" borderId="160" xfId="0" applyFill="1" applyBorder="1" applyAlignment="1" applyProtection="1">
      <alignment horizontal="left" vertical="center"/>
    </xf>
    <xf numFmtId="0" fontId="0" fillId="0" borderId="161" xfId="0" applyFill="1" applyBorder="1" applyAlignment="1" applyProtection="1">
      <alignment horizontal="left" vertical="center"/>
    </xf>
    <xf numFmtId="0" fontId="10" fillId="0" borderId="220" xfId="0" applyFont="1" applyBorder="1" applyAlignment="1" applyProtection="1">
      <alignment horizontal="left" vertical="center"/>
    </xf>
    <xf numFmtId="0" fontId="10" fillId="0" borderId="221" xfId="0" applyFont="1" applyBorder="1" applyAlignment="1" applyProtection="1">
      <alignment horizontal="left" vertical="center"/>
    </xf>
    <xf numFmtId="0" fontId="10" fillId="0" borderId="222" xfId="0" applyFont="1" applyBorder="1" applyAlignment="1" applyProtection="1">
      <alignment horizontal="left" vertical="center"/>
    </xf>
    <xf numFmtId="0" fontId="0" fillId="0" borderId="11" xfId="0" applyFill="1" applyBorder="1" applyAlignment="1" applyProtection="1">
      <alignment horizontal="left" vertical="center"/>
    </xf>
    <xf numFmtId="0" fontId="0" fillId="0" borderId="12" xfId="0" applyFill="1" applyBorder="1" applyAlignment="1" applyProtection="1">
      <alignment horizontal="left" vertical="center"/>
    </xf>
    <xf numFmtId="0" fontId="0" fillId="0" borderId="167" xfId="0" applyFill="1" applyBorder="1" applyAlignment="1" applyProtection="1">
      <alignment horizontal="left" vertical="center"/>
    </xf>
    <xf numFmtId="0" fontId="0" fillId="0" borderId="154" xfId="0" applyFill="1" applyBorder="1" applyAlignment="1" applyProtection="1">
      <alignment horizontal="left" vertical="center"/>
    </xf>
    <xf numFmtId="0" fontId="0" fillId="0" borderId="162" xfId="0" applyFill="1" applyBorder="1" applyAlignment="1" applyProtection="1">
      <alignment horizontal="left" vertical="center"/>
    </xf>
    <xf numFmtId="0" fontId="0" fillId="0" borderId="163" xfId="0" applyFill="1" applyBorder="1" applyAlignment="1" applyProtection="1">
      <alignment horizontal="left" vertical="center"/>
    </xf>
    <xf numFmtId="0" fontId="0" fillId="0" borderId="247" xfId="0" applyFill="1" applyBorder="1" applyAlignment="1" applyProtection="1">
      <alignment horizontal="left" vertical="center"/>
    </xf>
    <xf numFmtId="0" fontId="0" fillId="0" borderId="248" xfId="0" applyFill="1" applyBorder="1" applyAlignment="1" applyProtection="1">
      <alignment horizontal="left" vertical="center"/>
    </xf>
    <xf numFmtId="0" fontId="0" fillId="0" borderId="249" xfId="0" applyFill="1" applyBorder="1" applyAlignment="1" applyProtection="1">
      <alignment horizontal="left" vertical="center"/>
    </xf>
    <xf numFmtId="0" fontId="0" fillId="0" borderId="5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156" xfId="0" applyFill="1" applyBorder="1" applyAlignment="1" applyProtection="1">
      <alignment horizontal="left" vertical="center"/>
    </xf>
    <xf numFmtId="0" fontId="0" fillId="0" borderId="11" xfId="0" applyFill="1" applyBorder="1" applyAlignment="1" applyProtection="1">
      <alignment horizontal="left" vertical="center" wrapText="1"/>
    </xf>
    <xf numFmtId="0" fontId="0" fillId="0" borderId="12" xfId="0" applyFill="1" applyBorder="1" applyAlignment="1" applyProtection="1">
      <alignment horizontal="left" vertical="center" wrapText="1"/>
    </xf>
    <xf numFmtId="0" fontId="0" fillId="0" borderId="167" xfId="0" applyFill="1" applyBorder="1" applyAlignment="1" applyProtection="1">
      <alignment horizontal="left" vertical="center" wrapText="1"/>
    </xf>
    <xf numFmtId="0" fontId="0" fillId="0" borderId="11" xfId="0" applyFill="1" applyBorder="1" applyAlignment="1" applyProtection="1">
      <alignment vertical="center"/>
    </xf>
    <xf numFmtId="0" fontId="0" fillId="0" borderId="12" xfId="0" applyFill="1" applyBorder="1" applyAlignment="1" applyProtection="1">
      <alignment vertical="center"/>
    </xf>
    <xf numFmtId="0" fontId="0" fillId="0" borderId="167" xfId="0" applyFill="1" applyBorder="1" applyAlignment="1" applyProtection="1">
      <alignment vertical="center"/>
    </xf>
    <xf numFmtId="0" fontId="0" fillId="0" borderId="154" xfId="0" applyFill="1" applyBorder="1" applyAlignment="1" applyProtection="1">
      <alignment vertical="center"/>
    </xf>
    <xf numFmtId="0" fontId="0" fillId="0" borderId="162" xfId="0" applyFill="1" applyBorder="1" applyAlignment="1" applyProtection="1">
      <alignment vertical="center"/>
    </xf>
    <xf numFmtId="0" fontId="0" fillId="0" borderId="163" xfId="0" applyFill="1" applyBorder="1" applyAlignment="1" applyProtection="1">
      <alignment vertical="center"/>
    </xf>
    <xf numFmtId="0" fontId="0" fillId="0" borderId="11" xfId="0" applyFill="1" applyBorder="1" applyAlignment="1" applyProtection="1">
      <alignment vertical="center" wrapText="1"/>
    </xf>
    <xf numFmtId="0" fontId="0" fillId="0" borderId="12" xfId="0" applyFill="1" applyBorder="1" applyAlignment="1" applyProtection="1">
      <alignment vertical="center" wrapText="1"/>
    </xf>
    <xf numFmtId="0" fontId="0" fillId="0" borderId="167" xfId="0" applyFill="1" applyBorder="1" applyAlignment="1" applyProtection="1">
      <alignment vertical="center" wrapText="1"/>
    </xf>
    <xf numFmtId="0" fontId="0" fillId="0" borderId="201" xfId="0" applyBorder="1" applyAlignment="1" applyProtection="1">
      <alignment horizontal="left" vertical="center"/>
    </xf>
    <xf numFmtId="0" fontId="0" fillId="0" borderId="202" xfId="0" applyBorder="1" applyAlignment="1" applyProtection="1">
      <alignment horizontal="left" vertical="center"/>
    </xf>
    <xf numFmtId="164" fontId="0" fillId="0" borderId="50" xfId="0" applyNumberFormat="1" applyFill="1" applyBorder="1" applyAlignment="1" applyProtection="1">
      <alignment horizontal="center" vertical="center"/>
    </xf>
    <xf numFmtId="164" fontId="0" fillId="0" borderId="22" xfId="0" applyNumberFormat="1" applyFill="1" applyBorder="1" applyAlignment="1" applyProtection="1">
      <alignment horizontal="center" vertical="center"/>
    </xf>
    <xf numFmtId="164" fontId="0" fillId="0" borderId="274" xfId="0" applyNumberFormat="1" applyFill="1" applyBorder="1" applyAlignment="1" applyProtection="1">
      <alignment horizontal="center" vertical="center"/>
    </xf>
    <xf numFmtId="164" fontId="0" fillId="0" borderId="12" xfId="0" applyNumberFormat="1" applyFill="1" applyBorder="1" applyAlignment="1" applyProtection="1">
      <alignment horizontal="center" vertical="center"/>
    </xf>
    <xf numFmtId="164" fontId="0" fillId="0" borderId="25" xfId="0" applyNumberFormat="1" applyFill="1" applyBorder="1" applyAlignment="1" applyProtection="1">
      <alignment horizontal="center" vertical="center"/>
    </xf>
    <xf numFmtId="164" fontId="0" fillId="0" borderId="275" xfId="0" applyNumberFormat="1" applyFill="1" applyBorder="1" applyAlignment="1" applyProtection="1">
      <alignment horizontal="center" vertical="center"/>
    </xf>
    <xf numFmtId="164" fontId="0" fillId="0" borderId="202" xfId="0" applyNumberFormat="1" applyFill="1" applyBorder="1" applyAlignment="1" applyProtection="1">
      <alignment horizontal="center" vertical="center"/>
    </xf>
    <xf numFmtId="164" fontId="0" fillId="0" borderId="208" xfId="0" applyNumberFormat="1" applyFill="1" applyBorder="1" applyAlignment="1" applyProtection="1">
      <alignment horizontal="center" vertical="center"/>
    </xf>
    <xf numFmtId="164" fontId="0" fillId="0" borderId="175" xfId="0" applyNumberFormat="1" applyFill="1" applyBorder="1" applyAlignment="1" applyProtection="1">
      <alignment horizontal="center" vertical="center"/>
    </xf>
    <xf numFmtId="164" fontId="0" fillId="0" borderId="75" xfId="0" applyNumberFormat="1" applyFill="1" applyBorder="1" applyAlignment="1" applyProtection="1">
      <alignment horizontal="center" vertical="center"/>
    </xf>
    <xf numFmtId="164" fontId="0" fillId="0" borderId="276" xfId="0" applyNumberFormat="1" applyFill="1" applyBorder="1" applyAlignment="1" applyProtection="1">
      <alignment horizontal="center" vertical="center"/>
    </xf>
    <xf numFmtId="164" fontId="0" fillId="0" borderId="277" xfId="0" applyNumberFormat="1" applyFill="1" applyBorder="1" applyAlignment="1" applyProtection="1">
      <alignment horizontal="center" vertical="center"/>
    </xf>
    <xf numFmtId="0" fontId="12" fillId="0" borderId="220" xfId="0" applyFont="1" applyBorder="1" applyAlignment="1" applyProtection="1">
      <alignment horizontal="right" vertical="center"/>
    </xf>
    <xf numFmtId="0" fontId="12" fillId="0" borderId="221" xfId="0" applyFont="1" applyBorder="1" applyAlignment="1" applyProtection="1">
      <alignment horizontal="right" vertical="center"/>
    </xf>
    <xf numFmtId="0" fontId="2" fillId="0" borderId="267" xfId="0" applyFont="1" applyBorder="1" applyAlignment="1" applyProtection="1">
      <alignment horizontal="right" vertical="center"/>
    </xf>
    <xf numFmtId="0" fontId="2" fillId="0" borderId="204" xfId="0" applyFont="1" applyBorder="1" applyAlignment="1" applyProtection="1">
      <alignment horizontal="right" vertical="center"/>
    </xf>
    <xf numFmtId="0" fontId="0" fillId="0" borderId="10" xfId="0" applyFill="1" applyBorder="1" applyAlignment="1" applyProtection="1">
      <alignment vertical="center"/>
    </xf>
    <xf numFmtId="0" fontId="0" fillId="0" borderId="160" xfId="0" applyFill="1" applyBorder="1" applyAlignment="1" applyProtection="1">
      <alignment vertical="center"/>
    </xf>
    <xf numFmtId="0" fontId="0" fillId="0" borderId="161" xfId="0" applyFill="1" applyBorder="1" applyAlignment="1" applyProtection="1">
      <alignment vertical="center"/>
    </xf>
    <xf numFmtId="0" fontId="10" fillId="0" borderId="251" xfId="0" applyFont="1" applyBorder="1" applyAlignment="1" applyProtection="1">
      <alignment horizontal="right" vertical="center"/>
    </xf>
    <xf numFmtId="0" fontId="2" fillId="0" borderId="158" xfId="0" applyFont="1" applyBorder="1" applyAlignment="1" applyProtection="1">
      <alignment horizontal="left" vertical="center"/>
    </xf>
    <xf numFmtId="0" fontId="2" fillId="0" borderId="181" xfId="0" applyFont="1" applyBorder="1" applyAlignment="1" applyProtection="1">
      <alignment horizontal="right" vertical="center"/>
    </xf>
    <xf numFmtId="0" fontId="13" fillId="0" borderId="154" xfId="0" applyFont="1" applyBorder="1" applyAlignment="1" applyProtection="1">
      <alignment horizontal="left" vertical="center"/>
    </xf>
    <xf numFmtId="0" fontId="13" fillId="0" borderId="162" xfId="0" applyFont="1" applyBorder="1" applyAlignment="1" applyProtection="1">
      <alignment horizontal="left" vertical="center"/>
    </xf>
    <xf numFmtId="0" fontId="13" fillId="0" borderId="163" xfId="0" applyFont="1" applyBorder="1" applyAlignment="1" applyProtection="1">
      <alignment horizontal="left" vertical="center"/>
    </xf>
    <xf numFmtId="0" fontId="13" fillId="0" borderId="11" xfId="0" applyFont="1" applyBorder="1" applyAlignment="1" applyProtection="1">
      <alignment horizontal="left" vertical="center"/>
    </xf>
    <xf numFmtId="0" fontId="13" fillId="0" borderId="12" xfId="0" applyFont="1" applyBorder="1" applyAlignment="1" applyProtection="1">
      <alignment horizontal="left" vertical="center"/>
    </xf>
    <xf numFmtId="0" fontId="13" fillId="0" borderId="167" xfId="0" applyFont="1" applyBorder="1" applyAlignment="1" applyProtection="1">
      <alignment horizontal="left" vertical="center"/>
    </xf>
    <xf numFmtId="0" fontId="13" fillId="0" borderId="10" xfId="0" applyFont="1" applyBorder="1" applyAlignment="1" applyProtection="1">
      <alignment horizontal="left" vertical="center"/>
    </xf>
    <xf numFmtId="0" fontId="13" fillId="0" borderId="160" xfId="0" applyFont="1" applyBorder="1" applyAlignment="1" applyProtection="1">
      <alignment horizontal="left" vertical="center"/>
    </xf>
    <xf numFmtId="0" fontId="13" fillId="0" borderId="161" xfId="0" applyFont="1" applyBorder="1" applyAlignment="1" applyProtection="1">
      <alignment horizontal="left" vertical="center"/>
    </xf>
    <xf numFmtId="0" fontId="0" fillId="0" borderId="247" xfId="0" applyFill="1" applyBorder="1" applyAlignment="1" applyProtection="1">
      <alignment horizontal="center" vertical="center"/>
    </xf>
    <xf numFmtId="0" fontId="0" fillId="0" borderId="248" xfId="0" applyFill="1" applyBorder="1" applyAlignment="1" applyProtection="1">
      <alignment horizontal="center" vertical="center"/>
    </xf>
    <xf numFmtId="0" fontId="0" fillId="0" borderId="249" xfId="0" applyFill="1" applyBorder="1" applyAlignment="1" applyProtection="1">
      <alignment horizontal="center" vertical="center"/>
    </xf>
    <xf numFmtId="0" fontId="0" fillId="0" borderId="77" xfId="0" applyFill="1" applyBorder="1" applyAlignment="1" applyProtection="1">
      <alignment horizontal="center" vertical="center"/>
    </xf>
    <xf numFmtId="0" fontId="0" fillId="0" borderId="217" xfId="0" applyFill="1" applyBorder="1" applyAlignment="1" applyProtection="1">
      <alignment horizontal="center" vertical="center"/>
    </xf>
    <xf numFmtId="0" fontId="0" fillId="0" borderId="218" xfId="0" applyFill="1" applyBorder="1" applyAlignment="1" applyProtection="1">
      <alignment horizontal="center" vertical="center"/>
    </xf>
    <xf numFmtId="0" fontId="0" fillId="0" borderId="97" xfId="0" applyBorder="1" applyAlignment="1" applyProtection="1">
      <alignment horizontal="right" vertical="center"/>
    </xf>
    <xf numFmtId="0" fontId="0" fillId="0" borderId="63" xfId="0" applyBorder="1" applyAlignment="1" applyProtection="1">
      <alignment horizontal="right" vertical="center"/>
    </xf>
    <xf numFmtId="0" fontId="0" fillId="0" borderId="196" xfId="0" applyFill="1" applyBorder="1" applyAlignment="1" applyProtection="1">
      <alignment horizontal="left" vertical="center"/>
    </xf>
    <xf numFmtId="0" fontId="0" fillId="0" borderId="282" xfId="0" applyFill="1" applyBorder="1" applyAlignment="1" applyProtection="1">
      <alignment horizontal="left" vertical="center"/>
    </xf>
    <xf numFmtId="0" fontId="0" fillId="0" borderId="201" xfId="0" applyFill="1" applyBorder="1" applyAlignment="1" applyProtection="1">
      <alignment horizontal="left" vertical="center"/>
    </xf>
    <xf numFmtId="0" fontId="0" fillId="0" borderId="202" xfId="0" applyFill="1" applyBorder="1" applyAlignment="1" applyProtection="1">
      <alignment horizontal="left" vertical="center"/>
    </xf>
    <xf numFmtId="0" fontId="0" fillId="0" borderId="286" xfId="0" applyFill="1" applyBorder="1" applyAlignment="1" applyProtection="1">
      <alignment horizontal="left" vertical="center"/>
    </xf>
    <xf numFmtId="0" fontId="0" fillId="0" borderId="195" xfId="0" applyFill="1" applyBorder="1" applyAlignment="1" applyProtection="1">
      <alignment horizontal="left" vertical="center"/>
    </xf>
    <xf numFmtId="0" fontId="0" fillId="0" borderId="294" xfId="0" applyFill="1" applyBorder="1" applyAlignment="1" applyProtection="1">
      <alignment vertical="center"/>
    </xf>
    <xf numFmtId="0" fontId="6" fillId="0" borderId="0" xfId="0" applyFont="1" applyAlignment="1" applyProtection="1">
      <alignment vertical="center"/>
    </xf>
    <xf numFmtId="0" fontId="6" fillId="0" borderId="69" xfId="0" applyFont="1" applyBorder="1" applyAlignment="1" applyProtection="1">
      <alignment vertical="center"/>
    </xf>
    <xf numFmtId="164" fontId="6" fillId="5" borderId="112" xfId="0" applyNumberFormat="1" applyFont="1" applyFill="1" applyBorder="1" applyAlignment="1" applyProtection="1">
      <alignment vertical="center"/>
    </xf>
    <xf numFmtId="164" fontId="8" fillId="9" borderId="88" xfId="0" applyNumberFormat="1" applyFont="1" applyFill="1" applyBorder="1" applyAlignment="1" applyProtection="1">
      <alignment horizontal="center" vertical="center"/>
    </xf>
    <xf numFmtId="0" fontId="8" fillId="9" borderId="122" xfId="0" applyFont="1" applyFill="1" applyBorder="1" applyAlignment="1" applyProtection="1">
      <alignment horizontal="center" vertical="center"/>
    </xf>
    <xf numFmtId="0" fontId="8" fillId="0" borderId="115" xfId="0" applyFont="1" applyBorder="1" applyAlignment="1" applyProtection="1">
      <alignment vertical="center"/>
    </xf>
    <xf numFmtId="0" fontId="10" fillId="0" borderId="136" xfId="0" applyFont="1" applyBorder="1" applyAlignment="1" applyProtection="1">
      <alignment horizontal="right" vertical="center"/>
    </xf>
    <xf numFmtId="164" fontId="8" fillId="9" borderId="144" xfId="0" applyNumberFormat="1" applyFont="1" applyFill="1" applyBorder="1" applyAlignment="1" applyProtection="1">
      <alignment vertical="center"/>
    </xf>
    <xf numFmtId="164" fontId="8" fillId="9" borderId="146" xfId="0" applyNumberFormat="1" applyFont="1" applyFill="1" applyBorder="1" applyAlignment="1" applyProtection="1">
      <alignment vertical="center"/>
    </xf>
    <xf numFmtId="0" fontId="6" fillId="0" borderId="116" xfId="0" applyFont="1" applyBorder="1" applyAlignment="1" applyProtection="1">
      <alignment vertical="center"/>
    </xf>
    <xf numFmtId="0" fontId="0" fillId="7" borderId="134" xfId="0" applyFill="1" applyBorder="1" applyAlignment="1" applyProtection="1">
      <alignment horizontal="center" vertical="center"/>
      <protection locked="0"/>
    </xf>
    <xf numFmtId="0" fontId="0" fillId="10" borderId="43" xfId="0" applyFill="1" applyBorder="1" applyAlignment="1" applyProtection="1">
      <alignment horizontal="center" vertical="center"/>
    </xf>
    <xf numFmtId="0" fontId="0" fillId="10" borderId="57" xfId="0" applyFill="1" applyBorder="1" applyAlignment="1" applyProtection="1">
      <alignment vertical="center"/>
    </xf>
    <xf numFmtId="0" fontId="0" fillId="10" borderId="79" xfId="0" applyFill="1" applyBorder="1" applyAlignment="1" applyProtection="1">
      <alignment vertical="center"/>
    </xf>
    <xf numFmtId="164" fontId="0" fillId="10" borderId="80" xfId="0" applyNumberFormat="1" applyFill="1" applyBorder="1" applyAlignment="1" applyProtection="1">
      <alignment vertical="center"/>
    </xf>
    <xf numFmtId="164" fontId="0" fillId="10" borderId="83" xfId="0" applyNumberFormat="1" applyFill="1" applyBorder="1" applyAlignment="1" applyProtection="1">
      <alignment vertical="center"/>
    </xf>
    <xf numFmtId="8" fontId="0" fillId="0" borderId="0" xfId="0" quotePrefix="1" applyNumberFormat="1" applyAlignment="1" applyProtection="1">
      <alignment vertical="center"/>
    </xf>
    <xf numFmtId="164" fontId="0" fillId="7" borderId="128" xfId="0" applyNumberFormat="1" applyFill="1" applyBorder="1" applyAlignment="1" applyProtection="1">
      <alignment vertical="center"/>
      <protection locked="0"/>
    </xf>
    <xf numFmtId="164" fontId="0" fillId="7" borderId="106" xfId="0" applyNumberFormat="1" applyFill="1" applyBorder="1" applyAlignment="1" applyProtection="1">
      <alignment vertical="center"/>
      <protection locked="0"/>
    </xf>
    <xf numFmtId="164" fontId="0" fillId="7" borderId="132" xfId="0" applyNumberFormat="1" applyFill="1" applyBorder="1" applyAlignment="1" applyProtection="1">
      <alignment vertical="center"/>
      <protection locked="0"/>
    </xf>
    <xf numFmtId="164" fontId="0" fillId="0" borderId="0" xfId="0" applyNumberFormat="1"/>
    <xf numFmtId="0" fontId="1" fillId="4" borderId="2" xfId="0" applyFont="1" applyFill="1" applyBorder="1" applyAlignment="1" applyProtection="1">
      <alignment vertical="center"/>
    </xf>
    <xf numFmtId="0" fontId="1" fillId="4" borderId="3" xfId="0" applyFont="1" applyFill="1" applyBorder="1" applyAlignment="1" applyProtection="1">
      <alignment vertical="center"/>
    </xf>
    <xf numFmtId="0" fontId="1" fillId="4" borderId="4" xfId="0" applyFont="1" applyFill="1" applyBorder="1" applyAlignment="1" applyProtection="1">
      <alignment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Lizenzgebühr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Lizenzgebühr!$B$3</c:f>
              <c:strCache>
                <c:ptCount val="1"/>
                <c:pt idx="0">
                  <c:v>Gebühr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(Lizenzgebühr!$A$4,Lizenzgebühr!$A$5,Lizenzgebühr!$A$7)</c:f>
              <c:numCache>
                <c:formatCode>0.00%</c:formatCode>
                <c:ptCount val="3"/>
                <c:pt idx="0">
                  <c:v>0.05</c:v>
                </c:pt>
                <c:pt idx="1">
                  <c:v>0.3</c:v>
                </c:pt>
                <c:pt idx="2">
                  <c:v>0.55000000000000004</c:v>
                </c:pt>
              </c:numCache>
            </c:numRef>
          </c:cat>
          <c:val>
            <c:numRef>
              <c:f>(Lizenzgebühr!$B$4:$B$5,Lizenzgebühr!$B$7)</c:f>
              <c:numCache>
                <c:formatCode>"€"#,##0.00_);[Red]\("€"#,##0.00\)</c:formatCode>
                <c:ptCount val="3"/>
                <c:pt idx="0">
                  <c:v>500</c:v>
                </c:pt>
                <c:pt idx="1">
                  <c:v>2000</c:v>
                </c:pt>
                <c:pt idx="2">
                  <c:v>3500.0000000000009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E9-42F0-8488-DAD816965C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9349656"/>
        <c:axId val="439353264"/>
      </c:lineChart>
      <c:catAx>
        <c:axId val="439349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Energieersparnis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9353264"/>
        <c:crosses val="autoZero"/>
        <c:auto val="1"/>
        <c:lblAlgn val="ctr"/>
        <c:lblOffset val="100"/>
        <c:tickLblSkip val="1"/>
        <c:noMultiLvlLbl val="0"/>
      </c:catAx>
      <c:valAx>
        <c:axId val="439353264"/>
        <c:scaling>
          <c:orientation val="minMax"/>
          <c:min val="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€&quot;#,##0.00_);[Red]\(&quot;€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9349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 horizontalDpi="300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Break-Even-Point</a:t>
            </a:r>
            <a:r>
              <a:rPr lang="de-DE" baseline="0"/>
              <a:t> im Basis-Scenario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'Break-Even-Point'!$A$4</c:f>
              <c:strCache>
                <c:ptCount val="1"/>
                <c:pt idx="0">
                  <c:v>Umsätze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'Break-Even-Point'!$B$3:$F$3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'Break-Even-Point'!$B$4:$F$4</c:f>
              <c:numCache>
                <c:formatCode>#,##0.00\ "€"</c:formatCode>
                <c:ptCount val="5"/>
                <c:pt idx="0">
                  <c:v>0</c:v>
                </c:pt>
                <c:pt idx="1">
                  <c:v>240553.63333333333</c:v>
                </c:pt>
                <c:pt idx="2">
                  <c:v>446829.11111111112</c:v>
                </c:pt>
                <c:pt idx="3">
                  <c:v>788151.33333333337</c:v>
                </c:pt>
                <c:pt idx="4">
                  <c:v>1835651.3333333333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C2-49E6-A677-08F9F255B6F6}"/>
            </c:ext>
          </c:extLst>
        </c:ser>
        <c:ser>
          <c:idx val="1"/>
          <c:order val="1"/>
          <c:tx>
            <c:strRef>
              <c:f>'Break-Even-Point'!$A$5</c:f>
              <c:strCache>
                <c:ptCount val="1"/>
                <c:pt idx="0">
                  <c:v>Kosten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'Break-Even-Point'!$B$3:$F$3</c:f>
              <c:numCache>
                <c:formatCode>General</c:formatCode>
                <c:ptCount val="5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</c:numCache>
            </c:numRef>
          </c:cat>
          <c:val>
            <c:numRef>
              <c:f>'Break-Even-Point'!$B$5:$F$5</c:f>
              <c:numCache>
                <c:formatCode>#,##0.00\ "€"</c:formatCode>
                <c:ptCount val="5"/>
                <c:pt idx="0">
                  <c:v>0</c:v>
                </c:pt>
                <c:pt idx="1">
                  <c:v>614284.82475491264</c:v>
                </c:pt>
                <c:pt idx="2">
                  <c:v>660624.50923857896</c:v>
                </c:pt>
                <c:pt idx="3">
                  <c:v>660313.47282384452</c:v>
                </c:pt>
                <c:pt idx="4">
                  <c:v>861011.79680105182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C2-49E6-A677-08F9F255B6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4437712"/>
        <c:axId val="544438696"/>
      </c:lineChart>
      <c:catAx>
        <c:axId val="544437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4438696"/>
        <c:crosses val="autoZero"/>
        <c:auto val="1"/>
        <c:lblAlgn val="ctr"/>
        <c:lblOffset val="100"/>
        <c:noMultiLvlLbl val="0"/>
      </c:catAx>
      <c:valAx>
        <c:axId val="544438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\ &quot;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4437712"/>
        <c:crosses val="autoZero"/>
        <c:crossBetween val="between"/>
        <c:majorUnit val="2500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11</xdr:col>
      <xdr:colOff>0</xdr:colOff>
      <xdr:row>18</xdr:row>
      <xdr:rowOff>0</xdr:rowOff>
    </xdr:to>
    <xdr:graphicFrame macro="">
      <xdr:nvGraphicFramePr>
        <xdr:cNvPr id="2" name="Dia_Lizenzgebuehr">
          <a:extLst>
            <a:ext uri="{FF2B5EF4-FFF2-40B4-BE49-F238E27FC236}">
              <a16:creationId xmlns:a16="http://schemas.microsoft.com/office/drawing/2014/main" id="{B764A954-5768-441B-AA30-043CB5CFFA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390525</xdr:colOff>
      <xdr:row>5</xdr:row>
      <xdr:rowOff>128587</xdr:rowOff>
    </xdr:from>
    <xdr:to>
      <xdr:col>6</xdr:col>
      <xdr:colOff>352425</xdr:colOff>
      <xdr:row>20</xdr:row>
      <xdr:rowOff>14287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5D1F7104-DDF4-42F3-8910-D595D60138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pageSetUpPr fitToPage="1"/>
  </sheetPr>
  <dimension ref="A1:G44"/>
  <sheetViews>
    <sheetView showZeros="0" view="pageBreakPreview" zoomScale="85" zoomScaleNormal="100" zoomScaleSheetLayoutView="85" workbookViewId="0">
      <selection activeCell="C6" sqref="C6"/>
    </sheetView>
  </sheetViews>
  <sheetFormatPr baseColWidth="10" defaultRowHeight="15" x14ac:dyDescent="0.25"/>
  <cols>
    <col min="1" max="2" width="14.28515625" style="173" customWidth="1"/>
    <col min="3" max="3" width="25.7109375" style="173" bestFit="1" customWidth="1"/>
    <col min="4" max="4" width="34.28515625" style="173" customWidth="1"/>
    <col min="5" max="16384" width="11.42578125" style="173"/>
  </cols>
  <sheetData>
    <row r="1" spans="1:4" ht="27" thickBot="1" x14ac:dyDescent="0.45">
      <c r="A1" s="677" t="s">
        <v>5</v>
      </c>
      <c r="B1" s="678"/>
      <c r="C1" s="678"/>
      <c r="D1" s="679"/>
    </row>
    <row r="2" spans="1:4" ht="7.5" customHeight="1" thickBot="1" x14ac:dyDescent="0.3"/>
    <row r="3" spans="1:4" ht="16.5" thickBot="1" x14ac:dyDescent="0.3">
      <c r="A3" s="680" t="s">
        <v>0</v>
      </c>
      <c r="B3" s="681"/>
      <c r="C3" s="681"/>
      <c r="D3" s="682"/>
    </row>
    <row r="4" spans="1:4" ht="7.5" customHeight="1" x14ac:dyDescent="0.25">
      <c r="A4" s="543"/>
      <c r="B4" s="544"/>
      <c r="C4" s="544"/>
      <c r="D4" s="545"/>
    </row>
    <row r="5" spans="1:4" ht="18.75" customHeight="1" thickBot="1" x14ac:dyDescent="0.3">
      <c r="A5" s="674" t="s">
        <v>10</v>
      </c>
      <c r="B5" s="675"/>
      <c r="C5" s="546" t="s">
        <v>12</v>
      </c>
      <c r="D5" s="547" t="s">
        <v>13</v>
      </c>
    </row>
    <row r="6" spans="1:4" ht="30.75" thickTop="1" x14ac:dyDescent="0.25">
      <c r="A6" s="672" t="s">
        <v>1</v>
      </c>
      <c r="B6" s="673"/>
      <c r="C6" s="84" t="s">
        <v>36</v>
      </c>
      <c r="D6" s="85" t="s">
        <v>245</v>
      </c>
    </row>
    <row r="7" spans="1:4" ht="30" x14ac:dyDescent="0.25">
      <c r="A7" s="683" t="s">
        <v>2</v>
      </c>
      <c r="B7" s="684"/>
      <c r="C7" s="86" t="s">
        <v>37</v>
      </c>
      <c r="D7" s="87" t="s">
        <v>246</v>
      </c>
    </row>
    <row r="8" spans="1:4" ht="30" x14ac:dyDescent="0.25">
      <c r="A8" s="683" t="s">
        <v>3</v>
      </c>
      <c r="B8" s="684"/>
      <c r="C8" s="86" t="s">
        <v>38</v>
      </c>
      <c r="D8" s="87" t="s">
        <v>247</v>
      </c>
    </row>
    <row r="9" spans="1:4" ht="30" x14ac:dyDescent="0.25">
      <c r="A9" s="688" t="s">
        <v>4</v>
      </c>
      <c r="B9" s="689"/>
      <c r="C9" s="88" t="s">
        <v>39</v>
      </c>
      <c r="D9" s="89" t="s">
        <v>15</v>
      </c>
    </row>
    <row r="10" spans="1:4" ht="7.5" customHeight="1" thickBot="1" x14ac:dyDescent="0.3">
      <c r="A10" s="215"/>
      <c r="B10" s="216"/>
      <c r="C10" s="216"/>
      <c r="D10" s="548"/>
    </row>
    <row r="11" spans="1:4" ht="7.5" customHeight="1" thickBot="1" x14ac:dyDescent="0.3">
      <c r="A11" s="549"/>
      <c r="B11" s="549"/>
      <c r="C11" s="549"/>
      <c r="D11" s="549"/>
    </row>
    <row r="12" spans="1:4" ht="16.5" thickBot="1" x14ac:dyDescent="0.3">
      <c r="A12" s="680" t="s">
        <v>14</v>
      </c>
      <c r="B12" s="681"/>
      <c r="C12" s="681"/>
      <c r="D12" s="682"/>
    </row>
    <row r="13" spans="1:4" ht="7.5" customHeight="1" x14ac:dyDescent="0.25">
      <c r="A13" s="550"/>
      <c r="B13" s="551"/>
      <c r="C13" s="551"/>
      <c r="D13" s="552"/>
    </row>
    <row r="14" spans="1:4" ht="18.75" customHeight="1" x14ac:dyDescent="0.25">
      <c r="A14" s="553" t="s">
        <v>11</v>
      </c>
      <c r="B14" s="687" t="s">
        <v>6</v>
      </c>
      <c r="C14" s="687"/>
      <c r="D14" s="90"/>
    </row>
    <row r="15" spans="1:4" ht="37.5" customHeight="1" x14ac:dyDescent="0.25">
      <c r="A15" s="554" t="s">
        <v>16</v>
      </c>
      <c r="B15" s="686" t="s">
        <v>8</v>
      </c>
      <c r="C15" s="686"/>
      <c r="D15" s="91"/>
    </row>
    <row r="16" spans="1:4" ht="20.25" customHeight="1" x14ac:dyDescent="0.25">
      <c r="A16" s="554" t="s">
        <v>9</v>
      </c>
      <c r="B16" s="685" t="s">
        <v>7</v>
      </c>
      <c r="C16" s="685"/>
      <c r="D16" s="92"/>
    </row>
    <row r="17" spans="1:4" x14ac:dyDescent="0.25">
      <c r="A17" s="555" t="s">
        <v>17</v>
      </c>
      <c r="B17" s="676">
        <v>43101</v>
      </c>
      <c r="C17" s="676"/>
      <c r="D17" s="93"/>
    </row>
    <row r="18" spans="1:4" ht="8.25" customHeight="1" thickBot="1" x14ac:dyDescent="0.3">
      <c r="A18" s="215"/>
      <c r="B18" s="216"/>
      <c r="C18" s="216"/>
      <c r="D18" s="548"/>
    </row>
    <row r="21" spans="1:4" ht="15.75" thickBot="1" x14ac:dyDescent="0.3"/>
    <row r="22" spans="1:4" ht="15.75" thickBot="1" x14ac:dyDescent="0.3">
      <c r="B22" s="661" t="s">
        <v>263</v>
      </c>
      <c r="C22" s="662"/>
    </row>
    <row r="23" spans="1:4" ht="15.75" thickBot="1" x14ac:dyDescent="0.3">
      <c r="B23" s="543"/>
      <c r="C23" s="545"/>
    </row>
    <row r="24" spans="1:4" ht="15.75" thickTop="1" x14ac:dyDescent="0.25">
      <c r="B24" s="649"/>
      <c r="C24" s="650" t="s">
        <v>248</v>
      </c>
    </row>
    <row r="25" spans="1:4" ht="15.75" thickBot="1" x14ac:dyDescent="0.3">
      <c r="B25" s="651"/>
      <c r="C25" s="652" t="s">
        <v>249</v>
      </c>
    </row>
    <row r="26" spans="1:4" ht="16.5" thickTop="1" thickBot="1" x14ac:dyDescent="0.3">
      <c r="B26" s="543"/>
      <c r="C26" s="545"/>
    </row>
    <row r="27" spans="1:4" ht="15.75" thickTop="1" x14ac:dyDescent="0.25">
      <c r="B27" s="653"/>
      <c r="C27" s="650" t="s">
        <v>250</v>
      </c>
    </row>
    <row r="28" spans="1:4" ht="15.75" thickBot="1" x14ac:dyDescent="0.3">
      <c r="B28" s="654"/>
      <c r="C28" s="652" t="s">
        <v>251</v>
      </c>
    </row>
    <row r="29" spans="1:4" ht="16.5" thickTop="1" thickBot="1" x14ac:dyDescent="0.3">
      <c r="B29" s="543"/>
      <c r="C29" s="545"/>
    </row>
    <row r="30" spans="1:4" ht="15.75" thickTop="1" x14ac:dyDescent="0.25">
      <c r="B30" s="655"/>
      <c r="C30" s="650" t="s">
        <v>252</v>
      </c>
    </row>
    <row r="31" spans="1:4" x14ac:dyDescent="0.25">
      <c r="B31" s="656"/>
      <c r="C31" s="657" t="s">
        <v>253</v>
      </c>
    </row>
    <row r="32" spans="1:4" ht="15.75" thickBot="1" x14ac:dyDescent="0.3">
      <c r="B32" s="658"/>
      <c r="C32" s="652" t="s">
        <v>254</v>
      </c>
    </row>
    <row r="33" spans="1:7" ht="16.5" thickTop="1" thickBot="1" x14ac:dyDescent="0.3">
      <c r="B33" s="543"/>
      <c r="C33" s="545"/>
    </row>
    <row r="34" spans="1:7" ht="16.5" thickTop="1" thickBot="1" x14ac:dyDescent="0.3">
      <c r="B34" s="659"/>
      <c r="C34" s="660" t="s">
        <v>258</v>
      </c>
    </row>
    <row r="35" spans="1:7" ht="16.5" thickTop="1" thickBot="1" x14ac:dyDescent="0.3">
      <c r="B35" s="215"/>
      <c r="C35" s="548"/>
    </row>
    <row r="40" spans="1:7" x14ac:dyDescent="0.25">
      <c r="A40" s="669" t="s">
        <v>40</v>
      </c>
      <c r="B40" s="670"/>
      <c r="C40" s="670"/>
      <c r="D40" s="671"/>
    </row>
    <row r="41" spans="1:7" ht="30" customHeight="1" x14ac:dyDescent="0.25">
      <c r="A41" s="663" t="s">
        <v>41</v>
      </c>
      <c r="B41" s="664"/>
      <c r="C41" s="664"/>
      <c r="D41" s="665"/>
      <c r="G41" s="556"/>
    </row>
    <row r="42" spans="1:7" ht="7.5" customHeight="1" x14ac:dyDescent="0.25">
      <c r="A42" s="557"/>
      <c r="B42" s="558"/>
      <c r="C42" s="558"/>
      <c r="D42" s="559"/>
    </row>
    <row r="43" spans="1:7" ht="30" customHeight="1" x14ac:dyDescent="0.25">
      <c r="A43" s="666" t="s">
        <v>42</v>
      </c>
      <c r="B43" s="667"/>
      <c r="C43" s="667"/>
      <c r="D43" s="668"/>
    </row>
    <row r="44" spans="1:7" x14ac:dyDescent="0.25">
      <c r="A44" s="560"/>
      <c r="B44" s="560"/>
      <c r="C44" s="560"/>
      <c r="D44" s="560"/>
    </row>
  </sheetData>
  <sheetProtection algorithmName="SHA-512" hashValue="BiThDWDE4RW9+7ALQDy6CU06zb1fT+86T3lV5s2gStXR42UpLjhzsDuA3mUIRMNMMnTZcDbLduPwsTx3VEaEig==" saltValue="yCC7Tw8Fcg3hzd146UbJ3w==" spinCount="100000" sheet="1" objects="1" scenarios="1" selectLockedCells="1"/>
  <mergeCells count="15">
    <mergeCell ref="A1:D1"/>
    <mergeCell ref="A3:D3"/>
    <mergeCell ref="A12:D12"/>
    <mergeCell ref="A8:B8"/>
    <mergeCell ref="B16:C16"/>
    <mergeCell ref="B15:C15"/>
    <mergeCell ref="B14:C14"/>
    <mergeCell ref="A9:B9"/>
    <mergeCell ref="A7:B7"/>
    <mergeCell ref="A41:D41"/>
    <mergeCell ref="A43:D43"/>
    <mergeCell ref="A40:D40"/>
    <mergeCell ref="A6:B6"/>
    <mergeCell ref="A5:B5"/>
    <mergeCell ref="B17:C17"/>
  </mergeCells>
  <printOptions horizontalCentered="1"/>
  <pageMargins left="0.59055118110236227" right="0.59055118110236227" top="0.78740157480314965" bottom="0.78740157480314965" header="0.31496062992125984" footer="0.31496062992125984"/>
  <pageSetup paperSize="9" fitToHeight="0" orientation="portrait" blackAndWhite="1" horizontalDpi="300" verticalDpi="300" r:id="rId1"/>
  <headerFooter>
    <oddFooter>&amp;CSeite &amp;P von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pageSetUpPr fitToPage="1"/>
  </sheetPr>
  <dimension ref="A1:Y34"/>
  <sheetViews>
    <sheetView showGridLines="0" view="pageBreakPreview"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B11" sqref="B11"/>
    </sheetView>
  </sheetViews>
  <sheetFormatPr baseColWidth="10" defaultRowHeight="15" outlineLevelRow="2" outlineLevelCol="1" x14ac:dyDescent="0.25"/>
  <cols>
    <col min="1" max="1" width="49.7109375" style="41" bestFit="1" customWidth="1"/>
    <col min="2" max="2" width="18.42578125" style="41" customWidth="1"/>
    <col min="3" max="3" width="7" style="41" bestFit="1" customWidth="1"/>
    <col min="4" max="4" width="6.85546875" style="41" bestFit="1" customWidth="1"/>
    <col min="5" max="5" width="9" style="41" bestFit="1" customWidth="1"/>
    <col min="6" max="17" width="14.28515625" style="41" customWidth="1" outlineLevel="1"/>
    <col min="18" max="18" width="14.28515625" style="41" customWidth="1"/>
    <col min="19" max="22" width="14.28515625" style="41" customWidth="1" outlineLevel="1"/>
    <col min="23" max="25" width="14.28515625" style="41" customWidth="1"/>
    <col min="26" max="16384" width="11.42578125" style="41"/>
  </cols>
  <sheetData>
    <row r="1" spans="1:25" ht="27" thickBot="1" x14ac:dyDescent="0.3">
      <c r="A1" s="714" t="s">
        <v>18</v>
      </c>
      <c r="B1" s="715"/>
      <c r="C1" s="715"/>
      <c r="D1" s="715"/>
      <c r="E1" s="715"/>
      <c r="F1" s="715"/>
      <c r="G1" s="715"/>
      <c r="H1" s="715"/>
      <c r="I1" s="715"/>
      <c r="J1" s="715"/>
      <c r="K1" s="715"/>
      <c r="L1" s="715"/>
      <c r="M1" s="715"/>
      <c r="N1" s="715"/>
      <c r="O1" s="715"/>
      <c r="P1" s="715"/>
      <c r="Q1" s="715"/>
      <c r="R1" s="715"/>
      <c r="S1" s="715"/>
      <c r="T1" s="715"/>
      <c r="U1" s="715"/>
      <c r="V1" s="715"/>
      <c r="W1" s="715"/>
      <c r="X1" s="715"/>
      <c r="Y1" s="716"/>
    </row>
    <row r="2" spans="1:25" ht="7.5" customHeight="1" thickBot="1" x14ac:dyDescent="0.3"/>
    <row r="3" spans="1:25" x14ac:dyDescent="0.25">
      <c r="A3" s="699" t="s">
        <v>30</v>
      </c>
      <c r="B3" s="709" t="s">
        <v>19</v>
      </c>
      <c r="C3" s="709" t="s">
        <v>32</v>
      </c>
      <c r="D3" s="709" t="s">
        <v>255</v>
      </c>
      <c r="E3" s="707" t="s">
        <v>256</v>
      </c>
      <c r="F3" s="711" t="s">
        <v>20</v>
      </c>
      <c r="G3" s="691"/>
      <c r="H3" s="691"/>
      <c r="I3" s="691"/>
      <c r="J3" s="691"/>
      <c r="K3" s="691"/>
      <c r="L3" s="691"/>
      <c r="M3" s="691"/>
      <c r="N3" s="691"/>
      <c r="O3" s="691"/>
      <c r="P3" s="691"/>
      <c r="Q3" s="692"/>
      <c r="R3" s="712" t="s">
        <v>20</v>
      </c>
      <c r="S3" s="690" t="s">
        <v>25</v>
      </c>
      <c r="T3" s="691"/>
      <c r="U3" s="691"/>
      <c r="V3" s="692"/>
      <c r="W3" s="693" t="s">
        <v>25</v>
      </c>
      <c r="X3" s="695" t="s">
        <v>26</v>
      </c>
      <c r="Y3" s="697" t="s">
        <v>27</v>
      </c>
    </row>
    <row r="4" spans="1:25" s="5" customFormat="1" ht="15" customHeight="1" thickBot="1" x14ac:dyDescent="0.3">
      <c r="A4" s="700"/>
      <c r="B4" s="710"/>
      <c r="C4" s="710"/>
      <c r="D4" s="710"/>
      <c r="E4" s="708"/>
      <c r="F4" s="1">
        <v>1</v>
      </c>
      <c r="G4" s="2">
        <v>2</v>
      </c>
      <c r="H4" s="2">
        <v>3</v>
      </c>
      <c r="I4" s="2">
        <v>4</v>
      </c>
      <c r="J4" s="2">
        <v>5</v>
      </c>
      <c r="K4" s="2">
        <v>6</v>
      </c>
      <c r="L4" s="2">
        <v>7</v>
      </c>
      <c r="M4" s="2">
        <v>8</v>
      </c>
      <c r="N4" s="2">
        <v>9</v>
      </c>
      <c r="O4" s="2">
        <v>10</v>
      </c>
      <c r="P4" s="2">
        <v>11</v>
      </c>
      <c r="Q4" s="3">
        <v>12</v>
      </c>
      <c r="R4" s="713"/>
      <c r="S4" s="4" t="s">
        <v>21</v>
      </c>
      <c r="T4" s="2" t="s">
        <v>22</v>
      </c>
      <c r="U4" s="2" t="s">
        <v>23</v>
      </c>
      <c r="V4" s="2" t="s">
        <v>24</v>
      </c>
      <c r="W4" s="694"/>
      <c r="X4" s="696"/>
      <c r="Y4" s="698"/>
    </row>
    <row r="5" spans="1:25" ht="18.75" customHeight="1" outlineLevel="2" thickTop="1" x14ac:dyDescent="0.25">
      <c r="A5" s="21" t="s">
        <v>60</v>
      </c>
      <c r="B5" s="107">
        <v>25000</v>
      </c>
      <c r="C5" s="19">
        <v>10</v>
      </c>
      <c r="D5" s="19">
        <v>1</v>
      </c>
      <c r="E5" s="20">
        <v>1</v>
      </c>
      <c r="F5" s="6">
        <f>IF($E5=F$4,$B5,"")</f>
        <v>25000</v>
      </c>
      <c r="G5" s="7" t="str">
        <f t="shared" ref="G5:Q13" si="0">IF($E5=G$4,$B5,"")</f>
        <v/>
      </c>
      <c r="H5" s="7" t="str">
        <f t="shared" si="0"/>
        <v/>
      </c>
      <c r="I5" s="7" t="str">
        <f t="shared" si="0"/>
        <v/>
      </c>
      <c r="J5" s="7" t="str">
        <f t="shared" si="0"/>
        <v/>
      </c>
      <c r="K5" s="7" t="str">
        <f t="shared" si="0"/>
        <v/>
      </c>
      <c r="L5" s="7" t="str">
        <f t="shared" si="0"/>
        <v/>
      </c>
      <c r="M5" s="7" t="str">
        <f t="shared" si="0"/>
        <v/>
      </c>
      <c r="N5" s="7" t="str">
        <f t="shared" si="0"/>
        <v/>
      </c>
      <c r="O5" s="7" t="str">
        <f t="shared" si="0"/>
        <v/>
      </c>
      <c r="P5" s="7" t="str">
        <f t="shared" si="0"/>
        <v/>
      </c>
      <c r="Q5" s="7" t="str">
        <f t="shared" si="0"/>
        <v/>
      </c>
      <c r="R5" s="72">
        <f>SUM(F5:Q5)</f>
        <v>25000</v>
      </c>
      <c r="S5" s="73" t="str">
        <f>IF(AND($E5&gt;12,$E5&lt;=15),$B5,"")</f>
        <v/>
      </c>
      <c r="T5" s="74" t="str">
        <f>IF(AND($E5&gt;15,$E5&lt;=18),$B5,"")</f>
        <v/>
      </c>
      <c r="U5" s="74" t="str">
        <f>IF(AND($E5&gt;18,$E5&lt;=21),$B5,"")</f>
        <v/>
      </c>
      <c r="V5" s="74" t="str">
        <f>IF(AND($E5&gt;21,$E5&lt;=24),$B5,"")</f>
        <v/>
      </c>
      <c r="W5" s="75">
        <f>SUM(S5:V5)</f>
        <v>0</v>
      </c>
      <c r="X5" s="8" t="str">
        <f>IF(AND($E5&gt;24,$E5&lt;=36),$B5,"")</f>
        <v/>
      </c>
      <c r="Y5" s="9" t="str">
        <f>IF(AND($E5&gt;36,$E5&lt;=48),$B5,"")</f>
        <v/>
      </c>
    </row>
    <row r="6" spans="1:25" ht="18.75" customHeight="1" outlineLevel="2" x14ac:dyDescent="0.25">
      <c r="A6" s="22" t="s">
        <v>61</v>
      </c>
      <c r="B6" s="108">
        <v>3000</v>
      </c>
      <c r="C6" s="97">
        <v>5</v>
      </c>
      <c r="D6" s="97">
        <v>1</v>
      </c>
      <c r="E6" s="98">
        <v>1</v>
      </c>
      <c r="F6" s="10">
        <f t="shared" ref="F6:F13" si="1">IF($E6=F$4,$B6,"")</f>
        <v>3000</v>
      </c>
      <c r="G6" s="11" t="str">
        <f t="shared" si="0"/>
        <v/>
      </c>
      <c r="H6" s="11" t="str">
        <f t="shared" si="0"/>
        <v/>
      </c>
      <c r="I6" s="11" t="str">
        <f t="shared" si="0"/>
        <v/>
      </c>
      <c r="J6" s="11" t="str">
        <f t="shared" si="0"/>
        <v/>
      </c>
      <c r="K6" s="11" t="str">
        <f t="shared" si="0"/>
        <v/>
      </c>
      <c r="L6" s="11" t="str">
        <f t="shared" si="0"/>
        <v/>
      </c>
      <c r="M6" s="11" t="str">
        <f t="shared" si="0"/>
        <v/>
      </c>
      <c r="N6" s="11" t="str">
        <f t="shared" si="0"/>
        <v/>
      </c>
      <c r="O6" s="11" t="str">
        <f t="shared" si="0"/>
        <v/>
      </c>
      <c r="P6" s="11" t="str">
        <f t="shared" si="0"/>
        <v/>
      </c>
      <c r="Q6" s="11" t="str">
        <f t="shared" si="0"/>
        <v/>
      </c>
      <c r="R6" s="76">
        <f t="shared" ref="R6:R13" si="2">SUM(F6:Q6)</f>
        <v>3000</v>
      </c>
      <c r="S6" s="77" t="str">
        <f t="shared" ref="S6:S13" si="3">IF(AND($E6&gt;12,$E6&lt;=15),$B6,"")</f>
        <v/>
      </c>
      <c r="T6" s="78" t="str">
        <f t="shared" ref="T6:T13" si="4">IF(AND($E6&gt;15,$E6&lt;=18),$B6,"")</f>
        <v/>
      </c>
      <c r="U6" s="78" t="str">
        <f t="shared" ref="U6:U13" si="5">IF(AND($E6&gt;18,$E6&lt;=21),$B6,"")</f>
        <v/>
      </c>
      <c r="V6" s="78" t="str">
        <f t="shared" ref="V6:V13" si="6">IF(AND($E6&gt;21,$E6&lt;=24),$B6,"")</f>
        <v/>
      </c>
      <c r="W6" s="79">
        <f t="shared" ref="W6:W13" si="7">SUM(S6:V6)</f>
        <v>0</v>
      </c>
      <c r="X6" s="12" t="str">
        <f t="shared" ref="X6:X13" si="8">IF(AND($E6&gt;24,$E6&lt;=36),$B6,"")</f>
        <v/>
      </c>
      <c r="Y6" s="13" t="str">
        <f t="shared" ref="Y6:Y13" si="9">IF(AND($E6&gt;36,$E6&lt;=48),$B6,"")</f>
        <v/>
      </c>
    </row>
    <row r="7" spans="1:25" ht="18.75" customHeight="1" outlineLevel="2" x14ac:dyDescent="0.25">
      <c r="A7" s="22" t="s">
        <v>62</v>
      </c>
      <c r="B7" s="108">
        <v>10000</v>
      </c>
      <c r="C7" s="97">
        <v>4</v>
      </c>
      <c r="D7" s="97">
        <v>1</v>
      </c>
      <c r="E7" s="98">
        <v>1</v>
      </c>
      <c r="F7" s="10">
        <f t="shared" si="1"/>
        <v>10000</v>
      </c>
      <c r="G7" s="11" t="str">
        <f t="shared" si="0"/>
        <v/>
      </c>
      <c r="H7" s="11" t="str">
        <f t="shared" si="0"/>
        <v/>
      </c>
      <c r="I7" s="11" t="str">
        <f t="shared" si="0"/>
        <v/>
      </c>
      <c r="J7" s="11" t="str">
        <f t="shared" si="0"/>
        <v/>
      </c>
      <c r="K7" s="11" t="str">
        <f t="shared" si="0"/>
        <v/>
      </c>
      <c r="L7" s="11" t="str">
        <f t="shared" si="0"/>
        <v/>
      </c>
      <c r="M7" s="11" t="str">
        <f t="shared" si="0"/>
        <v/>
      </c>
      <c r="N7" s="11" t="str">
        <f t="shared" si="0"/>
        <v/>
      </c>
      <c r="O7" s="11" t="str">
        <f t="shared" si="0"/>
        <v/>
      </c>
      <c r="P7" s="11" t="str">
        <f t="shared" si="0"/>
        <v/>
      </c>
      <c r="Q7" s="11" t="str">
        <f t="shared" si="0"/>
        <v/>
      </c>
      <c r="R7" s="76">
        <f t="shared" ref="R7:R11" si="10">SUM(F7:Q7)</f>
        <v>10000</v>
      </c>
      <c r="S7" s="77" t="str">
        <f t="shared" si="3"/>
        <v/>
      </c>
      <c r="T7" s="78" t="str">
        <f t="shared" si="4"/>
        <v/>
      </c>
      <c r="U7" s="78" t="str">
        <f t="shared" si="5"/>
        <v/>
      </c>
      <c r="V7" s="78" t="str">
        <f t="shared" si="6"/>
        <v/>
      </c>
      <c r="W7" s="79">
        <f t="shared" ref="W7:W11" si="11">SUM(S7:V7)</f>
        <v>0</v>
      </c>
      <c r="X7" s="12" t="str">
        <f t="shared" si="8"/>
        <v/>
      </c>
      <c r="Y7" s="13" t="str">
        <f t="shared" si="9"/>
        <v/>
      </c>
    </row>
    <row r="8" spans="1:25" ht="18.75" customHeight="1" outlineLevel="2" x14ac:dyDescent="0.25">
      <c r="A8" s="22" t="s">
        <v>66</v>
      </c>
      <c r="B8" s="108">
        <v>12000</v>
      </c>
      <c r="C8" s="97">
        <v>4</v>
      </c>
      <c r="D8" s="97">
        <v>1</v>
      </c>
      <c r="E8" s="98">
        <v>1</v>
      </c>
      <c r="F8" s="10">
        <f t="shared" si="1"/>
        <v>12000</v>
      </c>
      <c r="G8" s="11" t="str">
        <f t="shared" si="0"/>
        <v/>
      </c>
      <c r="H8" s="11" t="str">
        <f t="shared" si="0"/>
        <v/>
      </c>
      <c r="I8" s="11" t="str">
        <f t="shared" si="0"/>
        <v/>
      </c>
      <c r="J8" s="11" t="str">
        <f t="shared" si="0"/>
        <v/>
      </c>
      <c r="K8" s="11" t="str">
        <f t="shared" si="0"/>
        <v/>
      </c>
      <c r="L8" s="11" t="str">
        <f t="shared" si="0"/>
        <v/>
      </c>
      <c r="M8" s="11" t="str">
        <f t="shared" si="0"/>
        <v/>
      </c>
      <c r="N8" s="11" t="str">
        <f t="shared" si="0"/>
        <v/>
      </c>
      <c r="O8" s="11" t="str">
        <f t="shared" si="0"/>
        <v/>
      </c>
      <c r="P8" s="11" t="str">
        <f t="shared" si="0"/>
        <v/>
      </c>
      <c r="Q8" s="11" t="str">
        <f t="shared" si="0"/>
        <v/>
      </c>
      <c r="R8" s="76">
        <f t="shared" si="10"/>
        <v>12000</v>
      </c>
      <c r="S8" s="77" t="str">
        <f t="shared" si="3"/>
        <v/>
      </c>
      <c r="T8" s="78" t="str">
        <f t="shared" si="4"/>
        <v/>
      </c>
      <c r="U8" s="78" t="str">
        <f t="shared" si="5"/>
        <v/>
      </c>
      <c r="V8" s="78" t="str">
        <f t="shared" si="6"/>
        <v/>
      </c>
      <c r="W8" s="79">
        <f t="shared" si="11"/>
        <v>0</v>
      </c>
      <c r="X8" s="12" t="str">
        <f t="shared" si="8"/>
        <v/>
      </c>
      <c r="Y8" s="13" t="str">
        <f t="shared" si="9"/>
        <v/>
      </c>
    </row>
    <row r="9" spans="1:25" ht="18.75" customHeight="1" outlineLevel="2" x14ac:dyDescent="0.25">
      <c r="A9" s="99" t="s">
        <v>63</v>
      </c>
      <c r="B9" s="108">
        <v>8000</v>
      </c>
      <c r="C9" s="97">
        <v>4</v>
      </c>
      <c r="D9" s="97">
        <v>1</v>
      </c>
      <c r="E9" s="98">
        <v>1</v>
      </c>
      <c r="F9" s="10">
        <f t="shared" si="1"/>
        <v>8000</v>
      </c>
      <c r="G9" s="11" t="str">
        <f t="shared" si="0"/>
        <v/>
      </c>
      <c r="H9" s="11" t="str">
        <f t="shared" si="0"/>
        <v/>
      </c>
      <c r="I9" s="11" t="str">
        <f t="shared" si="0"/>
        <v/>
      </c>
      <c r="J9" s="11" t="str">
        <f t="shared" si="0"/>
        <v/>
      </c>
      <c r="K9" s="11" t="str">
        <f t="shared" si="0"/>
        <v/>
      </c>
      <c r="L9" s="11" t="str">
        <f t="shared" si="0"/>
        <v/>
      </c>
      <c r="M9" s="11" t="str">
        <f t="shared" si="0"/>
        <v/>
      </c>
      <c r="N9" s="11" t="str">
        <f t="shared" si="0"/>
        <v/>
      </c>
      <c r="O9" s="11" t="str">
        <f t="shared" si="0"/>
        <v/>
      </c>
      <c r="P9" s="11" t="str">
        <f t="shared" si="0"/>
        <v/>
      </c>
      <c r="Q9" s="11" t="str">
        <f t="shared" si="0"/>
        <v/>
      </c>
      <c r="R9" s="76">
        <f t="shared" si="10"/>
        <v>8000</v>
      </c>
      <c r="S9" s="77" t="str">
        <f t="shared" si="3"/>
        <v/>
      </c>
      <c r="T9" s="78" t="str">
        <f t="shared" si="4"/>
        <v/>
      </c>
      <c r="U9" s="78" t="str">
        <f t="shared" si="5"/>
        <v/>
      </c>
      <c r="V9" s="78" t="str">
        <f t="shared" si="6"/>
        <v/>
      </c>
      <c r="W9" s="79">
        <f t="shared" si="11"/>
        <v>0</v>
      </c>
      <c r="X9" s="12" t="str">
        <f t="shared" si="8"/>
        <v/>
      </c>
      <c r="Y9" s="13" t="str">
        <f t="shared" si="9"/>
        <v/>
      </c>
    </row>
    <row r="10" spans="1:25" ht="18.75" customHeight="1" outlineLevel="2" x14ac:dyDescent="0.25">
      <c r="A10" s="99" t="s">
        <v>63</v>
      </c>
      <c r="B10" s="108">
        <v>2000</v>
      </c>
      <c r="C10" s="97">
        <v>4</v>
      </c>
      <c r="D10" s="97">
        <v>13</v>
      </c>
      <c r="E10" s="98">
        <v>13</v>
      </c>
      <c r="F10" s="10" t="str">
        <f t="shared" si="1"/>
        <v/>
      </c>
      <c r="G10" s="11" t="str">
        <f t="shared" si="0"/>
        <v/>
      </c>
      <c r="H10" s="11" t="str">
        <f t="shared" si="0"/>
        <v/>
      </c>
      <c r="I10" s="11" t="str">
        <f t="shared" si="0"/>
        <v/>
      </c>
      <c r="J10" s="11" t="str">
        <f t="shared" si="0"/>
        <v/>
      </c>
      <c r="K10" s="11" t="str">
        <f t="shared" si="0"/>
        <v/>
      </c>
      <c r="L10" s="11" t="str">
        <f t="shared" si="0"/>
        <v/>
      </c>
      <c r="M10" s="11" t="str">
        <f t="shared" si="0"/>
        <v/>
      </c>
      <c r="N10" s="11" t="str">
        <f t="shared" si="0"/>
        <v/>
      </c>
      <c r="O10" s="11" t="str">
        <f t="shared" si="0"/>
        <v/>
      </c>
      <c r="P10" s="11" t="str">
        <f t="shared" si="0"/>
        <v/>
      </c>
      <c r="Q10" s="11" t="str">
        <f t="shared" si="0"/>
        <v/>
      </c>
      <c r="R10" s="76">
        <f t="shared" ref="R10" si="12">SUM(F10:Q10)</f>
        <v>0</v>
      </c>
      <c r="S10" s="77">
        <f t="shared" si="3"/>
        <v>2000</v>
      </c>
      <c r="T10" s="78" t="str">
        <f t="shared" si="4"/>
        <v/>
      </c>
      <c r="U10" s="78" t="str">
        <f t="shared" si="5"/>
        <v/>
      </c>
      <c r="V10" s="78" t="str">
        <f t="shared" si="6"/>
        <v/>
      </c>
      <c r="W10" s="79">
        <f t="shared" ref="W10" si="13">SUM(S10:V10)</f>
        <v>2000</v>
      </c>
      <c r="X10" s="12" t="str">
        <f t="shared" si="8"/>
        <v/>
      </c>
      <c r="Y10" s="13" t="str">
        <f t="shared" si="9"/>
        <v/>
      </c>
    </row>
    <row r="11" spans="1:25" ht="18.75" customHeight="1" outlineLevel="2" x14ac:dyDescent="0.25">
      <c r="A11" s="22" t="s">
        <v>64</v>
      </c>
      <c r="B11" s="108">
        <v>10000</v>
      </c>
      <c r="C11" s="97">
        <v>4</v>
      </c>
      <c r="D11" s="97">
        <v>2</v>
      </c>
      <c r="E11" s="98">
        <v>3</v>
      </c>
      <c r="F11" s="10" t="str">
        <f t="shared" si="1"/>
        <v/>
      </c>
      <c r="G11" s="11" t="str">
        <f t="shared" si="0"/>
        <v/>
      </c>
      <c r="H11" s="11">
        <f t="shared" si="0"/>
        <v>10000</v>
      </c>
      <c r="I11" s="11" t="str">
        <f t="shared" si="0"/>
        <v/>
      </c>
      <c r="J11" s="11" t="str">
        <f t="shared" si="0"/>
        <v/>
      </c>
      <c r="K11" s="11" t="str">
        <f t="shared" si="0"/>
        <v/>
      </c>
      <c r="L11" s="11" t="str">
        <f t="shared" si="0"/>
        <v/>
      </c>
      <c r="M11" s="11" t="str">
        <f t="shared" si="0"/>
        <v/>
      </c>
      <c r="N11" s="11" t="str">
        <f t="shared" si="0"/>
        <v/>
      </c>
      <c r="O11" s="11" t="str">
        <f t="shared" si="0"/>
        <v/>
      </c>
      <c r="P11" s="11" t="str">
        <f t="shared" si="0"/>
        <v/>
      </c>
      <c r="Q11" s="11" t="str">
        <f t="shared" si="0"/>
        <v/>
      </c>
      <c r="R11" s="76">
        <f t="shared" si="10"/>
        <v>10000</v>
      </c>
      <c r="S11" s="77" t="str">
        <f t="shared" si="3"/>
        <v/>
      </c>
      <c r="T11" s="78" t="str">
        <f t="shared" si="4"/>
        <v/>
      </c>
      <c r="U11" s="78" t="str">
        <f t="shared" si="5"/>
        <v/>
      </c>
      <c r="V11" s="78" t="str">
        <f t="shared" si="6"/>
        <v/>
      </c>
      <c r="W11" s="79">
        <f t="shared" si="11"/>
        <v>0</v>
      </c>
      <c r="X11" s="12" t="str">
        <f t="shared" si="8"/>
        <v/>
      </c>
      <c r="Y11" s="13" t="str">
        <f t="shared" si="9"/>
        <v/>
      </c>
    </row>
    <row r="12" spans="1:25" ht="18.75" customHeight="1" outlineLevel="2" x14ac:dyDescent="0.25">
      <c r="A12" s="23" t="s">
        <v>67</v>
      </c>
      <c r="B12" s="109">
        <v>10000</v>
      </c>
      <c r="C12" s="101">
        <v>5</v>
      </c>
      <c r="D12" s="101">
        <v>5</v>
      </c>
      <c r="E12" s="102">
        <v>6</v>
      </c>
      <c r="F12" s="14" t="str">
        <f t="shared" si="1"/>
        <v/>
      </c>
      <c r="G12" s="15" t="str">
        <f t="shared" si="0"/>
        <v/>
      </c>
      <c r="H12" s="15" t="str">
        <f t="shared" si="0"/>
        <v/>
      </c>
      <c r="I12" s="15" t="str">
        <f t="shared" si="0"/>
        <v/>
      </c>
      <c r="J12" s="15" t="str">
        <f t="shared" si="0"/>
        <v/>
      </c>
      <c r="K12" s="15">
        <f t="shared" si="0"/>
        <v>10000</v>
      </c>
      <c r="L12" s="15" t="str">
        <f t="shared" si="0"/>
        <v/>
      </c>
      <c r="M12" s="15" t="str">
        <f t="shared" si="0"/>
        <v/>
      </c>
      <c r="N12" s="15" t="str">
        <f t="shared" si="0"/>
        <v/>
      </c>
      <c r="O12" s="15" t="str">
        <f t="shared" si="0"/>
        <v/>
      </c>
      <c r="P12" s="15" t="str">
        <f t="shared" si="0"/>
        <v/>
      </c>
      <c r="Q12" s="15" t="str">
        <f t="shared" si="0"/>
        <v/>
      </c>
      <c r="R12" s="80">
        <f t="shared" ref="R12" si="14">SUM(F12:Q12)</f>
        <v>10000</v>
      </c>
      <c r="S12" s="81" t="str">
        <f t="shared" si="3"/>
        <v/>
      </c>
      <c r="T12" s="82" t="str">
        <f t="shared" si="4"/>
        <v/>
      </c>
      <c r="U12" s="82" t="str">
        <f t="shared" si="5"/>
        <v/>
      </c>
      <c r="V12" s="82" t="str">
        <f t="shared" si="6"/>
        <v/>
      </c>
      <c r="W12" s="83">
        <f t="shared" ref="W12" si="15">SUM(S12:V12)</f>
        <v>0</v>
      </c>
      <c r="X12" s="16" t="str">
        <f t="shared" si="8"/>
        <v/>
      </c>
      <c r="Y12" s="17" t="str">
        <f t="shared" si="9"/>
        <v/>
      </c>
    </row>
    <row r="13" spans="1:25" ht="18.75" customHeight="1" outlineLevel="2" thickBot="1" x14ac:dyDescent="0.3">
      <c r="A13" s="23"/>
      <c r="B13" s="109"/>
      <c r="C13" s="101"/>
      <c r="D13" s="101"/>
      <c r="E13" s="102"/>
      <c r="F13" s="14" t="str">
        <f t="shared" si="1"/>
        <v/>
      </c>
      <c r="G13" s="15" t="str">
        <f t="shared" si="0"/>
        <v/>
      </c>
      <c r="H13" s="15" t="str">
        <f t="shared" si="0"/>
        <v/>
      </c>
      <c r="I13" s="15" t="str">
        <f t="shared" si="0"/>
        <v/>
      </c>
      <c r="J13" s="15" t="str">
        <f t="shared" si="0"/>
        <v/>
      </c>
      <c r="K13" s="15" t="str">
        <f t="shared" si="0"/>
        <v/>
      </c>
      <c r="L13" s="15" t="str">
        <f t="shared" si="0"/>
        <v/>
      </c>
      <c r="M13" s="15" t="str">
        <f t="shared" si="0"/>
        <v/>
      </c>
      <c r="N13" s="15" t="str">
        <f t="shared" si="0"/>
        <v/>
      </c>
      <c r="O13" s="15" t="str">
        <f t="shared" si="0"/>
        <v/>
      </c>
      <c r="P13" s="15" t="str">
        <f t="shared" si="0"/>
        <v/>
      </c>
      <c r="Q13" s="15" t="str">
        <f t="shared" si="0"/>
        <v/>
      </c>
      <c r="R13" s="80">
        <f t="shared" si="2"/>
        <v>0</v>
      </c>
      <c r="S13" s="81" t="str">
        <f t="shared" si="3"/>
        <v/>
      </c>
      <c r="T13" s="82" t="str">
        <f t="shared" si="4"/>
        <v/>
      </c>
      <c r="U13" s="82" t="str">
        <f t="shared" si="5"/>
        <v/>
      </c>
      <c r="V13" s="82" t="str">
        <f t="shared" si="6"/>
        <v/>
      </c>
      <c r="W13" s="83">
        <f t="shared" si="7"/>
        <v>0</v>
      </c>
      <c r="X13" s="16" t="str">
        <f t="shared" si="8"/>
        <v/>
      </c>
      <c r="Y13" s="17" t="str">
        <f t="shared" si="9"/>
        <v/>
      </c>
    </row>
    <row r="14" spans="1:25" ht="7.5" customHeight="1" outlineLevel="2" thickTop="1" thickBot="1" x14ac:dyDescent="0.3">
      <c r="A14" s="24"/>
      <c r="B14" s="25"/>
      <c r="C14" s="25"/>
      <c r="D14" s="25"/>
      <c r="E14" s="26"/>
      <c r="F14" s="27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9"/>
      <c r="R14" s="30"/>
      <c r="S14" s="31"/>
      <c r="T14" s="28"/>
      <c r="U14" s="28"/>
      <c r="V14" s="28"/>
      <c r="W14" s="32"/>
      <c r="X14" s="33"/>
      <c r="Y14" s="34"/>
    </row>
    <row r="15" spans="1:25" ht="18.75" customHeight="1" outlineLevel="1" thickBot="1" x14ac:dyDescent="0.3">
      <c r="A15" s="495" t="s">
        <v>28</v>
      </c>
      <c r="B15" s="562">
        <f>SUM(B5:B14)</f>
        <v>80000</v>
      </c>
      <c r="C15" s="42"/>
      <c r="D15" s="43"/>
      <c r="E15" s="44"/>
      <c r="F15" s="452">
        <f>SUM(F5:F14)</f>
        <v>58000</v>
      </c>
      <c r="G15" s="565">
        <f>SUM(G5:G14)</f>
        <v>0</v>
      </c>
      <c r="H15" s="565">
        <f>SUM(H5:H14)</f>
        <v>10000</v>
      </c>
      <c r="I15" s="565">
        <f>SUM(I5:I14)</f>
        <v>0</v>
      </c>
      <c r="J15" s="565">
        <f>SUM(J5:J14)</f>
        <v>0</v>
      </c>
      <c r="K15" s="565">
        <f>SUM(K5:K14)</f>
        <v>10000</v>
      </c>
      <c r="L15" s="565">
        <f>SUM(L5:L14)</f>
        <v>0</v>
      </c>
      <c r="M15" s="565">
        <f>SUM(M5:M14)</f>
        <v>0</v>
      </c>
      <c r="N15" s="565">
        <f>SUM(N5:N14)</f>
        <v>0</v>
      </c>
      <c r="O15" s="565">
        <f>SUM(O5:O14)</f>
        <v>0</v>
      </c>
      <c r="P15" s="565">
        <f>SUM(P5:P14)</f>
        <v>0</v>
      </c>
      <c r="Q15" s="565">
        <f>SUM(Q5:Q14)</f>
        <v>0</v>
      </c>
      <c r="R15" s="566">
        <f>SUM(R5:R14)</f>
        <v>78000</v>
      </c>
      <c r="S15" s="454">
        <f>SUM(S5:S14)</f>
        <v>2000</v>
      </c>
      <c r="T15" s="565">
        <f>SUM(T5:T14)</f>
        <v>0</v>
      </c>
      <c r="U15" s="565">
        <f>SUM(U5:U14)</f>
        <v>0</v>
      </c>
      <c r="V15" s="565">
        <f>SUM(V5:V14)</f>
        <v>0</v>
      </c>
      <c r="W15" s="567">
        <f>SUM(W5:W14)</f>
        <v>2000</v>
      </c>
      <c r="X15" s="568">
        <f>SUM(X5:X14)</f>
        <v>0</v>
      </c>
      <c r="Y15" s="507">
        <f>SUM(Y5:Y14)</f>
        <v>0</v>
      </c>
    </row>
    <row r="16" spans="1:25" ht="7.5" customHeight="1" outlineLevel="1" thickBot="1" x14ac:dyDescent="0.3">
      <c r="A16" s="701"/>
      <c r="B16" s="702"/>
      <c r="C16" s="702"/>
      <c r="D16" s="702"/>
      <c r="E16" s="702"/>
      <c r="F16" s="702"/>
      <c r="G16" s="702"/>
      <c r="H16" s="702"/>
      <c r="I16" s="702"/>
      <c r="J16" s="702"/>
      <c r="K16" s="702"/>
      <c r="L16" s="702"/>
      <c r="M16" s="702"/>
      <c r="N16" s="702"/>
      <c r="O16" s="702"/>
      <c r="P16" s="702"/>
      <c r="Q16" s="702"/>
      <c r="R16" s="702"/>
      <c r="S16" s="702"/>
      <c r="T16" s="702"/>
      <c r="U16" s="702"/>
      <c r="V16" s="702"/>
      <c r="W16" s="702"/>
      <c r="X16" s="702"/>
      <c r="Y16" s="703"/>
    </row>
    <row r="17" spans="1:25" ht="18.75" customHeight="1" outlineLevel="1" thickBot="1" x14ac:dyDescent="0.3">
      <c r="A17" s="898" t="s">
        <v>29</v>
      </c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7"/>
    </row>
    <row r="18" spans="1:25" ht="18.75" customHeight="1" outlineLevel="2" thickTop="1" x14ac:dyDescent="0.25">
      <c r="A18" s="21" t="s">
        <v>143</v>
      </c>
      <c r="B18" s="577">
        <v>20000</v>
      </c>
      <c r="C18" s="578">
        <v>20</v>
      </c>
      <c r="D18" s="578">
        <v>1</v>
      </c>
      <c r="E18" s="579">
        <v>10</v>
      </c>
      <c r="F18" s="580" t="str">
        <f>IF($E18=F$4,$B18,"")</f>
        <v/>
      </c>
      <c r="G18" s="581" t="str">
        <f t="shared" ref="G18:Q19" si="16">IF($E18=G$4,$B18,"")</f>
        <v/>
      </c>
      <c r="H18" s="581" t="str">
        <f t="shared" si="16"/>
        <v/>
      </c>
      <c r="I18" s="581" t="str">
        <f t="shared" si="16"/>
        <v/>
      </c>
      <c r="J18" s="581" t="str">
        <f t="shared" si="16"/>
        <v/>
      </c>
      <c r="K18" s="581" t="str">
        <f t="shared" si="16"/>
        <v/>
      </c>
      <c r="L18" s="581" t="str">
        <f t="shared" si="16"/>
        <v/>
      </c>
      <c r="M18" s="581" t="str">
        <f t="shared" si="16"/>
        <v/>
      </c>
      <c r="N18" s="581" t="str">
        <f t="shared" si="16"/>
        <v/>
      </c>
      <c r="O18" s="581">
        <f t="shared" si="16"/>
        <v>20000</v>
      </c>
      <c r="P18" s="581" t="str">
        <f t="shared" si="16"/>
        <v/>
      </c>
      <c r="Q18" s="581" t="str">
        <f t="shared" si="16"/>
        <v/>
      </c>
      <c r="R18" s="582">
        <f>SUM(F18:Q18)</f>
        <v>20000</v>
      </c>
      <c r="S18" s="511" t="str">
        <f>IF(AND($E18&gt;12,$E18&lt;=15),$B18,"")</f>
        <v/>
      </c>
      <c r="T18" s="583" t="str">
        <f>IF(AND($E18&gt;15,$E18&lt;=18),$B18,"")</f>
        <v/>
      </c>
      <c r="U18" s="583" t="str">
        <f>IF(AND($E18&gt;18,$E18&lt;=21),$B18,"")</f>
        <v/>
      </c>
      <c r="V18" s="583" t="str">
        <f>IF(AND($E18&gt;21,$E18&lt;=24),$B18,"")</f>
        <v/>
      </c>
      <c r="W18" s="584">
        <f>SUM(S18:V18)</f>
        <v>0</v>
      </c>
      <c r="X18" s="585" t="str">
        <f>IF(AND($E18&gt;24,$E18&lt;=36),$B18,"")</f>
        <v/>
      </c>
      <c r="Y18" s="237" t="str">
        <f>IF(AND($E18&gt;36,$E18&lt;=48),$B18,"")</f>
        <v/>
      </c>
    </row>
    <row r="19" spans="1:25" ht="18.75" customHeight="1" outlineLevel="2" thickBot="1" x14ac:dyDescent="0.3">
      <c r="A19" s="127"/>
      <c r="B19" s="141"/>
      <c r="C19" s="909"/>
      <c r="D19" s="909"/>
      <c r="E19" s="613"/>
      <c r="F19" s="130" t="str">
        <f>IF($E19=F$4,$B19,"")</f>
        <v/>
      </c>
      <c r="G19" s="131" t="str">
        <f t="shared" si="16"/>
        <v/>
      </c>
      <c r="H19" s="131" t="str">
        <f t="shared" si="16"/>
        <v/>
      </c>
      <c r="I19" s="131" t="str">
        <f t="shared" si="16"/>
        <v/>
      </c>
      <c r="J19" s="131" t="str">
        <f t="shared" si="16"/>
        <v/>
      </c>
      <c r="K19" s="131" t="str">
        <f t="shared" si="16"/>
        <v/>
      </c>
      <c r="L19" s="131" t="str">
        <f t="shared" si="16"/>
        <v/>
      </c>
      <c r="M19" s="131" t="str">
        <f t="shared" si="16"/>
        <v/>
      </c>
      <c r="N19" s="131" t="str">
        <f t="shared" si="16"/>
        <v/>
      </c>
      <c r="O19" s="131" t="str">
        <f t="shared" si="16"/>
        <v/>
      </c>
      <c r="P19" s="131" t="str">
        <f t="shared" si="16"/>
        <v/>
      </c>
      <c r="Q19" s="161" t="str">
        <f t="shared" si="16"/>
        <v/>
      </c>
      <c r="R19" s="132">
        <f>SUM(F19:Q19)</f>
        <v>0</v>
      </c>
      <c r="S19" s="133" t="str">
        <f>IF(AND($E19&gt;12,$E19&lt;=15),$B19,"")</f>
        <v/>
      </c>
      <c r="T19" s="134" t="str">
        <f>IF(AND($E19&gt;15,$E19&lt;=18),$B19,"")</f>
        <v/>
      </c>
      <c r="U19" s="134" t="str">
        <f>IF(AND($E19&gt;18,$E19&lt;=21),$B19,"")</f>
        <v/>
      </c>
      <c r="V19" s="134" t="str">
        <f>IF(AND($E19&gt;21,$E19&lt;=24),$B19,"")</f>
        <v/>
      </c>
      <c r="W19" s="135">
        <f>SUM(S19:V19)</f>
        <v>0</v>
      </c>
      <c r="X19" s="136" t="str">
        <f>IF(AND($E19&gt;24,$E19&lt;=36),$B19,"")</f>
        <v/>
      </c>
      <c r="Y19" s="137" t="str">
        <f>IF(AND($E19&gt;36,$E19&lt;=48),$B19,"")</f>
        <v/>
      </c>
    </row>
    <row r="20" spans="1:25" ht="7.5" customHeight="1" outlineLevel="2" thickTop="1" thickBot="1" x14ac:dyDescent="0.3">
      <c r="A20" s="24"/>
      <c r="B20" s="25"/>
      <c r="C20" s="25"/>
      <c r="D20" s="25"/>
      <c r="E20" s="26"/>
      <c r="F20" s="27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9"/>
      <c r="R20" s="30"/>
      <c r="S20" s="31"/>
      <c r="T20" s="28"/>
      <c r="U20" s="28"/>
      <c r="V20" s="28"/>
      <c r="W20" s="32"/>
      <c r="X20" s="33"/>
      <c r="Y20" s="34"/>
    </row>
    <row r="21" spans="1:25" ht="18.75" customHeight="1" outlineLevel="1" thickBot="1" x14ac:dyDescent="0.3">
      <c r="A21" s="495" t="s">
        <v>28</v>
      </c>
      <c r="B21" s="562">
        <f>SUM(B18:B20)</f>
        <v>20000</v>
      </c>
      <c r="C21" s="42"/>
      <c r="D21" s="43"/>
      <c r="E21" s="44"/>
      <c r="F21" s="452">
        <f>SUM(F18:F20)</f>
        <v>0</v>
      </c>
      <c r="G21" s="565">
        <f>SUM(G18:G20)</f>
        <v>0</v>
      </c>
      <c r="H21" s="565">
        <f>SUM(H18:H20)</f>
        <v>0</v>
      </c>
      <c r="I21" s="565">
        <f>SUM(I18:I20)</f>
        <v>0</v>
      </c>
      <c r="J21" s="565">
        <f>SUM(J18:J20)</f>
        <v>0</v>
      </c>
      <c r="K21" s="565">
        <f>SUM(K18:K20)</f>
        <v>0</v>
      </c>
      <c r="L21" s="565">
        <f>SUM(L18:L20)</f>
        <v>0</v>
      </c>
      <c r="M21" s="565">
        <f>SUM(M18:M20)</f>
        <v>0</v>
      </c>
      <c r="N21" s="565">
        <f>SUM(N18:N20)</f>
        <v>0</v>
      </c>
      <c r="O21" s="565">
        <f>SUM(O18:O20)</f>
        <v>20000</v>
      </c>
      <c r="P21" s="565">
        <f>SUM(P18:P20)</f>
        <v>0</v>
      </c>
      <c r="Q21" s="565">
        <f>SUM(Q18:Q20)</f>
        <v>0</v>
      </c>
      <c r="R21" s="566">
        <f>SUM(R18:R20)</f>
        <v>20000</v>
      </c>
      <c r="S21" s="454">
        <f>SUM(S18:S20)</f>
        <v>0</v>
      </c>
      <c r="T21" s="565">
        <f>SUM(T18:T20)</f>
        <v>0</v>
      </c>
      <c r="U21" s="565">
        <f>SUM(U18:U20)</f>
        <v>0</v>
      </c>
      <c r="V21" s="565">
        <f>SUM(V18:V20)</f>
        <v>0</v>
      </c>
      <c r="W21" s="567">
        <f>SUM(W18:W20)</f>
        <v>0</v>
      </c>
      <c r="X21" s="568">
        <f>SUM(X18:X20)</f>
        <v>0</v>
      </c>
      <c r="Y21" s="507">
        <f>SUM(Y18:Y20)</f>
        <v>0</v>
      </c>
    </row>
    <row r="22" spans="1:25" ht="7.5" customHeight="1" outlineLevel="1" thickBot="1" x14ac:dyDescent="0.3">
      <c r="A22" s="48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7"/>
    </row>
    <row r="23" spans="1:25" s="49" customFormat="1" ht="18.75" customHeight="1" thickBot="1" x14ac:dyDescent="0.3">
      <c r="A23" s="569" t="s">
        <v>33</v>
      </c>
      <c r="B23" s="570">
        <f>B21+B15</f>
        <v>100000</v>
      </c>
      <c r="C23" s="52"/>
      <c r="D23" s="52"/>
      <c r="E23" s="126"/>
      <c r="F23" s="572">
        <f>F21+F15</f>
        <v>58000</v>
      </c>
      <c r="G23" s="573">
        <f>G21+G15</f>
        <v>0</v>
      </c>
      <c r="H23" s="573">
        <f>H21+H15</f>
        <v>10000</v>
      </c>
      <c r="I23" s="573">
        <f>I21+I15</f>
        <v>0</v>
      </c>
      <c r="J23" s="573">
        <f>J21+J15</f>
        <v>0</v>
      </c>
      <c r="K23" s="573">
        <f>K21+K15</f>
        <v>10000</v>
      </c>
      <c r="L23" s="573">
        <f>L21+L15</f>
        <v>0</v>
      </c>
      <c r="M23" s="573">
        <f>M21+M15</f>
        <v>0</v>
      </c>
      <c r="N23" s="573">
        <f>N21+N15</f>
        <v>0</v>
      </c>
      <c r="O23" s="573">
        <f>O21+O15</f>
        <v>20000</v>
      </c>
      <c r="P23" s="573">
        <f>P21+P15</f>
        <v>0</v>
      </c>
      <c r="Q23" s="573">
        <f>Q21+Q15</f>
        <v>0</v>
      </c>
      <c r="R23" s="571">
        <f>R21+R15</f>
        <v>98000</v>
      </c>
      <c r="S23" s="460">
        <f>S21+S15</f>
        <v>2000</v>
      </c>
      <c r="T23" s="573">
        <f>T21+T15</f>
        <v>0</v>
      </c>
      <c r="U23" s="573">
        <f>U21+U15</f>
        <v>0</v>
      </c>
      <c r="V23" s="573">
        <f>V21+V15</f>
        <v>0</v>
      </c>
      <c r="W23" s="571">
        <f>W21+W15</f>
        <v>2000</v>
      </c>
      <c r="X23" s="336">
        <f>X21+X15</f>
        <v>0</v>
      </c>
      <c r="Y23" s="337">
        <f>Y21+Y15</f>
        <v>0</v>
      </c>
    </row>
    <row r="24" spans="1:25" ht="7.5" customHeight="1" thickBot="1" x14ac:dyDescent="0.3">
      <c r="A24" s="704"/>
      <c r="B24" s="705"/>
      <c r="C24" s="705"/>
      <c r="D24" s="705"/>
      <c r="E24" s="705"/>
      <c r="F24" s="705"/>
      <c r="G24" s="705"/>
      <c r="H24" s="705"/>
      <c r="I24" s="705"/>
      <c r="J24" s="705"/>
      <c r="K24" s="705"/>
      <c r="L24" s="705"/>
      <c r="M24" s="705"/>
      <c r="N24" s="705"/>
      <c r="O24" s="705"/>
      <c r="P24" s="705"/>
      <c r="Q24" s="705"/>
      <c r="R24" s="705"/>
      <c r="S24" s="705"/>
      <c r="T24" s="705"/>
      <c r="U24" s="705"/>
      <c r="V24" s="705"/>
      <c r="W24" s="705"/>
      <c r="X24" s="705"/>
      <c r="Y24" s="706"/>
    </row>
    <row r="25" spans="1:25" ht="15" customHeight="1" x14ac:dyDescent="0.25">
      <c r="A25" s="699" t="s">
        <v>261</v>
      </c>
      <c r="B25" s="709" t="s">
        <v>19</v>
      </c>
      <c r="C25" s="709" t="s">
        <v>32</v>
      </c>
      <c r="D25" s="709" t="s">
        <v>255</v>
      </c>
      <c r="E25" s="707" t="s">
        <v>256</v>
      </c>
      <c r="F25" s="711" t="s">
        <v>20</v>
      </c>
      <c r="G25" s="691"/>
      <c r="H25" s="691"/>
      <c r="I25" s="691"/>
      <c r="J25" s="691"/>
      <c r="K25" s="691"/>
      <c r="L25" s="691"/>
      <c r="M25" s="691"/>
      <c r="N25" s="691"/>
      <c r="O25" s="691"/>
      <c r="P25" s="691"/>
      <c r="Q25" s="692"/>
      <c r="R25" s="712" t="s">
        <v>20</v>
      </c>
      <c r="S25" s="690" t="s">
        <v>25</v>
      </c>
      <c r="T25" s="691"/>
      <c r="U25" s="691"/>
      <c r="V25" s="692"/>
      <c r="W25" s="693" t="s">
        <v>25</v>
      </c>
      <c r="X25" s="695" t="s">
        <v>26</v>
      </c>
      <c r="Y25" s="697" t="s">
        <v>27</v>
      </c>
    </row>
    <row r="26" spans="1:25" ht="15" customHeight="1" thickBot="1" x14ac:dyDescent="0.3">
      <c r="A26" s="700"/>
      <c r="B26" s="710"/>
      <c r="C26" s="710"/>
      <c r="D26" s="710"/>
      <c r="E26" s="708"/>
      <c r="F26" s="1">
        <v>1</v>
      </c>
      <c r="G26" s="2">
        <v>2</v>
      </c>
      <c r="H26" s="2">
        <v>3</v>
      </c>
      <c r="I26" s="2">
        <v>4</v>
      </c>
      <c r="J26" s="2">
        <v>5</v>
      </c>
      <c r="K26" s="2">
        <v>6</v>
      </c>
      <c r="L26" s="2">
        <v>7</v>
      </c>
      <c r="M26" s="2">
        <v>8</v>
      </c>
      <c r="N26" s="2">
        <v>9</v>
      </c>
      <c r="O26" s="2">
        <v>10</v>
      </c>
      <c r="P26" s="2">
        <v>11</v>
      </c>
      <c r="Q26" s="3">
        <v>12</v>
      </c>
      <c r="R26" s="713"/>
      <c r="S26" s="4" t="s">
        <v>21</v>
      </c>
      <c r="T26" s="2" t="s">
        <v>22</v>
      </c>
      <c r="U26" s="2" t="s">
        <v>23</v>
      </c>
      <c r="V26" s="2" t="s">
        <v>24</v>
      </c>
      <c r="W26" s="694"/>
      <c r="X26" s="696"/>
      <c r="Y26" s="698"/>
    </row>
    <row r="27" spans="1:25" ht="18.75" customHeight="1" outlineLevel="1" thickTop="1" x14ac:dyDescent="0.25">
      <c r="A27" s="21" t="s">
        <v>96</v>
      </c>
      <c r="B27" s="577">
        <v>35000</v>
      </c>
      <c r="C27" s="578">
        <v>4</v>
      </c>
      <c r="D27" s="578">
        <v>2</v>
      </c>
      <c r="E27" s="579">
        <v>3</v>
      </c>
      <c r="F27" s="580" t="str">
        <f>IF($E27=F$26,$B27,"")</f>
        <v/>
      </c>
      <c r="G27" s="581" t="str">
        <f>IF($E27=G$26,$B27,"")</f>
        <v/>
      </c>
      <c r="H27" s="581">
        <f>IF($E27=H$26,$B27,"")</f>
        <v>35000</v>
      </c>
      <c r="I27" s="581" t="str">
        <f>IF($E27=I$26,$B27,"")</f>
        <v/>
      </c>
      <c r="J27" s="581" t="str">
        <f>IF($E27=J$26,$B27,"")</f>
        <v/>
      </c>
      <c r="K27" s="581" t="str">
        <f>IF($E27=K$26,$B27,"")</f>
        <v/>
      </c>
      <c r="L27" s="581" t="str">
        <f>IF($E27=L$26,$B27,"")</f>
        <v/>
      </c>
      <c r="M27" s="581" t="str">
        <f>IF($E27=M$26,$B27,"")</f>
        <v/>
      </c>
      <c r="N27" s="581" t="str">
        <f>IF($E27=N$26,$B27,"")</f>
        <v/>
      </c>
      <c r="O27" s="581" t="str">
        <f>IF($E27=O$26,$B27,"")</f>
        <v/>
      </c>
      <c r="P27" s="581" t="str">
        <f>IF($E27=P$26,$B27,"")</f>
        <v/>
      </c>
      <c r="Q27" s="581" t="str">
        <f>IF($E27=Q$26,$B27,"")</f>
        <v/>
      </c>
      <c r="R27" s="582">
        <f>SUM(F27:Q27)</f>
        <v>35000</v>
      </c>
      <c r="S27" s="511" t="str">
        <f>IF(AND($E27&gt;12,$E27&lt;=15),$B27,"")</f>
        <v/>
      </c>
      <c r="T27" s="583" t="str">
        <f>IF(AND($E27&gt;15,$E27&lt;=18),$B27,"")</f>
        <v/>
      </c>
      <c r="U27" s="583" t="str">
        <f>IF(AND($E27&gt;18,$E27&lt;=21),$B27,"")</f>
        <v/>
      </c>
      <c r="V27" s="583" t="str">
        <f>IF(AND($E27&gt;21,$E27&lt;=24),$B27,"")</f>
        <v/>
      </c>
      <c r="W27" s="584">
        <f>SUM(S27:V27)</f>
        <v>0</v>
      </c>
      <c r="X27" s="585" t="str">
        <f>IF(AND($E27&gt;24,$E27&lt;=36),$B27,"")</f>
        <v/>
      </c>
      <c r="Y27" s="237" t="str">
        <f>IF(AND($E27&gt;36,$E27&lt;=48),$B27,"")</f>
        <v/>
      </c>
    </row>
    <row r="28" spans="1:25" ht="18.75" customHeight="1" outlineLevel="1" x14ac:dyDescent="0.25">
      <c r="A28" s="22" t="s">
        <v>96</v>
      </c>
      <c r="B28" s="96">
        <v>35000</v>
      </c>
      <c r="C28" s="97">
        <v>4</v>
      </c>
      <c r="D28" s="97">
        <v>13</v>
      </c>
      <c r="E28" s="98">
        <v>14</v>
      </c>
      <c r="F28" s="10" t="str">
        <f>IF($E28=F$26,$B28,"")</f>
        <v/>
      </c>
      <c r="G28" s="11" t="str">
        <f>IF($E28=G$26,$B28,"")</f>
        <v/>
      </c>
      <c r="H28" s="11" t="str">
        <f>IF($E28=H$26,$B28,"")</f>
        <v/>
      </c>
      <c r="I28" s="11" t="str">
        <f>IF($E28=I$26,$B28,"")</f>
        <v/>
      </c>
      <c r="J28" s="11" t="str">
        <f>IF($E28=J$26,$B28,"")</f>
        <v/>
      </c>
      <c r="K28" s="11" t="str">
        <f>IF($E28=K$26,$B28,"")</f>
        <v/>
      </c>
      <c r="L28" s="11" t="str">
        <f>IF($E28=L$26,$B28,"")</f>
        <v/>
      </c>
      <c r="M28" s="11" t="str">
        <f>IF($E28=M$26,$B28,"")</f>
        <v/>
      </c>
      <c r="N28" s="11" t="str">
        <f>IF($E28=N$26,$B28,"")</f>
        <v/>
      </c>
      <c r="O28" s="11" t="str">
        <f>IF($E28=O$26,$B28,"")</f>
        <v/>
      </c>
      <c r="P28" s="11" t="str">
        <f>IF($E28=P$26,$B28,"")</f>
        <v/>
      </c>
      <c r="Q28" s="11" t="str">
        <f>IF($E28=Q$26,$B28,"")</f>
        <v/>
      </c>
      <c r="R28" s="76">
        <f t="shared" ref="R28:R30" si="17">SUM(F28:Q28)</f>
        <v>0</v>
      </c>
      <c r="S28" s="77">
        <f t="shared" ref="S28:S30" si="18">IF(AND($E28&gt;12,$E28&lt;=15),$B28,"")</f>
        <v>35000</v>
      </c>
      <c r="T28" s="78" t="str">
        <f t="shared" ref="T28:T30" si="19">IF(AND($E28&gt;15,$E28&lt;=18),$B28,"")</f>
        <v/>
      </c>
      <c r="U28" s="78" t="str">
        <f t="shared" ref="U28:U30" si="20">IF(AND($E28&gt;18,$E28&lt;=21),$B28,"")</f>
        <v/>
      </c>
      <c r="V28" s="78" t="str">
        <f t="shared" ref="V28:V30" si="21">IF(AND($E28&gt;21,$E28&lt;=24),$B28,"")</f>
        <v/>
      </c>
      <c r="W28" s="79">
        <f t="shared" ref="W28:W30" si="22">SUM(S28:V28)</f>
        <v>35000</v>
      </c>
      <c r="X28" s="12" t="str">
        <f t="shared" ref="X28:X30" si="23">IF(AND($E28&gt;24,$E28&lt;=36),$B28,"")</f>
        <v/>
      </c>
      <c r="Y28" s="13" t="str">
        <f t="shared" ref="Y28:Y30" si="24">IF(AND($E28&gt;36,$E28&lt;=48),$B28,"")</f>
        <v/>
      </c>
    </row>
    <row r="29" spans="1:25" ht="18.75" customHeight="1" outlineLevel="1" x14ac:dyDescent="0.25">
      <c r="A29" s="22" t="s">
        <v>97</v>
      </c>
      <c r="B29" s="96">
        <v>25000</v>
      </c>
      <c r="C29" s="97">
        <v>4</v>
      </c>
      <c r="D29" s="97">
        <v>13</v>
      </c>
      <c r="E29" s="98">
        <v>14</v>
      </c>
      <c r="F29" s="10" t="str">
        <f>IF($E29=F$26,$B29,"")</f>
        <v/>
      </c>
      <c r="G29" s="11" t="str">
        <f>IF($E29=G$26,$B29,"")</f>
        <v/>
      </c>
      <c r="H29" s="11" t="str">
        <f>IF($E29=H$26,$B29,"")</f>
        <v/>
      </c>
      <c r="I29" s="11" t="str">
        <f>IF($E29=I$26,$B29,"")</f>
        <v/>
      </c>
      <c r="J29" s="11" t="str">
        <f>IF($E29=J$26,$B29,"")</f>
        <v/>
      </c>
      <c r="K29" s="11" t="str">
        <f>IF($E29=K$26,$B29,"")</f>
        <v/>
      </c>
      <c r="L29" s="11" t="str">
        <f>IF($E29=L$26,$B29,"")</f>
        <v/>
      </c>
      <c r="M29" s="11" t="str">
        <f>IF($E29=M$26,$B29,"")</f>
        <v/>
      </c>
      <c r="N29" s="11" t="str">
        <f>IF($E29=N$26,$B29,"")</f>
        <v/>
      </c>
      <c r="O29" s="11" t="str">
        <f>IF($E29=O$26,$B29,"")</f>
        <v/>
      </c>
      <c r="P29" s="11" t="str">
        <f>IF($E29=P$26,$B29,"")</f>
        <v/>
      </c>
      <c r="Q29" s="11" t="str">
        <f>IF($E29=Q$26,$B29,"")</f>
        <v/>
      </c>
      <c r="R29" s="76">
        <f t="shared" si="17"/>
        <v>0</v>
      </c>
      <c r="S29" s="77">
        <f t="shared" si="18"/>
        <v>25000</v>
      </c>
      <c r="T29" s="78" t="str">
        <f t="shared" si="19"/>
        <v/>
      </c>
      <c r="U29" s="78" t="str">
        <f t="shared" si="20"/>
        <v/>
      </c>
      <c r="V29" s="78" t="str">
        <f t="shared" si="21"/>
        <v/>
      </c>
      <c r="W29" s="79">
        <f t="shared" si="22"/>
        <v>25000</v>
      </c>
      <c r="X29" s="12" t="str">
        <f t="shared" si="23"/>
        <v/>
      </c>
      <c r="Y29" s="13" t="str">
        <f t="shared" si="24"/>
        <v/>
      </c>
    </row>
    <row r="30" spans="1:25" ht="18.75" customHeight="1" outlineLevel="1" thickBot="1" x14ac:dyDescent="0.3">
      <c r="A30" s="127"/>
      <c r="B30" s="128"/>
      <c r="C30" s="128"/>
      <c r="D30" s="128"/>
      <c r="E30" s="129"/>
      <c r="F30" s="130" t="str">
        <f>IF($E30=F$26,$B30,"")</f>
        <v/>
      </c>
      <c r="G30" s="131" t="str">
        <f>IF($E30=G$26,$B30,"")</f>
        <v/>
      </c>
      <c r="H30" s="131" t="str">
        <f>IF($E30=H$26,$B30,"")</f>
        <v/>
      </c>
      <c r="I30" s="131" t="str">
        <f>IF($E30=I$26,$B30,"")</f>
        <v/>
      </c>
      <c r="J30" s="131" t="str">
        <f>IF($E30=J$26,$B30,"")</f>
        <v/>
      </c>
      <c r="K30" s="131" t="str">
        <f>IF($E30=K$26,$B30,"")</f>
        <v/>
      </c>
      <c r="L30" s="131" t="str">
        <f>IF($E30=L$26,$B30,"")</f>
        <v/>
      </c>
      <c r="M30" s="131" t="str">
        <f>IF($E30=M$26,$B30,"")</f>
        <v/>
      </c>
      <c r="N30" s="131" t="str">
        <f>IF($E30=N$26,$B30,"")</f>
        <v/>
      </c>
      <c r="O30" s="131" t="str">
        <f>IF($E30=O$26,$B30,"")</f>
        <v/>
      </c>
      <c r="P30" s="131" t="str">
        <f>IF($E30=P$26,$B30,"")</f>
        <v/>
      </c>
      <c r="Q30" s="131" t="str">
        <f>IF($E30=Q$26,$B30,"")</f>
        <v/>
      </c>
      <c r="R30" s="132">
        <f t="shared" si="17"/>
        <v>0</v>
      </c>
      <c r="S30" s="133" t="str">
        <f t="shared" si="18"/>
        <v/>
      </c>
      <c r="T30" s="134" t="str">
        <f t="shared" si="19"/>
        <v/>
      </c>
      <c r="U30" s="134" t="str">
        <f t="shared" si="20"/>
        <v/>
      </c>
      <c r="V30" s="134" t="str">
        <f t="shared" si="21"/>
        <v/>
      </c>
      <c r="W30" s="135">
        <f t="shared" si="22"/>
        <v>0</v>
      </c>
      <c r="X30" s="136" t="str">
        <f t="shared" si="23"/>
        <v/>
      </c>
      <c r="Y30" s="137" t="str">
        <f t="shared" si="24"/>
        <v/>
      </c>
    </row>
    <row r="31" spans="1:25" ht="7.5" customHeight="1" outlineLevel="1" thickTop="1" thickBot="1" x14ac:dyDescent="0.3">
      <c r="A31" s="24"/>
      <c r="B31" s="25"/>
      <c r="C31" s="25"/>
      <c r="D31" s="25"/>
      <c r="E31" s="26"/>
      <c r="F31" s="27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9"/>
      <c r="R31" s="30"/>
      <c r="S31" s="31"/>
      <c r="T31" s="28"/>
      <c r="U31" s="28"/>
      <c r="V31" s="28"/>
      <c r="W31" s="32"/>
      <c r="X31" s="33"/>
      <c r="Y31" s="34"/>
    </row>
    <row r="32" spans="1:25" ht="18.75" customHeight="1" thickBot="1" x14ac:dyDescent="0.3">
      <c r="A32" s="35" t="s">
        <v>34</v>
      </c>
      <c r="B32" s="36">
        <f>SUM(B27:B31)</f>
        <v>95000</v>
      </c>
      <c r="C32" s="64"/>
      <c r="D32" s="65"/>
      <c r="E32" s="66"/>
      <c r="F32" s="574">
        <f>SUM(F27:F31)</f>
        <v>0</v>
      </c>
      <c r="G32" s="575">
        <f>SUM(G27:G31)</f>
        <v>0</v>
      </c>
      <c r="H32" s="575">
        <f>SUM(H27:H31)</f>
        <v>35000</v>
      </c>
      <c r="I32" s="575">
        <f>SUM(I27:I31)</f>
        <v>0</v>
      </c>
      <c r="J32" s="575">
        <f>SUM(J27:J31)</f>
        <v>0</v>
      </c>
      <c r="K32" s="575">
        <f>SUM(K27:K31)</f>
        <v>0</v>
      </c>
      <c r="L32" s="575">
        <f>SUM(L27:L31)</f>
        <v>0</v>
      </c>
      <c r="M32" s="575">
        <f>SUM(M27:M31)</f>
        <v>0</v>
      </c>
      <c r="N32" s="575">
        <f>SUM(N27:N31)</f>
        <v>0</v>
      </c>
      <c r="O32" s="575">
        <f>SUM(O27:O31)</f>
        <v>0</v>
      </c>
      <c r="P32" s="575">
        <f>SUM(P27:P31)</f>
        <v>0</v>
      </c>
      <c r="Q32" s="575">
        <f>SUM(Q27:Q31)</f>
        <v>0</v>
      </c>
      <c r="R32" s="37">
        <f>SUM(R27:R31)</f>
        <v>35000</v>
      </c>
      <c r="S32" s="576">
        <f>SUM(S27:S31)</f>
        <v>60000</v>
      </c>
      <c r="T32" s="575">
        <f>SUM(T27:T31)</f>
        <v>0</v>
      </c>
      <c r="U32" s="575">
        <f>SUM(U27:U31)</f>
        <v>0</v>
      </c>
      <c r="V32" s="575">
        <f>SUM(V27:V31)</f>
        <v>0</v>
      </c>
      <c r="W32" s="38">
        <f>SUM(W27:W31)</f>
        <v>60000</v>
      </c>
      <c r="X32" s="39">
        <f>SUM(X27:X31)</f>
        <v>0</v>
      </c>
      <c r="Y32" s="40">
        <f>SUM(Y27:Y31)</f>
        <v>0</v>
      </c>
    </row>
    <row r="33" spans="1:25" ht="7.5" customHeight="1" thickBot="1" x14ac:dyDescent="0.3">
      <c r="A33" s="701"/>
      <c r="B33" s="702"/>
      <c r="C33" s="702"/>
      <c r="D33" s="702"/>
      <c r="E33" s="702"/>
      <c r="F33" s="702"/>
      <c r="G33" s="702"/>
      <c r="H33" s="702"/>
      <c r="I33" s="702"/>
      <c r="J33" s="702"/>
      <c r="K33" s="702"/>
      <c r="L33" s="702"/>
      <c r="M33" s="702"/>
      <c r="N33" s="702"/>
      <c r="O33" s="702"/>
      <c r="P33" s="702"/>
      <c r="Q33" s="702"/>
      <c r="R33" s="702"/>
      <c r="S33" s="702"/>
      <c r="T33" s="702"/>
      <c r="U33" s="702"/>
      <c r="V33" s="702"/>
      <c r="W33" s="702"/>
      <c r="X33" s="702"/>
      <c r="Y33" s="703"/>
    </row>
    <row r="34" spans="1:25" ht="22.5" customHeight="1" thickBot="1" x14ac:dyDescent="0.3">
      <c r="A34" s="491" t="s">
        <v>35</v>
      </c>
      <c r="B34" s="62">
        <f>B32+B23</f>
        <v>195000</v>
      </c>
      <c r="C34" s="63"/>
      <c r="D34" s="63"/>
      <c r="E34" s="138"/>
      <c r="F34" s="56">
        <f>F32+F23</f>
        <v>58000</v>
      </c>
      <c r="G34" s="57">
        <f>G32+G23</f>
        <v>0</v>
      </c>
      <c r="H34" s="57">
        <f>H32+H23</f>
        <v>45000</v>
      </c>
      <c r="I34" s="57">
        <f>I32+I23</f>
        <v>0</v>
      </c>
      <c r="J34" s="57">
        <f>J32+J23</f>
        <v>0</v>
      </c>
      <c r="K34" s="57">
        <f>K32+K23</f>
        <v>10000</v>
      </c>
      <c r="L34" s="57">
        <f>L32+L23</f>
        <v>0</v>
      </c>
      <c r="M34" s="57">
        <f>M32+M23</f>
        <v>0</v>
      </c>
      <c r="N34" s="57">
        <f>N32+N23</f>
        <v>0</v>
      </c>
      <c r="O34" s="57">
        <f>O32+O23</f>
        <v>20000</v>
      </c>
      <c r="P34" s="57">
        <f>P32+P23</f>
        <v>0</v>
      </c>
      <c r="Q34" s="57">
        <f>Q32+Q23</f>
        <v>0</v>
      </c>
      <c r="R34" s="58">
        <f>R32+R23</f>
        <v>133000</v>
      </c>
      <c r="S34" s="59">
        <f>S32+S23</f>
        <v>62000</v>
      </c>
      <c r="T34" s="57">
        <f>T32+T23</f>
        <v>0</v>
      </c>
      <c r="U34" s="57">
        <f>U32+U23</f>
        <v>0</v>
      </c>
      <c r="V34" s="57">
        <f>V32+V23</f>
        <v>0</v>
      </c>
      <c r="W34" s="58">
        <f>W32+W23</f>
        <v>62000</v>
      </c>
      <c r="X34" s="60">
        <f>X32+X23</f>
        <v>0</v>
      </c>
      <c r="Y34" s="61">
        <f>Y32+Y23</f>
        <v>0</v>
      </c>
    </row>
  </sheetData>
  <sheetProtection selectLockedCells="1"/>
  <mergeCells count="26">
    <mergeCell ref="A1:Y1"/>
    <mergeCell ref="R3:R4"/>
    <mergeCell ref="W3:W4"/>
    <mergeCell ref="S3:V3"/>
    <mergeCell ref="F3:Q3"/>
    <mergeCell ref="A16:Y16"/>
    <mergeCell ref="A24:Y24"/>
    <mergeCell ref="A33:Y33"/>
    <mergeCell ref="X3:X4"/>
    <mergeCell ref="Y3:Y4"/>
    <mergeCell ref="A3:A4"/>
    <mergeCell ref="E3:E4"/>
    <mergeCell ref="D3:D4"/>
    <mergeCell ref="C3:C4"/>
    <mergeCell ref="B3:B4"/>
    <mergeCell ref="B25:B26"/>
    <mergeCell ref="C25:C26"/>
    <mergeCell ref="D25:D26"/>
    <mergeCell ref="E25:E26"/>
    <mergeCell ref="F25:Q25"/>
    <mergeCell ref="R25:R26"/>
    <mergeCell ref="S25:V25"/>
    <mergeCell ref="W25:W26"/>
    <mergeCell ref="X25:X26"/>
    <mergeCell ref="Y25:Y26"/>
    <mergeCell ref="A25:A26"/>
  </mergeCells>
  <dataValidations count="1">
    <dataValidation type="whole" allowBlank="1" showInputMessage="1" showErrorMessage="1" sqref="D5:E14 D27:E31 D18:E20">
      <formula1>1</formula1>
      <formula2>48</formula2>
    </dataValidation>
  </dataValidations>
  <printOptions horizontalCentered="1"/>
  <pageMargins left="0.59055118110236227" right="0.59055118110236227" top="0.78740157480314965" bottom="0.59055118110236227" header="0.31496062992125984" footer="0.31496062992125984"/>
  <pageSetup paperSize="8" scale="53" fitToHeight="0" orientation="landscape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pageSetUpPr fitToPage="1"/>
  </sheetPr>
  <dimension ref="A1:Z139"/>
  <sheetViews>
    <sheetView showGridLines="0" view="pageBreakPreview" zoomScaleNormal="100" zoomScaleSheetLayoutView="100" workbookViewId="0">
      <pane xSplit="4" ySplit="1" topLeftCell="E26" activePane="bottomRight" state="frozen"/>
      <selection pane="topRight" activeCell="E1" sqref="E1"/>
      <selection pane="bottomLeft" activeCell="A2" sqref="A2"/>
      <selection pane="bottomRight" activeCell="E29" sqref="E29"/>
    </sheetView>
  </sheetViews>
  <sheetFormatPr baseColWidth="10" defaultRowHeight="15" outlineLevelCol="1" x14ac:dyDescent="0.25"/>
  <cols>
    <col min="1" max="1" width="51.42578125" style="41" bestFit="1" customWidth="1"/>
    <col min="2" max="2" width="11.42578125" style="41"/>
    <col min="3" max="3" width="8.140625" style="41" bestFit="1" customWidth="1"/>
    <col min="4" max="4" width="9.28515625" style="41" bestFit="1" customWidth="1"/>
    <col min="5" max="15" width="11.42578125" style="41" customWidth="1" outlineLevel="1"/>
    <col min="16" max="16" width="10.5703125" style="41" customWidth="1" outlineLevel="1"/>
    <col min="17" max="17" width="13" style="41" bestFit="1" customWidth="1"/>
    <col min="18" max="21" width="11.42578125" style="41" hidden="1" customWidth="1" outlineLevel="1"/>
    <col min="22" max="22" width="13" style="41" bestFit="1" customWidth="1" collapsed="1"/>
    <col min="23" max="24" width="13" style="41" bestFit="1" customWidth="1"/>
    <col min="25" max="25" width="11.42578125" style="41"/>
    <col min="26" max="26" width="16.5703125" style="41" bestFit="1" customWidth="1"/>
    <col min="27" max="16384" width="11.42578125" style="41"/>
  </cols>
  <sheetData>
    <row r="1" spans="1:24" ht="27" thickBot="1" x14ac:dyDescent="0.3">
      <c r="A1" s="714" t="s">
        <v>43</v>
      </c>
      <c r="B1" s="715"/>
      <c r="C1" s="715"/>
      <c r="D1" s="715"/>
      <c r="E1" s="715"/>
      <c r="F1" s="715"/>
      <c r="G1" s="715"/>
      <c r="H1" s="715"/>
      <c r="I1" s="715"/>
      <c r="J1" s="715"/>
      <c r="K1" s="715"/>
      <c r="L1" s="715"/>
      <c r="M1" s="715"/>
      <c r="N1" s="715"/>
      <c r="O1" s="715"/>
      <c r="P1" s="715"/>
      <c r="Q1" s="715"/>
      <c r="R1" s="715"/>
      <c r="S1" s="715"/>
      <c r="T1" s="715"/>
      <c r="U1" s="715"/>
      <c r="V1" s="715"/>
      <c r="W1" s="715"/>
      <c r="X1" s="716"/>
    </row>
    <row r="2" spans="1:24" ht="15.75" thickBot="1" x14ac:dyDescent="0.3"/>
    <row r="3" spans="1:24" x14ac:dyDescent="0.25">
      <c r="A3" s="586" t="s">
        <v>95</v>
      </c>
      <c r="B3" s="606">
        <v>30</v>
      </c>
    </row>
    <row r="4" spans="1:24" x14ac:dyDescent="0.25">
      <c r="A4" s="587" t="s">
        <v>93</v>
      </c>
      <c r="B4" s="151">
        <v>0.34</v>
      </c>
    </row>
    <row r="5" spans="1:24" ht="15.75" thickBot="1" x14ac:dyDescent="0.3">
      <c r="A5" s="588" t="s">
        <v>89</v>
      </c>
      <c r="B5" s="152">
        <v>0.05</v>
      </c>
    </row>
    <row r="6" spans="1:24" ht="22.5" customHeight="1" thickBot="1" x14ac:dyDescent="0.3">
      <c r="A6" s="589" t="s">
        <v>90</v>
      </c>
      <c r="B6" s="734" t="s">
        <v>54</v>
      </c>
      <c r="C6" s="735"/>
      <c r="D6" s="724" t="s">
        <v>257</v>
      </c>
      <c r="E6" s="691" t="s">
        <v>20</v>
      </c>
      <c r="F6" s="691"/>
      <c r="G6" s="691"/>
      <c r="H6" s="691"/>
      <c r="I6" s="691"/>
      <c r="J6" s="691"/>
      <c r="K6" s="691"/>
      <c r="L6" s="691"/>
      <c r="M6" s="691"/>
      <c r="N6" s="691"/>
      <c r="O6" s="691"/>
      <c r="P6" s="692"/>
      <c r="Q6" s="712" t="s">
        <v>20</v>
      </c>
      <c r="R6" s="690" t="s">
        <v>25</v>
      </c>
      <c r="S6" s="691"/>
      <c r="T6" s="691"/>
      <c r="U6" s="692"/>
      <c r="V6" s="693" t="s">
        <v>25</v>
      </c>
      <c r="W6" s="695" t="s">
        <v>26</v>
      </c>
      <c r="X6" s="697" t="s">
        <v>27</v>
      </c>
    </row>
    <row r="7" spans="1:24" ht="18.75" customHeight="1" thickBot="1" x14ac:dyDescent="0.3">
      <c r="A7" s="590" t="s">
        <v>52</v>
      </c>
      <c r="B7" s="736"/>
      <c r="C7" s="736"/>
      <c r="D7" s="725"/>
      <c r="E7" s="113">
        <v>1</v>
      </c>
      <c r="F7" s="2">
        <v>2</v>
      </c>
      <c r="G7" s="2">
        <v>3</v>
      </c>
      <c r="H7" s="2">
        <v>4</v>
      </c>
      <c r="I7" s="2">
        <v>5</v>
      </c>
      <c r="J7" s="2">
        <v>6</v>
      </c>
      <c r="K7" s="2">
        <v>7</v>
      </c>
      <c r="L7" s="2">
        <v>8</v>
      </c>
      <c r="M7" s="2">
        <v>9</v>
      </c>
      <c r="N7" s="2">
        <v>10</v>
      </c>
      <c r="O7" s="2">
        <v>11</v>
      </c>
      <c r="P7" s="3">
        <v>12</v>
      </c>
      <c r="Q7" s="713"/>
      <c r="R7" s="4" t="s">
        <v>21</v>
      </c>
      <c r="S7" s="2" t="s">
        <v>22</v>
      </c>
      <c r="T7" s="2" t="s">
        <v>23</v>
      </c>
      <c r="U7" s="2" t="s">
        <v>24</v>
      </c>
      <c r="V7" s="694"/>
      <c r="W7" s="696"/>
      <c r="X7" s="698"/>
    </row>
    <row r="8" spans="1:24" ht="18.75" customHeight="1" thickTop="1" x14ac:dyDescent="0.25">
      <c r="A8" s="94" t="s">
        <v>1</v>
      </c>
      <c r="B8" s="737">
        <v>3000</v>
      </c>
      <c r="C8" s="737"/>
      <c r="D8" s="607">
        <v>1</v>
      </c>
      <c r="E8" s="6">
        <f>IF($D8="","",IF($D8&lt;=E$7,$B8,""))</f>
        <v>3000</v>
      </c>
      <c r="F8" s="7">
        <f t="shared" ref="F8:P11" si="0">IF($D8="","",IF($D8&lt;=F$7,$B8,""))</f>
        <v>3000</v>
      </c>
      <c r="G8" s="7">
        <f t="shared" si="0"/>
        <v>3000</v>
      </c>
      <c r="H8" s="7">
        <f t="shared" si="0"/>
        <v>3000</v>
      </c>
      <c r="I8" s="7">
        <f t="shared" si="0"/>
        <v>3000</v>
      </c>
      <c r="J8" s="7">
        <f t="shared" si="0"/>
        <v>3000</v>
      </c>
      <c r="K8" s="7">
        <f t="shared" si="0"/>
        <v>3000</v>
      </c>
      <c r="L8" s="7">
        <f t="shared" si="0"/>
        <v>3000</v>
      </c>
      <c r="M8" s="7">
        <f t="shared" si="0"/>
        <v>3000</v>
      </c>
      <c r="N8" s="7">
        <f t="shared" si="0"/>
        <v>3000</v>
      </c>
      <c r="O8" s="7">
        <f t="shared" si="0"/>
        <v>3000</v>
      </c>
      <c r="P8" s="7">
        <f t="shared" si="0"/>
        <v>3000</v>
      </c>
      <c r="Q8" s="272">
        <f>SUM(E8:P8)</f>
        <v>36000</v>
      </c>
      <c r="R8" s="310">
        <f>IF($D8="","",IF(AND($D8&lt;=15,$D8&gt;12),(15-$D8+1)*$B8*(1+$B$5)^1,IF(AND($D8&lt;=15,$D8&lt;=12),3*$B8*(1+$B$5)^1,"")))</f>
        <v>9450</v>
      </c>
      <c r="S8" s="7">
        <f t="shared" ref="S8:U11" si="1">IF($D8="","",IF(AND($D8&lt;=15,$D8&gt;12),(15-$D8+1)*$B8*(1+$B$5)^1,IF(AND($D8&lt;=15,$D8&lt;=12),3*$B8*(1+$B$5)^1,"")))</f>
        <v>9450</v>
      </c>
      <c r="T8" s="7">
        <f t="shared" si="1"/>
        <v>9450</v>
      </c>
      <c r="U8" s="7">
        <f t="shared" si="1"/>
        <v>9450</v>
      </c>
      <c r="V8" s="272">
        <f>SUM(R8:U8)</f>
        <v>37800</v>
      </c>
      <c r="W8" s="8">
        <f>IF($D8="","",IF(AND($D8&lt;=36,$D8&gt;24),(36-$D8+1)*$B8*(1+$B$5)^2,IF(AND($D8&lt;=36,$D8&lt;=24),(36-24)*$B8*(1+$B$5)^2,"")))</f>
        <v>39690</v>
      </c>
      <c r="X8" s="9">
        <f>IF($D8="","",IF(AND($D8&lt;=48,$D8&gt;36),(48-$D8+1)*$B8*(1+$B$5)^3,IF(AND($D8&lt;=48,$D8&lt;=36),(48-36)*$B8*(1+$B$5)^3,"")))</f>
        <v>41674.500000000007</v>
      </c>
    </row>
    <row r="9" spans="1:24" ht="18.75" customHeight="1" x14ac:dyDescent="0.25">
      <c r="A9" s="95" t="s">
        <v>2</v>
      </c>
      <c r="B9" s="720">
        <v>3000</v>
      </c>
      <c r="C9" s="720"/>
      <c r="D9" s="608">
        <v>1</v>
      </c>
      <c r="E9" s="10">
        <f t="shared" ref="E9:E11" si="2">IF($D9="","",IF($D9&lt;=E$7,$B9,""))</f>
        <v>3000</v>
      </c>
      <c r="F9" s="11">
        <f t="shared" si="0"/>
        <v>3000</v>
      </c>
      <c r="G9" s="11">
        <f t="shared" si="0"/>
        <v>3000</v>
      </c>
      <c r="H9" s="11">
        <f t="shared" si="0"/>
        <v>3000</v>
      </c>
      <c r="I9" s="11">
        <f t="shared" si="0"/>
        <v>3000</v>
      </c>
      <c r="J9" s="11">
        <f t="shared" si="0"/>
        <v>3000</v>
      </c>
      <c r="K9" s="11">
        <f t="shared" si="0"/>
        <v>3000</v>
      </c>
      <c r="L9" s="11">
        <f t="shared" si="0"/>
        <v>3000</v>
      </c>
      <c r="M9" s="11">
        <f t="shared" si="0"/>
        <v>3000</v>
      </c>
      <c r="N9" s="11">
        <f t="shared" si="0"/>
        <v>3000</v>
      </c>
      <c r="O9" s="11">
        <f t="shared" si="0"/>
        <v>3000</v>
      </c>
      <c r="P9" s="11">
        <f t="shared" si="0"/>
        <v>3000</v>
      </c>
      <c r="Q9" s="591">
        <f t="shared" ref="Q9:Q11" si="3">SUM(E9:P9)</f>
        <v>36000</v>
      </c>
      <c r="R9" s="311">
        <f t="shared" ref="R9:R11" si="4">IF($D9="","",IF(AND($D9&lt;=15,$D9&gt;12),(15-$D9+1)*$B9*(1+$B$5)^1,IF(AND($D9&lt;=15,$D9&lt;=12),3*$B9*(1+$B$5)^1,"")))</f>
        <v>9450</v>
      </c>
      <c r="S9" s="11">
        <f t="shared" si="1"/>
        <v>9450</v>
      </c>
      <c r="T9" s="11">
        <f t="shared" si="1"/>
        <v>9450</v>
      </c>
      <c r="U9" s="11">
        <f t="shared" si="1"/>
        <v>9450</v>
      </c>
      <c r="V9" s="591">
        <f t="shared" ref="V9:V11" si="5">SUM(R9:U9)</f>
        <v>37800</v>
      </c>
      <c r="W9" s="12">
        <f t="shared" ref="W9:W11" si="6">IF($D9="","",IF(AND($D9&lt;=36,$D9&gt;24),(36-$D9+1)*$B9*(1+$B$5)^2,IF(AND($D9&lt;=36,$D9&lt;=24),(36-24)*$B9*(1+$B$5)^2,"")))</f>
        <v>39690</v>
      </c>
      <c r="X9" s="13">
        <f t="shared" ref="X9:X11" si="7">IF($D9="","",IF(AND($D9&lt;=48,$D9&gt;36),(48-$D9+1)*$B9*(1+$B$5)^3,IF(AND($D9&lt;=48,$D9&lt;=36),(48-36)*$B9*(1+$B$5)^3,"")))</f>
        <v>41674.500000000007</v>
      </c>
    </row>
    <row r="10" spans="1:24" ht="18.75" customHeight="1" x14ac:dyDescent="0.25">
      <c r="A10" s="95" t="s">
        <v>3</v>
      </c>
      <c r="B10" s="720">
        <v>3000</v>
      </c>
      <c r="C10" s="720"/>
      <c r="D10" s="608">
        <v>1</v>
      </c>
      <c r="E10" s="10">
        <f t="shared" si="2"/>
        <v>3000</v>
      </c>
      <c r="F10" s="11">
        <f t="shared" si="0"/>
        <v>3000</v>
      </c>
      <c r="G10" s="11">
        <f t="shared" si="0"/>
        <v>3000</v>
      </c>
      <c r="H10" s="11">
        <f t="shared" si="0"/>
        <v>3000</v>
      </c>
      <c r="I10" s="11">
        <f t="shared" si="0"/>
        <v>3000</v>
      </c>
      <c r="J10" s="11">
        <f t="shared" si="0"/>
        <v>3000</v>
      </c>
      <c r="K10" s="11">
        <f t="shared" si="0"/>
        <v>3000</v>
      </c>
      <c r="L10" s="11">
        <f t="shared" si="0"/>
        <v>3000</v>
      </c>
      <c r="M10" s="11">
        <f t="shared" si="0"/>
        <v>3000</v>
      </c>
      <c r="N10" s="11">
        <f t="shared" si="0"/>
        <v>3000</v>
      </c>
      <c r="O10" s="11">
        <f t="shared" si="0"/>
        <v>3000</v>
      </c>
      <c r="P10" s="11">
        <f t="shared" si="0"/>
        <v>3000</v>
      </c>
      <c r="Q10" s="591">
        <f t="shared" si="3"/>
        <v>36000</v>
      </c>
      <c r="R10" s="311">
        <f t="shared" si="4"/>
        <v>9450</v>
      </c>
      <c r="S10" s="11">
        <f t="shared" si="1"/>
        <v>9450</v>
      </c>
      <c r="T10" s="11">
        <f t="shared" si="1"/>
        <v>9450</v>
      </c>
      <c r="U10" s="11">
        <f t="shared" si="1"/>
        <v>9450</v>
      </c>
      <c r="V10" s="591">
        <f t="shared" si="5"/>
        <v>37800</v>
      </c>
      <c r="W10" s="12">
        <f t="shared" si="6"/>
        <v>39690</v>
      </c>
      <c r="X10" s="13">
        <f t="shared" si="7"/>
        <v>41674.500000000007</v>
      </c>
    </row>
    <row r="11" spans="1:24" ht="18.75" customHeight="1" thickBot="1" x14ac:dyDescent="0.3">
      <c r="A11" s="609" t="s">
        <v>4</v>
      </c>
      <c r="B11" s="722">
        <v>3000</v>
      </c>
      <c r="C11" s="722"/>
      <c r="D11" s="610">
        <v>1</v>
      </c>
      <c r="E11" s="130">
        <f t="shared" si="2"/>
        <v>3000</v>
      </c>
      <c r="F11" s="131">
        <f t="shared" si="0"/>
        <v>3000</v>
      </c>
      <c r="G11" s="131">
        <f t="shared" si="0"/>
        <v>3000</v>
      </c>
      <c r="H11" s="131">
        <f t="shared" si="0"/>
        <v>3000</v>
      </c>
      <c r="I11" s="131">
        <f t="shared" si="0"/>
        <v>3000</v>
      </c>
      <c r="J11" s="131">
        <f t="shared" si="0"/>
        <v>3000</v>
      </c>
      <c r="K11" s="131">
        <f t="shared" si="0"/>
        <v>3000</v>
      </c>
      <c r="L11" s="131">
        <f t="shared" si="0"/>
        <v>3000</v>
      </c>
      <c r="M11" s="131">
        <f t="shared" si="0"/>
        <v>3000</v>
      </c>
      <c r="N11" s="131">
        <f t="shared" si="0"/>
        <v>3000</v>
      </c>
      <c r="O11" s="131">
        <f t="shared" si="0"/>
        <v>3000</v>
      </c>
      <c r="P11" s="131">
        <f t="shared" si="0"/>
        <v>3000</v>
      </c>
      <c r="Q11" s="592">
        <f t="shared" si="3"/>
        <v>36000</v>
      </c>
      <c r="R11" s="162">
        <f t="shared" si="4"/>
        <v>9450</v>
      </c>
      <c r="S11" s="131">
        <f t="shared" si="1"/>
        <v>9450</v>
      </c>
      <c r="T11" s="131">
        <f t="shared" si="1"/>
        <v>9450</v>
      </c>
      <c r="U11" s="131">
        <f t="shared" si="1"/>
        <v>9450</v>
      </c>
      <c r="V11" s="592">
        <f t="shared" si="5"/>
        <v>37800</v>
      </c>
      <c r="W11" s="136">
        <f t="shared" si="6"/>
        <v>39690</v>
      </c>
      <c r="X11" s="137">
        <f t="shared" si="7"/>
        <v>41674.500000000007</v>
      </c>
    </row>
    <row r="12" spans="1:24" ht="7.5" customHeight="1" thickTop="1" thickBot="1" x14ac:dyDescent="0.3">
      <c r="A12" s="611"/>
      <c r="B12" s="723"/>
      <c r="C12" s="723"/>
      <c r="D12" s="612"/>
      <c r="E12" s="343"/>
      <c r="F12" s="111"/>
      <c r="G12" s="111"/>
      <c r="H12" s="111"/>
      <c r="I12" s="111"/>
      <c r="J12" s="111"/>
      <c r="K12" s="111"/>
      <c r="L12" s="111"/>
      <c r="M12" s="111"/>
      <c r="N12" s="111"/>
      <c r="O12" s="111"/>
      <c r="P12" s="111"/>
      <c r="Q12" s="329"/>
      <c r="R12" s="331"/>
      <c r="S12" s="328"/>
      <c r="T12" s="328"/>
      <c r="U12" s="328"/>
      <c r="V12" s="329"/>
      <c r="W12" s="330"/>
      <c r="X12" s="332"/>
    </row>
    <row r="13" spans="1:24" ht="18.75" customHeight="1" thickBot="1" x14ac:dyDescent="0.3">
      <c r="A13" s="905" t="s">
        <v>91</v>
      </c>
      <c r="B13" s="902">
        <f>SUM(Q13,V13,W13,X13)/48</f>
        <v>12930.375</v>
      </c>
      <c r="C13" s="903"/>
      <c r="D13" s="904"/>
      <c r="E13" s="631">
        <f>SUM(E8:E12)</f>
        <v>12000</v>
      </c>
      <c r="F13" s="565">
        <f t="shared" ref="F13:X13" si="8">SUM(F8:F12)</f>
        <v>12000</v>
      </c>
      <c r="G13" s="565">
        <f t="shared" si="8"/>
        <v>12000</v>
      </c>
      <c r="H13" s="565">
        <f t="shared" si="8"/>
        <v>12000</v>
      </c>
      <c r="I13" s="565">
        <f t="shared" si="8"/>
        <v>12000</v>
      </c>
      <c r="J13" s="565">
        <f t="shared" si="8"/>
        <v>12000</v>
      </c>
      <c r="K13" s="565">
        <f t="shared" si="8"/>
        <v>12000</v>
      </c>
      <c r="L13" s="565">
        <f t="shared" si="8"/>
        <v>12000</v>
      </c>
      <c r="M13" s="565">
        <f t="shared" si="8"/>
        <v>12000</v>
      </c>
      <c r="N13" s="565">
        <f t="shared" si="8"/>
        <v>12000</v>
      </c>
      <c r="O13" s="565">
        <f t="shared" si="8"/>
        <v>12000</v>
      </c>
      <c r="P13" s="565">
        <f t="shared" si="8"/>
        <v>12000</v>
      </c>
      <c r="Q13" s="566">
        <f t="shared" si="8"/>
        <v>144000</v>
      </c>
      <c r="R13" s="454">
        <f t="shared" si="8"/>
        <v>37800</v>
      </c>
      <c r="S13" s="565">
        <f t="shared" si="8"/>
        <v>37800</v>
      </c>
      <c r="T13" s="565">
        <f t="shared" si="8"/>
        <v>37800</v>
      </c>
      <c r="U13" s="565">
        <f t="shared" si="8"/>
        <v>37800</v>
      </c>
      <c r="V13" s="566">
        <f t="shared" si="8"/>
        <v>151200</v>
      </c>
      <c r="W13" s="568">
        <f t="shared" si="8"/>
        <v>158760</v>
      </c>
      <c r="X13" s="507">
        <f t="shared" si="8"/>
        <v>166698.00000000003</v>
      </c>
    </row>
    <row r="14" spans="1:24" ht="7.5" customHeight="1" thickBot="1" x14ac:dyDescent="0.3">
      <c r="A14" s="717"/>
      <c r="B14" s="718"/>
      <c r="C14" s="718"/>
      <c r="D14" s="718"/>
      <c r="E14" s="718"/>
      <c r="F14" s="718"/>
      <c r="G14" s="718"/>
      <c r="H14" s="718"/>
      <c r="I14" s="718"/>
      <c r="J14" s="718"/>
      <c r="K14" s="718"/>
      <c r="L14" s="718"/>
      <c r="M14" s="718"/>
      <c r="N14" s="718"/>
      <c r="O14" s="718"/>
      <c r="P14" s="718"/>
      <c r="Q14" s="718"/>
      <c r="R14" s="718"/>
      <c r="S14" s="718"/>
      <c r="T14" s="718"/>
      <c r="U14" s="718"/>
      <c r="V14" s="718"/>
      <c r="W14" s="718"/>
      <c r="X14" s="719"/>
    </row>
    <row r="15" spans="1:24" ht="18.75" customHeight="1" thickBot="1" x14ac:dyDescent="0.3">
      <c r="A15" s="593" t="s">
        <v>53</v>
      </c>
      <c r="B15" s="326"/>
      <c r="C15" s="326"/>
      <c r="D15" s="594"/>
    </row>
    <row r="16" spans="1:24" ht="15.75" thickTop="1" x14ac:dyDescent="0.25">
      <c r="A16" s="94" t="s">
        <v>65</v>
      </c>
      <c r="B16" s="737">
        <v>1700</v>
      </c>
      <c r="C16" s="737"/>
      <c r="D16" s="20">
        <v>2</v>
      </c>
      <c r="E16" s="6" t="str">
        <f t="shared" ref="E16:P16" si="9">IF($D16="","",IF($D16&lt;=E$7,$B16,""))</f>
        <v/>
      </c>
      <c r="F16" s="7">
        <f t="shared" si="9"/>
        <v>1700</v>
      </c>
      <c r="G16" s="7">
        <f t="shared" si="9"/>
        <v>1700</v>
      </c>
      <c r="H16" s="7">
        <f t="shared" si="9"/>
        <v>1700</v>
      </c>
      <c r="I16" s="7">
        <f t="shared" si="9"/>
        <v>1700</v>
      </c>
      <c r="J16" s="7">
        <f t="shared" si="9"/>
        <v>1700</v>
      </c>
      <c r="K16" s="7">
        <f t="shared" si="9"/>
        <v>1700</v>
      </c>
      <c r="L16" s="7">
        <f t="shared" si="9"/>
        <v>1700</v>
      </c>
      <c r="M16" s="7">
        <f t="shared" si="9"/>
        <v>1700</v>
      </c>
      <c r="N16" s="7">
        <f t="shared" si="9"/>
        <v>1700</v>
      </c>
      <c r="O16" s="7">
        <f t="shared" si="9"/>
        <v>1700</v>
      </c>
      <c r="P16" s="7">
        <f t="shared" si="9"/>
        <v>1700</v>
      </c>
      <c r="Q16" s="272">
        <f>SUM(E16:P16)</f>
        <v>18700</v>
      </c>
      <c r="R16" s="310">
        <f>IF($D16="","",IF(AND($D16&lt;=15,$D16&gt;12),(15-$D16+1)*$B16*(1+$B$5)^1,IF(AND($D16&lt;=15,$D16&lt;=12),3*$B16*(1+$B$5)^1,"")))</f>
        <v>5355</v>
      </c>
      <c r="S16" s="7">
        <f>IF($D16="","",IF(AND($D16&lt;=15,$D16&gt;12),(15-$D16+1)*$B16*(1+$B$5)^1,IF(AND($D16&lt;=15,$D16&lt;=12),3*$B16*(1+$B$5)^1,"")))</f>
        <v>5355</v>
      </c>
      <c r="T16" s="7">
        <f>IF($D16="","",IF(AND($D16&lt;=15,$D16&gt;12),(15-$D16+1)*$B16*(1+$B$5)^1,IF(AND($D16&lt;=15,$D16&lt;=12),3*$B16*(1+$B$5)^1,"")))</f>
        <v>5355</v>
      </c>
      <c r="U16" s="7">
        <f>IF($D16="","",IF(AND($D16&lt;=15,$D16&gt;12),(15-$D16+1)*$B16*(1+$B$5)^1,IF(AND($D16&lt;=15,$D16&lt;=12),3*$B16*(1+$B$5)^1,"")))</f>
        <v>5355</v>
      </c>
      <c r="V16" s="272">
        <f>SUM(R16:U16)</f>
        <v>21420</v>
      </c>
      <c r="W16" s="8">
        <f>IF($D16="","",IF(AND($D16&lt;=36,$D16&gt;24),(36-$D16+1)*$B16*(1+$B$5)^2,IF(AND($D16&lt;=36,$D16&lt;=24),(36-24)*$B16*(1+$B$5)^2,"")))</f>
        <v>22491</v>
      </c>
      <c r="X16" s="9">
        <f>IF($D16="","",IF(AND($D16&lt;=48,$D16&gt;36),(48-$D16+1)*$B16*(1+$B$5)^3,IF(AND($D16&lt;=48,$D16&lt;=36),(48-36)*$B16*(1+$B$5)^3,"")))</f>
        <v>23615.550000000003</v>
      </c>
    </row>
    <row r="17" spans="1:26" x14ac:dyDescent="0.25">
      <c r="A17" s="95" t="s">
        <v>74</v>
      </c>
      <c r="B17" s="720">
        <v>2700</v>
      </c>
      <c r="C17" s="720"/>
      <c r="D17" s="98">
        <v>3</v>
      </c>
      <c r="E17" s="10" t="str">
        <f t="shared" ref="E17:E19" si="10">IF($D17="","",IF($D17&lt;=E$7,$B17,""))</f>
        <v/>
      </c>
      <c r="F17" s="11" t="str">
        <f t="shared" ref="F17:P19" si="11">IF($D17="","",IF($D17&lt;=F$7,$B17,""))</f>
        <v/>
      </c>
      <c r="G17" s="11">
        <f t="shared" si="11"/>
        <v>2700</v>
      </c>
      <c r="H17" s="11">
        <f t="shared" si="11"/>
        <v>2700</v>
      </c>
      <c r="I17" s="11">
        <f t="shared" si="11"/>
        <v>2700</v>
      </c>
      <c r="J17" s="11">
        <f t="shared" si="11"/>
        <v>2700</v>
      </c>
      <c r="K17" s="11">
        <f t="shared" si="11"/>
        <v>2700</v>
      </c>
      <c r="L17" s="11">
        <f t="shared" si="11"/>
        <v>2700</v>
      </c>
      <c r="M17" s="11">
        <f t="shared" si="11"/>
        <v>2700</v>
      </c>
      <c r="N17" s="11">
        <f t="shared" si="11"/>
        <v>2700</v>
      </c>
      <c r="O17" s="11">
        <f t="shared" si="11"/>
        <v>2700</v>
      </c>
      <c r="P17" s="11">
        <f t="shared" si="11"/>
        <v>2700</v>
      </c>
      <c r="Q17" s="591">
        <f t="shared" ref="Q17:Q19" si="12">SUM(E17:P17)</f>
        <v>27000</v>
      </c>
      <c r="R17" s="311">
        <f t="shared" ref="R17:R19" si="13">IF($D17="","",IF(AND($D17&lt;=15,$D17&gt;12),(15-$D17+1)*$B17*(1+$B$5)^1,IF(AND($D17&lt;=15,$D17&lt;=12),3*$B17*(1+$B$5)^1,"")))</f>
        <v>8505</v>
      </c>
      <c r="S17" s="11">
        <f t="shared" ref="S17:U19" si="14">IF($D17="","",IF(AND($D17&lt;=15,$D17&gt;12),(15-$D17+1)*$B17*(1+$B$5)^1,IF(AND($D17&lt;=15,$D17&lt;=12),3*$B17*(1+$B$5)^1,"")))</f>
        <v>8505</v>
      </c>
      <c r="T17" s="11">
        <f t="shared" si="14"/>
        <v>8505</v>
      </c>
      <c r="U17" s="11">
        <f t="shared" si="14"/>
        <v>8505</v>
      </c>
      <c r="V17" s="591">
        <f t="shared" ref="V17:V19" si="15">SUM(R17:U17)</f>
        <v>34020</v>
      </c>
      <c r="W17" s="12">
        <f t="shared" ref="W17:W19" si="16">IF($D17="","",IF(AND($D17&lt;=36,$D17&gt;24),(36-$D17+1)*$B17*(1+$B$5)^2,IF(AND($D17&lt;=36,$D17&lt;=24),(36-24)*$B17*(1+$B$5)^2,"")))</f>
        <v>35721</v>
      </c>
      <c r="X17" s="13">
        <f t="shared" ref="X17:X19" si="17">IF($D17="","",IF(AND($D17&lt;=48,$D17&gt;36),(48-$D17+1)*$B17*(1+$B$5)^3,IF(AND($D17&lt;=48,$D17&lt;=36),(48-36)*$B17*(1+$B$5)^3,"")))</f>
        <v>37507.050000000003</v>
      </c>
    </row>
    <row r="18" spans="1:26" x14ac:dyDescent="0.25">
      <c r="A18" s="99" t="s">
        <v>75</v>
      </c>
      <c r="B18" s="720">
        <v>2700</v>
      </c>
      <c r="C18" s="720"/>
      <c r="D18" s="102">
        <v>4</v>
      </c>
      <c r="E18" s="14" t="str">
        <f t="shared" si="10"/>
        <v/>
      </c>
      <c r="F18" s="15" t="str">
        <f t="shared" si="11"/>
        <v/>
      </c>
      <c r="G18" s="15" t="str">
        <f t="shared" si="11"/>
        <v/>
      </c>
      <c r="H18" s="15">
        <f t="shared" si="11"/>
        <v>2700</v>
      </c>
      <c r="I18" s="15">
        <f t="shared" si="11"/>
        <v>2700</v>
      </c>
      <c r="J18" s="15">
        <f t="shared" si="11"/>
        <v>2700</v>
      </c>
      <c r="K18" s="15">
        <f t="shared" si="11"/>
        <v>2700</v>
      </c>
      <c r="L18" s="15">
        <f t="shared" si="11"/>
        <v>2700</v>
      </c>
      <c r="M18" s="15">
        <f t="shared" si="11"/>
        <v>2700</v>
      </c>
      <c r="N18" s="15">
        <f t="shared" si="11"/>
        <v>2700</v>
      </c>
      <c r="O18" s="15">
        <f t="shared" si="11"/>
        <v>2700</v>
      </c>
      <c r="P18" s="15">
        <f t="shared" si="11"/>
        <v>2700</v>
      </c>
      <c r="Q18" s="273">
        <f t="shared" si="12"/>
        <v>24300</v>
      </c>
      <c r="R18" s="595">
        <f t="shared" si="13"/>
        <v>8505</v>
      </c>
      <c r="S18" s="15">
        <f t="shared" si="14"/>
        <v>8505</v>
      </c>
      <c r="T18" s="15">
        <f t="shared" si="14"/>
        <v>8505</v>
      </c>
      <c r="U18" s="15">
        <f t="shared" si="14"/>
        <v>8505</v>
      </c>
      <c r="V18" s="273">
        <f t="shared" si="15"/>
        <v>34020</v>
      </c>
      <c r="W18" s="16">
        <f t="shared" si="16"/>
        <v>35721</v>
      </c>
      <c r="X18" s="17">
        <f t="shared" si="17"/>
        <v>37507.050000000003</v>
      </c>
    </row>
    <row r="19" spans="1:26" ht="15.75" thickBot="1" x14ac:dyDescent="0.3">
      <c r="A19" s="609" t="s">
        <v>92</v>
      </c>
      <c r="B19" s="722">
        <v>2500</v>
      </c>
      <c r="C19" s="722"/>
      <c r="D19" s="613">
        <v>13</v>
      </c>
      <c r="E19" s="130" t="str">
        <f t="shared" si="10"/>
        <v/>
      </c>
      <c r="F19" s="131" t="str">
        <f t="shared" si="11"/>
        <v/>
      </c>
      <c r="G19" s="131" t="str">
        <f t="shared" si="11"/>
        <v/>
      </c>
      <c r="H19" s="131" t="str">
        <f t="shared" si="11"/>
        <v/>
      </c>
      <c r="I19" s="131" t="str">
        <f t="shared" si="11"/>
        <v/>
      </c>
      <c r="J19" s="131" t="str">
        <f t="shared" si="11"/>
        <v/>
      </c>
      <c r="K19" s="131" t="str">
        <f t="shared" si="11"/>
        <v/>
      </c>
      <c r="L19" s="131" t="str">
        <f t="shared" si="11"/>
        <v/>
      </c>
      <c r="M19" s="131" t="str">
        <f t="shared" si="11"/>
        <v/>
      </c>
      <c r="N19" s="131" t="str">
        <f t="shared" si="11"/>
        <v/>
      </c>
      <c r="O19" s="131" t="str">
        <f t="shared" si="11"/>
        <v/>
      </c>
      <c r="P19" s="131" t="str">
        <f t="shared" si="11"/>
        <v/>
      </c>
      <c r="Q19" s="592">
        <f t="shared" si="12"/>
        <v>0</v>
      </c>
      <c r="R19" s="162">
        <f t="shared" si="13"/>
        <v>7875</v>
      </c>
      <c r="S19" s="131">
        <f t="shared" si="14"/>
        <v>7875</v>
      </c>
      <c r="T19" s="131">
        <f t="shared" si="14"/>
        <v>7875</v>
      </c>
      <c r="U19" s="131">
        <f t="shared" si="14"/>
        <v>7875</v>
      </c>
      <c r="V19" s="592">
        <f t="shared" si="15"/>
        <v>31500</v>
      </c>
      <c r="W19" s="136">
        <f t="shared" si="16"/>
        <v>33075</v>
      </c>
      <c r="X19" s="137">
        <f t="shared" si="17"/>
        <v>34728.750000000007</v>
      </c>
    </row>
    <row r="20" spans="1:26" ht="7.5" customHeight="1" thickTop="1" thickBot="1" x14ac:dyDescent="0.3">
      <c r="A20" s="611"/>
      <c r="B20" s="721"/>
      <c r="C20" s="721"/>
      <c r="D20" s="614"/>
      <c r="E20" s="343"/>
      <c r="F20" s="111"/>
      <c r="G20" s="111"/>
      <c r="H20" s="111"/>
      <c r="I20" s="111"/>
      <c r="J20" s="111"/>
      <c r="K20" s="111"/>
      <c r="L20" s="111"/>
      <c r="M20" s="111"/>
      <c r="N20" s="111"/>
      <c r="O20" s="111"/>
      <c r="P20" s="111"/>
      <c r="Q20" s="329"/>
      <c r="R20" s="331"/>
      <c r="S20" s="328"/>
      <c r="T20" s="328"/>
      <c r="U20" s="328"/>
      <c r="V20" s="329"/>
      <c r="W20" s="330"/>
      <c r="X20" s="332"/>
    </row>
    <row r="21" spans="1:26" ht="18.75" customHeight="1" thickBot="1" x14ac:dyDescent="0.3">
      <c r="A21" s="905" t="s">
        <v>91</v>
      </c>
      <c r="B21" s="902">
        <f>SUM(Q21,V21,W21,X21)/48</f>
        <v>9402.6333333333332</v>
      </c>
      <c r="C21" s="903"/>
      <c r="D21" s="904"/>
      <c r="E21" s="632">
        <f>SUM(E16:E20)</f>
        <v>0</v>
      </c>
      <c r="F21" s="633">
        <f>SUM(F16:F20)</f>
        <v>1700</v>
      </c>
      <c r="G21" s="633">
        <f>SUM(G16:G20)</f>
        <v>4400</v>
      </c>
      <c r="H21" s="633">
        <f>SUM(H16:H20)</f>
        <v>7100</v>
      </c>
      <c r="I21" s="633">
        <f>SUM(I16:I20)</f>
        <v>7100</v>
      </c>
      <c r="J21" s="633">
        <f>SUM(J16:J20)</f>
        <v>7100</v>
      </c>
      <c r="K21" s="633">
        <f>SUM(K16:K20)</f>
        <v>7100</v>
      </c>
      <c r="L21" s="633">
        <f>SUM(L16:L20)</f>
        <v>7100</v>
      </c>
      <c r="M21" s="633">
        <f>SUM(M16:M20)</f>
        <v>7100</v>
      </c>
      <c r="N21" s="633">
        <f>SUM(N16:N20)</f>
        <v>7100</v>
      </c>
      <c r="O21" s="633">
        <f>SUM(O16:O20)</f>
        <v>7100</v>
      </c>
      <c r="P21" s="633">
        <f>SUM(P16:P20)</f>
        <v>7100</v>
      </c>
      <c r="Q21" s="906">
        <f>SUM(Q16:Q20)</f>
        <v>70000</v>
      </c>
      <c r="R21" s="635">
        <f>SUM(R16:R20)</f>
        <v>30240</v>
      </c>
      <c r="S21" s="633">
        <f>SUM(S16:S20)</f>
        <v>30240</v>
      </c>
      <c r="T21" s="633">
        <f>SUM(T16:T20)</f>
        <v>30240</v>
      </c>
      <c r="U21" s="633">
        <f>SUM(U16:U20)</f>
        <v>30240</v>
      </c>
      <c r="V21" s="906">
        <f>SUM(V16:V20)</f>
        <v>120960</v>
      </c>
      <c r="W21" s="907">
        <f>SUM(W16:W20)</f>
        <v>127008</v>
      </c>
      <c r="X21" s="636">
        <f>SUM(X16:X20)</f>
        <v>133358.40000000002</v>
      </c>
    </row>
    <row r="22" spans="1:26" ht="7.5" customHeight="1" thickBot="1" x14ac:dyDescent="0.3">
      <c r="A22" s="717"/>
      <c r="B22" s="718"/>
      <c r="C22" s="718"/>
      <c r="D22" s="718"/>
      <c r="E22" s="718"/>
      <c r="F22" s="718"/>
      <c r="G22" s="718"/>
      <c r="H22" s="718"/>
      <c r="I22" s="718"/>
      <c r="J22" s="718"/>
      <c r="K22" s="718"/>
      <c r="L22" s="718"/>
      <c r="M22" s="718"/>
      <c r="N22" s="718"/>
      <c r="O22" s="718"/>
      <c r="P22" s="718"/>
      <c r="Q22" s="718"/>
      <c r="R22" s="718"/>
      <c r="S22" s="718"/>
      <c r="T22" s="718"/>
      <c r="U22" s="718"/>
      <c r="V22" s="718"/>
      <c r="W22" s="718"/>
      <c r="X22" s="719"/>
    </row>
    <row r="23" spans="1:26" ht="18.75" customHeight="1" thickBot="1" x14ac:dyDescent="0.3">
      <c r="A23" s="596" t="s">
        <v>91</v>
      </c>
      <c r="B23" s="726">
        <f>SUM(Q23,V23,W23,X23)/48</f>
        <v>22333.008333333331</v>
      </c>
      <c r="C23" s="727"/>
      <c r="D23" s="908"/>
      <c r="E23" s="572">
        <f>SUM(E13+E21)</f>
        <v>12000</v>
      </c>
      <c r="F23" s="573">
        <f>SUM(F13+F21)</f>
        <v>13700</v>
      </c>
      <c r="G23" s="573">
        <f>SUM(G13+G21)</f>
        <v>16400</v>
      </c>
      <c r="H23" s="573">
        <f>SUM(H13+H21)</f>
        <v>19100</v>
      </c>
      <c r="I23" s="573">
        <f>SUM(I13+I21)</f>
        <v>19100</v>
      </c>
      <c r="J23" s="573">
        <f>SUM(J13+J21)</f>
        <v>19100</v>
      </c>
      <c r="K23" s="573">
        <f>SUM(K13+K21)</f>
        <v>19100</v>
      </c>
      <c r="L23" s="573">
        <f>SUM(L13+L21)</f>
        <v>19100</v>
      </c>
      <c r="M23" s="573">
        <f>SUM(M13+M21)</f>
        <v>19100</v>
      </c>
      <c r="N23" s="573">
        <f>SUM(N13+N21)</f>
        <v>19100</v>
      </c>
      <c r="O23" s="573">
        <f>SUM(O13+O21)</f>
        <v>19100</v>
      </c>
      <c r="P23" s="573">
        <f>SUM(P13+P21)</f>
        <v>19100</v>
      </c>
      <c r="Q23" s="571">
        <f>SUM(Q13+Q21)</f>
        <v>214000</v>
      </c>
      <c r="R23" s="460">
        <f>SUM(R13+R21)</f>
        <v>68040</v>
      </c>
      <c r="S23" s="573">
        <f>SUM(S13+S21)</f>
        <v>68040</v>
      </c>
      <c r="T23" s="573">
        <f>SUM(T13+T21)</f>
        <v>68040</v>
      </c>
      <c r="U23" s="573">
        <f>SUM(U13+U21)</f>
        <v>68040</v>
      </c>
      <c r="V23" s="571">
        <f>SUM(V13+V21)</f>
        <v>272160</v>
      </c>
      <c r="W23" s="336">
        <f>SUM(W13+W21)</f>
        <v>285768</v>
      </c>
      <c r="X23" s="337">
        <f>SUM(X13+X21)</f>
        <v>300056.40000000002</v>
      </c>
    </row>
    <row r="24" spans="1:26" ht="15.75" thickBot="1" x14ac:dyDescent="0.3">
      <c r="B24" s="597"/>
      <c r="C24" s="598"/>
    </row>
    <row r="25" spans="1:26" ht="15" customHeight="1" x14ac:dyDescent="0.25">
      <c r="A25" s="730" t="s">
        <v>114</v>
      </c>
      <c r="B25" s="728" t="s">
        <v>116</v>
      </c>
      <c r="C25" s="728" t="s">
        <v>45</v>
      </c>
      <c r="D25" s="732" t="s">
        <v>256</v>
      </c>
      <c r="E25" s="711" t="s">
        <v>20</v>
      </c>
      <c r="F25" s="691"/>
      <c r="G25" s="691"/>
      <c r="H25" s="691"/>
      <c r="I25" s="691"/>
      <c r="J25" s="691"/>
      <c r="K25" s="691"/>
      <c r="L25" s="691"/>
      <c r="M25" s="691"/>
      <c r="N25" s="691"/>
      <c r="O25" s="691"/>
      <c r="P25" s="692"/>
      <c r="Q25" s="712" t="s">
        <v>20</v>
      </c>
      <c r="R25" s="690" t="s">
        <v>25</v>
      </c>
      <c r="S25" s="691"/>
      <c r="T25" s="691"/>
      <c r="U25" s="692"/>
      <c r="V25" s="693" t="s">
        <v>25</v>
      </c>
      <c r="W25" s="695" t="s">
        <v>26</v>
      </c>
      <c r="X25" s="697" t="s">
        <v>27</v>
      </c>
      <c r="Z25" s="738" t="s">
        <v>50</v>
      </c>
    </row>
    <row r="26" spans="1:26" ht="15.75" thickBot="1" x14ac:dyDescent="0.3">
      <c r="A26" s="731"/>
      <c r="B26" s="729"/>
      <c r="C26" s="729"/>
      <c r="D26" s="733"/>
      <c r="E26" s="1">
        <v>1</v>
      </c>
      <c r="F26" s="2">
        <v>2</v>
      </c>
      <c r="G26" s="2">
        <v>3</v>
      </c>
      <c r="H26" s="2">
        <v>4</v>
      </c>
      <c r="I26" s="2">
        <v>5</v>
      </c>
      <c r="J26" s="2">
        <v>6</v>
      </c>
      <c r="K26" s="2">
        <v>7</v>
      </c>
      <c r="L26" s="2">
        <v>8</v>
      </c>
      <c r="M26" s="2">
        <v>9</v>
      </c>
      <c r="N26" s="2">
        <v>10</v>
      </c>
      <c r="O26" s="2">
        <v>11</v>
      </c>
      <c r="P26" s="3">
        <v>12</v>
      </c>
      <c r="Q26" s="713"/>
      <c r="R26" s="4" t="s">
        <v>21</v>
      </c>
      <c r="S26" s="2" t="s">
        <v>22</v>
      </c>
      <c r="T26" s="2" t="s">
        <v>23</v>
      </c>
      <c r="U26" s="2" t="s">
        <v>24</v>
      </c>
      <c r="V26" s="694"/>
      <c r="W26" s="696"/>
      <c r="X26" s="698"/>
      <c r="Z26" s="739"/>
    </row>
    <row r="27" spans="1:26" ht="18.75" customHeight="1" thickTop="1" x14ac:dyDescent="0.25">
      <c r="A27" s="119" t="s">
        <v>55</v>
      </c>
      <c r="B27" s="74">
        <f>Z27</f>
        <v>29926.231166666668</v>
      </c>
      <c r="C27" s="114" t="s">
        <v>46</v>
      </c>
      <c r="D27" s="115" t="s">
        <v>49</v>
      </c>
      <c r="E27" s="6">
        <f>E23*(1+$B$4)</f>
        <v>16080.000000000002</v>
      </c>
      <c r="F27" s="7">
        <f t="shared" ref="F27:X27" si="18">F23*(1+$B$4)</f>
        <v>18358</v>
      </c>
      <c r="G27" s="7">
        <f t="shared" si="18"/>
        <v>21976</v>
      </c>
      <c r="H27" s="7">
        <f t="shared" si="18"/>
        <v>25594</v>
      </c>
      <c r="I27" s="7">
        <f t="shared" si="18"/>
        <v>25594</v>
      </c>
      <c r="J27" s="7">
        <f t="shared" si="18"/>
        <v>25594</v>
      </c>
      <c r="K27" s="7">
        <f t="shared" si="18"/>
        <v>25594</v>
      </c>
      <c r="L27" s="7">
        <f t="shared" si="18"/>
        <v>25594</v>
      </c>
      <c r="M27" s="7">
        <f t="shared" si="18"/>
        <v>25594</v>
      </c>
      <c r="N27" s="7">
        <f t="shared" si="18"/>
        <v>25594</v>
      </c>
      <c r="O27" s="7">
        <f t="shared" si="18"/>
        <v>25594</v>
      </c>
      <c r="P27" s="7">
        <f t="shared" si="18"/>
        <v>25594</v>
      </c>
      <c r="Q27" s="272">
        <f>SUM(E27:P27)</f>
        <v>286760</v>
      </c>
      <c r="R27" s="310">
        <f t="shared" si="18"/>
        <v>91173.6</v>
      </c>
      <c r="S27" s="310">
        <f t="shared" si="18"/>
        <v>91173.6</v>
      </c>
      <c r="T27" s="310">
        <f t="shared" si="18"/>
        <v>91173.6</v>
      </c>
      <c r="U27" s="310">
        <f t="shared" si="18"/>
        <v>91173.6</v>
      </c>
      <c r="V27" s="272">
        <f>SUM(R27:U27)</f>
        <v>364694.4</v>
      </c>
      <c r="W27" s="8">
        <f t="shared" si="18"/>
        <v>382929.12</v>
      </c>
      <c r="X27" s="9">
        <f t="shared" si="18"/>
        <v>402075.57600000006</v>
      </c>
      <c r="Z27" s="599">
        <f>((Q27+V27+W27+X27)/4)/12</f>
        <v>29926.231166666668</v>
      </c>
    </row>
    <row r="28" spans="1:26" ht="18.75" customHeight="1" x14ac:dyDescent="0.25">
      <c r="A28" s="120" t="s">
        <v>56</v>
      </c>
      <c r="B28" s="78">
        <f>Z28</f>
        <v>4987.7051944444438</v>
      </c>
      <c r="C28" s="116" t="s">
        <v>47</v>
      </c>
      <c r="D28" s="98">
        <v>5</v>
      </c>
      <c r="E28" s="10">
        <f>($Q$27/12)*IF($D28=IF(MOD(E$26,6)=0,6,MOD(E$26,6)),1,0)</f>
        <v>0</v>
      </c>
      <c r="F28" s="11">
        <f t="shared" ref="F28:P28" si="19">($Q$27/12)*IF($D28=IF(MOD(F$26,6)=0,6,MOD(F$26,6)),1,0)</f>
        <v>0</v>
      </c>
      <c r="G28" s="11">
        <f t="shared" si="19"/>
        <v>0</v>
      </c>
      <c r="H28" s="11">
        <f t="shared" si="19"/>
        <v>0</v>
      </c>
      <c r="I28" s="11">
        <f t="shared" si="19"/>
        <v>23896.666666666668</v>
      </c>
      <c r="J28" s="11">
        <f t="shared" si="19"/>
        <v>0</v>
      </c>
      <c r="K28" s="11">
        <f t="shared" si="19"/>
        <v>0</v>
      </c>
      <c r="L28" s="11">
        <f t="shared" si="19"/>
        <v>0</v>
      </c>
      <c r="M28" s="11">
        <f t="shared" si="19"/>
        <v>0</v>
      </c>
      <c r="N28" s="11">
        <f t="shared" si="19"/>
        <v>0</v>
      </c>
      <c r="O28" s="11">
        <f t="shared" si="19"/>
        <v>23896.666666666668</v>
      </c>
      <c r="P28" s="11">
        <f t="shared" si="19"/>
        <v>0</v>
      </c>
      <c r="Q28" s="591">
        <f t="shared" ref="Q28" si="20">SUM(E28:P28)</f>
        <v>47793.333333333336</v>
      </c>
      <c r="R28" s="311" t="str">
        <f>IF(AND($D28&gt;=1,$D28&lt;=3),$V$27/12,"")</f>
        <v/>
      </c>
      <c r="S28" s="11">
        <f>IF(AND($D28&gt;=4,$D28&lt;=6),$V$27/12,"")</f>
        <v>30391.200000000001</v>
      </c>
      <c r="T28" s="11" t="str">
        <f>IF(AND($D28&gt;=1,$D28&lt;=3),$V$27/12,"")</f>
        <v/>
      </c>
      <c r="U28" s="11">
        <f>IF(AND($D28&gt;=4,$D28&lt;=6),$V$27/12,"")</f>
        <v>30391.200000000001</v>
      </c>
      <c r="V28" s="591">
        <f t="shared" ref="V28:V29" si="21">SUM(R28:U28)</f>
        <v>60782.400000000001</v>
      </c>
      <c r="W28" s="12">
        <f>W27/12*2</f>
        <v>63821.52</v>
      </c>
      <c r="X28" s="13">
        <f>X27/12*2</f>
        <v>67012.596000000005</v>
      </c>
      <c r="Z28" s="600">
        <f>((Q28+V28+W28+X28)/4)/12</f>
        <v>4987.7051944444438</v>
      </c>
    </row>
    <row r="29" spans="1:26" ht="18.75" customHeight="1" thickBot="1" x14ac:dyDescent="0.3">
      <c r="A29" s="123" t="s">
        <v>94</v>
      </c>
      <c r="B29" s="112">
        <f>Z29</f>
        <v>228.75</v>
      </c>
      <c r="C29" s="124" t="s">
        <v>46</v>
      </c>
      <c r="D29" s="125" t="s">
        <v>49</v>
      </c>
      <c r="E29" s="14">
        <f>COUNT(E$8:E$12,E$16:E$20)*$B$3</f>
        <v>120</v>
      </c>
      <c r="F29" s="15">
        <f>COUNT(F$8:F$12,F$16:F$20)*$B$3</f>
        <v>150</v>
      </c>
      <c r="G29" s="15">
        <f>COUNT(G$8:G$12,G$16:G$20)*$B$3</f>
        <v>180</v>
      </c>
      <c r="H29" s="15">
        <f>COUNT(H$8:H$12,H$16:H$20)*$B$3</f>
        <v>210</v>
      </c>
      <c r="I29" s="15">
        <f>COUNT(I$8:I$12,I$16:I$20)*$B$3</f>
        <v>210</v>
      </c>
      <c r="J29" s="15">
        <f>COUNT(J$8:J$12,J$16:J$20)*$B$3</f>
        <v>210</v>
      </c>
      <c r="K29" s="15">
        <f>COUNT(K$8:K$12,K$16:K$20)*$B$3</f>
        <v>210</v>
      </c>
      <c r="L29" s="15">
        <f>COUNT(L$8:L$12,L$16:L$20)*$B$3</f>
        <v>210</v>
      </c>
      <c r="M29" s="15">
        <f>COUNT(M$8:M$12,M$16:M$20)*$B$3</f>
        <v>210</v>
      </c>
      <c r="N29" s="15">
        <f>COUNT(N$8:N$12,N$16:N$20)*$B$3</f>
        <v>210</v>
      </c>
      <c r="O29" s="15">
        <f>COUNT(O$8:O$12,O$16:O$20)*$B$3</f>
        <v>210</v>
      </c>
      <c r="P29" s="15">
        <f>COUNT(P$8:P$12,P$16:P$20)*$B$3</f>
        <v>210</v>
      </c>
      <c r="Q29" s="273">
        <f t="shared" ref="Q29" si="22">SUM(E29:P29)</f>
        <v>2340</v>
      </c>
      <c r="R29" s="595">
        <f>(COUNT(R$8:R$12,R$16:R$20)*3)*$B$3</f>
        <v>720</v>
      </c>
      <c r="S29" s="15">
        <f>(COUNT(S$8:S$12,S$16:S$20)*3)*$B$3</f>
        <v>720</v>
      </c>
      <c r="T29" s="15">
        <f>(COUNT(T$8:T$12,T$16:T$20)*3)*$B$3</f>
        <v>720</v>
      </c>
      <c r="U29" s="15">
        <f>(COUNT(U$8:U$12,U$16:U$20)*3)*$B$3</f>
        <v>720</v>
      </c>
      <c r="V29" s="273">
        <f t="shared" si="21"/>
        <v>2880</v>
      </c>
      <c r="W29" s="16">
        <f>(COUNT(W$8:W$12,W$16:W$20)*12)*$B$3</f>
        <v>2880</v>
      </c>
      <c r="X29" s="17">
        <f>(COUNT(X$8:X$12,X$16:X$20)*12)*$B$3</f>
        <v>2880</v>
      </c>
      <c r="Z29" s="600">
        <f>((Q29+V29+W29+X29)/4)/12</f>
        <v>228.75</v>
      </c>
    </row>
    <row r="30" spans="1:26" ht="7.5" customHeight="1" thickTop="1" thickBot="1" x14ac:dyDescent="0.3">
      <c r="A30" s="121"/>
      <c r="B30" s="122"/>
      <c r="C30" s="117"/>
      <c r="D30" s="118"/>
      <c r="E30" s="27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30"/>
      <c r="R30" s="31"/>
      <c r="S30" s="28"/>
      <c r="T30" s="28"/>
      <c r="U30" s="28"/>
      <c r="V30" s="30"/>
      <c r="W30" s="33"/>
      <c r="X30" s="34"/>
      <c r="Z30" s="601"/>
    </row>
    <row r="31" spans="1:26" s="899" customFormat="1" ht="18.75" customHeight="1" thickBot="1" x14ac:dyDescent="0.3">
      <c r="A31" s="602" t="s">
        <v>57</v>
      </c>
      <c r="B31" s="603">
        <f>Z31</f>
        <v>35142.686361111111</v>
      </c>
      <c r="D31" s="900"/>
      <c r="E31" s="901">
        <f>SUM(E27:E30)</f>
        <v>16200.000000000002</v>
      </c>
      <c r="F31" s="575">
        <f t="shared" ref="F31:X31" si="23">SUM(F27:F30)</f>
        <v>18508</v>
      </c>
      <c r="G31" s="575">
        <f t="shared" si="23"/>
        <v>22156</v>
      </c>
      <c r="H31" s="575">
        <f t="shared" si="23"/>
        <v>25804</v>
      </c>
      <c r="I31" s="575">
        <f t="shared" si="23"/>
        <v>49700.666666666672</v>
      </c>
      <c r="J31" s="575">
        <f t="shared" si="23"/>
        <v>25804</v>
      </c>
      <c r="K31" s="575">
        <f t="shared" si="23"/>
        <v>25804</v>
      </c>
      <c r="L31" s="575">
        <f t="shared" si="23"/>
        <v>25804</v>
      </c>
      <c r="M31" s="575">
        <f t="shared" si="23"/>
        <v>25804</v>
      </c>
      <c r="N31" s="575">
        <f t="shared" si="23"/>
        <v>25804</v>
      </c>
      <c r="O31" s="575">
        <f t="shared" si="23"/>
        <v>49700.666666666672</v>
      </c>
      <c r="P31" s="575">
        <f t="shared" si="23"/>
        <v>25804</v>
      </c>
      <c r="Q31" s="37">
        <f t="shared" si="23"/>
        <v>336893.33333333331</v>
      </c>
      <c r="R31" s="574">
        <f t="shared" si="23"/>
        <v>91893.6</v>
      </c>
      <c r="S31" s="575">
        <f t="shared" si="23"/>
        <v>122284.8</v>
      </c>
      <c r="T31" s="575">
        <f t="shared" si="23"/>
        <v>91893.6</v>
      </c>
      <c r="U31" s="575">
        <f t="shared" si="23"/>
        <v>122284.8</v>
      </c>
      <c r="V31" s="37">
        <f t="shared" si="23"/>
        <v>428356.80000000005</v>
      </c>
      <c r="W31" s="39">
        <f t="shared" si="23"/>
        <v>449630.64</v>
      </c>
      <c r="X31" s="40">
        <f t="shared" si="23"/>
        <v>471968.17200000008</v>
      </c>
      <c r="Z31" s="604">
        <f>SUM(Z27:Z30)</f>
        <v>35142.686361111111</v>
      </c>
    </row>
    <row r="32" spans="1:26" ht="15.75" thickBot="1" x14ac:dyDescent="0.3">
      <c r="B32" s="597"/>
      <c r="C32" s="598"/>
    </row>
    <row r="33" spans="1:26" ht="15" customHeight="1" x14ac:dyDescent="0.25">
      <c r="A33" s="730" t="s">
        <v>44</v>
      </c>
      <c r="B33" s="728" t="s">
        <v>19</v>
      </c>
      <c r="C33" s="728" t="s">
        <v>45</v>
      </c>
      <c r="D33" s="732" t="s">
        <v>256</v>
      </c>
      <c r="E33" s="711" t="s">
        <v>20</v>
      </c>
      <c r="F33" s="691"/>
      <c r="G33" s="691"/>
      <c r="H33" s="691"/>
      <c r="I33" s="691"/>
      <c r="J33" s="691"/>
      <c r="K33" s="691"/>
      <c r="L33" s="691"/>
      <c r="M33" s="691"/>
      <c r="N33" s="691"/>
      <c r="O33" s="691"/>
      <c r="P33" s="692"/>
      <c r="Q33" s="712" t="s">
        <v>20</v>
      </c>
      <c r="R33" s="690" t="s">
        <v>25</v>
      </c>
      <c r="S33" s="691"/>
      <c r="T33" s="691"/>
      <c r="U33" s="692"/>
      <c r="V33" s="693" t="s">
        <v>25</v>
      </c>
      <c r="W33" s="695" t="s">
        <v>26</v>
      </c>
      <c r="X33" s="697" t="s">
        <v>27</v>
      </c>
      <c r="Z33" s="738" t="s">
        <v>50</v>
      </c>
    </row>
    <row r="34" spans="1:26" ht="15.75" thickBot="1" x14ac:dyDescent="0.3">
      <c r="A34" s="731"/>
      <c r="B34" s="729"/>
      <c r="C34" s="729"/>
      <c r="D34" s="733"/>
      <c r="E34" s="1">
        <v>1</v>
      </c>
      <c r="F34" s="2">
        <v>2</v>
      </c>
      <c r="G34" s="2">
        <v>3</v>
      </c>
      <c r="H34" s="2">
        <v>4</v>
      </c>
      <c r="I34" s="2">
        <v>5</v>
      </c>
      <c r="J34" s="2">
        <v>6</v>
      </c>
      <c r="K34" s="2">
        <v>7</v>
      </c>
      <c r="L34" s="2">
        <v>8</v>
      </c>
      <c r="M34" s="2">
        <v>9</v>
      </c>
      <c r="N34" s="2">
        <v>10</v>
      </c>
      <c r="O34" s="2">
        <v>11</v>
      </c>
      <c r="P34" s="3">
        <v>12</v>
      </c>
      <c r="Q34" s="713"/>
      <c r="R34" s="4" t="s">
        <v>21</v>
      </c>
      <c r="S34" s="2" t="s">
        <v>22</v>
      </c>
      <c r="T34" s="2" t="s">
        <v>23</v>
      </c>
      <c r="U34" s="2" t="s">
        <v>24</v>
      </c>
      <c r="V34" s="694"/>
      <c r="W34" s="696"/>
      <c r="X34" s="698"/>
      <c r="Z34" s="739"/>
    </row>
    <row r="35" spans="1:26" ht="18.75" customHeight="1" thickTop="1" x14ac:dyDescent="0.25">
      <c r="A35" s="94"/>
      <c r="B35" s="18"/>
      <c r="C35" s="19"/>
      <c r="D35" s="20"/>
      <c r="E35" s="6">
        <f>IF(AND($C35="j",$D35=E$34),$B35,IF($C35="h",$B35*IF($D35=IF(MOD(E$34,6)=0,6,MOD(E$34,6)),1,0),IF($C35="q",$B35*IF($D35=IF(MOD(E$34,3)=0,3,MOD(E$34,3)),1,0),IF($C35="z",$B35*IF($D35=IF(MOD(E$34,2)=0,2,MOD(E$34,2)),1,0),IF($C35="m",$B35,0)))))</f>
        <v>0</v>
      </c>
      <c r="F35" s="7">
        <f t="shared" ref="F35:P36" si="24">IF(AND($C35="j",$D35=F$34),$B35,IF($C35="h",$B35*IF($D35=IF(MOD(F$34,6)=0,6,MOD(F$34,6)),1,0),IF($C35="q",$B35*IF($D35=IF(MOD(F$34,3)=0,3,MOD(F$34,3)),1,0),IF($C35="z",$B35*IF($D35=IF(MOD(F$34,2)=0,2,MOD(F$34,2)),1,0),IF($C35="m",$B35,0)))))</f>
        <v>0</v>
      </c>
      <c r="G35" s="7">
        <f t="shared" si="24"/>
        <v>0</v>
      </c>
      <c r="H35" s="7">
        <f t="shared" si="24"/>
        <v>0</v>
      </c>
      <c r="I35" s="7">
        <f t="shared" si="24"/>
        <v>0</v>
      </c>
      <c r="J35" s="7">
        <f t="shared" si="24"/>
        <v>0</v>
      </c>
      <c r="K35" s="7">
        <f t="shared" si="24"/>
        <v>0</v>
      </c>
      <c r="L35" s="7">
        <f t="shared" si="24"/>
        <v>0</v>
      </c>
      <c r="M35" s="7">
        <f t="shared" si="24"/>
        <v>0</v>
      </c>
      <c r="N35" s="7">
        <f t="shared" si="24"/>
        <v>0</v>
      </c>
      <c r="O35" s="7">
        <f t="shared" si="24"/>
        <v>0</v>
      </c>
      <c r="P35" s="7">
        <f t="shared" si="24"/>
        <v>0</v>
      </c>
      <c r="Q35" s="272">
        <f>SUM(E35:P35)</f>
        <v>0</v>
      </c>
      <c r="R35" s="310">
        <f>IF(AND($C35="j",$D35&gt;=1,$D35&lt;=3),$B35,IF(AND($C35="h",$D35&gt;=1,$D35&lt;=3),$B35,IF(AND($C35="q",$D35&gt;=1,$D35&lt;=3),$B35,IF($C35="z",IF($D35=1,2*$B35,$B35),IF($C35="m",3*$B35,0)))))</f>
        <v>0</v>
      </c>
      <c r="S35" s="7">
        <f>IF(AND($C35="j",$D35&gt;=4,$D35&lt;=6),$B35,IF(AND($C35="h",$D35&gt;=4,$D35&lt;=6),$B35,IF(AND($C35="q",$D35&gt;=1,$D35&lt;=3),$B35,IF($C35="z",IF($D35=2,2*$B35,$B35),IF($C35="m",3*$B35,0)))))</f>
        <v>0</v>
      </c>
      <c r="T35" s="7">
        <f>IF(AND($C35="j",$D35&gt;=7,$D35&lt;=9),$B35,IF(AND($C35="h",$D35&gt;=1,$D35&lt;=3),$B35,IF(AND($C35="q",$D35&gt;=1,$D35&lt;=3),$B35,IF($C35="z",IF($D35=1,2*$B35,$B35),IF($C35="m",3*$B35,0)))))</f>
        <v>0</v>
      </c>
      <c r="U35" s="7">
        <f>IF(AND($C35="j",$D35&gt;=10,$D35&lt;=12),$B35,IF(AND($C35="h",$D35&gt;=4,$D35&lt;=6),$B35,IF(AND($C35="q",$D35&gt;=1,$D35&lt;=3),$B35,IF($C35="z",IF($D35=2,2*$B35,$B35),IF($C35="m",3*$B35,0)))))</f>
        <v>0</v>
      </c>
      <c r="V35" s="272">
        <f>SUM(R35:U35)</f>
        <v>0</v>
      </c>
      <c r="W35" s="8">
        <f>IF($C35="j",$B35,IF($C35="h",2*$B35,IF($C35="q",4*$B35,IF($C35="z",6*$B35,12*$B35))))</f>
        <v>0</v>
      </c>
      <c r="X35" s="9">
        <f>IF($C35="j",$B35,IF($C35="h",2*$B35,IF($C35="q",4*$B35,IF($C35="z",6*$B35,12*$B35))))</f>
        <v>0</v>
      </c>
      <c r="Z35" s="599">
        <f>Q35/12</f>
        <v>0</v>
      </c>
    </row>
    <row r="36" spans="1:26" ht="18.75" customHeight="1" thickBot="1" x14ac:dyDescent="0.3">
      <c r="A36" s="99"/>
      <c r="B36" s="100"/>
      <c r="C36" s="101"/>
      <c r="D36" s="102"/>
      <c r="E36" s="14">
        <f t="shared" ref="E36" si="25">IF(AND($C36="j",$D36=E$34),$B36,IF($C36="h",$B36*IF($D36=IF(MOD(E$34,6)=0,6,MOD(E$34,6)),1,0),IF($C36="q",$B36*IF($D36=IF(MOD(E$34,3)=0,3,MOD(E$34,3)),1,0),IF($C36="z",$B36*IF($D36=IF(MOD(E$34,2)=0,2,MOD(E$34,2)),1,0),IF($C36="m",$B36,0)))))</f>
        <v>0</v>
      </c>
      <c r="F36" s="15">
        <f t="shared" si="24"/>
        <v>0</v>
      </c>
      <c r="G36" s="15">
        <f t="shared" si="24"/>
        <v>0</v>
      </c>
      <c r="H36" s="15">
        <f t="shared" si="24"/>
        <v>0</v>
      </c>
      <c r="I36" s="15">
        <f t="shared" si="24"/>
        <v>0</v>
      </c>
      <c r="J36" s="15">
        <f t="shared" si="24"/>
        <v>0</v>
      </c>
      <c r="K36" s="15">
        <f t="shared" si="24"/>
        <v>0</v>
      </c>
      <c r="L36" s="15">
        <f t="shared" si="24"/>
        <v>0</v>
      </c>
      <c r="M36" s="15">
        <f t="shared" si="24"/>
        <v>0</v>
      </c>
      <c r="N36" s="15">
        <f t="shared" si="24"/>
        <v>0</v>
      </c>
      <c r="O36" s="15">
        <f t="shared" si="24"/>
        <v>0</v>
      </c>
      <c r="P36" s="15">
        <f t="shared" si="24"/>
        <v>0</v>
      </c>
      <c r="Q36" s="273">
        <f t="shared" ref="Q36" si="26">SUM(E36:P36)</f>
        <v>0</v>
      </c>
      <c r="R36" s="595">
        <f t="shared" ref="R36" si="27">IF(AND($C36="j",$D36&gt;=1,$D36&lt;=3),$B36,IF(AND($C36="h",$D36&gt;=1,$D36&lt;=3),$B36,IF(AND($C36="q",$D36&gt;=1,$D36&lt;=3),$B36,IF($C36="z",IF($D36=1,2*$B36,$B36),IF($C36="m",3*$B36,0)))))</f>
        <v>0</v>
      </c>
      <c r="S36" s="15">
        <f t="shared" ref="S36" si="28">IF(AND($C36="j",$D36&gt;=4,$D36&lt;=6),$B36,IF(AND($C36="h",$D36&gt;=4,$D36&lt;=6),$B36,IF(AND($C36="q",$D36&gt;=1,$D36&lt;=3),$B36,IF($C36="z",IF($D36=2,2*$B36,$B36),IF($C36="m",3*$B36,0)))))</f>
        <v>0</v>
      </c>
      <c r="T36" s="15">
        <f t="shared" ref="T36" si="29">IF(AND($C36="j",$D36&gt;=7,$D36&lt;=9),$B36,IF(AND($C36="h",$D36&gt;=1,$D36&lt;=3),$B36,IF(AND($C36="q",$D36&gt;=1,$D36&lt;=3),$B36,IF($C36="z",IF($D36=1,2*$B36,$B36),IF($C36="m",3*$B36,0)))))</f>
        <v>0</v>
      </c>
      <c r="U36" s="15">
        <f t="shared" ref="U36" si="30">IF(AND($C36="j",$D36&gt;=10,$D36&lt;=12),$B36,IF(AND($C36="h",$D36&gt;=4,$D36&lt;=6),$B36,IF(AND($C36="q",$D36&gt;=1,$D36&lt;=3),$B36,IF($C36="z",IF($D36=2,2*$B36,$B36),IF($C36="m",3*$B36,0)))))</f>
        <v>0</v>
      </c>
      <c r="V36" s="273">
        <f t="shared" ref="V36" si="31">SUM(R36:U36)</f>
        <v>0</v>
      </c>
      <c r="W36" s="16">
        <f t="shared" ref="W36:X36" si="32">IF($C36="j",$B36,IF($C36="h",2*$B36,IF($C36="q",4*$B36,IF($C36="z",6*$B36,12*$B36))))</f>
        <v>0</v>
      </c>
      <c r="X36" s="17">
        <f t="shared" si="32"/>
        <v>0</v>
      </c>
      <c r="Z36" s="605">
        <f t="shared" ref="Z36" si="33">Q36/12</f>
        <v>0</v>
      </c>
    </row>
    <row r="37" spans="1:26" ht="7.5" customHeight="1" thickTop="1" thickBot="1" x14ac:dyDescent="0.3">
      <c r="A37" s="103"/>
      <c r="B37" s="104"/>
      <c r="C37" s="105"/>
      <c r="D37" s="106"/>
      <c r="E37" s="27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30"/>
      <c r="R37" s="31"/>
      <c r="S37" s="28"/>
      <c r="T37" s="28"/>
      <c r="U37" s="28"/>
      <c r="V37" s="30"/>
      <c r="W37" s="33"/>
      <c r="X37" s="34"/>
      <c r="Z37" s="601"/>
    </row>
    <row r="38" spans="1:26" s="899" customFormat="1" ht="18.75" customHeight="1" thickBot="1" x14ac:dyDescent="0.3">
      <c r="A38" s="602" t="s">
        <v>51</v>
      </c>
      <c r="B38" s="603">
        <f>Z38</f>
        <v>0</v>
      </c>
      <c r="E38" s="901">
        <f>SUM(E35:E37)</f>
        <v>0</v>
      </c>
      <c r="F38" s="575">
        <f t="shared" ref="F38:X38" si="34">SUM(F35:F37)</f>
        <v>0</v>
      </c>
      <c r="G38" s="575">
        <f t="shared" si="34"/>
        <v>0</v>
      </c>
      <c r="H38" s="575">
        <f t="shared" si="34"/>
        <v>0</v>
      </c>
      <c r="I38" s="575">
        <f t="shared" si="34"/>
        <v>0</v>
      </c>
      <c r="J38" s="575">
        <f t="shared" si="34"/>
        <v>0</v>
      </c>
      <c r="K38" s="575">
        <f t="shared" si="34"/>
        <v>0</v>
      </c>
      <c r="L38" s="575">
        <f t="shared" si="34"/>
        <v>0</v>
      </c>
      <c r="M38" s="575">
        <f t="shared" si="34"/>
        <v>0</v>
      </c>
      <c r="N38" s="575">
        <f t="shared" si="34"/>
        <v>0</v>
      </c>
      <c r="O38" s="575">
        <f t="shared" si="34"/>
        <v>0</v>
      </c>
      <c r="P38" s="575">
        <f t="shared" si="34"/>
        <v>0</v>
      </c>
      <c r="Q38" s="37">
        <f t="shared" si="34"/>
        <v>0</v>
      </c>
      <c r="R38" s="574">
        <f t="shared" si="34"/>
        <v>0</v>
      </c>
      <c r="S38" s="575">
        <f t="shared" si="34"/>
        <v>0</v>
      </c>
      <c r="T38" s="575">
        <f t="shared" si="34"/>
        <v>0</v>
      </c>
      <c r="U38" s="575">
        <f t="shared" si="34"/>
        <v>0</v>
      </c>
      <c r="V38" s="37">
        <f t="shared" si="34"/>
        <v>0</v>
      </c>
      <c r="W38" s="39">
        <f t="shared" si="34"/>
        <v>0</v>
      </c>
      <c r="X38" s="40">
        <f t="shared" si="34"/>
        <v>0</v>
      </c>
      <c r="Z38" s="604">
        <f>SUM(Z35:Z36)</f>
        <v>0</v>
      </c>
    </row>
    <row r="39" spans="1:26" ht="15.75" thickBot="1" x14ac:dyDescent="0.3"/>
    <row r="40" spans="1:26" ht="15" customHeight="1" x14ac:dyDescent="0.25">
      <c r="A40" s="730" t="s">
        <v>58</v>
      </c>
      <c r="B40" s="728" t="s">
        <v>19</v>
      </c>
      <c r="C40" s="728" t="s">
        <v>45</v>
      </c>
      <c r="D40" s="732" t="s">
        <v>256</v>
      </c>
      <c r="E40" s="711" t="s">
        <v>20</v>
      </c>
      <c r="F40" s="691"/>
      <c r="G40" s="691"/>
      <c r="H40" s="691"/>
      <c r="I40" s="691"/>
      <c r="J40" s="691"/>
      <c r="K40" s="691"/>
      <c r="L40" s="691"/>
      <c r="M40" s="691"/>
      <c r="N40" s="691"/>
      <c r="O40" s="691"/>
      <c r="P40" s="692"/>
      <c r="Q40" s="712" t="s">
        <v>20</v>
      </c>
      <c r="R40" s="690" t="s">
        <v>25</v>
      </c>
      <c r="S40" s="691"/>
      <c r="T40" s="691"/>
      <c r="U40" s="692"/>
      <c r="V40" s="693" t="s">
        <v>25</v>
      </c>
      <c r="W40" s="695" t="s">
        <v>26</v>
      </c>
      <c r="X40" s="697" t="s">
        <v>27</v>
      </c>
      <c r="Z40" s="738" t="s">
        <v>50</v>
      </c>
    </row>
    <row r="41" spans="1:26" ht="15.75" thickBot="1" x14ac:dyDescent="0.3">
      <c r="A41" s="731"/>
      <c r="B41" s="729"/>
      <c r="C41" s="729"/>
      <c r="D41" s="733"/>
      <c r="E41" s="1">
        <v>1</v>
      </c>
      <c r="F41" s="2">
        <v>2</v>
      </c>
      <c r="G41" s="2">
        <v>3</v>
      </c>
      <c r="H41" s="2">
        <v>4</v>
      </c>
      <c r="I41" s="2">
        <v>5</v>
      </c>
      <c r="J41" s="2">
        <v>6</v>
      </c>
      <c r="K41" s="2">
        <v>7</v>
      </c>
      <c r="L41" s="2">
        <v>8</v>
      </c>
      <c r="M41" s="2">
        <v>9</v>
      </c>
      <c r="N41" s="2">
        <v>10</v>
      </c>
      <c r="O41" s="2">
        <v>11</v>
      </c>
      <c r="P41" s="3">
        <v>12</v>
      </c>
      <c r="Q41" s="713"/>
      <c r="R41" s="4" t="s">
        <v>21</v>
      </c>
      <c r="S41" s="2" t="s">
        <v>22</v>
      </c>
      <c r="T41" s="2" t="s">
        <v>23</v>
      </c>
      <c r="U41" s="2" t="s">
        <v>24</v>
      </c>
      <c r="V41" s="694"/>
      <c r="W41" s="696"/>
      <c r="X41" s="698"/>
      <c r="Z41" s="739"/>
    </row>
    <row r="42" spans="1:26" ht="18.75" customHeight="1" thickTop="1" x14ac:dyDescent="0.25">
      <c r="A42" s="94"/>
      <c r="B42" s="18"/>
      <c r="C42" s="19"/>
      <c r="D42" s="20"/>
      <c r="E42" s="6">
        <f>IF(AND($C42="j",$D42=E$34),$B42,IF($C42="h",$B42*IF($D42=IF(MOD(E$34,6)=0,6,MOD(E$34,6)),1,0),IF($C42="q",$B42*IF($D42=IF(MOD(E$34,3)=0,3,MOD(E$34,3)),1,0),IF($C42="z",$B42*IF($D42=IF(MOD(E$34,2)=0,2,MOD(E$34,2)),1,0),IF($C42="m",$B42,0)))))</f>
        <v>0</v>
      </c>
      <c r="F42" s="7">
        <f t="shared" ref="F42:P43" si="35">IF(AND($C42="j",$D42=F$34),$B42,IF($C42="h",$B42*IF($D42=IF(MOD(F$34,6)=0,6,MOD(F$34,6)),1,0),IF($C42="q",$B42*IF($D42=IF(MOD(F$34,3)=0,3,MOD(F$34,3)),1,0),IF($C42="z",$B42*IF($D42=IF(MOD(F$34,2)=0,2,MOD(F$34,2)),1,0),IF($C42="m",$B42,0)))))</f>
        <v>0</v>
      </c>
      <c r="G42" s="7">
        <f t="shared" si="35"/>
        <v>0</v>
      </c>
      <c r="H42" s="7">
        <f t="shared" si="35"/>
        <v>0</v>
      </c>
      <c r="I42" s="7">
        <f t="shared" si="35"/>
        <v>0</v>
      </c>
      <c r="J42" s="7">
        <f t="shared" si="35"/>
        <v>0</v>
      </c>
      <c r="K42" s="7">
        <f t="shared" si="35"/>
        <v>0</v>
      </c>
      <c r="L42" s="7">
        <f t="shared" si="35"/>
        <v>0</v>
      </c>
      <c r="M42" s="7">
        <f t="shared" si="35"/>
        <v>0</v>
      </c>
      <c r="N42" s="7">
        <f t="shared" si="35"/>
        <v>0</v>
      </c>
      <c r="O42" s="7">
        <f t="shared" si="35"/>
        <v>0</v>
      </c>
      <c r="P42" s="7">
        <f t="shared" si="35"/>
        <v>0</v>
      </c>
      <c r="Q42" s="272">
        <f>SUM(E42:P42)</f>
        <v>0</v>
      </c>
      <c r="R42" s="310">
        <f>IF(AND($C42="j",$D42&gt;=1,$D42&lt;=3),$B42,IF(AND($C42="h",$D42&gt;=1,$D42&lt;=3),$B42,IF(AND($C42="q",$D42&gt;=1,$D42&lt;=3),$B42,IF($C42="z",IF($D42=1,2*$B42,$B42),IF($C42="m",3*$B42,0)))))</f>
        <v>0</v>
      </c>
      <c r="S42" s="7">
        <f>IF(AND($C42="j",$D42&gt;=4,$D42&lt;=6),$B42,IF(AND($C42="h",$D42&gt;=4,$D42&lt;=6),$B42,IF(AND($C42="q",$D42&gt;=1,$D42&lt;=3),$B42,IF($C42="z",IF($D42=2,2*$B42,$B42),IF($C42="m",3*$B42,0)))))</f>
        <v>0</v>
      </c>
      <c r="T42" s="7">
        <f>IF(AND($C42="j",$D42&gt;=7,$D42&lt;=9),$B42,IF(AND($C42="h",$D42&gt;=1,$D42&lt;=3),$B42,IF(AND($C42="q",$D42&gt;=1,$D42&lt;=3),$B42,IF($C42="z",IF($D42=1,2*$B42,$B42),IF($C42="m",3*$B42,0)))))</f>
        <v>0</v>
      </c>
      <c r="U42" s="7">
        <f>IF(AND($C42="j",$D42&gt;=10,$D42&lt;=12),$B42,IF(AND($C42="h",$D42&gt;=4,$D42&lt;=6),$B42,IF(AND($C42="q",$D42&gt;=1,$D42&lt;=3),$B42,IF($C42="z",IF($D42=2,2*$B42,$B42),IF($C42="m",3*$B42,0)))))</f>
        <v>0</v>
      </c>
      <c r="V42" s="272">
        <f>SUM(R42:U42)</f>
        <v>0</v>
      </c>
      <c r="W42" s="8">
        <f>IF($C42="j",$B42,IF($C42="h",2*$B42,IF($C42="q",4*$B42,IF($C42="z",6*$B42,12*$B42))))</f>
        <v>0</v>
      </c>
      <c r="X42" s="9">
        <f>IF($C42="j",$B42,IF($C42="h",2*$B42,IF($C42="q",4*$B42,IF($C42="z",6*$B42,12*$B42))))</f>
        <v>0</v>
      </c>
      <c r="Z42" s="599">
        <f>Q42/12</f>
        <v>0</v>
      </c>
    </row>
    <row r="43" spans="1:26" ht="18.75" customHeight="1" thickBot="1" x14ac:dyDescent="0.3">
      <c r="A43" s="99"/>
      <c r="B43" s="100"/>
      <c r="C43" s="101"/>
      <c r="D43" s="102"/>
      <c r="E43" s="14">
        <f t="shared" ref="E43" si="36">IF(AND($C43="j",$D43=E$34),$B43,IF($C43="h",$B43*IF($D43=IF(MOD(E$34,6)=0,6,MOD(E$34,6)),1,0),IF($C43="q",$B43*IF($D43=IF(MOD(E$34,3)=0,3,MOD(E$34,3)),1,0),IF($C43="z",$B43*IF($D43=IF(MOD(E$34,2)=0,2,MOD(E$34,2)),1,0),IF($C43="m",$B43,0)))))</f>
        <v>0</v>
      </c>
      <c r="F43" s="15">
        <f t="shared" si="35"/>
        <v>0</v>
      </c>
      <c r="G43" s="15">
        <f t="shared" si="35"/>
        <v>0</v>
      </c>
      <c r="H43" s="15">
        <f t="shared" si="35"/>
        <v>0</v>
      </c>
      <c r="I43" s="15">
        <f t="shared" si="35"/>
        <v>0</v>
      </c>
      <c r="J43" s="15">
        <f t="shared" si="35"/>
        <v>0</v>
      </c>
      <c r="K43" s="15">
        <f t="shared" si="35"/>
        <v>0</v>
      </c>
      <c r="L43" s="15">
        <f t="shared" si="35"/>
        <v>0</v>
      </c>
      <c r="M43" s="15">
        <f t="shared" si="35"/>
        <v>0</v>
      </c>
      <c r="N43" s="15">
        <f t="shared" si="35"/>
        <v>0</v>
      </c>
      <c r="O43" s="15">
        <f t="shared" si="35"/>
        <v>0</v>
      </c>
      <c r="P43" s="15">
        <f t="shared" si="35"/>
        <v>0</v>
      </c>
      <c r="Q43" s="273">
        <f t="shared" ref="Q43" si="37">SUM(E43:P43)</f>
        <v>0</v>
      </c>
      <c r="R43" s="595">
        <f t="shared" ref="R43" si="38">IF(AND($C43="j",$D43&gt;=1,$D43&lt;=3),$B43,IF(AND($C43="h",$D43&gt;=1,$D43&lt;=3),$B43,IF(AND($C43="q",$D43&gt;=1,$D43&lt;=3),$B43,IF($C43="z",IF($D43=1,2*$B43,$B43),IF($C43="m",3*$B43,0)))))</f>
        <v>0</v>
      </c>
      <c r="S43" s="15">
        <f t="shared" ref="S43" si="39">IF(AND($C43="j",$D43&gt;=4,$D43&lt;=6),$B43,IF(AND($C43="h",$D43&gt;=4,$D43&lt;=6),$B43,IF(AND($C43="q",$D43&gt;=1,$D43&lt;=3),$B43,IF($C43="z",IF($D43=2,2*$B43,$B43),IF($C43="m",3*$B43,0)))))</f>
        <v>0</v>
      </c>
      <c r="T43" s="15">
        <f t="shared" ref="T43" si="40">IF(AND($C43="j",$D43&gt;=7,$D43&lt;=9),$B43,IF(AND($C43="h",$D43&gt;=1,$D43&lt;=3),$B43,IF(AND($C43="q",$D43&gt;=1,$D43&lt;=3),$B43,IF($C43="z",IF($D43=1,2*$B43,$B43),IF($C43="m",3*$B43,0)))))</f>
        <v>0</v>
      </c>
      <c r="U43" s="15">
        <f t="shared" ref="U43" si="41">IF(AND($C43="j",$D43&gt;=10,$D43&lt;=12),$B43,IF(AND($C43="h",$D43&gt;=4,$D43&lt;=6),$B43,IF(AND($C43="q",$D43&gt;=1,$D43&lt;=3),$B43,IF($C43="z",IF($D43=2,2*$B43,$B43),IF($C43="m",3*$B43,0)))))</f>
        <v>0</v>
      </c>
      <c r="V43" s="273">
        <f t="shared" ref="V43" si="42">SUM(R43:U43)</f>
        <v>0</v>
      </c>
      <c r="W43" s="16">
        <f t="shared" ref="W43:X43" si="43">IF($C43="j",$B43,IF($C43="h",2*$B43,IF($C43="q",4*$B43,IF($C43="z",6*$B43,12*$B43))))</f>
        <v>0</v>
      </c>
      <c r="X43" s="17">
        <f t="shared" si="43"/>
        <v>0</v>
      </c>
      <c r="Z43" s="605">
        <f t="shared" ref="Z43" si="44">Q43/12</f>
        <v>0</v>
      </c>
    </row>
    <row r="44" spans="1:26" ht="7.5" customHeight="1" thickTop="1" thickBot="1" x14ac:dyDescent="0.3">
      <c r="A44" s="103"/>
      <c r="B44" s="104"/>
      <c r="C44" s="105"/>
      <c r="D44" s="106"/>
      <c r="E44" s="27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30"/>
      <c r="R44" s="31"/>
      <c r="S44" s="28"/>
      <c r="T44" s="28"/>
      <c r="U44" s="28"/>
      <c r="V44" s="30"/>
      <c r="W44" s="33"/>
      <c r="X44" s="34"/>
      <c r="Z44" s="601"/>
    </row>
    <row r="45" spans="1:26" s="899" customFormat="1" ht="18.75" customHeight="1" thickBot="1" x14ac:dyDescent="0.3">
      <c r="A45" s="602" t="s">
        <v>51</v>
      </c>
      <c r="B45" s="603">
        <f>Z45</f>
        <v>0</v>
      </c>
      <c r="D45" s="900"/>
      <c r="E45" s="901">
        <f>SUM(E42:E44)</f>
        <v>0</v>
      </c>
      <c r="F45" s="575">
        <f>SUM(F42:F43)</f>
        <v>0</v>
      </c>
      <c r="G45" s="575">
        <f>SUM(G42:G43)</f>
        <v>0</v>
      </c>
      <c r="H45" s="575">
        <f>SUM(H42:H43)</f>
        <v>0</v>
      </c>
      <c r="I45" s="575">
        <f>SUM(I42:I43)</f>
        <v>0</v>
      </c>
      <c r="J45" s="575">
        <f>SUM(J42:J43)</f>
        <v>0</v>
      </c>
      <c r="K45" s="575">
        <f>SUM(K42:K43)</f>
        <v>0</v>
      </c>
      <c r="L45" s="575">
        <f>SUM(L42:L43)</f>
        <v>0</v>
      </c>
      <c r="M45" s="575">
        <f>SUM(M42:M43)</f>
        <v>0</v>
      </c>
      <c r="N45" s="575">
        <f>SUM(N42:N43)</f>
        <v>0</v>
      </c>
      <c r="O45" s="575">
        <f>SUM(O42:O43)</f>
        <v>0</v>
      </c>
      <c r="P45" s="575">
        <f>SUM(P42:P43)</f>
        <v>0</v>
      </c>
      <c r="Q45" s="37">
        <f>SUM(Q42:Q43)</f>
        <v>0</v>
      </c>
      <c r="R45" s="574">
        <f>SUM(R42:R43)</f>
        <v>0</v>
      </c>
      <c r="S45" s="575">
        <f>SUM(S42:S43)</f>
        <v>0</v>
      </c>
      <c r="T45" s="575">
        <f>SUM(T42:T43)</f>
        <v>0</v>
      </c>
      <c r="U45" s="575">
        <f>SUM(U42:U43)</f>
        <v>0</v>
      </c>
      <c r="V45" s="37">
        <f>SUM(V42:V43)</f>
        <v>0</v>
      </c>
      <c r="W45" s="39">
        <f>SUM(W42:W43)</f>
        <v>0</v>
      </c>
      <c r="X45" s="40">
        <f>SUM(X42:X43)</f>
        <v>0</v>
      </c>
      <c r="Z45" s="604">
        <f>SUM(Z42:Z43)</f>
        <v>0</v>
      </c>
    </row>
    <row r="46" spans="1:26" ht="15.75" thickBot="1" x14ac:dyDescent="0.3"/>
    <row r="47" spans="1:26" ht="15" customHeight="1" x14ac:dyDescent="0.25">
      <c r="A47" s="730" t="s">
        <v>59</v>
      </c>
      <c r="B47" s="728" t="s">
        <v>19</v>
      </c>
      <c r="C47" s="728" t="s">
        <v>45</v>
      </c>
      <c r="D47" s="732" t="s">
        <v>256</v>
      </c>
      <c r="E47" s="711" t="s">
        <v>20</v>
      </c>
      <c r="F47" s="691"/>
      <c r="G47" s="691"/>
      <c r="H47" s="691"/>
      <c r="I47" s="691"/>
      <c r="J47" s="691"/>
      <c r="K47" s="691"/>
      <c r="L47" s="691"/>
      <c r="M47" s="691"/>
      <c r="N47" s="691"/>
      <c r="O47" s="691"/>
      <c r="P47" s="692"/>
      <c r="Q47" s="712" t="s">
        <v>20</v>
      </c>
      <c r="R47" s="690" t="s">
        <v>25</v>
      </c>
      <c r="S47" s="691"/>
      <c r="T47" s="691"/>
      <c r="U47" s="692"/>
      <c r="V47" s="693" t="s">
        <v>25</v>
      </c>
      <c r="W47" s="695" t="s">
        <v>26</v>
      </c>
      <c r="X47" s="697" t="s">
        <v>27</v>
      </c>
      <c r="Z47" s="738" t="s">
        <v>50</v>
      </c>
    </row>
    <row r="48" spans="1:26" ht="15.75" thickBot="1" x14ac:dyDescent="0.3">
      <c r="A48" s="731"/>
      <c r="B48" s="729"/>
      <c r="C48" s="729"/>
      <c r="D48" s="733"/>
      <c r="E48" s="1">
        <v>1</v>
      </c>
      <c r="F48" s="2">
        <v>2</v>
      </c>
      <c r="G48" s="2">
        <v>3</v>
      </c>
      <c r="H48" s="2">
        <v>4</v>
      </c>
      <c r="I48" s="2">
        <v>5</v>
      </c>
      <c r="J48" s="2">
        <v>6</v>
      </c>
      <c r="K48" s="2">
        <v>7</v>
      </c>
      <c r="L48" s="2">
        <v>8</v>
      </c>
      <c r="M48" s="2">
        <v>9</v>
      </c>
      <c r="N48" s="2">
        <v>10</v>
      </c>
      <c r="O48" s="2">
        <v>11</v>
      </c>
      <c r="P48" s="3">
        <v>12</v>
      </c>
      <c r="Q48" s="713"/>
      <c r="R48" s="4" t="s">
        <v>21</v>
      </c>
      <c r="S48" s="2" t="s">
        <v>22</v>
      </c>
      <c r="T48" s="2" t="s">
        <v>23</v>
      </c>
      <c r="U48" s="2" t="s">
        <v>24</v>
      </c>
      <c r="V48" s="694"/>
      <c r="W48" s="696"/>
      <c r="X48" s="698"/>
      <c r="Z48" s="739"/>
    </row>
    <row r="49" spans="1:26" ht="18.75" customHeight="1" thickTop="1" x14ac:dyDescent="0.25">
      <c r="A49" s="94" t="s">
        <v>68</v>
      </c>
      <c r="B49" s="18">
        <v>1026</v>
      </c>
      <c r="C49" s="19" t="s">
        <v>46</v>
      </c>
      <c r="D49" s="20" t="s">
        <v>49</v>
      </c>
      <c r="E49" s="6">
        <f>IF(AND($C49="j",$D49=E$34),$B49,IF($C49="h",$B49*IF($D49=IF(MOD(E$34,6)=0,6,MOD(E$34,6)),1,0),IF($C49="q",$B49*IF($D49=IF(MOD(E$34,3)=0,3,MOD(E$34,3)),1,0),IF($C49="z",$B49*IF($D49=IF(MOD(E$34,2)=0,2,MOD(E$34,2)),1,0),IF($C49="m",$B49,0)))))</f>
        <v>1026</v>
      </c>
      <c r="F49" s="7">
        <f t="shared" ref="F49:P52" si="45">IF(AND($C49="j",$D49=F$34),$B49,IF($C49="h",$B49*IF($D49=IF(MOD(F$34,6)=0,6,MOD(F$34,6)),1,0),IF($C49="q",$B49*IF($D49=IF(MOD(F$34,3)=0,3,MOD(F$34,3)),1,0),IF($C49="z",$B49*IF($D49=IF(MOD(F$34,2)=0,2,MOD(F$34,2)),1,0),IF($C49="m",$B49,0)))))</f>
        <v>1026</v>
      </c>
      <c r="G49" s="7">
        <f t="shared" si="45"/>
        <v>1026</v>
      </c>
      <c r="H49" s="7">
        <f t="shared" si="45"/>
        <v>1026</v>
      </c>
      <c r="I49" s="7">
        <f t="shared" si="45"/>
        <v>1026</v>
      </c>
      <c r="J49" s="7">
        <f t="shared" si="45"/>
        <v>1026</v>
      </c>
      <c r="K49" s="7">
        <f t="shared" si="45"/>
        <v>1026</v>
      </c>
      <c r="L49" s="7">
        <f t="shared" si="45"/>
        <v>1026</v>
      </c>
      <c r="M49" s="7">
        <f t="shared" si="45"/>
        <v>1026</v>
      </c>
      <c r="N49" s="7">
        <f t="shared" si="45"/>
        <v>1026</v>
      </c>
      <c r="O49" s="7">
        <f t="shared" si="45"/>
        <v>1026</v>
      </c>
      <c r="P49" s="7">
        <f t="shared" si="45"/>
        <v>1026</v>
      </c>
      <c r="Q49" s="272">
        <f>SUM(E49:P49)</f>
        <v>12312</v>
      </c>
      <c r="R49" s="310">
        <f>IF(AND($C49="j",$D49&gt;=1,$D49&lt;=3),$B49,IF(AND($C49="h",$D49&gt;=1,$D49&lt;=3),$B49,IF(AND($C49="q",$D49&gt;=1,$D49&lt;=3),$B49,IF($C49="z",IF($D49=1,2*$B49,$B49),IF($C49="m",3*$B49,0)))))</f>
        <v>3078</v>
      </c>
      <c r="S49" s="7">
        <f>IF(AND($C49="j",$D49&gt;=4,$D49&lt;=6),$B49,IF(AND($C49="h",$D49&gt;=4,$D49&lt;=6),$B49,IF(AND($C49="q",$D49&gt;=1,$D49&lt;=3),$B49,IF($C49="z",IF($D49=2,2*$B49,$B49),IF($C49="m",3*$B49,0)))))</f>
        <v>3078</v>
      </c>
      <c r="T49" s="7">
        <f>IF(AND($C49="j",$D49&gt;=7,$D49&lt;=9),$B49,IF(AND($C49="h",$D49&gt;=1,$D49&lt;=3),$B49,IF(AND($C49="q",$D49&gt;=1,$D49&lt;=3),$B49,IF($C49="z",IF($D49=1,2*$B49,$B49),IF($C49="m",3*$B49,0)))))</f>
        <v>3078</v>
      </c>
      <c r="U49" s="7">
        <f>IF(AND($C49="j",$D49&gt;=10,$D49&lt;=12),$B49,IF(AND($C49="h",$D49&gt;=4,$D49&lt;=6),$B49,IF(AND($C49="q",$D49&gt;=1,$D49&lt;=3),$B49,IF($C49="z",IF($D49=2,2*$B49,$B49),IF($C49="m",3*$B49,0)))))</f>
        <v>3078</v>
      </c>
      <c r="V49" s="272">
        <f>SUM(R49:U49)</f>
        <v>12312</v>
      </c>
      <c r="W49" s="8">
        <f>IF($C49="j",$B49,IF($C49="h",2*$B49,IF($C49="q",4*$B49,IF($C49="z",6*$B49,12*$B49))))</f>
        <v>12312</v>
      </c>
      <c r="X49" s="9">
        <f>IF($C49="j",$B49,IF($C49="h",2*$B49,IF($C49="q",4*$B49,IF($C49="z",6*$B49,12*$B49))))</f>
        <v>12312</v>
      </c>
      <c r="Z49" s="599">
        <f>Q49/12</f>
        <v>1026</v>
      </c>
    </row>
    <row r="50" spans="1:26" ht="18.75" customHeight="1" x14ac:dyDescent="0.25">
      <c r="A50" s="95" t="s">
        <v>69</v>
      </c>
      <c r="B50" s="96">
        <v>45</v>
      </c>
      <c r="C50" s="97" t="s">
        <v>46</v>
      </c>
      <c r="D50" s="98" t="s">
        <v>49</v>
      </c>
      <c r="E50" s="10">
        <f t="shared" ref="E50:E52" si="46">IF(AND($C50="j",$D50=E$34),$B50,IF($C50="h",$B50*IF($D50=IF(MOD(E$34,6)=0,6,MOD(E$34,6)),1,0),IF($C50="q",$B50*IF($D50=IF(MOD(E$34,3)=0,3,MOD(E$34,3)),1,0),IF($C50="z",$B50*IF($D50=IF(MOD(E$34,2)=0,2,MOD(E$34,2)),1,0),IF($C50="m",$B50,0)))))</f>
        <v>45</v>
      </c>
      <c r="F50" s="11">
        <f t="shared" si="45"/>
        <v>45</v>
      </c>
      <c r="G50" s="11">
        <f t="shared" si="45"/>
        <v>45</v>
      </c>
      <c r="H50" s="11">
        <f t="shared" si="45"/>
        <v>45</v>
      </c>
      <c r="I50" s="11">
        <f t="shared" si="45"/>
        <v>45</v>
      </c>
      <c r="J50" s="11">
        <f t="shared" si="45"/>
        <v>45</v>
      </c>
      <c r="K50" s="11">
        <f t="shared" si="45"/>
        <v>45</v>
      </c>
      <c r="L50" s="11">
        <f t="shared" si="45"/>
        <v>45</v>
      </c>
      <c r="M50" s="11">
        <f t="shared" si="45"/>
        <v>45</v>
      </c>
      <c r="N50" s="11">
        <f t="shared" si="45"/>
        <v>45</v>
      </c>
      <c r="O50" s="11">
        <f t="shared" si="45"/>
        <v>45</v>
      </c>
      <c r="P50" s="11">
        <f t="shared" si="45"/>
        <v>45</v>
      </c>
      <c r="Q50" s="591">
        <f t="shared" ref="Q50:Q52" si="47">SUM(E50:P50)</f>
        <v>540</v>
      </c>
      <c r="R50" s="311">
        <f t="shared" ref="R50:R52" si="48">IF(AND($C50="j",$D50&gt;=1,$D50&lt;=3),$B50,IF(AND($C50="h",$D50&gt;=1,$D50&lt;=3),$B50,IF(AND($C50="q",$D50&gt;=1,$D50&lt;=3),$B50,IF($C50="z",IF($D50=1,2*$B50,$B50),IF($C50="m",3*$B50,0)))))</f>
        <v>135</v>
      </c>
      <c r="S50" s="11">
        <f t="shared" ref="S50:S52" si="49">IF(AND($C50="j",$D50&gt;=4,$D50&lt;=6),$B50,IF(AND($C50="h",$D50&gt;=4,$D50&lt;=6),$B50,IF(AND($C50="q",$D50&gt;=1,$D50&lt;=3),$B50,IF($C50="z",IF($D50=2,2*$B50,$B50),IF($C50="m",3*$B50,0)))))</f>
        <v>135</v>
      </c>
      <c r="T50" s="11">
        <f t="shared" ref="T50:T52" si="50">IF(AND($C50="j",$D50&gt;=7,$D50&lt;=9),$B50,IF(AND($C50="h",$D50&gt;=1,$D50&lt;=3),$B50,IF(AND($C50="q",$D50&gt;=1,$D50&lt;=3),$B50,IF($C50="z",IF($D50=1,2*$B50,$B50),IF($C50="m",3*$B50,0)))))</f>
        <v>135</v>
      </c>
      <c r="U50" s="11">
        <f t="shared" ref="U50:U52" si="51">IF(AND($C50="j",$D50&gt;=10,$D50&lt;=12),$B50,IF(AND($C50="h",$D50&gt;=4,$D50&lt;=6),$B50,IF(AND($C50="q",$D50&gt;=1,$D50&lt;=3),$B50,IF($C50="z",IF($D50=2,2*$B50,$B50),IF($C50="m",3*$B50,0)))))</f>
        <v>135</v>
      </c>
      <c r="V50" s="591">
        <f t="shared" ref="V50:V52" si="52">SUM(R50:U50)</f>
        <v>540</v>
      </c>
      <c r="W50" s="12">
        <f t="shared" ref="W50:X52" si="53">IF($C50="j",$B50,IF($C50="h",2*$B50,IF($C50="q",4*$B50,IF($C50="z",6*$B50,12*$B50))))</f>
        <v>540</v>
      </c>
      <c r="X50" s="13">
        <f t="shared" si="53"/>
        <v>540</v>
      </c>
      <c r="Z50" s="600">
        <f t="shared" ref="Z50:Z52" si="54">Q50/12</f>
        <v>45</v>
      </c>
    </row>
    <row r="51" spans="1:26" ht="18.75" customHeight="1" x14ac:dyDescent="0.25">
      <c r="A51" s="95" t="s">
        <v>117</v>
      </c>
      <c r="B51" s="96">
        <v>200</v>
      </c>
      <c r="C51" s="97" t="s">
        <v>46</v>
      </c>
      <c r="D51" s="98" t="s">
        <v>49</v>
      </c>
      <c r="E51" s="10">
        <f t="shared" si="46"/>
        <v>200</v>
      </c>
      <c r="F51" s="11">
        <f t="shared" si="45"/>
        <v>200</v>
      </c>
      <c r="G51" s="11">
        <f t="shared" si="45"/>
        <v>200</v>
      </c>
      <c r="H51" s="11">
        <f t="shared" si="45"/>
        <v>200</v>
      </c>
      <c r="I51" s="11">
        <f t="shared" si="45"/>
        <v>200</v>
      </c>
      <c r="J51" s="11">
        <f t="shared" si="45"/>
        <v>200</v>
      </c>
      <c r="K51" s="11">
        <f t="shared" si="45"/>
        <v>200</v>
      </c>
      <c r="L51" s="11">
        <f t="shared" si="45"/>
        <v>200</v>
      </c>
      <c r="M51" s="11">
        <f t="shared" si="45"/>
        <v>200</v>
      </c>
      <c r="N51" s="11">
        <f t="shared" si="45"/>
        <v>200</v>
      </c>
      <c r="O51" s="11">
        <f t="shared" si="45"/>
        <v>200</v>
      </c>
      <c r="P51" s="11">
        <f t="shared" si="45"/>
        <v>200</v>
      </c>
      <c r="Q51" s="591">
        <f t="shared" si="47"/>
        <v>2400</v>
      </c>
      <c r="R51" s="311">
        <f t="shared" si="48"/>
        <v>600</v>
      </c>
      <c r="S51" s="11">
        <f t="shared" si="49"/>
        <v>600</v>
      </c>
      <c r="T51" s="11">
        <f t="shared" si="50"/>
        <v>600</v>
      </c>
      <c r="U51" s="11">
        <f t="shared" si="51"/>
        <v>600</v>
      </c>
      <c r="V51" s="591">
        <f t="shared" si="52"/>
        <v>2400</v>
      </c>
      <c r="W51" s="12">
        <f t="shared" si="53"/>
        <v>2400</v>
      </c>
      <c r="X51" s="13">
        <f t="shared" si="53"/>
        <v>2400</v>
      </c>
      <c r="Z51" s="600">
        <f t="shared" si="54"/>
        <v>200</v>
      </c>
    </row>
    <row r="52" spans="1:26" ht="18.75" customHeight="1" thickBot="1" x14ac:dyDescent="0.3">
      <c r="A52" s="99"/>
      <c r="B52" s="100"/>
      <c r="C52" s="101"/>
      <c r="D52" s="102"/>
      <c r="E52" s="14">
        <f t="shared" si="46"/>
        <v>0</v>
      </c>
      <c r="F52" s="15">
        <f t="shared" si="45"/>
        <v>0</v>
      </c>
      <c r="G52" s="15">
        <f t="shared" si="45"/>
        <v>0</v>
      </c>
      <c r="H52" s="15">
        <f t="shared" si="45"/>
        <v>0</v>
      </c>
      <c r="I52" s="15">
        <f t="shared" si="45"/>
        <v>0</v>
      </c>
      <c r="J52" s="15">
        <f t="shared" si="45"/>
        <v>0</v>
      </c>
      <c r="K52" s="15">
        <f t="shared" si="45"/>
        <v>0</v>
      </c>
      <c r="L52" s="15">
        <f t="shared" si="45"/>
        <v>0</v>
      </c>
      <c r="M52" s="15">
        <f t="shared" si="45"/>
        <v>0</v>
      </c>
      <c r="N52" s="15">
        <f t="shared" si="45"/>
        <v>0</v>
      </c>
      <c r="O52" s="15">
        <f t="shared" si="45"/>
        <v>0</v>
      </c>
      <c r="P52" s="15">
        <f t="shared" si="45"/>
        <v>0</v>
      </c>
      <c r="Q52" s="273">
        <f t="shared" si="47"/>
        <v>0</v>
      </c>
      <c r="R52" s="595">
        <f t="shared" si="48"/>
        <v>0</v>
      </c>
      <c r="S52" s="15">
        <f t="shared" si="49"/>
        <v>0</v>
      </c>
      <c r="T52" s="15">
        <f t="shared" si="50"/>
        <v>0</v>
      </c>
      <c r="U52" s="15">
        <f t="shared" si="51"/>
        <v>0</v>
      </c>
      <c r="V52" s="273">
        <f t="shared" si="52"/>
        <v>0</v>
      </c>
      <c r="W52" s="16">
        <f t="shared" si="53"/>
        <v>0</v>
      </c>
      <c r="X52" s="17">
        <f t="shared" si="53"/>
        <v>0</v>
      </c>
      <c r="Z52" s="605">
        <f t="shared" si="54"/>
        <v>0</v>
      </c>
    </row>
    <row r="53" spans="1:26" ht="7.5" customHeight="1" thickTop="1" thickBot="1" x14ac:dyDescent="0.3">
      <c r="A53" s="103"/>
      <c r="B53" s="104"/>
      <c r="C53" s="105"/>
      <c r="D53" s="106"/>
      <c r="E53" s="27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30"/>
      <c r="R53" s="31"/>
      <c r="S53" s="28"/>
      <c r="T53" s="28"/>
      <c r="U53" s="28"/>
      <c r="V53" s="30"/>
      <c r="W53" s="33"/>
      <c r="X53" s="34"/>
      <c r="Z53" s="601"/>
    </row>
    <row r="54" spans="1:26" s="899" customFormat="1" ht="18.75" customHeight="1" thickBot="1" x14ac:dyDescent="0.3">
      <c r="A54" s="602" t="s">
        <v>51</v>
      </c>
      <c r="B54" s="603">
        <f>Z54</f>
        <v>1271</v>
      </c>
      <c r="D54" s="900"/>
      <c r="E54" s="901">
        <f>SUM(E49:E53)</f>
        <v>1271</v>
      </c>
      <c r="F54" s="575">
        <f t="shared" ref="F54:X54" si="55">SUM(F49:F53)</f>
        <v>1271</v>
      </c>
      <c r="G54" s="575">
        <f t="shared" si="55"/>
        <v>1271</v>
      </c>
      <c r="H54" s="575">
        <f t="shared" si="55"/>
        <v>1271</v>
      </c>
      <c r="I54" s="575">
        <f t="shared" si="55"/>
        <v>1271</v>
      </c>
      <c r="J54" s="575">
        <f t="shared" si="55"/>
        <v>1271</v>
      </c>
      <c r="K54" s="575">
        <f t="shared" si="55"/>
        <v>1271</v>
      </c>
      <c r="L54" s="575">
        <f t="shared" si="55"/>
        <v>1271</v>
      </c>
      <c r="M54" s="575">
        <f t="shared" si="55"/>
        <v>1271</v>
      </c>
      <c r="N54" s="575">
        <f t="shared" si="55"/>
        <v>1271</v>
      </c>
      <c r="O54" s="575">
        <f t="shared" si="55"/>
        <v>1271</v>
      </c>
      <c r="P54" s="575">
        <f t="shared" si="55"/>
        <v>1271</v>
      </c>
      <c r="Q54" s="37">
        <f t="shared" si="55"/>
        <v>15252</v>
      </c>
      <c r="R54" s="574">
        <f t="shared" si="55"/>
        <v>3813</v>
      </c>
      <c r="S54" s="575">
        <f t="shared" si="55"/>
        <v>3813</v>
      </c>
      <c r="T54" s="575">
        <f t="shared" si="55"/>
        <v>3813</v>
      </c>
      <c r="U54" s="575">
        <f t="shared" si="55"/>
        <v>3813</v>
      </c>
      <c r="V54" s="37">
        <f t="shared" si="55"/>
        <v>15252</v>
      </c>
      <c r="W54" s="39">
        <f t="shared" si="55"/>
        <v>15252</v>
      </c>
      <c r="X54" s="40">
        <f t="shared" si="55"/>
        <v>15252</v>
      </c>
      <c r="Z54" s="604">
        <f>SUM(Z49:Z53)</f>
        <v>1271</v>
      </c>
    </row>
    <row r="55" spans="1:26" ht="15.75" thickBot="1" x14ac:dyDescent="0.3"/>
    <row r="56" spans="1:26" ht="15" customHeight="1" x14ac:dyDescent="0.25">
      <c r="A56" s="730" t="s">
        <v>70</v>
      </c>
      <c r="B56" s="728" t="s">
        <v>19</v>
      </c>
      <c r="C56" s="728" t="s">
        <v>45</v>
      </c>
      <c r="D56" s="732" t="s">
        <v>256</v>
      </c>
      <c r="E56" s="711" t="s">
        <v>20</v>
      </c>
      <c r="F56" s="691"/>
      <c r="G56" s="691"/>
      <c r="H56" s="691"/>
      <c r="I56" s="691"/>
      <c r="J56" s="691"/>
      <c r="K56" s="691"/>
      <c r="L56" s="691"/>
      <c r="M56" s="691"/>
      <c r="N56" s="691"/>
      <c r="O56" s="691"/>
      <c r="P56" s="692"/>
      <c r="Q56" s="712" t="s">
        <v>20</v>
      </c>
      <c r="R56" s="690" t="s">
        <v>25</v>
      </c>
      <c r="S56" s="691"/>
      <c r="T56" s="691"/>
      <c r="U56" s="692"/>
      <c r="V56" s="693" t="s">
        <v>25</v>
      </c>
      <c r="W56" s="695" t="s">
        <v>26</v>
      </c>
      <c r="X56" s="697" t="s">
        <v>27</v>
      </c>
      <c r="Z56" s="738" t="s">
        <v>50</v>
      </c>
    </row>
    <row r="57" spans="1:26" ht="15.75" thickBot="1" x14ac:dyDescent="0.3">
      <c r="A57" s="731"/>
      <c r="B57" s="729"/>
      <c r="C57" s="729"/>
      <c r="D57" s="733"/>
      <c r="E57" s="1">
        <v>1</v>
      </c>
      <c r="F57" s="2">
        <v>2</v>
      </c>
      <c r="G57" s="2">
        <v>3</v>
      </c>
      <c r="H57" s="2">
        <v>4</v>
      </c>
      <c r="I57" s="2">
        <v>5</v>
      </c>
      <c r="J57" s="2">
        <v>6</v>
      </c>
      <c r="K57" s="2">
        <v>7</v>
      </c>
      <c r="L57" s="2">
        <v>8</v>
      </c>
      <c r="M57" s="2">
        <v>9</v>
      </c>
      <c r="N57" s="2">
        <v>10</v>
      </c>
      <c r="O57" s="2">
        <v>11</v>
      </c>
      <c r="P57" s="3">
        <v>12</v>
      </c>
      <c r="Q57" s="713"/>
      <c r="R57" s="4" t="s">
        <v>21</v>
      </c>
      <c r="S57" s="2" t="s">
        <v>22</v>
      </c>
      <c r="T57" s="2" t="s">
        <v>23</v>
      </c>
      <c r="U57" s="2" t="s">
        <v>24</v>
      </c>
      <c r="V57" s="694"/>
      <c r="W57" s="696"/>
      <c r="X57" s="698"/>
      <c r="Z57" s="739"/>
    </row>
    <row r="58" spans="1:26" ht="18.75" customHeight="1" thickTop="1" x14ac:dyDescent="0.25">
      <c r="A58" s="94" t="s">
        <v>118</v>
      </c>
      <c r="B58" s="18">
        <v>2000</v>
      </c>
      <c r="C58" s="19" t="s">
        <v>48</v>
      </c>
      <c r="D58" s="20">
        <v>12</v>
      </c>
      <c r="E58" s="6">
        <f>IF(AND($C58="j",$D58=E$34),$B58,IF($C58="h",$B58*IF($D58=IF(MOD(E$34,6)=0,6,MOD(E$34,6)),1,0),IF($C58="q",$B58*IF($D58=IF(MOD(E$34,3)=0,3,MOD(E$34,3)),1,0),IF($C58="z",$B58*IF($D58=IF(MOD(E$34,2)=0,2,MOD(E$34,2)),1,0),IF($C58="m",$B58,0)))))</f>
        <v>0</v>
      </c>
      <c r="F58" s="7">
        <f t="shared" ref="F58:P59" si="56">IF(AND($C58="j",$D58=F$34),$B58,IF($C58="h",$B58*IF($D58=IF(MOD(F$34,6)=0,6,MOD(F$34,6)),1,0),IF($C58="q",$B58*IF($D58=IF(MOD(F$34,3)=0,3,MOD(F$34,3)),1,0),IF($C58="z",$B58*IF($D58=IF(MOD(F$34,2)=0,2,MOD(F$34,2)),1,0),IF($C58="m",$B58,0)))))</f>
        <v>0</v>
      </c>
      <c r="G58" s="7">
        <f t="shared" si="56"/>
        <v>0</v>
      </c>
      <c r="H58" s="7">
        <f t="shared" si="56"/>
        <v>0</v>
      </c>
      <c r="I58" s="7">
        <f t="shared" si="56"/>
        <v>0</v>
      </c>
      <c r="J58" s="7">
        <f t="shared" si="56"/>
        <v>0</v>
      </c>
      <c r="K58" s="7">
        <f t="shared" si="56"/>
        <v>0</v>
      </c>
      <c r="L58" s="7">
        <f t="shared" si="56"/>
        <v>0</v>
      </c>
      <c r="M58" s="7">
        <f t="shared" si="56"/>
        <v>0</v>
      </c>
      <c r="N58" s="7">
        <f t="shared" si="56"/>
        <v>0</v>
      </c>
      <c r="O58" s="7">
        <f t="shared" si="56"/>
        <v>0</v>
      </c>
      <c r="P58" s="7">
        <f t="shared" si="56"/>
        <v>2000</v>
      </c>
      <c r="Q58" s="272">
        <f>SUM(E58:P58)</f>
        <v>2000</v>
      </c>
      <c r="R58" s="310">
        <f>IF(AND($C58="j",$D58&gt;=1,$D58&lt;=3),$B58,IF(AND($C58="h",$D58&gt;=1,$D58&lt;=3),$B58,IF(AND($C58="q",$D58&gt;=1,$D58&lt;=3),$B58,IF($C58="z",IF($D58=1,2*$B58,$B58),IF($C58="m",3*$B58,0)))))</f>
        <v>0</v>
      </c>
      <c r="S58" s="7">
        <f>IF(AND($C58="j",$D58&gt;=4,$D58&lt;=6),$B58,IF(AND($C58="h",$D58&gt;=4,$D58&lt;=6),$B58,IF(AND($C58="q",$D58&gt;=1,$D58&lt;=3),$B58,IF($C58="z",IF($D58=2,2*$B58,$B58),IF($C58="m",3*$B58,0)))))</f>
        <v>0</v>
      </c>
      <c r="T58" s="7">
        <f>IF(AND($C58="j",$D58&gt;=7,$D58&lt;=9),$B58,IF(AND($C58="h",$D58&gt;=1,$D58&lt;=3),$B58,IF(AND($C58="q",$D58&gt;=1,$D58&lt;=3),$B58,IF($C58="z",IF($D58=1,2*$B58,$B58),IF($C58="m",3*$B58,0)))))</f>
        <v>0</v>
      </c>
      <c r="U58" s="7">
        <f>IF(AND($C58="j",$D58&gt;=10,$D58&lt;=12),$B58,IF(AND($C58="h",$D58&gt;=4,$D58&lt;=6),$B58,IF(AND($C58="q",$D58&gt;=1,$D58&lt;=3),$B58,IF($C58="z",IF($D58=2,2*$B58,$B58),IF($C58="m",3*$B58,0)))))</f>
        <v>2000</v>
      </c>
      <c r="V58" s="272">
        <f>SUM(R58:U58)</f>
        <v>2000</v>
      </c>
      <c r="W58" s="8">
        <f>IF($C58="j",$B58,IF($C58="h",2*$B58,IF($C58="q",4*$B58,IF($C58="z",6*$B58,12*$B58))))</f>
        <v>2000</v>
      </c>
      <c r="X58" s="9">
        <f>IF($C58="j",$B58,IF($C58="h",2*$B58,IF($C58="q",4*$B58,IF($C58="z",6*$B58,12*$B58))))</f>
        <v>2000</v>
      </c>
      <c r="Z58" s="599">
        <f>Q58/12</f>
        <v>166.66666666666666</v>
      </c>
    </row>
    <row r="59" spans="1:26" ht="18.75" customHeight="1" thickBot="1" x14ac:dyDescent="0.3">
      <c r="A59" s="99"/>
      <c r="B59" s="100"/>
      <c r="C59" s="101"/>
      <c r="D59" s="102"/>
      <c r="E59" s="14">
        <f t="shared" ref="E59" si="57">IF(AND($C59="j",$D59=E$34),$B59,IF($C59="h",$B59*IF($D59=IF(MOD(E$34,6)=0,6,MOD(E$34,6)),1,0),IF($C59="q",$B59*IF($D59=IF(MOD(E$34,3)=0,3,MOD(E$34,3)),1,0),IF($C59="z",$B59*IF($D59=IF(MOD(E$34,2)=0,2,MOD(E$34,2)),1,0),IF($C59="m",$B59,0)))))</f>
        <v>0</v>
      </c>
      <c r="F59" s="15">
        <f t="shared" si="56"/>
        <v>0</v>
      </c>
      <c r="G59" s="15">
        <f t="shared" si="56"/>
        <v>0</v>
      </c>
      <c r="H59" s="15">
        <f t="shared" si="56"/>
        <v>0</v>
      </c>
      <c r="I59" s="15">
        <f t="shared" si="56"/>
        <v>0</v>
      </c>
      <c r="J59" s="15">
        <f t="shared" si="56"/>
        <v>0</v>
      </c>
      <c r="K59" s="15">
        <f t="shared" si="56"/>
        <v>0</v>
      </c>
      <c r="L59" s="15">
        <f t="shared" si="56"/>
        <v>0</v>
      </c>
      <c r="M59" s="15">
        <f t="shared" si="56"/>
        <v>0</v>
      </c>
      <c r="N59" s="15">
        <f t="shared" si="56"/>
        <v>0</v>
      </c>
      <c r="O59" s="15">
        <f t="shared" si="56"/>
        <v>0</v>
      </c>
      <c r="P59" s="15">
        <f t="shared" si="56"/>
        <v>0</v>
      </c>
      <c r="Q59" s="273">
        <f t="shared" ref="Q59" si="58">SUM(E59:P59)</f>
        <v>0</v>
      </c>
      <c r="R59" s="595">
        <f t="shared" ref="R59" si="59">IF(AND($C59="j",$D59&gt;=1,$D59&lt;=3),$B59,IF(AND($C59="h",$D59&gt;=1,$D59&lt;=3),$B59,IF(AND($C59="q",$D59&gt;=1,$D59&lt;=3),$B59,IF($C59="z",IF($D59=1,2*$B59,$B59),IF($C59="m",3*$B59,0)))))</f>
        <v>0</v>
      </c>
      <c r="S59" s="15">
        <f t="shared" ref="S59" si="60">IF(AND($C59="j",$D59&gt;=4,$D59&lt;=6),$B59,IF(AND($C59="h",$D59&gt;=4,$D59&lt;=6),$B59,IF(AND($C59="q",$D59&gt;=1,$D59&lt;=3),$B59,IF($C59="z",IF($D59=2,2*$B59,$B59),IF($C59="m",3*$B59,0)))))</f>
        <v>0</v>
      </c>
      <c r="T59" s="15">
        <f t="shared" ref="T59" si="61">IF(AND($C59="j",$D59&gt;=7,$D59&lt;=9),$B59,IF(AND($C59="h",$D59&gt;=1,$D59&lt;=3),$B59,IF(AND($C59="q",$D59&gt;=1,$D59&lt;=3),$B59,IF($C59="z",IF($D59=1,2*$B59,$B59),IF($C59="m",3*$B59,0)))))</f>
        <v>0</v>
      </c>
      <c r="U59" s="15">
        <f t="shared" ref="U59" si="62">IF(AND($C59="j",$D59&gt;=10,$D59&lt;=12),$B59,IF(AND($C59="h",$D59&gt;=4,$D59&lt;=6),$B59,IF(AND($C59="q",$D59&gt;=1,$D59&lt;=3),$B59,IF($C59="z",IF($D59=2,2*$B59,$B59),IF($C59="m",3*$B59,0)))))</f>
        <v>0</v>
      </c>
      <c r="V59" s="273">
        <f t="shared" ref="V59" si="63">SUM(R59:U59)</f>
        <v>0</v>
      </c>
      <c r="W59" s="16">
        <f t="shared" ref="W59:X59" si="64">IF($C59="j",$B59,IF($C59="h",2*$B59,IF($C59="q",4*$B59,IF($C59="z",6*$B59,12*$B59))))</f>
        <v>0</v>
      </c>
      <c r="X59" s="17">
        <f t="shared" si="64"/>
        <v>0</v>
      </c>
      <c r="Z59" s="605">
        <f t="shared" ref="Z59" si="65">Q59/12</f>
        <v>0</v>
      </c>
    </row>
    <row r="60" spans="1:26" ht="7.5" customHeight="1" thickTop="1" thickBot="1" x14ac:dyDescent="0.3">
      <c r="A60" s="103"/>
      <c r="B60" s="104"/>
      <c r="C60" s="105"/>
      <c r="D60" s="106"/>
      <c r="E60" s="27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28"/>
      <c r="Q60" s="30"/>
      <c r="R60" s="31"/>
      <c r="S60" s="28"/>
      <c r="T60" s="28"/>
      <c r="U60" s="28"/>
      <c r="V60" s="30"/>
      <c r="W60" s="33"/>
      <c r="X60" s="34"/>
      <c r="Z60" s="601"/>
    </row>
    <row r="61" spans="1:26" s="899" customFormat="1" ht="18.75" customHeight="1" thickBot="1" x14ac:dyDescent="0.3">
      <c r="A61" s="602" t="s">
        <v>51</v>
      </c>
      <c r="B61" s="603">
        <f>Z61</f>
        <v>166.66666666666666</v>
      </c>
      <c r="D61" s="900"/>
      <c r="E61" s="901">
        <f>SUM(E58:E60)</f>
        <v>0</v>
      </c>
      <c r="F61" s="575">
        <f t="shared" ref="F61:X61" si="66">SUM(F58:F60)</f>
        <v>0</v>
      </c>
      <c r="G61" s="575">
        <f t="shared" si="66"/>
        <v>0</v>
      </c>
      <c r="H61" s="575">
        <f t="shared" si="66"/>
        <v>0</v>
      </c>
      <c r="I61" s="575">
        <f t="shared" si="66"/>
        <v>0</v>
      </c>
      <c r="J61" s="575">
        <f t="shared" si="66"/>
        <v>0</v>
      </c>
      <c r="K61" s="575">
        <f t="shared" si="66"/>
        <v>0</v>
      </c>
      <c r="L61" s="575">
        <f t="shared" si="66"/>
        <v>0</v>
      </c>
      <c r="M61" s="575">
        <f t="shared" si="66"/>
        <v>0</v>
      </c>
      <c r="N61" s="575">
        <f t="shared" si="66"/>
        <v>0</v>
      </c>
      <c r="O61" s="575">
        <f t="shared" si="66"/>
        <v>0</v>
      </c>
      <c r="P61" s="575">
        <f t="shared" si="66"/>
        <v>2000</v>
      </c>
      <c r="Q61" s="37">
        <f t="shared" si="66"/>
        <v>2000</v>
      </c>
      <c r="R61" s="574">
        <f t="shared" si="66"/>
        <v>0</v>
      </c>
      <c r="S61" s="575">
        <f t="shared" si="66"/>
        <v>0</v>
      </c>
      <c r="T61" s="575">
        <f t="shared" si="66"/>
        <v>0</v>
      </c>
      <c r="U61" s="575">
        <f t="shared" si="66"/>
        <v>2000</v>
      </c>
      <c r="V61" s="37">
        <f t="shared" si="66"/>
        <v>2000</v>
      </c>
      <c r="W61" s="39">
        <f t="shared" si="66"/>
        <v>2000</v>
      </c>
      <c r="X61" s="40">
        <f t="shared" si="66"/>
        <v>2000</v>
      </c>
      <c r="Z61" s="604">
        <f>SUM(Z58:Z59)</f>
        <v>166.66666666666666</v>
      </c>
    </row>
    <row r="62" spans="1:26" ht="15.75" thickBot="1" x14ac:dyDescent="0.3"/>
    <row r="63" spans="1:26" ht="15" customHeight="1" x14ac:dyDescent="0.25">
      <c r="A63" s="730" t="s">
        <v>71</v>
      </c>
      <c r="B63" s="728" t="s">
        <v>72</v>
      </c>
      <c r="C63" s="728" t="s">
        <v>45</v>
      </c>
      <c r="D63" s="732" t="s">
        <v>256</v>
      </c>
      <c r="E63" s="711" t="s">
        <v>20</v>
      </c>
      <c r="F63" s="691"/>
      <c r="G63" s="691"/>
      <c r="H63" s="691"/>
      <c r="I63" s="691"/>
      <c r="J63" s="691"/>
      <c r="K63" s="691"/>
      <c r="L63" s="691"/>
      <c r="M63" s="691"/>
      <c r="N63" s="691"/>
      <c r="O63" s="691"/>
      <c r="P63" s="692"/>
      <c r="Q63" s="712" t="s">
        <v>20</v>
      </c>
      <c r="R63" s="690" t="s">
        <v>25</v>
      </c>
      <c r="S63" s="691"/>
      <c r="T63" s="691"/>
      <c r="U63" s="692"/>
      <c r="V63" s="693" t="s">
        <v>25</v>
      </c>
      <c r="W63" s="695" t="s">
        <v>26</v>
      </c>
      <c r="X63" s="697" t="s">
        <v>27</v>
      </c>
      <c r="Z63" s="738" t="s">
        <v>50</v>
      </c>
    </row>
    <row r="64" spans="1:26" ht="15.75" thickBot="1" x14ac:dyDescent="0.3">
      <c r="A64" s="731"/>
      <c r="B64" s="729"/>
      <c r="C64" s="729"/>
      <c r="D64" s="733"/>
      <c r="E64" s="1">
        <v>1</v>
      </c>
      <c r="F64" s="2">
        <v>2</v>
      </c>
      <c r="G64" s="2">
        <v>3</v>
      </c>
      <c r="H64" s="2">
        <v>4</v>
      </c>
      <c r="I64" s="2">
        <v>5</v>
      </c>
      <c r="J64" s="2">
        <v>6</v>
      </c>
      <c r="K64" s="2">
        <v>7</v>
      </c>
      <c r="L64" s="2">
        <v>8</v>
      </c>
      <c r="M64" s="2">
        <v>9</v>
      </c>
      <c r="N64" s="2">
        <v>10</v>
      </c>
      <c r="O64" s="2">
        <v>11</v>
      </c>
      <c r="P64" s="3">
        <v>12</v>
      </c>
      <c r="Q64" s="713"/>
      <c r="R64" s="4" t="s">
        <v>21</v>
      </c>
      <c r="S64" s="2" t="s">
        <v>22</v>
      </c>
      <c r="T64" s="2" t="s">
        <v>23</v>
      </c>
      <c r="U64" s="2" t="s">
        <v>24</v>
      </c>
      <c r="V64" s="694"/>
      <c r="W64" s="696"/>
      <c r="X64" s="698"/>
      <c r="Z64" s="739"/>
    </row>
    <row r="65" spans="1:26" ht="18.75" customHeight="1" thickTop="1" x14ac:dyDescent="0.25">
      <c r="A65" s="94" t="s">
        <v>115</v>
      </c>
      <c r="B65" s="18">
        <v>1500</v>
      </c>
      <c r="C65" s="19" t="s">
        <v>48</v>
      </c>
      <c r="D65" s="20">
        <v>1</v>
      </c>
      <c r="E65" s="6">
        <f>IF(AND($C65="j",$D65=E$34),$B65,IF($C65="h",$B65*IF($D65=IF(MOD(E$34,6)=0,6,MOD(E$34,6)),1,0),IF($C65="q",$B65*IF($D65=IF(MOD(E$34,3)=0,3,MOD(E$34,3)),1,0),IF($C65="z",$B65*IF($D65=IF(MOD(E$34,2)=0,2,MOD(E$34,2)),1,0),IF($C65="m",$B65,0)))))</f>
        <v>1500</v>
      </c>
      <c r="F65" s="7">
        <f>IF(AND($C65="j",$D65=F$34),$B65,IF($C65="h",$B65*IF($D65=IF(MOD(F$34,6)=0,6,MOD(F$34,6)),1,0),IF($C65="q",$B65*IF($D65=IF(MOD(F$34,3)=0,3,MOD(F$34,3)),1,0),IF($C65="z",$B65*IF($D65=IF(MOD(F$34,2)=0,2,MOD(F$34,2)),1,0),IF($C65="m",$B65,0)))))</f>
        <v>0</v>
      </c>
      <c r="G65" s="7">
        <f>IF(AND($C65="j",$D65=G$34),$B65,IF($C65="h",$B65*IF($D65=IF(MOD(G$34,6)=0,6,MOD(G$34,6)),1,0),IF($C65="q",$B65*IF($D65=IF(MOD(G$34,3)=0,3,MOD(G$34,3)),1,0),IF($C65="z",$B65*IF($D65=IF(MOD(G$34,2)=0,2,MOD(G$34,2)),1,0),IF($C65="m",$B65,0)))))</f>
        <v>0</v>
      </c>
      <c r="H65" s="7">
        <f>IF(AND($C65="j",$D65=H$34),$B65,IF($C65="h",$B65*IF($D65=IF(MOD(H$34,6)=0,6,MOD(H$34,6)),1,0),IF($C65="q",$B65*IF($D65=IF(MOD(H$34,3)=0,3,MOD(H$34,3)),1,0),IF($C65="z",$B65*IF($D65=IF(MOD(H$34,2)=0,2,MOD(H$34,2)),1,0),IF($C65="m",$B65,0)))))</f>
        <v>0</v>
      </c>
      <c r="I65" s="7">
        <f>IF(AND($C65="j",$D65=I$34),$B65,IF($C65="h",$B65*IF($D65=IF(MOD(I$34,6)=0,6,MOD(I$34,6)),1,0),IF($C65="q",$B65*IF($D65=IF(MOD(I$34,3)=0,3,MOD(I$34,3)),1,0),IF($C65="z",$B65*IF($D65=IF(MOD(I$34,2)=0,2,MOD(I$34,2)),1,0),IF($C65="m",$B65,0)))))</f>
        <v>0</v>
      </c>
      <c r="J65" s="7">
        <f>IF(AND($C65="j",$D65=J$34),$B65,IF($C65="h",$B65*IF($D65=IF(MOD(J$34,6)=0,6,MOD(J$34,6)),1,0),IF($C65="q",$B65*IF($D65=IF(MOD(J$34,3)=0,3,MOD(J$34,3)),1,0),IF($C65="z",$B65*IF($D65=IF(MOD(J$34,2)=0,2,MOD(J$34,2)),1,0),IF($C65="m",$B65,0)))))</f>
        <v>0</v>
      </c>
      <c r="K65" s="7">
        <f>IF(AND($C65="j",$D65=K$34),$B65,IF($C65="h",$B65*IF($D65=IF(MOD(K$34,6)=0,6,MOD(K$34,6)),1,0),IF($C65="q",$B65*IF($D65=IF(MOD(K$34,3)=0,3,MOD(K$34,3)),1,0),IF($C65="z",$B65*IF($D65=IF(MOD(K$34,2)=0,2,MOD(K$34,2)),1,0),IF($C65="m",$B65,0)))))</f>
        <v>0</v>
      </c>
      <c r="L65" s="7">
        <f>IF(AND($C65="j",$D65=L$34),$B65,IF($C65="h",$B65*IF($D65=IF(MOD(L$34,6)=0,6,MOD(L$34,6)),1,0),IF($C65="q",$B65*IF($D65=IF(MOD(L$34,3)=0,3,MOD(L$34,3)),1,0),IF($C65="z",$B65*IF($D65=IF(MOD(L$34,2)=0,2,MOD(L$34,2)),1,0),IF($C65="m",$B65,0)))))</f>
        <v>0</v>
      </c>
      <c r="M65" s="7">
        <f>IF(AND($C65="j",$D65=M$34),$B65,IF($C65="h",$B65*IF($D65=IF(MOD(M$34,6)=0,6,MOD(M$34,6)),1,0),IF($C65="q",$B65*IF($D65=IF(MOD(M$34,3)=0,3,MOD(M$34,3)),1,0),IF($C65="z",$B65*IF($D65=IF(MOD(M$34,2)=0,2,MOD(M$34,2)),1,0),IF($C65="m",$B65,0)))))</f>
        <v>0</v>
      </c>
      <c r="N65" s="7">
        <f>IF(AND($C65="j",$D65=N$34),$B65,IF($C65="h",$B65*IF($D65=IF(MOD(N$34,6)=0,6,MOD(N$34,6)),1,0),IF($C65="q",$B65*IF($D65=IF(MOD(N$34,3)=0,3,MOD(N$34,3)),1,0),IF($C65="z",$B65*IF($D65=IF(MOD(N$34,2)=0,2,MOD(N$34,2)),1,0),IF($C65="m",$B65,0)))))</f>
        <v>0</v>
      </c>
      <c r="O65" s="7">
        <f>IF(AND($C65="j",$D65=O$34),$B65,IF($C65="h",$B65*IF($D65=IF(MOD(O$34,6)=0,6,MOD(O$34,6)),1,0),IF($C65="q",$B65*IF($D65=IF(MOD(O$34,3)=0,3,MOD(O$34,3)),1,0),IF($C65="z",$B65*IF($D65=IF(MOD(O$34,2)=0,2,MOD(O$34,2)),1,0),IF($C65="m",$B65,0)))))</f>
        <v>0</v>
      </c>
      <c r="P65" s="7">
        <f>IF(AND($C65="j",$D65=P$34),$B65,IF($C65="h",$B65*IF($D65=IF(MOD(P$34,6)=0,6,MOD(P$34,6)),1,0),IF($C65="q",$B65*IF($D65=IF(MOD(P$34,3)=0,3,MOD(P$34,3)),1,0),IF($C65="z",$B65*IF($D65=IF(MOD(P$34,2)=0,2,MOD(P$34,2)),1,0),IF($C65="m",$B65,0)))))</f>
        <v>0</v>
      </c>
      <c r="Q65" s="272">
        <f>SUM(E65:P65)</f>
        <v>1500</v>
      </c>
      <c r="R65" s="310">
        <f>IF(AND($C65="j",$D65&gt;=1,$D65&lt;=3),$B65,IF(AND($C65="h",$D65&gt;=1,$D65&lt;=3),$B65,IF(AND($C65="q",$D65&gt;=1,$D65&lt;=3),$B65,IF($C65="z",IF($D65=1,2*$B65,$B65),IF($C65="m",3*$B65,0)))))</f>
        <v>1500</v>
      </c>
      <c r="S65" s="7">
        <f>IF(AND($C65="j",$D65&gt;=4,$D65&lt;=6),$B65,IF(AND($C65="h",$D65&gt;=4,$D65&lt;=6),$B65,IF(AND($C65="q",$D65&gt;=1,$D65&lt;=3),$B65,IF($C65="z",IF($D65=2,2*$B65,$B65),IF($C65="m",3*$B65,0)))))</f>
        <v>0</v>
      </c>
      <c r="T65" s="7">
        <f>IF(AND($C65="j",$D65&gt;=7,$D65&lt;=9),$B65,IF(AND($C65="h",$D65&gt;=1,$D65&lt;=3),$B65,IF(AND($C65="q",$D65&gt;=1,$D65&lt;=3),$B65,IF($C65="z",IF($D65=1,2*$B65,$B65),IF($C65="m",3*$B65,0)))))</f>
        <v>0</v>
      </c>
      <c r="U65" s="7">
        <f>IF(AND($C65="j",$D65&gt;=10,$D65&lt;=12),$B65,IF(AND($C65="h",$D65&gt;=4,$D65&lt;=6),$B65,IF(AND($C65="q",$D65&gt;=1,$D65&lt;=3),$B65,IF($C65="z",IF($D65=2,2*$B65,$B65),IF($C65="m",3*$B65,0)))))</f>
        <v>0</v>
      </c>
      <c r="V65" s="272">
        <f>SUM(R65:U65)</f>
        <v>1500</v>
      </c>
      <c r="W65" s="8">
        <f>IF($C65="j",$B65,IF($C65="h",2*$B65,IF($C65="q",4*$B65,IF($C65="z",6*$B65,12*$B65))))</f>
        <v>1500</v>
      </c>
      <c r="X65" s="9">
        <f>IF($C65="j",$B65,IF($C65="h",2*$B65,IF($C65="q",4*$B65,IF($C65="z",6*$B65,12*$B65))))</f>
        <v>1500</v>
      </c>
      <c r="Z65" s="599">
        <f>Q65/12</f>
        <v>125</v>
      </c>
    </row>
    <row r="66" spans="1:26" ht="18.75" customHeight="1" x14ac:dyDescent="0.25">
      <c r="A66" s="95" t="s">
        <v>80</v>
      </c>
      <c r="B66" s="96">
        <v>500</v>
      </c>
      <c r="C66" s="97" t="s">
        <v>46</v>
      </c>
      <c r="D66" s="98" t="s">
        <v>49</v>
      </c>
      <c r="E66" s="10">
        <f>IF(AND($C66="j",$D66=E$34),$B66,IF($C66="h",$B66*IF($D66=IF(MOD(E$34,6)=0,6,MOD(E$34,6)),1,0),IF($C66="q",$B66*IF($D66=IF(MOD(E$34,3)=0,3,MOD(E$34,3)),1,0),IF($C66="z",$B66*IF($D66=IF(MOD(E$34,2)=0,2,MOD(E$34,2)),1,0),IF($C66="m",$B66,0)))))</f>
        <v>500</v>
      </c>
      <c r="F66" s="11">
        <f>IF(AND($C66="j",$D66=F$34),$B66,IF($C66="h",$B66*IF($D66=IF(MOD(F$34,6)=0,6,MOD(F$34,6)),1,0),IF($C66="q",$B66*IF($D66=IF(MOD(F$34,3)=0,3,MOD(F$34,3)),1,0),IF($C66="z",$B66*IF($D66=IF(MOD(F$34,2)=0,2,MOD(F$34,2)),1,0),IF($C66="m",$B66,0)))))</f>
        <v>500</v>
      </c>
      <c r="G66" s="11">
        <f>IF(AND($C66="j",$D66=G$34),$B66,IF($C66="h",$B66*IF($D66=IF(MOD(G$34,6)=0,6,MOD(G$34,6)),1,0),IF($C66="q",$B66*IF($D66=IF(MOD(G$34,3)=0,3,MOD(G$34,3)),1,0),IF($C66="z",$B66*IF($D66=IF(MOD(G$34,2)=0,2,MOD(G$34,2)),1,0),IF($C66="m",$B66,0)))))</f>
        <v>500</v>
      </c>
      <c r="H66" s="11">
        <f>IF(AND($C66="j",$D66=H$34),$B66,IF($C66="h",$B66*IF($D66=IF(MOD(H$34,6)=0,6,MOD(H$34,6)),1,0),IF($C66="q",$B66*IF($D66=IF(MOD(H$34,3)=0,3,MOD(H$34,3)),1,0),IF($C66="z",$B66*IF($D66=IF(MOD(H$34,2)=0,2,MOD(H$34,2)),1,0),IF($C66="m",$B66,0)))))</f>
        <v>500</v>
      </c>
      <c r="I66" s="11">
        <f>IF(AND($C66="j",$D66=I$34),$B66,IF($C66="h",$B66*IF($D66=IF(MOD(I$34,6)=0,6,MOD(I$34,6)),1,0),IF($C66="q",$B66*IF($D66=IF(MOD(I$34,3)=0,3,MOD(I$34,3)),1,0),IF($C66="z",$B66*IF($D66=IF(MOD(I$34,2)=0,2,MOD(I$34,2)),1,0),IF($C66="m",$B66,0)))))</f>
        <v>500</v>
      </c>
      <c r="J66" s="11">
        <f>IF(AND($C66="j",$D66=J$34),$B66,IF($C66="h",$B66*IF($D66=IF(MOD(J$34,6)=0,6,MOD(J$34,6)),1,0),IF($C66="q",$B66*IF($D66=IF(MOD(J$34,3)=0,3,MOD(J$34,3)),1,0),IF($C66="z",$B66*IF($D66=IF(MOD(J$34,2)=0,2,MOD(J$34,2)),1,0),IF($C66="m",$B66,0)))))</f>
        <v>500</v>
      </c>
      <c r="K66" s="11">
        <f>IF(AND($C66="j",$D66=K$34),$B66,IF($C66="h",$B66*IF($D66=IF(MOD(K$34,6)=0,6,MOD(K$34,6)),1,0),IF($C66="q",$B66*IF($D66=IF(MOD(K$34,3)=0,3,MOD(K$34,3)),1,0),IF($C66="z",$B66*IF($D66=IF(MOD(K$34,2)=0,2,MOD(K$34,2)),1,0),IF($C66="m",$B66,0)))))</f>
        <v>500</v>
      </c>
      <c r="L66" s="11">
        <f>IF(AND($C66="j",$D66=L$34),$B66,IF($C66="h",$B66*IF($D66=IF(MOD(L$34,6)=0,6,MOD(L$34,6)),1,0),IF($C66="q",$B66*IF($D66=IF(MOD(L$34,3)=0,3,MOD(L$34,3)),1,0),IF($C66="z",$B66*IF($D66=IF(MOD(L$34,2)=0,2,MOD(L$34,2)),1,0),IF($C66="m",$B66,0)))))</f>
        <v>500</v>
      </c>
      <c r="M66" s="11">
        <f>IF(AND($C66="j",$D66=M$34),$B66,IF($C66="h",$B66*IF($D66=IF(MOD(M$34,6)=0,6,MOD(M$34,6)),1,0),IF($C66="q",$B66*IF($D66=IF(MOD(M$34,3)=0,3,MOD(M$34,3)),1,0),IF($C66="z",$B66*IF($D66=IF(MOD(M$34,2)=0,2,MOD(M$34,2)),1,0),IF($C66="m",$B66,0)))))</f>
        <v>500</v>
      </c>
      <c r="N66" s="11">
        <f>IF(AND($C66="j",$D66=N$34),$B66,IF($C66="h",$B66*IF($D66=IF(MOD(N$34,6)=0,6,MOD(N$34,6)),1,0),IF($C66="q",$B66*IF($D66=IF(MOD(N$34,3)=0,3,MOD(N$34,3)),1,0),IF($C66="z",$B66*IF($D66=IF(MOD(N$34,2)=0,2,MOD(N$34,2)),1,0),IF($C66="m",$B66,0)))))</f>
        <v>500</v>
      </c>
      <c r="O66" s="11">
        <f>IF(AND($C66="j",$D66=O$34),$B66,IF($C66="h",$B66*IF($D66=IF(MOD(O$34,6)=0,6,MOD(O$34,6)),1,0),IF($C66="q",$B66*IF($D66=IF(MOD(O$34,3)=0,3,MOD(O$34,3)),1,0),IF($C66="z",$B66*IF($D66=IF(MOD(O$34,2)=0,2,MOD(O$34,2)),1,0),IF($C66="m",$B66,0)))))</f>
        <v>500</v>
      </c>
      <c r="P66" s="11">
        <f>IF(AND($C66="j",$D66=P$34),$B66,IF($C66="h",$B66*IF($D66=IF(MOD(P$34,6)=0,6,MOD(P$34,6)),1,0),IF($C66="q",$B66*IF($D66=IF(MOD(P$34,3)=0,3,MOD(P$34,3)),1,0),IF($C66="z",$B66*IF($D66=IF(MOD(P$34,2)=0,2,MOD(P$34,2)),1,0),IF($C66="m",$B66,0)))))</f>
        <v>500</v>
      </c>
      <c r="Q66" s="591">
        <f t="shared" ref="Q66:Q67" si="67">SUM(E66:P66)</f>
        <v>6000</v>
      </c>
      <c r="R66" s="311">
        <f t="shared" ref="R66:R67" si="68">IF(AND($C66="j",$D66&gt;=1,$D66&lt;=3),$B66,IF(AND($C66="h",$D66&gt;=1,$D66&lt;=3),$B66,IF(AND($C66="q",$D66&gt;=1,$D66&lt;=3),$B66,IF($C66="z",IF($D66=1,2*$B66,$B66),IF($C66="m",3*$B66,0)))))</f>
        <v>1500</v>
      </c>
      <c r="S66" s="11">
        <f t="shared" ref="S66:S67" si="69">IF(AND($C66="j",$D66&gt;=4,$D66&lt;=6),$B66,IF(AND($C66="h",$D66&gt;=4,$D66&lt;=6),$B66,IF(AND($C66="q",$D66&gt;=1,$D66&lt;=3),$B66,IF($C66="z",IF($D66=2,2*$B66,$B66),IF($C66="m",3*$B66,0)))))</f>
        <v>1500</v>
      </c>
      <c r="T66" s="11">
        <f t="shared" ref="T66:T67" si="70">IF(AND($C66="j",$D66&gt;=7,$D66&lt;=9),$B66,IF(AND($C66="h",$D66&gt;=1,$D66&lt;=3),$B66,IF(AND($C66="q",$D66&gt;=1,$D66&lt;=3),$B66,IF($C66="z",IF($D66=1,2*$B66,$B66),IF($C66="m",3*$B66,0)))))</f>
        <v>1500</v>
      </c>
      <c r="U66" s="11">
        <f t="shared" ref="U66:U67" si="71">IF(AND($C66="j",$D66&gt;=10,$D66&lt;=12),$B66,IF(AND($C66="h",$D66&gt;=4,$D66&lt;=6),$B66,IF(AND($C66="q",$D66&gt;=1,$D66&lt;=3),$B66,IF($C66="z",IF($D66=2,2*$B66,$B66),IF($C66="m",3*$B66,0)))))</f>
        <v>1500</v>
      </c>
      <c r="V66" s="591">
        <f t="shared" ref="V66:V67" si="72">SUM(R66:U66)</f>
        <v>6000</v>
      </c>
      <c r="W66" s="12">
        <f t="shared" ref="W66:X67" si="73">IF($C66="j",$B66,IF($C66="h",2*$B66,IF($C66="q",4*$B66,IF($C66="z",6*$B66,12*$B66))))</f>
        <v>6000</v>
      </c>
      <c r="X66" s="13">
        <f t="shared" si="73"/>
        <v>6000</v>
      </c>
      <c r="Z66" s="600">
        <f t="shared" ref="Z66:Z67" si="74">Q66/12</f>
        <v>500</v>
      </c>
    </row>
    <row r="67" spans="1:26" ht="18.75" customHeight="1" thickBot="1" x14ac:dyDescent="0.3">
      <c r="A67" s="99"/>
      <c r="B67" s="100"/>
      <c r="C67" s="101"/>
      <c r="D67" s="102"/>
      <c r="E67" s="14">
        <f>IF(AND($C67="j",$D67=E$34),$B67,IF($C67="h",$B67*IF($D67=IF(MOD(E$34,6)=0,6,MOD(E$34,6)),1,0),IF($C67="q",$B67*IF($D67=IF(MOD(E$34,3)=0,3,MOD(E$34,3)),1,0),IF($C67="z",$B67*IF($D67=IF(MOD(E$34,2)=0,2,MOD(E$34,2)),1,0),IF($C67="m",$B67,0)))))</f>
        <v>0</v>
      </c>
      <c r="F67" s="15">
        <f>IF(AND($C67="j",$D67=F$34),$B67,IF($C67="h",$B67*IF($D67=IF(MOD(F$34,6)=0,6,MOD(F$34,6)),1,0),IF($C67="q",$B67*IF($D67=IF(MOD(F$34,3)=0,3,MOD(F$34,3)),1,0),IF($C67="z",$B67*IF($D67=IF(MOD(F$34,2)=0,2,MOD(F$34,2)),1,0),IF($C67="m",$B67,0)))))</f>
        <v>0</v>
      </c>
      <c r="G67" s="15">
        <f>IF(AND($C67="j",$D67=G$34),$B67,IF($C67="h",$B67*IF($D67=IF(MOD(G$34,6)=0,6,MOD(G$34,6)),1,0),IF($C67="q",$B67*IF($D67=IF(MOD(G$34,3)=0,3,MOD(G$34,3)),1,0),IF($C67="z",$B67*IF($D67=IF(MOD(G$34,2)=0,2,MOD(G$34,2)),1,0),IF($C67="m",$B67,0)))))</f>
        <v>0</v>
      </c>
      <c r="H67" s="15">
        <f>IF(AND($C67="j",$D67=H$34),$B67,IF($C67="h",$B67*IF($D67=IF(MOD(H$34,6)=0,6,MOD(H$34,6)),1,0),IF($C67="q",$B67*IF($D67=IF(MOD(H$34,3)=0,3,MOD(H$34,3)),1,0),IF($C67="z",$B67*IF($D67=IF(MOD(H$34,2)=0,2,MOD(H$34,2)),1,0),IF($C67="m",$B67,0)))))</f>
        <v>0</v>
      </c>
      <c r="I67" s="15">
        <f>IF(AND($C67="j",$D67=I$34),$B67,IF($C67="h",$B67*IF($D67=IF(MOD(I$34,6)=0,6,MOD(I$34,6)),1,0),IF($C67="q",$B67*IF($D67=IF(MOD(I$34,3)=0,3,MOD(I$34,3)),1,0),IF($C67="z",$B67*IF($D67=IF(MOD(I$34,2)=0,2,MOD(I$34,2)),1,0),IF($C67="m",$B67,0)))))</f>
        <v>0</v>
      </c>
      <c r="J67" s="15">
        <f>IF(AND($C67="j",$D67=J$34),$B67,IF($C67="h",$B67*IF($D67=IF(MOD(J$34,6)=0,6,MOD(J$34,6)),1,0),IF($C67="q",$B67*IF($D67=IF(MOD(J$34,3)=0,3,MOD(J$34,3)),1,0),IF($C67="z",$B67*IF($D67=IF(MOD(J$34,2)=0,2,MOD(J$34,2)),1,0),IF($C67="m",$B67,0)))))</f>
        <v>0</v>
      </c>
      <c r="K67" s="15">
        <f>IF(AND($C67="j",$D67=K$34),$B67,IF($C67="h",$B67*IF($D67=IF(MOD(K$34,6)=0,6,MOD(K$34,6)),1,0),IF($C67="q",$B67*IF($D67=IF(MOD(K$34,3)=0,3,MOD(K$34,3)),1,0),IF($C67="z",$B67*IF($D67=IF(MOD(K$34,2)=0,2,MOD(K$34,2)),1,0),IF($C67="m",$B67,0)))))</f>
        <v>0</v>
      </c>
      <c r="L67" s="15">
        <f>IF(AND($C67="j",$D67=L$34),$B67,IF($C67="h",$B67*IF($D67=IF(MOD(L$34,6)=0,6,MOD(L$34,6)),1,0),IF($C67="q",$B67*IF($D67=IF(MOD(L$34,3)=0,3,MOD(L$34,3)),1,0),IF($C67="z",$B67*IF($D67=IF(MOD(L$34,2)=0,2,MOD(L$34,2)),1,0),IF($C67="m",$B67,0)))))</f>
        <v>0</v>
      </c>
      <c r="M67" s="15">
        <f>IF(AND($C67="j",$D67=M$34),$B67,IF($C67="h",$B67*IF($D67=IF(MOD(M$34,6)=0,6,MOD(M$34,6)),1,0),IF($C67="q",$B67*IF($D67=IF(MOD(M$34,3)=0,3,MOD(M$34,3)),1,0),IF($C67="z",$B67*IF($D67=IF(MOD(M$34,2)=0,2,MOD(M$34,2)),1,0),IF($C67="m",$B67,0)))))</f>
        <v>0</v>
      </c>
      <c r="N67" s="15">
        <f>IF(AND($C67="j",$D67=N$34),$B67,IF($C67="h",$B67*IF($D67=IF(MOD(N$34,6)=0,6,MOD(N$34,6)),1,0),IF($C67="q",$B67*IF($D67=IF(MOD(N$34,3)=0,3,MOD(N$34,3)),1,0),IF($C67="z",$B67*IF($D67=IF(MOD(N$34,2)=0,2,MOD(N$34,2)),1,0),IF($C67="m",$B67,0)))))</f>
        <v>0</v>
      </c>
      <c r="O67" s="15">
        <f>IF(AND($C67="j",$D67=O$34),$B67,IF($C67="h",$B67*IF($D67=IF(MOD(O$34,6)=0,6,MOD(O$34,6)),1,0),IF($C67="q",$B67*IF($D67=IF(MOD(O$34,3)=0,3,MOD(O$34,3)),1,0),IF($C67="z",$B67*IF($D67=IF(MOD(O$34,2)=0,2,MOD(O$34,2)),1,0),IF($C67="m",$B67,0)))))</f>
        <v>0</v>
      </c>
      <c r="P67" s="15">
        <f>IF(AND($C67="j",$D67=P$34),$B67,IF($C67="h",$B67*IF($D67=IF(MOD(P$34,6)=0,6,MOD(P$34,6)),1,0),IF($C67="q",$B67*IF($D67=IF(MOD(P$34,3)=0,3,MOD(P$34,3)),1,0),IF($C67="z",$B67*IF($D67=IF(MOD(P$34,2)=0,2,MOD(P$34,2)),1,0),IF($C67="m",$B67,0)))))</f>
        <v>0</v>
      </c>
      <c r="Q67" s="273">
        <f t="shared" si="67"/>
        <v>0</v>
      </c>
      <c r="R67" s="595">
        <f t="shared" si="68"/>
        <v>0</v>
      </c>
      <c r="S67" s="15">
        <f t="shared" si="69"/>
        <v>0</v>
      </c>
      <c r="T67" s="15">
        <f t="shared" si="70"/>
        <v>0</v>
      </c>
      <c r="U67" s="15">
        <f t="shared" si="71"/>
        <v>0</v>
      </c>
      <c r="V67" s="273">
        <f t="shared" si="72"/>
        <v>0</v>
      </c>
      <c r="W67" s="16">
        <f t="shared" si="73"/>
        <v>0</v>
      </c>
      <c r="X67" s="17">
        <f t="shared" si="73"/>
        <v>0</v>
      </c>
      <c r="Z67" s="605">
        <f t="shared" si="74"/>
        <v>0</v>
      </c>
    </row>
    <row r="68" spans="1:26" ht="7.5" customHeight="1" thickTop="1" thickBot="1" x14ac:dyDescent="0.3">
      <c r="A68" s="103"/>
      <c r="B68" s="104"/>
      <c r="C68" s="105"/>
      <c r="D68" s="106"/>
      <c r="E68" s="27"/>
      <c r="F68" s="28"/>
      <c r="G68" s="28"/>
      <c r="H68" s="28"/>
      <c r="I68" s="28"/>
      <c r="J68" s="28"/>
      <c r="K68" s="28"/>
      <c r="L68" s="28"/>
      <c r="M68" s="28"/>
      <c r="N68" s="28"/>
      <c r="O68" s="28"/>
      <c r="P68" s="28"/>
      <c r="Q68" s="30"/>
      <c r="R68" s="31"/>
      <c r="S68" s="28"/>
      <c r="T68" s="28"/>
      <c r="U68" s="28"/>
      <c r="V68" s="30"/>
      <c r="W68" s="33"/>
      <c r="X68" s="34"/>
      <c r="Z68" s="601"/>
    </row>
    <row r="69" spans="1:26" s="899" customFormat="1" ht="18.75" customHeight="1" thickBot="1" x14ac:dyDescent="0.3">
      <c r="A69" s="602" t="s">
        <v>51</v>
      </c>
      <c r="B69" s="603">
        <f>Z69</f>
        <v>625</v>
      </c>
      <c r="D69" s="900"/>
      <c r="E69" s="901">
        <f>SUM(E65:E68)</f>
        <v>2000</v>
      </c>
      <c r="F69" s="575">
        <f>SUM(F65:F68)</f>
        <v>500</v>
      </c>
      <c r="G69" s="575">
        <f>SUM(G65:G68)</f>
        <v>500</v>
      </c>
      <c r="H69" s="575">
        <f>SUM(H65:H68)</f>
        <v>500</v>
      </c>
      <c r="I69" s="575">
        <f>SUM(I65:I68)</f>
        <v>500</v>
      </c>
      <c r="J69" s="575">
        <f>SUM(J65:J68)</f>
        <v>500</v>
      </c>
      <c r="K69" s="575">
        <f>SUM(K65:K68)</f>
        <v>500</v>
      </c>
      <c r="L69" s="575">
        <f>SUM(L65:L68)</f>
        <v>500</v>
      </c>
      <c r="M69" s="575">
        <f>SUM(M65:M68)</f>
        <v>500</v>
      </c>
      <c r="N69" s="575">
        <f>SUM(N65:N68)</f>
        <v>500</v>
      </c>
      <c r="O69" s="575">
        <f>SUM(O65:O68)</f>
        <v>500</v>
      </c>
      <c r="P69" s="575">
        <f>SUM(P65:P68)</f>
        <v>500</v>
      </c>
      <c r="Q69" s="37">
        <f>SUM(Q65:Q68)</f>
        <v>7500</v>
      </c>
      <c r="R69" s="574">
        <f>SUM(R65:R68)</f>
        <v>3000</v>
      </c>
      <c r="S69" s="575">
        <f>SUM(S65:S68)</f>
        <v>1500</v>
      </c>
      <c r="T69" s="575">
        <f>SUM(T65:T68)</f>
        <v>1500</v>
      </c>
      <c r="U69" s="575">
        <f>SUM(U65:U68)</f>
        <v>1500</v>
      </c>
      <c r="V69" s="37">
        <f>SUM(V65:V68)</f>
        <v>7500</v>
      </c>
      <c r="W69" s="39">
        <f>SUM(W65:W68)</f>
        <v>7500</v>
      </c>
      <c r="X69" s="40">
        <f>SUM(X65:X68)</f>
        <v>7500</v>
      </c>
      <c r="Z69" s="604">
        <f>SUM(Z65:Z67)</f>
        <v>625</v>
      </c>
    </row>
    <row r="70" spans="1:26" ht="15.75" thickBot="1" x14ac:dyDescent="0.3"/>
    <row r="71" spans="1:26" ht="15" customHeight="1" x14ac:dyDescent="0.25">
      <c r="A71" s="730" t="s">
        <v>73</v>
      </c>
      <c r="B71" s="728" t="s">
        <v>19</v>
      </c>
      <c r="C71" s="728" t="s">
        <v>45</v>
      </c>
      <c r="D71" s="732" t="s">
        <v>256</v>
      </c>
      <c r="E71" s="711" t="s">
        <v>20</v>
      </c>
      <c r="F71" s="691"/>
      <c r="G71" s="691"/>
      <c r="H71" s="691"/>
      <c r="I71" s="691"/>
      <c r="J71" s="691"/>
      <c r="K71" s="691"/>
      <c r="L71" s="691"/>
      <c r="M71" s="691"/>
      <c r="N71" s="691"/>
      <c r="O71" s="691"/>
      <c r="P71" s="692"/>
      <c r="Q71" s="712" t="s">
        <v>20</v>
      </c>
      <c r="R71" s="690" t="s">
        <v>25</v>
      </c>
      <c r="S71" s="691"/>
      <c r="T71" s="691"/>
      <c r="U71" s="692"/>
      <c r="V71" s="693" t="s">
        <v>25</v>
      </c>
      <c r="W71" s="695" t="s">
        <v>26</v>
      </c>
      <c r="X71" s="697" t="s">
        <v>27</v>
      </c>
      <c r="Z71" s="738" t="s">
        <v>50</v>
      </c>
    </row>
    <row r="72" spans="1:26" ht="15.75" thickBot="1" x14ac:dyDescent="0.3">
      <c r="A72" s="731"/>
      <c r="B72" s="729"/>
      <c r="C72" s="729"/>
      <c r="D72" s="733"/>
      <c r="E72" s="1">
        <v>1</v>
      </c>
      <c r="F72" s="2">
        <v>2</v>
      </c>
      <c r="G72" s="2">
        <v>3</v>
      </c>
      <c r="H72" s="2">
        <v>4</v>
      </c>
      <c r="I72" s="2">
        <v>5</v>
      </c>
      <c r="J72" s="2">
        <v>6</v>
      </c>
      <c r="K72" s="2">
        <v>7</v>
      </c>
      <c r="L72" s="2">
        <v>8</v>
      </c>
      <c r="M72" s="2">
        <v>9</v>
      </c>
      <c r="N72" s="2">
        <v>10</v>
      </c>
      <c r="O72" s="2">
        <v>11</v>
      </c>
      <c r="P72" s="3">
        <v>12</v>
      </c>
      <c r="Q72" s="713"/>
      <c r="R72" s="4" t="s">
        <v>21</v>
      </c>
      <c r="S72" s="2" t="s">
        <v>22</v>
      </c>
      <c r="T72" s="2" t="s">
        <v>23</v>
      </c>
      <c r="U72" s="2" t="s">
        <v>24</v>
      </c>
      <c r="V72" s="694"/>
      <c r="W72" s="696"/>
      <c r="X72" s="698"/>
      <c r="Z72" s="739"/>
    </row>
    <row r="73" spans="1:26" ht="18.75" customHeight="1" thickTop="1" x14ac:dyDescent="0.25">
      <c r="A73" s="94" t="s">
        <v>135</v>
      </c>
      <c r="B73" s="18">
        <v>2000</v>
      </c>
      <c r="C73" s="19" t="s">
        <v>46</v>
      </c>
      <c r="D73" s="20" t="s">
        <v>49</v>
      </c>
      <c r="E73" s="6">
        <f>IF(AND($C73="j",$D73=E$34),$B73,IF($C73="h",$B73*IF($D73=IF(MOD(E$34,6)=0,6,MOD(E$34,6)),1,0),IF($C73="q",$B73*IF($D73=IF(MOD(E$34,3)=0,3,MOD(E$34,3)),1,0),IF($C73="z",$B73*IF($D73=IF(MOD(E$34,2)=0,2,MOD(E$34,2)),1,0),IF($C73="m",$B73,0)))))</f>
        <v>2000</v>
      </c>
      <c r="F73" s="7">
        <f>IF(AND($C73="j",$D73=F$34),$B73,IF($C73="h",$B73*IF($D73=IF(MOD(F$34,6)=0,6,MOD(F$34,6)),1,0),IF($C73="q",$B73*IF($D73=IF(MOD(F$34,3)=0,3,MOD(F$34,3)),1,0),IF($C73="z",$B73*IF($D73=IF(MOD(F$34,2)=0,2,MOD(F$34,2)),1,0),IF($C73="m",$B73,0)))))</f>
        <v>2000</v>
      </c>
      <c r="G73" s="7">
        <f>IF(AND($C73="j",$D73=G$34),$B73,IF($C73="h",$B73*IF($D73=IF(MOD(G$34,6)=0,6,MOD(G$34,6)),1,0),IF($C73="q",$B73*IF($D73=IF(MOD(G$34,3)=0,3,MOD(G$34,3)),1,0),IF($C73="z",$B73*IF($D73=IF(MOD(G$34,2)=0,2,MOD(G$34,2)),1,0),IF($C73="m",$B73,0)))))</f>
        <v>2000</v>
      </c>
      <c r="H73" s="7">
        <f>IF(AND($C73="j",$D73=H$34),$B73,IF($C73="h",$B73*IF($D73=IF(MOD(H$34,6)=0,6,MOD(H$34,6)),1,0),IF($C73="q",$B73*IF($D73=IF(MOD(H$34,3)=0,3,MOD(H$34,3)),1,0),IF($C73="z",$B73*IF($D73=IF(MOD(H$34,2)=0,2,MOD(H$34,2)),1,0),IF($C73="m",$B73,0)))))</f>
        <v>2000</v>
      </c>
      <c r="I73" s="7">
        <f>IF(AND($C73="j",$D73=I$34),$B73,IF($C73="h",$B73*IF($D73=IF(MOD(I$34,6)=0,6,MOD(I$34,6)),1,0),IF($C73="q",$B73*IF($D73=IF(MOD(I$34,3)=0,3,MOD(I$34,3)),1,0),IF($C73="z",$B73*IF($D73=IF(MOD(I$34,2)=0,2,MOD(I$34,2)),1,0),IF($C73="m",$B73,0)))))</f>
        <v>2000</v>
      </c>
      <c r="J73" s="7">
        <f>IF(AND($C73="j",$D73=J$34),$B73,IF($C73="h",$B73*IF($D73=IF(MOD(J$34,6)=0,6,MOD(J$34,6)),1,0),IF($C73="q",$B73*IF($D73=IF(MOD(J$34,3)=0,3,MOD(J$34,3)),1,0),IF($C73="z",$B73*IF($D73=IF(MOD(J$34,2)=0,2,MOD(J$34,2)),1,0),IF($C73="m",$B73,0)))))</f>
        <v>2000</v>
      </c>
      <c r="K73" s="7">
        <f>IF(AND($C73="j",$D73=K$34),$B73,IF($C73="h",$B73*IF($D73=IF(MOD(K$34,6)=0,6,MOD(K$34,6)),1,0),IF($C73="q",$B73*IF($D73=IF(MOD(K$34,3)=0,3,MOD(K$34,3)),1,0),IF($C73="z",$B73*IF($D73=IF(MOD(K$34,2)=0,2,MOD(K$34,2)),1,0),IF($C73="m",$B73,0)))))</f>
        <v>2000</v>
      </c>
      <c r="L73" s="7">
        <f>IF(AND($C73="j",$D73=L$34),$B73,IF($C73="h",$B73*IF($D73=IF(MOD(L$34,6)=0,6,MOD(L$34,6)),1,0),IF($C73="q",$B73*IF($D73=IF(MOD(L$34,3)=0,3,MOD(L$34,3)),1,0),IF($C73="z",$B73*IF($D73=IF(MOD(L$34,2)=0,2,MOD(L$34,2)),1,0),IF($C73="m",$B73,0)))))</f>
        <v>2000</v>
      </c>
      <c r="M73" s="7">
        <f>IF(AND($C73="j",$D73=M$34),$B73,IF($C73="h",$B73*IF($D73=IF(MOD(M$34,6)=0,6,MOD(M$34,6)),1,0),IF($C73="q",$B73*IF($D73=IF(MOD(M$34,3)=0,3,MOD(M$34,3)),1,0),IF($C73="z",$B73*IF($D73=IF(MOD(M$34,2)=0,2,MOD(M$34,2)),1,0),IF($C73="m",$B73,0)))))</f>
        <v>2000</v>
      </c>
      <c r="N73" s="7">
        <f>IF(AND($C73="j",$D73=N$34),$B73,IF($C73="h",$B73*IF($D73=IF(MOD(N$34,6)=0,6,MOD(N$34,6)),1,0),IF($C73="q",$B73*IF($D73=IF(MOD(N$34,3)=0,3,MOD(N$34,3)),1,0),IF($C73="z",$B73*IF($D73=IF(MOD(N$34,2)=0,2,MOD(N$34,2)),1,0),IF($C73="m",$B73,0)))))</f>
        <v>2000</v>
      </c>
      <c r="O73" s="7">
        <f>IF(AND($C73="j",$D73=O$34),$B73,IF($C73="h",$B73*IF($D73=IF(MOD(O$34,6)=0,6,MOD(O$34,6)),1,0),IF($C73="q",$B73*IF($D73=IF(MOD(O$34,3)=0,3,MOD(O$34,3)),1,0),IF($C73="z",$B73*IF($D73=IF(MOD(O$34,2)=0,2,MOD(O$34,2)),1,0),IF($C73="m",$B73,0)))))</f>
        <v>2000</v>
      </c>
      <c r="P73" s="7">
        <f>IF(AND($C73="j",$D73=P$34),$B73,IF($C73="h",$B73*IF($D73=IF(MOD(P$34,6)=0,6,MOD(P$34,6)),1,0),IF($C73="q",$B73*IF($D73=IF(MOD(P$34,3)=0,3,MOD(P$34,3)),1,0),IF($C73="z",$B73*IF($D73=IF(MOD(P$34,2)=0,2,MOD(P$34,2)),1,0),IF($C73="m",$B73,0)))))</f>
        <v>2000</v>
      </c>
      <c r="Q73" s="272">
        <f>SUM(E73:P73)</f>
        <v>24000</v>
      </c>
      <c r="R73" s="310">
        <f>IF(AND($C73="j",$D73&gt;=1,$D73&lt;=3),$B73,IF(AND($C73="h",$D73&gt;=1,$D73&lt;=3),$B73,IF(AND($C73="q",$D73&gt;=1,$D73&lt;=3),$B73,IF($C73="z",IF($D73=1,2*$B73,$B73),IF($C73="m",3*$B73,0)))))</f>
        <v>6000</v>
      </c>
      <c r="S73" s="7">
        <f>IF(AND($C73="j",$D73&gt;=4,$D73&lt;=6),$B73,IF(AND($C73="h",$D73&gt;=4,$D73&lt;=6),$B73,IF(AND($C73="q",$D73&gt;=1,$D73&lt;=3),$B73,IF($C73="z",IF($D73=2,2*$B73,$B73),IF($C73="m",3*$B73,0)))))</f>
        <v>6000</v>
      </c>
      <c r="T73" s="7">
        <f>IF(AND($C73="j",$D73&gt;=7,$D73&lt;=9),$B73,IF(AND($C73="h",$D73&gt;=1,$D73&lt;=3),$B73,IF(AND($C73="q",$D73&gt;=1,$D73&lt;=3),$B73,IF($C73="z",IF($D73=1,2*$B73,$B73),IF($C73="m",3*$B73,0)))))</f>
        <v>6000</v>
      </c>
      <c r="U73" s="7">
        <f>IF(AND($C73="j",$D73&gt;=10,$D73&lt;=12),$B73,IF(AND($C73="h",$D73&gt;=4,$D73&lt;=6),$B73,IF(AND($C73="q",$D73&gt;=1,$D73&lt;=3),$B73,IF($C73="z",IF($D73=2,2*$B73,$B73),IF($C73="m",3*$B73,0)))))</f>
        <v>6000</v>
      </c>
      <c r="V73" s="272">
        <f>SUM(R73:U73)</f>
        <v>24000</v>
      </c>
      <c r="W73" s="8">
        <f>IF($C73="j",$B73,IF($C73="h",2*$B73,IF($C73="q",4*$B73,IF($C73="z",6*$B73,12*$B73))))</f>
        <v>24000</v>
      </c>
      <c r="X73" s="9">
        <f>IF($C73="j",$B73,IF($C73="h",2*$B73,IF($C73="q",4*$B73,IF($C73="z",6*$B73,12*$B73))))</f>
        <v>24000</v>
      </c>
      <c r="Z73" s="599">
        <f>Q73/12</f>
        <v>2000</v>
      </c>
    </row>
    <row r="74" spans="1:26" ht="18.75" customHeight="1" x14ac:dyDescent="0.25">
      <c r="A74" s="95" t="s">
        <v>118</v>
      </c>
      <c r="B74" s="96">
        <v>200</v>
      </c>
      <c r="C74" s="97" t="s">
        <v>46</v>
      </c>
      <c r="D74" s="98" t="s">
        <v>49</v>
      </c>
      <c r="E74" s="10">
        <f>IF(AND($C74="j",$D74=E$34),$B74,IF($C74="h",$B74*IF($D74=IF(MOD(E$34,6)=0,6,MOD(E$34,6)),1,0),IF($C74="q",$B74*IF($D74=IF(MOD(E$34,3)=0,3,MOD(E$34,3)),1,0),IF($C74="z",$B74*IF($D74=IF(MOD(E$34,2)=0,2,MOD(E$34,2)),1,0),IF($C74="m",$B74,0)))))</f>
        <v>200</v>
      </c>
      <c r="F74" s="11">
        <f>IF(AND($C74="j",$D74=F$34),$B74,IF($C74="h",$B74*IF($D74=IF(MOD(F$34,6)=0,6,MOD(F$34,6)),1,0),IF($C74="q",$B74*IF($D74=IF(MOD(F$34,3)=0,3,MOD(F$34,3)),1,0),IF($C74="z",$B74*IF($D74=IF(MOD(F$34,2)=0,2,MOD(F$34,2)),1,0),IF($C74="m",$B74,0)))))</f>
        <v>200</v>
      </c>
      <c r="G74" s="11">
        <f>IF(AND($C74="j",$D74=G$34),$B74,IF($C74="h",$B74*IF($D74=IF(MOD(G$34,6)=0,6,MOD(G$34,6)),1,0),IF($C74="q",$B74*IF($D74=IF(MOD(G$34,3)=0,3,MOD(G$34,3)),1,0),IF($C74="z",$B74*IF($D74=IF(MOD(G$34,2)=0,2,MOD(G$34,2)),1,0),IF($C74="m",$B74,0)))))</f>
        <v>200</v>
      </c>
      <c r="H74" s="11">
        <f>IF(AND($C74="j",$D74=H$34),$B74,IF($C74="h",$B74*IF($D74=IF(MOD(H$34,6)=0,6,MOD(H$34,6)),1,0),IF($C74="q",$B74*IF($D74=IF(MOD(H$34,3)=0,3,MOD(H$34,3)),1,0),IF($C74="z",$B74*IF($D74=IF(MOD(H$34,2)=0,2,MOD(H$34,2)),1,0),IF($C74="m",$B74,0)))))</f>
        <v>200</v>
      </c>
      <c r="I74" s="11">
        <f>IF(AND($C74="j",$D74=I$34),$B74,IF($C74="h",$B74*IF($D74=IF(MOD(I$34,6)=0,6,MOD(I$34,6)),1,0),IF($C74="q",$B74*IF($D74=IF(MOD(I$34,3)=0,3,MOD(I$34,3)),1,0),IF($C74="z",$B74*IF($D74=IF(MOD(I$34,2)=0,2,MOD(I$34,2)),1,0),IF($C74="m",$B74,0)))))</f>
        <v>200</v>
      </c>
      <c r="J74" s="11">
        <f>IF(AND($C74="j",$D74=J$34),$B74,IF($C74="h",$B74*IF($D74=IF(MOD(J$34,6)=0,6,MOD(J$34,6)),1,0),IF($C74="q",$B74*IF($D74=IF(MOD(J$34,3)=0,3,MOD(J$34,3)),1,0),IF($C74="z",$B74*IF($D74=IF(MOD(J$34,2)=0,2,MOD(J$34,2)),1,0),IF($C74="m",$B74,0)))))</f>
        <v>200</v>
      </c>
      <c r="K74" s="11">
        <f>IF(AND($C74="j",$D74=K$34),$B74,IF($C74="h",$B74*IF($D74=IF(MOD(K$34,6)=0,6,MOD(K$34,6)),1,0),IF($C74="q",$B74*IF($D74=IF(MOD(K$34,3)=0,3,MOD(K$34,3)),1,0),IF($C74="z",$B74*IF($D74=IF(MOD(K$34,2)=0,2,MOD(K$34,2)),1,0),IF($C74="m",$B74,0)))))</f>
        <v>200</v>
      </c>
      <c r="L74" s="11">
        <f>IF(AND($C74="j",$D74=L$34),$B74,IF($C74="h",$B74*IF($D74=IF(MOD(L$34,6)=0,6,MOD(L$34,6)),1,0),IF($C74="q",$B74*IF($D74=IF(MOD(L$34,3)=0,3,MOD(L$34,3)),1,0),IF($C74="z",$B74*IF($D74=IF(MOD(L$34,2)=0,2,MOD(L$34,2)),1,0),IF($C74="m",$B74,0)))))</f>
        <v>200</v>
      </c>
      <c r="M74" s="11">
        <f>IF(AND($C74="j",$D74=M$34),$B74,IF($C74="h",$B74*IF($D74=IF(MOD(M$34,6)=0,6,MOD(M$34,6)),1,0),IF($C74="q",$B74*IF($D74=IF(MOD(M$34,3)=0,3,MOD(M$34,3)),1,0),IF($C74="z",$B74*IF($D74=IF(MOD(M$34,2)=0,2,MOD(M$34,2)),1,0),IF($C74="m",$B74,0)))))</f>
        <v>200</v>
      </c>
      <c r="N74" s="11">
        <f>IF(AND($C74="j",$D74=N$34),$B74,IF($C74="h",$B74*IF($D74=IF(MOD(N$34,6)=0,6,MOD(N$34,6)),1,0),IF($C74="q",$B74*IF($D74=IF(MOD(N$34,3)=0,3,MOD(N$34,3)),1,0),IF($C74="z",$B74*IF($D74=IF(MOD(N$34,2)=0,2,MOD(N$34,2)),1,0),IF($C74="m",$B74,0)))))</f>
        <v>200</v>
      </c>
      <c r="O74" s="11">
        <f>IF(AND($C74="j",$D74=O$34),$B74,IF($C74="h",$B74*IF($D74=IF(MOD(O$34,6)=0,6,MOD(O$34,6)),1,0),IF($C74="q",$B74*IF($D74=IF(MOD(O$34,3)=0,3,MOD(O$34,3)),1,0),IF($C74="z",$B74*IF($D74=IF(MOD(O$34,2)=0,2,MOD(O$34,2)),1,0),IF($C74="m",$B74,0)))))</f>
        <v>200</v>
      </c>
      <c r="P74" s="11">
        <f>IF(AND($C74="j",$D74=P$34),$B74,IF($C74="h",$B74*IF($D74=IF(MOD(P$34,6)=0,6,MOD(P$34,6)),1,0),IF($C74="q",$B74*IF($D74=IF(MOD(P$34,3)=0,3,MOD(P$34,3)),1,0),IF($C74="z",$B74*IF($D74=IF(MOD(P$34,2)=0,2,MOD(P$34,2)),1,0),IF($C74="m",$B74,0)))))</f>
        <v>200</v>
      </c>
      <c r="Q74" s="591">
        <f t="shared" ref="Q74:Q75" si="75">SUM(E74:P74)</f>
        <v>2400</v>
      </c>
      <c r="R74" s="311">
        <f t="shared" ref="R74:R75" si="76">IF(AND($C74="j",$D74&gt;=1,$D74&lt;=3),$B74,IF(AND($C74="h",$D74&gt;=1,$D74&lt;=3),$B74,IF(AND($C74="q",$D74&gt;=1,$D74&lt;=3),$B74,IF($C74="z",IF($D74=1,2*$B74,$B74),IF($C74="m",3*$B74,0)))))</f>
        <v>600</v>
      </c>
      <c r="S74" s="11">
        <f t="shared" ref="S74:S75" si="77">IF(AND($C74="j",$D74&gt;=4,$D74&lt;=6),$B74,IF(AND($C74="h",$D74&gt;=4,$D74&lt;=6),$B74,IF(AND($C74="q",$D74&gt;=1,$D74&lt;=3),$B74,IF($C74="z",IF($D74=2,2*$B74,$B74),IF($C74="m",3*$B74,0)))))</f>
        <v>600</v>
      </c>
      <c r="T74" s="11">
        <f t="shared" ref="T74:T75" si="78">IF(AND($C74="j",$D74&gt;=7,$D74&lt;=9),$B74,IF(AND($C74="h",$D74&gt;=1,$D74&lt;=3),$B74,IF(AND($C74="q",$D74&gt;=1,$D74&lt;=3),$B74,IF($C74="z",IF($D74=1,2*$B74,$B74),IF($C74="m",3*$B74,0)))))</f>
        <v>600</v>
      </c>
      <c r="U74" s="11">
        <f t="shared" ref="U74:U75" si="79">IF(AND($C74="j",$D74&gt;=10,$D74&lt;=12),$B74,IF(AND($C74="h",$D74&gt;=4,$D74&lt;=6),$B74,IF(AND($C74="q",$D74&gt;=1,$D74&lt;=3),$B74,IF($C74="z",IF($D74=2,2*$B74,$B74),IF($C74="m",3*$B74,0)))))</f>
        <v>600</v>
      </c>
      <c r="V74" s="591">
        <f t="shared" ref="V74:V75" si="80">SUM(R74:U74)</f>
        <v>2400</v>
      </c>
      <c r="W74" s="12">
        <f t="shared" ref="W74:X75" si="81">IF($C74="j",$B74,IF($C74="h",2*$B74,IF($C74="q",4*$B74,IF($C74="z",6*$B74,12*$B74))))</f>
        <v>2400</v>
      </c>
      <c r="X74" s="13">
        <f t="shared" si="81"/>
        <v>2400</v>
      </c>
      <c r="Z74" s="600">
        <f t="shared" ref="Z74:Z75" si="82">Q74/12</f>
        <v>200</v>
      </c>
    </row>
    <row r="75" spans="1:26" ht="18.75" customHeight="1" thickBot="1" x14ac:dyDescent="0.3">
      <c r="A75" s="99"/>
      <c r="B75" s="100"/>
      <c r="C75" s="101"/>
      <c r="D75" s="102"/>
      <c r="E75" s="14">
        <f>IF(AND($C75="j",$D75=E$34),$B75,IF($C75="h",$B75*IF($D75=IF(MOD(E$34,6)=0,6,MOD(E$34,6)),1,0),IF($C75="q",$B75*IF($D75=IF(MOD(E$34,3)=0,3,MOD(E$34,3)),1,0),IF($C75="z",$B75*IF($D75=IF(MOD(E$34,2)=0,2,MOD(E$34,2)),1,0),IF($C75="m",$B75,0)))))</f>
        <v>0</v>
      </c>
      <c r="F75" s="15">
        <f>IF(AND($C75="j",$D75=F$34),$B75,IF($C75="h",$B75*IF($D75=IF(MOD(F$34,6)=0,6,MOD(F$34,6)),1,0),IF($C75="q",$B75*IF($D75=IF(MOD(F$34,3)=0,3,MOD(F$34,3)),1,0),IF($C75="z",$B75*IF($D75=IF(MOD(F$34,2)=0,2,MOD(F$34,2)),1,0),IF($C75="m",$B75,0)))))</f>
        <v>0</v>
      </c>
      <c r="G75" s="15">
        <f>IF(AND($C75="j",$D75=G$34),$B75,IF($C75="h",$B75*IF($D75=IF(MOD(G$34,6)=0,6,MOD(G$34,6)),1,0),IF($C75="q",$B75*IF($D75=IF(MOD(G$34,3)=0,3,MOD(G$34,3)),1,0),IF($C75="z",$B75*IF($D75=IF(MOD(G$34,2)=0,2,MOD(G$34,2)),1,0),IF($C75="m",$B75,0)))))</f>
        <v>0</v>
      </c>
      <c r="H75" s="15">
        <f>IF(AND($C75="j",$D75=H$34),$B75,IF($C75="h",$B75*IF($D75=IF(MOD(H$34,6)=0,6,MOD(H$34,6)),1,0),IF($C75="q",$B75*IF($D75=IF(MOD(H$34,3)=0,3,MOD(H$34,3)),1,0),IF($C75="z",$B75*IF($D75=IF(MOD(H$34,2)=0,2,MOD(H$34,2)),1,0),IF($C75="m",$B75,0)))))</f>
        <v>0</v>
      </c>
      <c r="I75" s="15">
        <f>IF(AND($C75="j",$D75=I$34),$B75,IF($C75="h",$B75*IF($D75=IF(MOD(I$34,6)=0,6,MOD(I$34,6)),1,0),IF($C75="q",$B75*IF($D75=IF(MOD(I$34,3)=0,3,MOD(I$34,3)),1,0),IF($C75="z",$B75*IF($D75=IF(MOD(I$34,2)=0,2,MOD(I$34,2)),1,0),IF($C75="m",$B75,0)))))</f>
        <v>0</v>
      </c>
      <c r="J75" s="15">
        <f>IF(AND($C75="j",$D75=J$34),$B75,IF($C75="h",$B75*IF($D75=IF(MOD(J$34,6)=0,6,MOD(J$34,6)),1,0),IF($C75="q",$B75*IF($D75=IF(MOD(J$34,3)=0,3,MOD(J$34,3)),1,0),IF($C75="z",$B75*IF($D75=IF(MOD(J$34,2)=0,2,MOD(J$34,2)),1,0),IF($C75="m",$B75,0)))))</f>
        <v>0</v>
      </c>
      <c r="K75" s="15">
        <f>IF(AND($C75="j",$D75=K$34),$B75,IF($C75="h",$B75*IF($D75=IF(MOD(K$34,6)=0,6,MOD(K$34,6)),1,0),IF($C75="q",$B75*IF($D75=IF(MOD(K$34,3)=0,3,MOD(K$34,3)),1,0),IF($C75="z",$B75*IF($D75=IF(MOD(K$34,2)=0,2,MOD(K$34,2)),1,0),IF($C75="m",$B75,0)))))</f>
        <v>0</v>
      </c>
      <c r="L75" s="15">
        <f>IF(AND($C75="j",$D75=L$34),$B75,IF($C75="h",$B75*IF($D75=IF(MOD(L$34,6)=0,6,MOD(L$34,6)),1,0),IF($C75="q",$B75*IF($D75=IF(MOD(L$34,3)=0,3,MOD(L$34,3)),1,0),IF($C75="z",$B75*IF($D75=IF(MOD(L$34,2)=0,2,MOD(L$34,2)),1,0),IF($C75="m",$B75,0)))))</f>
        <v>0</v>
      </c>
      <c r="M75" s="15">
        <f>IF(AND($C75="j",$D75=M$34),$B75,IF($C75="h",$B75*IF($D75=IF(MOD(M$34,6)=0,6,MOD(M$34,6)),1,0),IF($C75="q",$B75*IF($D75=IF(MOD(M$34,3)=0,3,MOD(M$34,3)),1,0),IF($C75="z",$B75*IF($D75=IF(MOD(M$34,2)=0,2,MOD(M$34,2)),1,0),IF($C75="m",$B75,0)))))</f>
        <v>0</v>
      </c>
      <c r="N75" s="15">
        <f>IF(AND($C75="j",$D75=N$34),$B75,IF($C75="h",$B75*IF($D75=IF(MOD(N$34,6)=0,6,MOD(N$34,6)),1,0),IF($C75="q",$B75*IF($D75=IF(MOD(N$34,3)=0,3,MOD(N$34,3)),1,0),IF($C75="z",$B75*IF($D75=IF(MOD(N$34,2)=0,2,MOD(N$34,2)),1,0),IF($C75="m",$B75,0)))))</f>
        <v>0</v>
      </c>
      <c r="O75" s="15">
        <f>IF(AND($C75="j",$D75=O$34),$B75,IF($C75="h",$B75*IF($D75=IF(MOD(O$34,6)=0,6,MOD(O$34,6)),1,0),IF($C75="q",$B75*IF($D75=IF(MOD(O$34,3)=0,3,MOD(O$34,3)),1,0),IF($C75="z",$B75*IF($D75=IF(MOD(O$34,2)=0,2,MOD(O$34,2)),1,0),IF($C75="m",$B75,0)))))</f>
        <v>0</v>
      </c>
      <c r="P75" s="15">
        <f>IF(AND($C75="j",$D75=P$34),$B75,IF($C75="h",$B75*IF($D75=IF(MOD(P$34,6)=0,6,MOD(P$34,6)),1,0),IF($C75="q",$B75*IF($D75=IF(MOD(P$34,3)=0,3,MOD(P$34,3)),1,0),IF($C75="z",$B75*IF($D75=IF(MOD(P$34,2)=0,2,MOD(P$34,2)),1,0),IF($C75="m",$B75,0)))))</f>
        <v>0</v>
      </c>
      <c r="Q75" s="273">
        <f t="shared" si="75"/>
        <v>0</v>
      </c>
      <c r="R75" s="595">
        <f t="shared" si="76"/>
        <v>0</v>
      </c>
      <c r="S75" s="15">
        <f t="shared" si="77"/>
        <v>0</v>
      </c>
      <c r="T75" s="15">
        <f t="shared" si="78"/>
        <v>0</v>
      </c>
      <c r="U75" s="15">
        <f t="shared" si="79"/>
        <v>0</v>
      </c>
      <c r="V75" s="273">
        <f t="shared" si="80"/>
        <v>0</v>
      </c>
      <c r="W75" s="16">
        <f t="shared" si="81"/>
        <v>0</v>
      </c>
      <c r="X75" s="17">
        <f t="shared" si="81"/>
        <v>0</v>
      </c>
      <c r="Z75" s="605">
        <f t="shared" si="82"/>
        <v>0</v>
      </c>
    </row>
    <row r="76" spans="1:26" ht="7.5" customHeight="1" thickTop="1" thickBot="1" x14ac:dyDescent="0.3">
      <c r="A76" s="103"/>
      <c r="B76" s="104"/>
      <c r="C76" s="105"/>
      <c r="D76" s="106"/>
      <c r="E76" s="27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28"/>
      <c r="Q76" s="30"/>
      <c r="R76" s="31"/>
      <c r="S76" s="28"/>
      <c r="T76" s="28"/>
      <c r="U76" s="28"/>
      <c r="V76" s="30"/>
      <c r="W76" s="33"/>
      <c r="X76" s="34"/>
      <c r="Z76" s="601"/>
    </row>
    <row r="77" spans="1:26" s="899" customFormat="1" ht="18.75" customHeight="1" thickBot="1" x14ac:dyDescent="0.3">
      <c r="A77" s="602" t="s">
        <v>51</v>
      </c>
      <c r="B77" s="603">
        <f>Z77</f>
        <v>2200</v>
      </c>
      <c r="D77" s="900"/>
      <c r="E77" s="901">
        <f>SUM(E73:E76)</f>
        <v>2200</v>
      </c>
      <c r="F77" s="575">
        <f>SUM(F73:F76)</f>
        <v>2200</v>
      </c>
      <c r="G77" s="575">
        <f>SUM(G73:G76)</f>
        <v>2200</v>
      </c>
      <c r="H77" s="575">
        <f>SUM(H73:H76)</f>
        <v>2200</v>
      </c>
      <c r="I77" s="575">
        <f>SUM(I73:I76)</f>
        <v>2200</v>
      </c>
      <c r="J77" s="575">
        <f>SUM(J73:J76)</f>
        <v>2200</v>
      </c>
      <c r="K77" s="575">
        <f>SUM(K73:K76)</f>
        <v>2200</v>
      </c>
      <c r="L77" s="575">
        <f>SUM(L73:L76)</f>
        <v>2200</v>
      </c>
      <c r="M77" s="575">
        <f>SUM(M73:M76)</f>
        <v>2200</v>
      </c>
      <c r="N77" s="575">
        <f>SUM(N73:N76)</f>
        <v>2200</v>
      </c>
      <c r="O77" s="575">
        <f>SUM(O73:O76)</f>
        <v>2200</v>
      </c>
      <c r="P77" s="575">
        <f>SUM(P73:P76)</f>
        <v>2200</v>
      </c>
      <c r="Q77" s="37">
        <f>SUM(Q73:Q76)</f>
        <v>26400</v>
      </c>
      <c r="R77" s="574">
        <f>SUM(R73:R76)</f>
        <v>6600</v>
      </c>
      <c r="S77" s="575">
        <f>SUM(S73:S76)</f>
        <v>6600</v>
      </c>
      <c r="T77" s="575">
        <f>SUM(T73:T76)</f>
        <v>6600</v>
      </c>
      <c r="U77" s="575">
        <f>SUM(U73:U76)</f>
        <v>6600</v>
      </c>
      <c r="V77" s="37">
        <f>SUM(V73:V76)</f>
        <v>26400</v>
      </c>
      <c r="W77" s="39">
        <f>SUM(W73:W76)</f>
        <v>26400</v>
      </c>
      <c r="X77" s="40">
        <f>SUM(X73:X76)</f>
        <v>26400</v>
      </c>
      <c r="Z77" s="604">
        <f>SUM(Z73:Z75)</f>
        <v>2200</v>
      </c>
    </row>
    <row r="78" spans="1:26" ht="15.75" thickBot="1" x14ac:dyDescent="0.3"/>
    <row r="79" spans="1:26" ht="15" customHeight="1" x14ac:dyDescent="0.25">
      <c r="A79" s="730" t="s">
        <v>76</v>
      </c>
      <c r="B79" s="728" t="s">
        <v>19</v>
      </c>
      <c r="C79" s="728" t="s">
        <v>45</v>
      </c>
      <c r="D79" s="732" t="s">
        <v>256</v>
      </c>
      <c r="E79" s="711" t="s">
        <v>20</v>
      </c>
      <c r="F79" s="691"/>
      <c r="G79" s="691"/>
      <c r="H79" s="691"/>
      <c r="I79" s="691"/>
      <c r="J79" s="691"/>
      <c r="K79" s="691"/>
      <c r="L79" s="691"/>
      <c r="M79" s="691"/>
      <c r="N79" s="691"/>
      <c r="O79" s="691"/>
      <c r="P79" s="692"/>
      <c r="Q79" s="712" t="s">
        <v>20</v>
      </c>
      <c r="R79" s="690" t="s">
        <v>25</v>
      </c>
      <c r="S79" s="691"/>
      <c r="T79" s="691"/>
      <c r="U79" s="692"/>
      <c r="V79" s="693" t="s">
        <v>25</v>
      </c>
      <c r="W79" s="695" t="s">
        <v>26</v>
      </c>
      <c r="X79" s="697" t="s">
        <v>27</v>
      </c>
      <c r="Z79" s="738" t="s">
        <v>50</v>
      </c>
    </row>
    <row r="80" spans="1:26" ht="15.75" thickBot="1" x14ac:dyDescent="0.3">
      <c r="A80" s="731"/>
      <c r="B80" s="729"/>
      <c r="C80" s="729"/>
      <c r="D80" s="733"/>
      <c r="E80" s="1">
        <v>1</v>
      </c>
      <c r="F80" s="2">
        <v>2</v>
      </c>
      <c r="G80" s="2">
        <v>3</v>
      </c>
      <c r="H80" s="2">
        <v>4</v>
      </c>
      <c r="I80" s="2">
        <v>5</v>
      </c>
      <c r="J80" s="2">
        <v>6</v>
      </c>
      <c r="K80" s="2">
        <v>7</v>
      </c>
      <c r="L80" s="2">
        <v>8</v>
      </c>
      <c r="M80" s="2">
        <v>9</v>
      </c>
      <c r="N80" s="2">
        <v>10</v>
      </c>
      <c r="O80" s="2">
        <v>11</v>
      </c>
      <c r="P80" s="3">
        <v>12</v>
      </c>
      <c r="Q80" s="713"/>
      <c r="R80" s="4" t="s">
        <v>21</v>
      </c>
      <c r="S80" s="2" t="s">
        <v>22</v>
      </c>
      <c r="T80" s="2" t="s">
        <v>23</v>
      </c>
      <c r="U80" s="2" t="s">
        <v>24</v>
      </c>
      <c r="V80" s="694"/>
      <c r="W80" s="696"/>
      <c r="X80" s="698"/>
      <c r="Z80" s="739"/>
    </row>
    <row r="81" spans="1:26" ht="18.75" customHeight="1" thickTop="1" x14ac:dyDescent="0.25">
      <c r="A81" s="94" t="s">
        <v>77</v>
      </c>
      <c r="B81" s="18">
        <v>88</v>
      </c>
      <c r="C81" s="19" t="s">
        <v>46</v>
      </c>
      <c r="D81" s="20" t="s">
        <v>49</v>
      </c>
      <c r="E81" s="6">
        <f>IF(AND($C81="j",$D81=E$34),$B81,IF($C81="h",$B81*IF($D81=IF(MOD(E$34,6)=0,6,MOD(E$34,6)),1,0),IF($C81="q",$B81*IF($D81=IF(MOD(E$34,3)=0,3,MOD(E$34,3)),1,0),IF($C81="z",$B81*IF($D81=IF(MOD(E$34,2)=0,2,MOD(E$34,2)),1,0),IF($C81="m",$B81,0)))))</f>
        <v>88</v>
      </c>
      <c r="F81" s="7">
        <f>IF(AND($C81="j",$D81=F$34),$B81,IF($C81="h",$B81*IF($D81=IF(MOD(F$34,6)=0,6,MOD(F$34,6)),1,0),IF($C81="q",$B81*IF($D81=IF(MOD(F$34,3)=0,3,MOD(F$34,3)),1,0),IF($C81="z",$B81*IF($D81=IF(MOD(F$34,2)=0,2,MOD(F$34,2)),1,0),IF($C81="m",$B81,0)))))</f>
        <v>88</v>
      </c>
      <c r="G81" s="7">
        <f>IF(AND($C81="j",$D81=G$34),$B81,IF($C81="h",$B81*IF($D81=IF(MOD(G$34,6)=0,6,MOD(G$34,6)),1,0),IF($C81="q",$B81*IF($D81=IF(MOD(G$34,3)=0,3,MOD(G$34,3)),1,0),IF($C81="z",$B81*IF($D81=IF(MOD(G$34,2)=0,2,MOD(G$34,2)),1,0),IF($C81="m",$B81,0)))))</f>
        <v>88</v>
      </c>
      <c r="H81" s="7">
        <f>IF(AND($C81="j",$D81=H$34),$B81,IF($C81="h",$B81*IF($D81=IF(MOD(H$34,6)=0,6,MOD(H$34,6)),1,0),IF($C81="q",$B81*IF($D81=IF(MOD(H$34,3)=0,3,MOD(H$34,3)),1,0),IF($C81="z",$B81*IF($D81=IF(MOD(H$34,2)=0,2,MOD(H$34,2)),1,0),IF($C81="m",$B81,0)))))</f>
        <v>88</v>
      </c>
      <c r="I81" s="7">
        <f>IF(AND($C81="j",$D81=I$34),$B81,IF($C81="h",$B81*IF($D81=IF(MOD(I$34,6)=0,6,MOD(I$34,6)),1,0),IF($C81="q",$B81*IF($D81=IF(MOD(I$34,3)=0,3,MOD(I$34,3)),1,0),IF($C81="z",$B81*IF($D81=IF(MOD(I$34,2)=0,2,MOD(I$34,2)),1,0),IF($C81="m",$B81,0)))))</f>
        <v>88</v>
      </c>
      <c r="J81" s="7">
        <f>IF(AND($C81="j",$D81=J$34),$B81,IF($C81="h",$B81*IF($D81=IF(MOD(J$34,6)=0,6,MOD(J$34,6)),1,0),IF($C81="q",$B81*IF($D81=IF(MOD(J$34,3)=0,3,MOD(J$34,3)),1,0),IF($C81="z",$B81*IF($D81=IF(MOD(J$34,2)=0,2,MOD(J$34,2)),1,0),IF($C81="m",$B81,0)))))</f>
        <v>88</v>
      </c>
      <c r="K81" s="7">
        <f>IF(AND($C81="j",$D81=K$34),$B81,IF($C81="h",$B81*IF($D81=IF(MOD(K$34,6)=0,6,MOD(K$34,6)),1,0),IF($C81="q",$B81*IF($D81=IF(MOD(K$34,3)=0,3,MOD(K$34,3)),1,0),IF($C81="z",$B81*IF($D81=IF(MOD(K$34,2)=0,2,MOD(K$34,2)),1,0),IF($C81="m",$B81,0)))))</f>
        <v>88</v>
      </c>
      <c r="L81" s="7">
        <f>IF(AND($C81="j",$D81=L$34),$B81,IF($C81="h",$B81*IF($D81=IF(MOD(L$34,6)=0,6,MOD(L$34,6)),1,0),IF($C81="q",$B81*IF($D81=IF(MOD(L$34,3)=0,3,MOD(L$34,3)),1,0),IF($C81="z",$B81*IF($D81=IF(MOD(L$34,2)=0,2,MOD(L$34,2)),1,0),IF($C81="m",$B81,0)))))</f>
        <v>88</v>
      </c>
      <c r="M81" s="7">
        <f>IF(AND($C81="j",$D81=M$34),$B81,IF($C81="h",$B81*IF($D81=IF(MOD(M$34,6)=0,6,MOD(M$34,6)),1,0),IF($C81="q",$B81*IF($D81=IF(MOD(M$34,3)=0,3,MOD(M$34,3)),1,0),IF($C81="z",$B81*IF($D81=IF(MOD(M$34,2)=0,2,MOD(M$34,2)),1,0),IF($C81="m",$B81,0)))))</f>
        <v>88</v>
      </c>
      <c r="N81" s="7">
        <f>IF(AND($C81="j",$D81=N$34),$B81,IF($C81="h",$B81*IF($D81=IF(MOD(N$34,6)=0,6,MOD(N$34,6)),1,0),IF($C81="q",$B81*IF($D81=IF(MOD(N$34,3)=0,3,MOD(N$34,3)),1,0),IF($C81="z",$B81*IF($D81=IF(MOD(N$34,2)=0,2,MOD(N$34,2)),1,0),IF($C81="m",$B81,0)))))</f>
        <v>88</v>
      </c>
      <c r="O81" s="7">
        <f>IF(AND($C81="j",$D81=O$34),$B81,IF($C81="h",$B81*IF($D81=IF(MOD(O$34,6)=0,6,MOD(O$34,6)),1,0),IF($C81="q",$B81*IF($D81=IF(MOD(O$34,3)=0,3,MOD(O$34,3)),1,0),IF($C81="z",$B81*IF($D81=IF(MOD(O$34,2)=0,2,MOD(O$34,2)),1,0),IF($C81="m",$B81,0)))))</f>
        <v>88</v>
      </c>
      <c r="P81" s="7">
        <f>IF(AND($C81="j",$D81=P$34),$B81,IF($C81="h",$B81*IF($D81=IF(MOD(P$34,6)=0,6,MOD(P$34,6)),1,0),IF($C81="q",$B81*IF($D81=IF(MOD(P$34,3)=0,3,MOD(P$34,3)),1,0),IF($C81="z",$B81*IF($D81=IF(MOD(P$34,2)=0,2,MOD(P$34,2)),1,0),IF($C81="m",$B81,0)))))</f>
        <v>88</v>
      </c>
      <c r="Q81" s="272">
        <f>SUM(E81:P81)</f>
        <v>1056</v>
      </c>
      <c r="R81" s="310">
        <f>IF(AND($C81="j",$D81&gt;=1,$D81&lt;=3),$B81,IF(AND($C81="h",$D81&gt;=1,$D81&lt;=3),$B81,IF(AND($C81="q",$D81&gt;=1,$D81&lt;=3),$B81,IF($C81="z",IF($D81=1,2*$B81,$B81),IF($C81="m",3*$B81,0)))))</f>
        <v>264</v>
      </c>
      <c r="S81" s="7">
        <f>IF(AND($C81="j",$D81&gt;=4,$D81&lt;=6),$B81,IF(AND($C81="h",$D81&gt;=4,$D81&lt;=6),$B81,IF(AND($C81="q",$D81&gt;=1,$D81&lt;=3),$B81,IF($C81="z",IF($D81=2,2*$B81,$B81),IF($C81="m",3*$B81,0)))))</f>
        <v>264</v>
      </c>
      <c r="T81" s="7">
        <f>IF(AND($C81="j",$D81&gt;=7,$D81&lt;=9),$B81,IF(AND($C81="h",$D81&gt;=1,$D81&lt;=3),$B81,IF(AND($C81="q",$D81&gt;=1,$D81&lt;=3),$B81,IF($C81="z",IF($D81=1,2*$B81,$B81),IF($C81="m",3*$B81,0)))))</f>
        <v>264</v>
      </c>
      <c r="U81" s="7">
        <f>IF(AND($C81="j",$D81&gt;=10,$D81&lt;=12),$B81,IF(AND($C81="h",$D81&gt;=4,$D81&lt;=6),$B81,IF(AND($C81="q",$D81&gt;=1,$D81&lt;=3),$B81,IF($C81="z",IF($D81=2,2*$B81,$B81),IF($C81="m",3*$B81,0)))))</f>
        <v>264</v>
      </c>
      <c r="V81" s="272">
        <f>SUM(R81:U81)</f>
        <v>1056</v>
      </c>
      <c r="W81" s="8">
        <f>IF($C81="j",$B81,IF($C81="h",2*$B81,IF($C81="q",4*$B81,IF($C81="z",6*$B81,12*$B81))))</f>
        <v>1056</v>
      </c>
      <c r="X81" s="9">
        <f>IF($C81="j",$B81,IF($C81="h",2*$B81,IF($C81="q",4*$B81,IF($C81="z",6*$B81,12*$B81))))</f>
        <v>1056</v>
      </c>
      <c r="Z81" s="599">
        <f>Q81/12</f>
        <v>88</v>
      </c>
    </row>
    <row r="82" spans="1:26" ht="18.75" customHeight="1" x14ac:dyDescent="0.25">
      <c r="A82" s="95" t="s">
        <v>78</v>
      </c>
      <c r="B82" s="96">
        <v>300</v>
      </c>
      <c r="C82" s="97" t="s">
        <v>46</v>
      </c>
      <c r="D82" s="98" t="s">
        <v>49</v>
      </c>
      <c r="E82" s="10">
        <f>IF(AND($C82="j",$D82=E$34),$B82,IF($C82="h",$B82*IF($D82=IF(MOD(E$34,6)=0,6,MOD(E$34,6)),1,0),IF($C82="q",$B82*IF($D82=IF(MOD(E$34,3)=0,3,MOD(E$34,3)),1,0),IF($C82="z",$B82*IF($D82=IF(MOD(E$34,2)=0,2,MOD(E$34,2)),1,0),IF($C82="m",$B82,0)))))</f>
        <v>300</v>
      </c>
      <c r="F82" s="11">
        <f>IF(AND($C82="j",$D82=F$34),$B82,IF($C82="h",$B82*IF($D82=IF(MOD(F$34,6)=0,6,MOD(F$34,6)),1,0),IF($C82="q",$B82*IF($D82=IF(MOD(F$34,3)=0,3,MOD(F$34,3)),1,0),IF($C82="z",$B82*IF($D82=IF(MOD(F$34,2)=0,2,MOD(F$34,2)),1,0),IF($C82="m",$B82,0)))))</f>
        <v>300</v>
      </c>
      <c r="G82" s="11">
        <f>IF(AND($C82="j",$D82=G$34),$B82,IF($C82="h",$B82*IF($D82=IF(MOD(G$34,6)=0,6,MOD(G$34,6)),1,0),IF($C82="q",$B82*IF($D82=IF(MOD(G$34,3)=0,3,MOD(G$34,3)),1,0),IF($C82="z",$B82*IF($D82=IF(MOD(G$34,2)=0,2,MOD(G$34,2)),1,0),IF($C82="m",$B82,0)))))</f>
        <v>300</v>
      </c>
      <c r="H82" s="11">
        <f>IF(AND($C82="j",$D82=H$34),$B82,IF($C82="h",$B82*IF($D82=IF(MOD(H$34,6)=0,6,MOD(H$34,6)),1,0),IF($C82="q",$B82*IF($D82=IF(MOD(H$34,3)=0,3,MOD(H$34,3)),1,0),IF($C82="z",$B82*IF($D82=IF(MOD(H$34,2)=0,2,MOD(H$34,2)),1,0),IF($C82="m",$B82,0)))))</f>
        <v>300</v>
      </c>
      <c r="I82" s="11">
        <f>IF(AND($C82="j",$D82=I$34),$B82,IF($C82="h",$B82*IF($D82=IF(MOD(I$34,6)=0,6,MOD(I$34,6)),1,0),IF($C82="q",$B82*IF($D82=IF(MOD(I$34,3)=0,3,MOD(I$34,3)),1,0),IF($C82="z",$B82*IF($D82=IF(MOD(I$34,2)=0,2,MOD(I$34,2)),1,0),IF($C82="m",$B82,0)))))</f>
        <v>300</v>
      </c>
      <c r="J82" s="11">
        <f>IF(AND($C82="j",$D82=J$34),$B82,IF($C82="h",$B82*IF($D82=IF(MOD(J$34,6)=0,6,MOD(J$34,6)),1,0),IF($C82="q",$B82*IF($D82=IF(MOD(J$34,3)=0,3,MOD(J$34,3)),1,0),IF($C82="z",$B82*IF($D82=IF(MOD(J$34,2)=0,2,MOD(J$34,2)),1,0),IF($C82="m",$B82,0)))))</f>
        <v>300</v>
      </c>
      <c r="K82" s="11">
        <f>IF(AND($C82="j",$D82=K$34),$B82,IF($C82="h",$B82*IF($D82=IF(MOD(K$34,6)=0,6,MOD(K$34,6)),1,0),IF($C82="q",$B82*IF($D82=IF(MOD(K$34,3)=0,3,MOD(K$34,3)),1,0),IF($C82="z",$B82*IF($D82=IF(MOD(K$34,2)=0,2,MOD(K$34,2)),1,0),IF($C82="m",$B82,0)))))</f>
        <v>300</v>
      </c>
      <c r="L82" s="11">
        <f>IF(AND($C82="j",$D82=L$34),$B82,IF($C82="h",$B82*IF($D82=IF(MOD(L$34,6)=0,6,MOD(L$34,6)),1,0),IF($C82="q",$B82*IF($D82=IF(MOD(L$34,3)=0,3,MOD(L$34,3)),1,0),IF($C82="z",$B82*IF($D82=IF(MOD(L$34,2)=0,2,MOD(L$34,2)),1,0),IF($C82="m",$B82,0)))))</f>
        <v>300</v>
      </c>
      <c r="M82" s="11">
        <f>IF(AND($C82="j",$D82=M$34),$B82,IF($C82="h",$B82*IF($D82=IF(MOD(M$34,6)=0,6,MOD(M$34,6)),1,0),IF($C82="q",$B82*IF($D82=IF(MOD(M$34,3)=0,3,MOD(M$34,3)),1,0),IF($C82="z",$B82*IF($D82=IF(MOD(M$34,2)=0,2,MOD(M$34,2)),1,0),IF($C82="m",$B82,0)))))</f>
        <v>300</v>
      </c>
      <c r="N82" s="11">
        <f>IF(AND($C82="j",$D82=N$34),$B82,IF($C82="h",$B82*IF($D82=IF(MOD(N$34,6)=0,6,MOD(N$34,6)),1,0),IF($C82="q",$B82*IF($D82=IF(MOD(N$34,3)=0,3,MOD(N$34,3)),1,0),IF($C82="z",$B82*IF($D82=IF(MOD(N$34,2)=0,2,MOD(N$34,2)),1,0),IF($C82="m",$B82,0)))))</f>
        <v>300</v>
      </c>
      <c r="O82" s="11">
        <f>IF(AND($C82="j",$D82=O$34),$B82,IF($C82="h",$B82*IF($D82=IF(MOD(O$34,6)=0,6,MOD(O$34,6)),1,0),IF($C82="q",$B82*IF($D82=IF(MOD(O$34,3)=0,3,MOD(O$34,3)),1,0),IF($C82="z",$B82*IF($D82=IF(MOD(O$34,2)=0,2,MOD(O$34,2)),1,0),IF($C82="m",$B82,0)))))</f>
        <v>300</v>
      </c>
      <c r="P82" s="11">
        <f>IF(AND($C82="j",$D82=P$34),$B82,IF($C82="h",$B82*IF($D82=IF(MOD(P$34,6)=0,6,MOD(P$34,6)),1,0),IF($C82="q",$B82*IF($D82=IF(MOD(P$34,3)=0,3,MOD(P$34,3)),1,0),IF($C82="z",$B82*IF($D82=IF(MOD(P$34,2)=0,2,MOD(P$34,2)),1,0),IF($C82="m",$B82,0)))))</f>
        <v>300</v>
      </c>
      <c r="Q82" s="591">
        <f t="shared" ref="Q82:Q83" si="83">SUM(E82:P82)</f>
        <v>3600</v>
      </c>
      <c r="R82" s="311">
        <f t="shared" ref="R82:R83" si="84">IF(AND($C82="j",$D82&gt;=1,$D82&lt;=3),$B82,IF(AND($C82="h",$D82&gt;=1,$D82&lt;=3),$B82,IF(AND($C82="q",$D82&gt;=1,$D82&lt;=3),$B82,IF($C82="z",IF($D82=1,2*$B82,$B82),IF($C82="m",3*$B82,0)))))</f>
        <v>900</v>
      </c>
      <c r="S82" s="11">
        <f t="shared" ref="S82:S83" si="85">IF(AND($C82="j",$D82&gt;=4,$D82&lt;=6),$B82,IF(AND($C82="h",$D82&gt;=4,$D82&lt;=6),$B82,IF(AND($C82="q",$D82&gt;=1,$D82&lt;=3),$B82,IF($C82="z",IF($D82=2,2*$B82,$B82),IF($C82="m",3*$B82,0)))))</f>
        <v>900</v>
      </c>
      <c r="T82" s="11">
        <f t="shared" ref="T82:T83" si="86">IF(AND($C82="j",$D82&gt;=7,$D82&lt;=9),$B82,IF(AND($C82="h",$D82&gt;=1,$D82&lt;=3),$B82,IF(AND($C82="q",$D82&gt;=1,$D82&lt;=3),$B82,IF($C82="z",IF($D82=1,2*$B82,$B82),IF($C82="m",3*$B82,0)))))</f>
        <v>900</v>
      </c>
      <c r="U82" s="11">
        <f t="shared" ref="U82:U83" si="87">IF(AND($C82="j",$D82&gt;=10,$D82&lt;=12),$B82,IF(AND($C82="h",$D82&gt;=4,$D82&lt;=6),$B82,IF(AND($C82="q",$D82&gt;=1,$D82&lt;=3),$B82,IF($C82="z",IF($D82=2,2*$B82,$B82),IF($C82="m",3*$B82,0)))))</f>
        <v>900</v>
      </c>
      <c r="V82" s="591">
        <f t="shared" ref="V82:V83" si="88">SUM(R82:U82)</f>
        <v>3600</v>
      </c>
      <c r="W82" s="12">
        <f t="shared" ref="W82:X83" si="89">IF($C82="j",$B82,IF($C82="h",2*$B82,IF($C82="q",4*$B82,IF($C82="z",6*$B82,12*$B82))))</f>
        <v>3600</v>
      </c>
      <c r="X82" s="13">
        <f t="shared" si="89"/>
        <v>3600</v>
      </c>
      <c r="Z82" s="600">
        <f t="shared" ref="Z82:Z83" si="90">Q82/12</f>
        <v>300</v>
      </c>
    </row>
    <row r="83" spans="1:26" ht="18.75" customHeight="1" thickBot="1" x14ac:dyDescent="0.3">
      <c r="A83" s="99"/>
      <c r="B83" s="100"/>
      <c r="C83" s="101"/>
      <c r="D83" s="102"/>
      <c r="E83" s="14">
        <f>IF(AND($C83="j",$D83=E$34),$B83,IF($C83="h",$B83*IF($D83=IF(MOD(E$34,6)=0,6,MOD(E$34,6)),1,0),IF($C83="q",$B83*IF($D83=IF(MOD(E$34,3)=0,3,MOD(E$34,3)),1,0),IF($C83="z",$B83*IF($D83=IF(MOD(E$34,2)=0,2,MOD(E$34,2)),1,0),IF($C83="m",$B83,0)))))</f>
        <v>0</v>
      </c>
      <c r="F83" s="15">
        <f>IF(AND($C83="j",$D83=F$34),$B83,IF($C83="h",$B83*IF($D83=IF(MOD(F$34,6)=0,6,MOD(F$34,6)),1,0),IF($C83="q",$B83*IF($D83=IF(MOD(F$34,3)=0,3,MOD(F$34,3)),1,0),IF($C83="z",$B83*IF($D83=IF(MOD(F$34,2)=0,2,MOD(F$34,2)),1,0),IF($C83="m",$B83,0)))))</f>
        <v>0</v>
      </c>
      <c r="G83" s="15">
        <f>IF(AND($C83="j",$D83=G$34),$B83,IF($C83="h",$B83*IF($D83=IF(MOD(G$34,6)=0,6,MOD(G$34,6)),1,0),IF($C83="q",$B83*IF($D83=IF(MOD(G$34,3)=0,3,MOD(G$34,3)),1,0),IF($C83="z",$B83*IF($D83=IF(MOD(G$34,2)=0,2,MOD(G$34,2)),1,0),IF($C83="m",$B83,0)))))</f>
        <v>0</v>
      </c>
      <c r="H83" s="15">
        <f>IF(AND($C83="j",$D83=H$34),$B83,IF($C83="h",$B83*IF($D83=IF(MOD(H$34,6)=0,6,MOD(H$34,6)),1,0),IF($C83="q",$B83*IF($D83=IF(MOD(H$34,3)=0,3,MOD(H$34,3)),1,0),IF($C83="z",$B83*IF($D83=IF(MOD(H$34,2)=0,2,MOD(H$34,2)),1,0),IF($C83="m",$B83,0)))))</f>
        <v>0</v>
      </c>
      <c r="I83" s="15">
        <f>IF(AND($C83="j",$D83=I$34),$B83,IF($C83="h",$B83*IF($D83=IF(MOD(I$34,6)=0,6,MOD(I$34,6)),1,0),IF($C83="q",$B83*IF($D83=IF(MOD(I$34,3)=0,3,MOD(I$34,3)),1,0),IF($C83="z",$B83*IF($D83=IF(MOD(I$34,2)=0,2,MOD(I$34,2)),1,0),IF($C83="m",$B83,0)))))</f>
        <v>0</v>
      </c>
      <c r="J83" s="15">
        <f>IF(AND($C83="j",$D83=J$34),$B83,IF($C83="h",$B83*IF($D83=IF(MOD(J$34,6)=0,6,MOD(J$34,6)),1,0),IF($C83="q",$B83*IF($D83=IF(MOD(J$34,3)=0,3,MOD(J$34,3)),1,0),IF($C83="z",$B83*IF($D83=IF(MOD(J$34,2)=0,2,MOD(J$34,2)),1,0),IF($C83="m",$B83,0)))))</f>
        <v>0</v>
      </c>
      <c r="K83" s="15">
        <f>IF(AND($C83="j",$D83=K$34),$B83,IF($C83="h",$B83*IF($D83=IF(MOD(K$34,6)=0,6,MOD(K$34,6)),1,0),IF($C83="q",$B83*IF($D83=IF(MOD(K$34,3)=0,3,MOD(K$34,3)),1,0),IF($C83="z",$B83*IF($D83=IF(MOD(K$34,2)=0,2,MOD(K$34,2)),1,0),IF($C83="m",$B83,0)))))</f>
        <v>0</v>
      </c>
      <c r="L83" s="15">
        <f>IF(AND($C83="j",$D83=L$34),$B83,IF($C83="h",$B83*IF($D83=IF(MOD(L$34,6)=0,6,MOD(L$34,6)),1,0),IF($C83="q",$B83*IF($D83=IF(MOD(L$34,3)=0,3,MOD(L$34,3)),1,0),IF($C83="z",$B83*IF($D83=IF(MOD(L$34,2)=0,2,MOD(L$34,2)),1,0),IF($C83="m",$B83,0)))))</f>
        <v>0</v>
      </c>
      <c r="M83" s="15">
        <f>IF(AND($C83="j",$D83=M$34),$B83,IF($C83="h",$B83*IF($D83=IF(MOD(M$34,6)=0,6,MOD(M$34,6)),1,0),IF($C83="q",$B83*IF($D83=IF(MOD(M$34,3)=0,3,MOD(M$34,3)),1,0),IF($C83="z",$B83*IF($D83=IF(MOD(M$34,2)=0,2,MOD(M$34,2)),1,0),IF($C83="m",$B83,0)))))</f>
        <v>0</v>
      </c>
      <c r="N83" s="15">
        <f>IF(AND($C83="j",$D83=N$34),$B83,IF($C83="h",$B83*IF($D83=IF(MOD(N$34,6)=0,6,MOD(N$34,6)),1,0),IF($C83="q",$B83*IF($D83=IF(MOD(N$34,3)=0,3,MOD(N$34,3)),1,0),IF($C83="z",$B83*IF($D83=IF(MOD(N$34,2)=0,2,MOD(N$34,2)),1,0),IF($C83="m",$B83,0)))))</f>
        <v>0</v>
      </c>
      <c r="O83" s="15">
        <f>IF(AND($C83="j",$D83=O$34),$B83,IF($C83="h",$B83*IF($D83=IF(MOD(O$34,6)=0,6,MOD(O$34,6)),1,0),IF($C83="q",$B83*IF($D83=IF(MOD(O$34,3)=0,3,MOD(O$34,3)),1,0),IF($C83="z",$B83*IF($D83=IF(MOD(O$34,2)=0,2,MOD(O$34,2)),1,0),IF($C83="m",$B83,0)))))</f>
        <v>0</v>
      </c>
      <c r="P83" s="15">
        <f>IF(AND($C83="j",$D83=P$34),$B83,IF($C83="h",$B83*IF($D83=IF(MOD(P$34,6)=0,6,MOD(P$34,6)),1,0),IF($C83="q",$B83*IF($D83=IF(MOD(P$34,3)=0,3,MOD(P$34,3)),1,0),IF($C83="z",$B83*IF($D83=IF(MOD(P$34,2)=0,2,MOD(P$34,2)),1,0),IF($C83="m",$B83,0)))))</f>
        <v>0</v>
      </c>
      <c r="Q83" s="273">
        <f t="shared" si="83"/>
        <v>0</v>
      </c>
      <c r="R83" s="595">
        <f t="shared" si="84"/>
        <v>0</v>
      </c>
      <c r="S83" s="15">
        <f t="shared" si="85"/>
        <v>0</v>
      </c>
      <c r="T83" s="15">
        <f t="shared" si="86"/>
        <v>0</v>
      </c>
      <c r="U83" s="15">
        <f t="shared" si="87"/>
        <v>0</v>
      </c>
      <c r="V83" s="273">
        <f t="shared" si="88"/>
        <v>0</v>
      </c>
      <c r="W83" s="16">
        <f t="shared" si="89"/>
        <v>0</v>
      </c>
      <c r="X83" s="17">
        <f t="shared" si="89"/>
        <v>0</v>
      </c>
      <c r="Z83" s="605">
        <f t="shared" si="90"/>
        <v>0</v>
      </c>
    </row>
    <row r="84" spans="1:26" ht="7.5" customHeight="1" thickTop="1" thickBot="1" x14ac:dyDescent="0.3">
      <c r="A84" s="103"/>
      <c r="B84" s="104"/>
      <c r="C84" s="105"/>
      <c r="D84" s="106"/>
      <c r="E84" s="27"/>
      <c r="F84" s="28"/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30"/>
      <c r="R84" s="31"/>
      <c r="S84" s="28"/>
      <c r="T84" s="28"/>
      <c r="U84" s="28"/>
      <c r="V84" s="30"/>
      <c r="W84" s="33"/>
      <c r="X84" s="34"/>
      <c r="Z84" s="601"/>
    </row>
    <row r="85" spans="1:26" s="899" customFormat="1" ht="18.75" customHeight="1" thickBot="1" x14ac:dyDescent="0.3">
      <c r="A85" s="602" t="s">
        <v>51</v>
      </c>
      <c r="B85" s="603">
        <f>Z85</f>
        <v>388</v>
      </c>
      <c r="D85" s="900"/>
      <c r="E85" s="901">
        <f>SUM(E81:E84)</f>
        <v>388</v>
      </c>
      <c r="F85" s="575">
        <f>SUM(F81:F84)</f>
        <v>388</v>
      </c>
      <c r="G85" s="575">
        <f>SUM(G81:G84)</f>
        <v>388</v>
      </c>
      <c r="H85" s="575">
        <f>SUM(H81:H84)</f>
        <v>388</v>
      </c>
      <c r="I85" s="575">
        <f>SUM(I81:I84)</f>
        <v>388</v>
      </c>
      <c r="J85" s="575">
        <f>SUM(J81:J84)</f>
        <v>388</v>
      </c>
      <c r="K85" s="575">
        <f>SUM(K81:K84)</f>
        <v>388</v>
      </c>
      <c r="L85" s="575">
        <f>SUM(L81:L84)</f>
        <v>388</v>
      </c>
      <c r="M85" s="575">
        <f>SUM(M81:M84)</f>
        <v>388</v>
      </c>
      <c r="N85" s="575">
        <f>SUM(N81:N84)</f>
        <v>388</v>
      </c>
      <c r="O85" s="575">
        <f>SUM(O81:O84)</f>
        <v>388</v>
      </c>
      <c r="P85" s="575">
        <f>SUM(P81:P84)</f>
        <v>388</v>
      </c>
      <c r="Q85" s="37">
        <f>SUM(Q81:Q84)</f>
        <v>4656</v>
      </c>
      <c r="R85" s="574">
        <f>SUM(R81:R84)</f>
        <v>1164</v>
      </c>
      <c r="S85" s="575">
        <f>SUM(S81:S84)</f>
        <v>1164</v>
      </c>
      <c r="T85" s="575">
        <f>SUM(T81:T84)</f>
        <v>1164</v>
      </c>
      <c r="U85" s="575">
        <f>SUM(U81:U84)</f>
        <v>1164</v>
      </c>
      <c r="V85" s="37">
        <f>SUM(V81:V84)</f>
        <v>4656</v>
      </c>
      <c r="W85" s="39">
        <f>SUM(W81:W84)</f>
        <v>4656</v>
      </c>
      <c r="X85" s="40">
        <f>SUM(X81:X84)</f>
        <v>4656</v>
      </c>
      <c r="Z85" s="604">
        <f>SUM(Z81:Z83)</f>
        <v>388</v>
      </c>
    </row>
    <row r="86" spans="1:26" ht="15.75" thickBot="1" x14ac:dyDescent="0.3"/>
    <row r="87" spans="1:26" ht="15" customHeight="1" x14ac:dyDescent="0.25">
      <c r="A87" s="730" t="s">
        <v>79</v>
      </c>
      <c r="B87" s="728" t="s">
        <v>19</v>
      </c>
      <c r="C87" s="728" t="s">
        <v>45</v>
      </c>
      <c r="D87" s="732" t="s">
        <v>256</v>
      </c>
      <c r="E87" s="711" t="s">
        <v>20</v>
      </c>
      <c r="F87" s="691"/>
      <c r="G87" s="691"/>
      <c r="H87" s="691"/>
      <c r="I87" s="691"/>
      <c r="J87" s="691"/>
      <c r="K87" s="691"/>
      <c r="L87" s="691"/>
      <c r="M87" s="691"/>
      <c r="N87" s="691"/>
      <c r="O87" s="691"/>
      <c r="P87" s="692"/>
      <c r="Q87" s="712" t="s">
        <v>20</v>
      </c>
      <c r="R87" s="690" t="s">
        <v>25</v>
      </c>
      <c r="S87" s="691"/>
      <c r="T87" s="691"/>
      <c r="U87" s="692"/>
      <c r="V87" s="693" t="s">
        <v>25</v>
      </c>
      <c r="W87" s="695" t="s">
        <v>26</v>
      </c>
      <c r="X87" s="697" t="s">
        <v>27</v>
      </c>
      <c r="Z87" s="738" t="s">
        <v>50</v>
      </c>
    </row>
    <row r="88" spans="1:26" ht="15.75" thickBot="1" x14ac:dyDescent="0.3">
      <c r="A88" s="731"/>
      <c r="B88" s="729"/>
      <c r="C88" s="729"/>
      <c r="D88" s="733"/>
      <c r="E88" s="1">
        <v>1</v>
      </c>
      <c r="F88" s="2">
        <v>2</v>
      </c>
      <c r="G88" s="2">
        <v>3</v>
      </c>
      <c r="H88" s="2">
        <v>4</v>
      </c>
      <c r="I88" s="2">
        <v>5</v>
      </c>
      <c r="J88" s="2">
        <v>6</v>
      </c>
      <c r="K88" s="2">
        <v>7</v>
      </c>
      <c r="L88" s="2">
        <v>8</v>
      </c>
      <c r="M88" s="2">
        <v>9</v>
      </c>
      <c r="N88" s="2">
        <v>10</v>
      </c>
      <c r="O88" s="2">
        <v>11</v>
      </c>
      <c r="P88" s="3">
        <v>12</v>
      </c>
      <c r="Q88" s="713"/>
      <c r="R88" s="4" t="s">
        <v>21</v>
      </c>
      <c r="S88" s="2" t="s">
        <v>22</v>
      </c>
      <c r="T88" s="2" t="s">
        <v>23</v>
      </c>
      <c r="U88" s="2" t="s">
        <v>24</v>
      </c>
      <c r="V88" s="694"/>
      <c r="W88" s="696"/>
      <c r="X88" s="698"/>
      <c r="Z88" s="739"/>
    </row>
    <row r="89" spans="1:26" ht="18.75" customHeight="1" thickTop="1" x14ac:dyDescent="0.25">
      <c r="A89" s="119" t="s">
        <v>87</v>
      </c>
      <c r="B89" s="18">
        <v>2000</v>
      </c>
      <c r="C89" s="114" t="s">
        <v>48</v>
      </c>
      <c r="D89" s="115">
        <v>3</v>
      </c>
      <c r="E89" s="6">
        <f>IF(AND($C89="j",$D89=E$34),$B89,IF($C89="h",$B89*IF($D89=IF(MOD(E$34,6)=0,6,MOD(E$34,6)),1,0),IF($C89="q",$B89*IF($D89=IF(MOD(E$34,3)=0,3,MOD(E$34,3)),1,0),IF($C89="z",$B89*IF($D89=IF(MOD(E$34,2)=0,2,MOD(E$34,2)),1,0),IF($C89="m",$B89,0)))))</f>
        <v>0</v>
      </c>
      <c r="F89" s="7">
        <f t="shared" ref="F89:P92" si="91">IF(AND($C89="j",$D89=F$34),$B89,IF($C89="h",$B89*IF($D89=IF(MOD(F$34,6)=0,6,MOD(F$34,6)),1,0),IF($C89="q",$B89*IF($D89=IF(MOD(F$34,3)=0,3,MOD(F$34,3)),1,0),IF($C89="z",$B89*IF($D89=IF(MOD(F$34,2)=0,2,MOD(F$34,2)),1,0),IF($C89="m",$B89,0)))))</f>
        <v>0</v>
      </c>
      <c r="G89" s="7">
        <f t="shared" si="91"/>
        <v>2000</v>
      </c>
      <c r="H89" s="7">
        <f t="shared" si="91"/>
        <v>0</v>
      </c>
      <c r="I89" s="7">
        <f t="shared" si="91"/>
        <v>0</v>
      </c>
      <c r="J89" s="7">
        <f t="shared" si="91"/>
        <v>0</v>
      </c>
      <c r="K89" s="7">
        <f t="shared" si="91"/>
        <v>0</v>
      </c>
      <c r="L89" s="7">
        <f t="shared" si="91"/>
        <v>0</v>
      </c>
      <c r="M89" s="7">
        <f t="shared" si="91"/>
        <v>0</v>
      </c>
      <c r="N89" s="7">
        <f t="shared" si="91"/>
        <v>0</v>
      </c>
      <c r="O89" s="7">
        <f t="shared" si="91"/>
        <v>0</v>
      </c>
      <c r="P89" s="7">
        <f t="shared" si="91"/>
        <v>0</v>
      </c>
      <c r="Q89" s="272">
        <f>SUM(E89:P89)</f>
        <v>2000</v>
      </c>
      <c r="R89" s="310">
        <v>0</v>
      </c>
      <c r="S89" s="7">
        <v>0</v>
      </c>
      <c r="T89" s="7">
        <v>0</v>
      </c>
      <c r="U89" s="7">
        <v>0</v>
      </c>
      <c r="V89" s="272">
        <f>SUM(R89:U89)</f>
        <v>0</v>
      </c>
      <c r="W89" s="8">
        <v>0</v>
      </c>
      <c r="X89" s="9">
        <v>0</v>
      </c>
      <c r="Z89" s="599">
        <f>Q89/12</f>
        <v>166.66666666666666</v>
      </c>
    </row>
    <row r="90" spans="1:26" ht="18.75" customHeight="1" x14ac:dyDescent="0.25">
      <c r="A90" s="95" t="s">
        <v>88</v>
      </c>
      <c r="B90" s="96">
        <v>3000</v>
      </c>
      <c r="C90" s="97" t="s">
        <v>48</v>
      </c>
      <c r="D90" s="98">
        <v>10</v>
      </c>
      <c r="E90" s="10">
        <f t="shared" ref="E90:P92" si="92">IF(AND($C90="j",$D90=E$34),$B90,IF($C90="h",$B90*IF($D90=IF(MOD(E$34,6)=0,6,MOD(E$34,6)),1,0),IF($C90="q",$B90*IF($D90=IF(MOD(E$34,3)=0,3,MOD(E$34,3)),1,0),IF($C90="z",$B90*IF($D90=IF(MOD(E$34,2)=0,2,MOD(E$34,2)),1,0),IF($C90="m",$B90,0)))))</f>
        <v>0</v>
      </c>
      <c r="F90" s="11">
        <f t="shared" si="91"/>
        <v>0</v>
      </c>
      <c r="G90" s="11">
        <f t="shared" si="91"/>
        <v>0</v>
      </c>
      <c r="H90" s="11">
        <f t="shared" si="91"/>
        <v>0</v>
      </c>
      <c r="I90" s="11">
        <f t="shared" si="91"/>
        <v>0</v>
      </c>
      <c r="J90" s="11">
        <f t="shared" si="91"/>
        <v>0</v>
      </c>
      <c r="K90" s="11">
        <f t="shared" si="91"/>
        <v>0</v>
      </c>
      <c r="L90" s="11">
        <f t="shared" si="91"/>
        <v>0</v>
      </c>
      <c r="M90" s="11">
        <f t="shared" si="91"/>
        <v>0</v>
      </c>
      <c r="N90" s="11">
        <f t="shared" si="91"/>
        <v>3000</v>
      </c>
      <c r="O90" s="11">
        <f t="shared" si="91"/>
        <v>0</v>
      </c>
      <c r="P90" s="11">
        <f t="shared" si="91"/>
        <v>0</v>
      </c>
      <c r="Q90" s="591">
        <f t="shared" ref="Q90:Q92" si="93">SUM(E90:P90)</f>
        <v>3000</v>
      </c>
      <c r="R90" s="311">
        <f t="shared" ref="R90:R92" si="94">IF(AND($C90="j",$D90&gt;=1,$D90&lt;=3),$B90,IF(AND($C90="h",$D90&gt;=1,$D90&lt;=3),$B90,IF(AND($C90="q",$D90&gt;=1,$D90&lt;=3),$B90,IF($C90="z",IF($D90=1,2*$B90,$B90),IF($C90="m",3*$B90,0)))))</f>
        <v>0</v>
      </c>
      <c r="S90" s="11">
        <f t="shared" ref="S90:S92" si="95">IF(AND($C90="j",$D90&gt;=4,$D90&lt;=6),$B90,IF(AND($C90="h",$D90&gt;=4,$D90&lt;=6),$B90,IF(AND($C90="q",$D90&gt;=1,$D90&lt;=3),$B90,IF($C90="z",IF($D90=2,2*$B90,$B90),IF($C90="m",3*$B90,0)))))</f>
        <v>0</v>
      </c>
      <c r="T90" s="11">
        <f t="shared" ref="T90:T92" si="96">IF(AND($C90="j",$D90&gt;=7,$D90&lt;=9),$B90,IF(AND($C90="h",$D90&gt;=1,$D90&lt;=3),$B90,IF(AND($C90="q",$D90&gt;=1,$D90&lt;=3),$B90,IF($C90="z",IF($D90=1,2*$B90,$B90),IF($C90="m",3*$B90,0)))))</f>
        <v>0</v>
      </c>
      <c r="U90" s="11">
        <f t="shared" ref="U90:U92" si="97">IF(AND($C90="j",$D90&gt;=10,$D90&lt;=12),$B90,IF(AND($C90="h",$D90&gt;=4,$D90&lt;=6),$B90,IF(AND($C90="q",$D90&gt;=1,$D90&lt;=3),$B90,IF($C90="z",IF($D90=2,2*$B90,$B90),IF($C90="m",3*$B90,0)))))</f>
        <v>3000</v>
      </c>
      <c r="V90" s="591">
        <f t="shared" ref="V90:V92" si="98">SUM(R90:U90)</f>
        <v>3000</v>
      </c>
      <c r="W90" s="12">
        <f t="shared" ref="W90:X92" si="99">IF($C90="j",$B90,IF($C90="h",2*$B90,IF($C90="q",4*$B90,IF($C90="z",6*$B90,12*$B90))))</f>
        <v>3000</v>
      </c>
      <c r="X90" s="13">
        <f t="shared" si="99"/>
        <v>3000</v>
      </c>
      <c r="Z90" s="600">
        <f t="shared" ref="Z90:Z92" si="100">Q90/12</f>
        <v>250</v>
      </c>
    </row>
    <row r="91" spans="1:26" ht="18.75" customHeight="1" x14ac:dyDescent="0.25">
      <c r="A91" s="99" t="s">
        <v>94</v>
      </c>
      <c r="B91" s="100">
        <v>300</v>
      </c>
      <c r="C91" s="101" t="s">
        <v>46</v>
      </c>
      <c r="D91" s="102" t="s">
        <v>49</v>
      </c>
      <c r="E91" s="10">
        <f t="shared" si="92"/>
        <v>300</v>
      </c>
      <c r="F91" s="15">
        <f t="shared" si="92"/>
        <v>300</v>
      </c>
      <c r="G91" s="15">
        <f t="shared" si="92"/>
        <v>300</v>
      </c>
      <c r="H91" s="15">
        <f t="shared" si="92"/>
        <v>300</v>
      </c>
      <c r="I91" s="15">
        <f t="shared" si="92"/>
        <v>300</v>
      </c>
      <c r="J91" s="15">
        <f t="shared" si="92"/>
        <v>300</v>
      </c>
      <c r="K91" s="15">
        <f t="shared" si="92"/>
        <v>300</v>
      </c>
      <c r="L91" s="15">
        <f t="shared" si="92"/>
        <v>300</v>
      </c>
      <c r="M91" s="15">
        <f t="shared" si="92"/>
        <v>300</v>
      </c>
      <c r="N91" s="15">
        <f t="shared" si="92"/>
        <v>300</v>
      </c>
      <c r="O91" s="15">
        <f t="shared" si="92"/>
        <v>300</v>
      </c>
      <c r="P91" s="15">
        <f t="shared" si="92"/>
        <v>300</v>
      </c>
      <c r="Q91" s="591">
        <f t="shared" ref="Q91" si="101">SUM(E91:P91)</f>
        <v>3600</v>
      </c>
      <c r="R91" s="311">
        <f t="shared" si="94"/>
        <v>900</v>
      </c>
      <c r="S91" s="11">
        <f t="shared" si="95"/>
        <v>900</v>
      </c>
      <c r="T91" s="11">
        <f t="shared" si="96"/>
        <v>900</v>
      </c>
      <c r="U91" s="11">
        <f t="shared" si="97"/>
        <v>900</v>
      </c>
      <c r="V91" s="591">
        <f t="shared" ref="V91" si="102">SUM(R91:U91)</f>
        <v>3600</v>
      </c>
      <c r="W91" s="12">
        <f t="shared" si="99"/>
        <v>3600</v>
      </c>
      <c r="X91" s="13">
        <f t="shared" si="99"/>
        <v>3600</v>
      </c>
      <c r="Z91" s="600">
        <f t="shared" si="100"/>
        <v>300</v>
      </c>
    </row>
    <row r="92" spans="1:26" ht="18.75" customHeight="1" thickBot="1" x14ac:dyDescent="0.3">
      <c r="A92" s="99"/>
      <c r="B92" s="100"/>
      <c r="C92" s="101"/>
      <c r="D92" s="102"/>
      <c r="E92" s="14">
        <f t="shared" si="92"/>
        <v>0</v>
      </c>
      <c r="F92" s="15">
        <f t="shared" si="91"/>
        <v>0</v>
      </c>
      <c r="G92" s="15">
        <f t="shared" si="91"/>
        <v>0</v>
      </c>
      <c r="H92" s="15">
        <f t="shared" si="91"/>
        <v>0</v>
      </c>
      <c r="I92" s="15">
        <f t="shared" si="91"/>
        <v>0</v>
      </c>
      <c r="J92" s="15">
        <f t="shared" si="91"/>
        <v>0</v>
      </c>
      <c r="K92" s="15">
        <f t="shared" si="91"/>
        <v>0</v>
      </c>
      <c r="L92" s="15">
        <f t="shared" si="91"/>
        <v>0</v>
      </c>
      <c r="M92" s="15">
        <f t="shared" si="91"/>
        <v>0</v>
      </c>
      <c r="N92" s="15">
        <f t="shared" si="91"/>
        <v>0</v>
      </c>
      <c r="O92" s="15">
        <f t="shared" si="91"/>
        <v>0</v>
      </c>
      <c r="P92" s="15">
        <f t="shared" si="91"/>
        <v>0</v>
      </c>
      <c r="Q92" s="273">
        <f t="shared" si="93"/>
        <v>0</v>
      </c>
      <c r="R92" s="595">
        <f t="shared" si="94"/>
        <v>0</v>
      </c>
      <c r="S92" s="15">
        <f t="shared" si="95"/>
        <v>0</v>
      </c>
      <c r="T92" s="15">
        <f t="shared" si="96"/>
        <v>0</v>
      </c>
      <c r="U92" s="15">
        <f t="shared" si="97"/>
        <v>0</v>
      </c>
      <c r="V92" s="273">
        <f t="shared" si="98"/>
        <v>0</v>
      </c>
      <c r="W92" s="16">
        <f t="shared" si="99"/>
        <v>0</v>
      </c>
      <c r="X92" s="17">
        <f t="shared" si="99"/>
        <v>0</v>
      </c>
      <c r="Z92" s="605">
        <f t="shared" si="100"/>
        <v>0</v>
      </c>
    </row>
    <row r="93" spans="1:26" ht="7.5" customHeight="1" thickTop="1" thickBot="1" x14ac:dyDescent="0.3">
      <c r="A93" s="103"/>
      <c r="B93" s="104"/>
      <c r="C93" s="105"/>
      <c r="D93" s="106"/>
      <c r="E93" s="27"/>
      <c r="F93" s="28"/>
      <c r="G93" s="28"/>
      <c r="H93" s="28"/>
      <c r="I93" s="28"/>
      <c r="J93" s="28"/>
      <c r="K93" s="28"/>
      <c r="L93" s="28"/>
      <c r="M93" s="28"/>
      <c r="N93" s="28"/>
      <c r="O93" s="28"/>
      <c r="P93" s="28"/>
      <c r="Q93" s="30"/>
      <c r="R93" s="31"/>
      <c r="S93" s="28"/>
      <c r="T93" s="28"/>
      <c r="U93" s="28"/>
      <c r="V93" s="30"/>
      <c r="W93" s="33"/>
      <c r="X93" s="34"/>
      <c r="Z93" s="601"/>
    </row>
    <row r="94" spans="1:26" s="899" customFormat="1" ht="18.75" customHeight="1" thickBot="1" x14ac:dyDescent="0.3">
      <c r="A94" s="602" t="s">
        <v>51</v>
      </c>
      <c r="B94" s="603">
        <f>Z94</f>
        <v>716.66666666666663</v>
      </c>
      <c r="D94" s="900"/>
      <c r="E94" s="901">
        <f>SUM(E89:E93)</f>
        <v>300</v>
      </c>
      <c r="F94" s="575">
        <f t="shared" ref="F94:X94" si="103">SUM(F89:F93)</f>
        <v>300</v>
      </c>
      <c r="G94" s="575">
        <f t="shared" si="103"/>
        <v>2300</v>
      </c>
      <c r="H94" s="575">
        <f t="shared" si="103"/>
        <v>300</v>
      </c>
      <c r="I94" s="575">
        <f t="shared" si="103"/>
        <v>300</v>
      </c>
      <c r="J94" s="575">
        <f t="shared" si="103"/>
        <v>300</v>
      </c>
      <c r="K94" s="575">
        <f t="shared" si="103"/>
        <v>300</v>
      </c>
      <c r="L94" s="575">
        <f t="shared" si="103"/>
        <v>300</v>
      </c>
      <c r="M94" s="575">
        <f t="shared" si="103"/>
        <v>300</v>
      </c>
      <c r="N94" s="575">
        <f t="shared" si="103"/>
        <v>3300</v>
      </c>
      <c r="O94" s="575">
        <f t="shared" si="103"/>
        <v>300</v>
      </c>
      <c r="P94" s="575">
        <f t="shared" si="103"/>
        <v>300</v>
      </c>
      <c r="Q94" s="37">
        <f t="shared" si="103"/>
        <v>8600</v>
      </c>
      <c r="R94" s="574">
        <f t="shared" si="103"/>
        <v>900</v>
      </c>
      <c r="S94" s="575">
        <f t="shared" si="103"/>
        <v>900</v>
      </c>
      <c r="T94" s="575">
        <f t="shared" si="103"/>
        <v>900</v>
      </c>
      <c r="U94" s="575">
        <f t="shared" si="103"/>
        <v>3900</v>
      </c>
      <c r="V94" s="37">
        <f t="shared" si="103"/>
        <v>6600</v>
      </c>
      <c r="W94" s="39">
        <f t="shared" si="103"/>
        <v>6600</v>
      </c>
      <c r="X94" s="40">
        <f t="shared" si="103"/>
        <v>6600</v>
      </c>
      <c r="Z94" s="604">
        <f>SUM(Z89:Z92)</f>
        <v>716.66666666666663</v>
      </c>
    </row>
    <row r="95" spans="1:26" ht="15.75" thickBot="1" x14ac:dyDescent="0.3"/>
    <row r="96" spans="1:26" ht="15" customHeight="1" x14ac:dyDescent="0.25">
      <c r="A96" s="730" t="s">
        <v>81</v>
      </c>
      <c r="B96" s="728" t="s">
        <v>19</v>
      </c>
      <c r="C96" s="728" t="s">
        <v>45</v>
      </c>
      <c r="D96" s="732" t="s">
        <v>256</v>
      </c>
      <c r="E96" s="711" t="s">
        <v>20</v>
      </c>
      <c r="F96" s="691"/>
      <c r="G96" s="691"/>
      <c r="H96" s="691"/>
      <c r="I96" s="691"/>
      <c r="J96" s="691"/>
      <c r="K96" s="691"/>
      <c r="L96" s="691"/>
      <c r="M96" s="691"/>
      <c r="N96" s="691"/>
      <c r="O96" s="691"/>
      <c r="P96" s="692"/>
      <c r="Q96" s="712" t="s">
        <v>20</v>
      </c>
      <c r="R96" s="690" t="s">
        <v>25</v>
      </c>
      <c r="S96" s="691"/>
      <c r="T96" s="691"/>
      <c r="U96" s="692"/>
      <c r="V96" s="693" t="s">
        <v>25</v>
      </c>
      <c r="W96" s="695" t="s">
        <v>26</v>
      </c>
      <c r="X96" s="697" t="s">
        <v>27</v>
      </c>
      <c r="Z96" s="738" t="s">
        <v>50</v>
      </c>
    </row>
    <row r="97" spans="1:26" ht="15.75" thickBot="1" x14ac:dyDescent="0.3">
      <c r="A97" s="731"/>
      <c r="B97" s="729"/>
      <c r="C97" s="729"/>
      <c r="D97" s="733"/>
      <c r="E97" s="1">
        <v>1</v>
      </c>
      <c r="F97" s="2">
        <v>2</v>
      </c>
      <c r="G97" s="2">
        <v>3</v>
      </c>
      <c r="H97" s="2">
        <v>4</v>
      </c>
      <c r="I97" s="2">
        <v>5</v>
      </c>
      <c r="J97" s="2">
        <v>6</v>
      </c>
      <c r="K97" s="2">
        <v>7</v>
      </c>
      <c r="L97" s="2">
        <v>8</v>
      </c>
      <c r="M97" s="2">
        <v>9</v>
      </c>
      <c r="N97" s="2">
        <v>10</v>
      </c>
      <c r="O97" s="2">
        <v>11</v>
      </c>
      <c r="P97" s="3">
        <v>12</v>
      </c>
      <c r="Q97" s="713"/>
      <c r="R97" s="4" t="s">
        <v>21</v>
      </c>
      <c r="S97" s="2" t="s">
        <v>22</v>
      </c>
      <c r="T97" s="2" t="s">
        <v>23</v>
      </c>
      <c r="U97" s="2" t="s">
        <v>24</v>
      </c>
      <c r="V97" s="694"/>
      <c r="W97" s="696"/>
      <c r="X97" s="698"/>
      <c r="Z97" s="739"/>
    </row>
    <row r="98" spans="1:26" ht="18.75" customHeight="1" thickTop="1" x14ac:dyDescent="0.25">
      <c r="A98" s="94"/>
      <c r="B98" s="18"/>
      <c r="C98" s="19"/>
      <c r="D98" s="20"/>
      <c r="E98" s="6">
        <f>IF(AND($C98="j",$D98=E$34),$B98,IF($C98="h",$B98*IF($D98=IF(MOD(E$34,6)=0,6,MOD(E$34,6)),1,0),IF($C98="q",$B98*IF($D98=IF(MOD(E$34,3)=0,3,MOD(E$34,3)),1,0),IF($C98="z",$B98*IF($D98=IF(MOD(E$34,2)=0,2,MOD(E$34,2)),1,0),IF($C98="m",$B98,0)))))</f>
        <v>0</v>
      </c>
      <c r="F98" s="7">
        <f>IF(AND($C98="j",$D98=F$34),$B98,IF($C98="h",$B98*IF($D98=IF(MOD(F$34,6)=0,6,MOD(F$34,6)),1,0),IF($C98="q",$B98*IF($D98=IF(MOD(F$34,3)=0,3,MOD(F$34,3)),1,0),IF($C98="z",$B98*IF($D98=IF(MOD(F$34,2)=0,2,MOD(F$34,2)),1,0),IF($C98="m",$B98,0)))))</f>
        <v>0</v>
      </c>
      <c r="G98" s="7">
        <f>IF(AND($C98="j",$D98=G$34),$B98,IF($C98="h",$B98*IF($D98=IF(MOD(G$34,6)=0,6,MOD(G$34,6)),1,0),IF($C98="q",$B98*IF($D98=IF(MOD(G$34,3)=0,3,MOD(G$34,3)),1,0),IF($C98="z",$B98*IF($D98=IF(MOD(G$34,2)=0,2,MOD(G$34,2)),1,0),IF($C98="m",$B98,0)))))</f>
        <v>0</v>
      </c>
      <c r="H98" s="7">
        <f>IF(AND($C98="j",$D98=H$34),$B98,IF($C98="h",$B98*IF($D98=IF(MOD(H$34,6)=0,6,MOD(H$34,6)),1,0),IF($C98="q",$B98*IF($D98=IF(MOD(H$34,3)=0,3,MOD(H$34,3)),1,0),IF($C98="z",$B98*IF($D98=IF(MOD(H$34,2)=0,2,MOD(H$34,2)),1,0),IF($C98="m",$B98,0)))))</f>
        <v>0</v>
      </c>
      <c r="I98" s="7">
        <f>IF(AND($C98="j",$D98=I$34),$B98,IF($C98="h",$B98*IF($D98=IF(MOD(I$34,6)=0,6,MOD(I$34,6)),1,0),IF($C98="q",$B98*IF($D98=IF(MOD(I$34,3)=0,3,MOD(I$34,3)),1,0),IF($C98="z",$B98*IF($D98=IF(MOD(I$34,2)=0,2,MOD(I$34,2)),1,0),IF($C98="m",$B98,0)))))</f>
        <v>0</v>
      </c>
      <c r="J98" s="7">
        <f>IF(AND($C98="j",$D98=J$34),$B98,IF($C98="h",$B98*IF($D98=IF(MOD(J$34,6)=0,6,MOD(J$34,6)),1,0),IF($C98="q",$B98*IF($D98=IF(MOD(J$34,3)=0,3,MOD(J$34,3)),1,0),IF($C98="z",$B98*IF($D98=IF(MOD(J$34,2)=0,2,MOD(J$34,2)),1,0),IF($C98="m",$B98,0)))))</f>
        <v>0</v>
      </c>
      <c r="K98" s="7">
        <f>IF(AND($C98="j",$D98=K$34),$B98,IF($C98="h",$B98*IF($D98=IF(MOD(K$34,6)=0,6,MOD(K$34,6)),1,0),IF($C98="q",$B98*IF($D98=IF(MOD(K$34,3)=0,3,MOD(K$34,3)),1,0),IF($C98="z",$B98*IF($D98=IF(MOD(K$34,2)=0,2,MOD(K$34,2)),1,0),IF($C98="m",$B98,0)))))</f>
        <v>0</v>
      </c>
      <c r="L98" s="7">
        <f>IF(AND($C98="j",$D98=L$34),$B98,IF($C98="h",$B98*IF($D98=IF(MOD(L$34,6)=0,6,MOD(L$34,6)),1,0),IF($C98="q",$B98*IF($D98=IF(MOD(L$34,3)=0,3,MOD(L$34,3)),1,0),IF($C98="z",$B98*IF($D98=IF(MOD(L$34,2)=0,2,MOD(L$34,2)),1,0),IF($C98="m",$B98,0)))))</f>
        <v>0</v>
      </c>
      <c r="M98" s="7">
        <f>IF(AND($C98="j",$D98=M$34),$B98,IF($C98="h",$B98*IF($D98=IF(MOD(M$34,6)=0,6,MOD(M$34,6)),1,0),IF($C98="q",$B98*IF($D98=IF(MOD(M$34,3)=0,3,MOD(M$34,3)),1,0),IF($C98="z",$B98*IF($D98=IF(MOD(M$34,2)=0,2,MOD(M$34,2)),1,0),IF($C98="m",$B98,0)))))</f>
        <v>0</v>
      </c>
      <c r="N98" s="7">
        <f>IF(AND($C98="j",$D98=N$34),$B98,IF($C98="h",$B98*IF($D98=IF(MOD(N$34,6)=0,6,MOD(N$34,6)),1,0),IF($C98="q",$B98*IF($D98=IF(MOD(N$34,3)=0,3,MOD(N$34,3)),1,0),IF($C98="z",$B98*IF($D98=IF(MOD(N$34,2)=0,2,MOD(N$34,2)),1,0),IF($C98="m",$B98,0)))))</f>
        <v>0</v>
      </c>
      <c r="O98" s="7">
        <f>IF(AND($C98="j",$D98=O$34),$B98,IF($C98="h",$B98*IF($D98=IF(MOD(O$34,6)=0,6,MOD(O$34,6)),1,0),IF($C98="q",$B98*IF($D98=IF(MOD(O$34,3)=0,3,MOD(O$34,3)),1,0),IF($C98="z",$B98*IF($D98=IF(MOD(O$34,2)=0,2,MOD(O$34,2)),1,0),IF($C98="m",$B98,0)))))</f>
        <v>0</v>
      </c>
      <c r="P98" s="7">
        <f>IF(AND($C98="j",$D98=P$34),$B98,IF($C98="h",$B98*IF($D98=IF(MOD(P$34,6)=0,6,MOD(P$34,6)),1,0),IF($C98="q",$B98*IF($D98=IF(MOD(P$34,3)=0,3,MOD(P$34,3)),1,0),IF($C98="z",$B98*IF($D98=IF(MOD(P$34,2)=0,2,MOD(P$34,2)),1,0),IF($C98="m",$B98,0)))))</f>
        <v>0</v>
      </c>
      <c r="Q98" s="272">
        <f>SUM(E98:P98)</f>
        <v>0</v>
      </c>
      <c r="R98" s="310">
        <f>IF(AND($C98="j",$D98&gt;=1,$D98&lt;=3),$B98,IF(AND($C98="h",$D98&gt;=1,$D98&lt;=3),$B98,IF(AND($C98="q",$D98&gt;=1,$D98&lt;=3),$B98,IF($C98="z",IF($D98=1,2*$B98,$B98),IF($C98="m",3*$B98,0)))))</f>
        <v>0</v>
      </c>
      <c r="S98" s="7">
        <f>IF(AND($C98="j",$D98&gt;=4,$D98&lt;=6),$B98,IF(AND($C98="h",$D98&gt;=4,$D98&lt;=6),$B98,IF(AND($C98="q",$D98&gt;=1,$D98&lt;=3),$B98,IF($C98="z",IF($D98=2,2*$B98,$B98),IF($C98="m",3*$B98,0)))))</f>
        <v>0</v>
      </c>
      <c r="T98" s="7">
        <f>IF(AND($C98="j",$D98&gt;=7,$D98&lt;=9),$B98,IF(AND($C98="h",$D98&gt;=1,$D98&lt;=3),$B98,IF(AND($C98="q",$D98&gt;=1,$D98&lt;=3),$B98,IF($C98="z",IF($D98=1,2*$B98,$B98),IF($C98="m",3*$B98,0)))))</f>
        <v>0</v>
      </c>
      <c r="U98" s="7">
        <f>IF(AND($C98="j",$D98&gt;=10,$D98&lt;=12),$B98,IF(AND($C98="h",$D98&gt;=4,$D98&lt;=6),$B98,IF(AND($C98="q",$D98&gt;=1,$D98&lt;=3),$B98,IF($C98="z",IF($D98=2,2*$B98,$B98),IF($C98="m",3*$B98,0)))))</f>
        <v>0</v>
      </c>
      <c r="V98" s="272">
        <f>SUM(R98:U98)</f>
        <v>0</v>
      </c>
      <c r="W98" s="8">
        <f>IF($C98="j",$B98,IF($C98="h",2*$B98,IF($C98="q",4*$B98,IF($C98="z",6*$B98,12*$B98))))</f>
        <v>0</v>
      </c>
      <c r="X98" s="9">
        <f>IF($C98="j",$B98,IF($C98="h",2*$B98,IF($C98="q",4*$B98,IF($C98="z",6*$B98,12*$B98))))</f>
        <v>0</v>
      </c>
      <c r="Z98" s="599">
        <f>Q98/12</f>
        <v>0</v>
      </c>
    </row>
    <row r="99" spans="1:26" ht="18.75" customHeight="1" thickBot="1" x14ac:dyDescent="0.3">
      <c r="A99" s="99"/>
      <c r="B99" s="100"/>
      <c r="C99" s="101"/>
      <c r="D99" s="102"/>
      <c r="E99" s="14">
        <f>IF(AND($C99="j",$D99=E$34),$B99,IF($C99="h",$B99*IF($D99=IF(MOD(E$34,6)=0,6,MOD(E$34,6)),1,0),IF($C99="q",$B99*IF($D99=IF(MOD(E$34,3)=0,3,MOD(E$34,3)),1,0),IF($C99="z",$B99*IF($D99=IF(MOD(E$34,2)=0,2,MOD(E$34,2)),1,0),IF($C99="m",$B99,0)))))</f>
        <v>0</v>
      </c>
      <c r="F99" s="15">
        <f>IF(AND($C99="j",$D99=F$34),$B99,IF($C99="h",$B99*IF($D99=IF(MOD(F$34,6)=0,6,MOD(F$34,6)),1,0),IF($C99="q",$B99*IF($D99=IF(MOD(F$34,3)=0,3,MOD(F$34,3)),1,0),IF($C99="z",$B99*IF($D99=IF(MOD(F$34,2)=0,2,MOD(F$34,2)),1,0),IF($C99="m",$B99,0)))))</f>
        <v>0</v>
      </c>
      <c r="G99" s="15">
        <f>IF(AND($C99="j",$D99=G$34),$B99,IF($C99="h",$B99*IF($D99=IF(MOD(G$34,6)=0,6,MOD(G$34,6)),1,0),IF($C99="q",$B99*IF($D99=IF(MOD(G$34,3)=0,3,MOD(G$34,3)),1,0),IF($C99="z",$B99*IF($D99=IF(MOD(G$34,2)=0,2,MOD(G$34,2)),1,0),IF($C99="m",$B99,0)))))</f>
        <v>0</v>
      </c>
      <c r="H99" s="15">
        <f>IF(AND($C99="j",$D99=H$34),$B99,IF($C99="h",$B99*IF($D99=IF(MOD(H$34,6)=0,6,MOD(H$34,6)),1,0),IF($C99="q",$B99*IF($D99=IF(MOD(H$34,3)=0,3,MOD(H$34,3)),1,0),IF($C99="z",$B99*IF($D99=IF(MOD(H$34,2)=0,2,MOD(H$34,2)),1,0),IF($C99="m",$B99,0)))))</f>
        <v>0</v>
      </c>
      <c r="I99" s="15">
        <f>IF(AND($C99="j",$D99=I$34),$B99,IF($C99="h",$B99*IF($D99=IF(MOD(I$34,6)=0,6,MOD(I$34,6)),1,0),IF($C99="q",$B99*IF($D99=IF(MOD(I$34,3)=0,3,MOD(I$34,3)),1,0),IF($C99="z",$B99*IF($D99=IF(MOD(I$34,2)=0,2,MOD(I$34,2)),1,0),IF($C99="m",$B99,0)))))</f>
        <v>0</v>
      </c>
      <c r="J99" s="15">
        <f>IF(AND($C99="j",$D99=J$34),$B99,IF($C99="h",$B99*IF($D99=IF(MOD(J$34,6)=0,6,MOD(J$34,6)),1,0),IF($C99="q",$B99*IF($D99=IF(MOD(J$34,3)=0,3,MOD(J$34,3)),1,0),IF($C99="z",$B99*IF($D99=IF(MOD(J$34,2)=0,2,MOD(J$34,2)),1,0),IF($C99="m",$B99,0)))))</f>
        <v>0</v>
      </c>
      <c r="K99" s="15">
        <f>IF(AND($C99="j",$D99=K$34),$B99,IF($C99="h",$B99*IF($D99=IF(MOD(K$34,6)=0,6,MOD(K$34,6)),1,0),IF($C99="q",$B99*IF($D99=IF(MOD(K$34,3)=0,3,MOD(K$34,3)),1,0),IF($C99="z",$B99*IF($D99=IF(MOD(K$34,2)=0,2,MOD(K$34,2)),1,0),IF($C99="m",$B99,0)))))</f>
        <v>0</v>
      </c>
      <c r="L99" s="15">
        <f>IF(AND($C99="j",$D99=L$34),$B99,IF($C99="h",$B99*IF($D99=IF(MOD(L$34,6)=0,6,MOD(L$34,6)),1,0),IF($C99="q",$B99*IF($D99=IF(MOD(L$34,3)=0,3,MOD(L$34,3)),1,0),IF($C99="z",$B99*IF($D99=IF(MOD(L$34,2)=0,2,MOD(L$34,2)),1,0),IF($C99="m",$B99,0)))))</f>
        <v>0</v>
      </c>
      <c r="M99" s="15">
        <f>IF(AND($C99="j",$D99=M$34),$B99,IF($C99="h",$B99*IF($D99=IF(MOD(M$34,6)=0,6,MOD(M$34,6)),1,0),IF($C99="q",$B99*IF($D99=IF(MOD(M$34,3)=0,3,MOD(M$34,3)),1,0),IF($C99="z",$B99*IF($D99=IF(MOD(M$34,2)=0,2,MOD(M$34,2)),1,0),IF($C99="m",$B99,0)))))</f>
        <v>0</v>
      </c>
      <c r="N99" s="15">
        <f>IF(AND($C99="j",$D99=N$34),$B99,IF($C99="h",$B99*IF($D99=IF(MOD(N$34,6)=0,6,MOD(N$34,6)),1,0),IF($C99="q",$B99*IF($D99=IF(MOD(N$34,3)=0,3,MOD(N$34,3)),1,0),IF($C99="z",$B99*IF($D99=IF(MOD(N$34,2)=0,2,MOD(N$34,2)),1,0),IF($C99="m",$B99,0)))))</f>
        <v>0</v>
      </c>
      <c r="O99" s="15">
        <f>IF(AND($C99="j",$D99=O$34),$B99,IF($C99="h",$B99*IF($D99=IF(MOD(O$34,6)=0,6,MOD(O$34,6)),1,0),IF($C99="q",$B99*IF($D99=IF(MOD(O$34,3)=0,3,MOD(O$34,3)),1,0),IF($C99="z",$B99*IF($D99=IF(MOD(O$34,2)=0,2,MOD(O$34,2)),1,0),IF($C99="m",$B99,0)))))</f>
        <v>0</v>
      </c>
      <c r="P99" s="15">
        <f>IF(AND($C99="j",$D99=P$34),$B99,IF($C99="h",$B99*IF($D99=IF(MOD(P$34,6)=0,6,MOD(P$34,6)),1,0),IF($C99="q",$B99*IF($D99=IF(MOD(P$34,3)=0,3,MOD(P$34,3)),1,0),IF($C99="z",$B99*IF($D99=IF(MOD(P$34,2)=0,2,MOD(P$34,2)),1,0),IF($C99="m",$B99,0)))))</f>
        <v>0</v>
      </c>
      <c r="Q99" s="273">
        <f t="shared" ref="Q99" si="104">SUM(E99:P99)</f>
        <v>0</v>
      </c>
      <c r="R99" s="595">
        <f t="shared" ref="R99" si="105">IF(AND($C99="j",$D99&gt;=1,$D99&lt;=3),$B99,IF(AND($C99="h",$D99&gt;=1,$D99&lt;=3),$B99,IF(AND($C99="q",$D99&gt;=1,$D99&lt;=3),$B99,IF($C99="z",IF($D99=1,2*$B99,$B99),IF($C99="m",3*$B99,0)))))</f>
        <v>0</v>
      </c>
      <c r="S99" s="15">
        <f t="shared" ref="S99" si="106">IF(AND($C99="j",$D99&gt;=4,$D99&lt;=6),$B99,IF(AND($C99="h",$D99&gt;=4,$D99&lt;=6),$B99,IF(AND($C99="q",$D99&gt;=1,$D99&lt;=3),$B99,IF($C99="z",IF($D99=2,2*$B99,$B99),IF($C99="m",3*$B99,0)))))</f>
        <v>0</v>
      </c>
      <c r="T99" s="15">
        <f t="shared" ref="T99" si="107">IF(AND($C99="j",$D99&gt;=7,$D99&lt;=9),$B99,IF(AND($C99="h",$D99&gt;=1,$D99&lt;=3),$B99,IF(AND($C99="q",$D99&gt;=1,$D99&lt;=3),$B99,IF($C99="z",IF($D99=1,2*$B99,$B99),IF($C99="m",3*$B99,0)))))</f>
        <v>0</v>
      </c>
      <c r="U99" s="15">
        <f t="shared" ref="U99" si="108">IF(AND($C99="j",$D99&gt;=10,$D99&lt;=12),$B99,IF(AND($C99="h",$D99&gt;=4,$D99&lt;=6),$B99,IF(AND($C99="q",$D99&gt;=1,$D99&lt;=3),$B99,IF($C99="z",IF($D99=2,2*$B99,$B99),IF($C99="m",3*$B99,0)))))</f>
        <v>0</v>
      </c>
      <c r="V99" s="273">
        <f t="shared" ref="V99" si="109">SUM(R99:U99)</f>
        <v>0</v>
      </c>
      <c r="W99" s="16">
        <f t="shared" ref="W99:X99" si="110">IF($C99="j",$B99,IF($C99="h",2*$B99,IF($C99="q",4*$B99,IF($C99="z",6*$B99,12*$B99))))</f>
        <v>0</v>
      </c>
      <c r="X99" s="17">
        <f t="shared" si="110"/>
        <v>0</v>
      </c>
      <c r="Z99" s="605">
        <f t="shared" ref="Z99" si="111">Q99/12</f>
        <v>0</v>
      </c>
    </row>
    <row r="100" spans="1:26" ht="7.5" customHeight="1" thickTop="1" thickBot="1" x14ac:dyDescent="0.3">
      <c r="A100" s="103"/>
      <c r="B100" s="104"/>
      <c r="C100" s="105"/>
      <c r="D100" s="106"/>
      <c r="E100" s="27"/>
      <c r="F100" s="28"/>
      <c r="G100" s="28"/>
      <c r="H100" s="28"/>
      <c r="I100" s="28"/>
      <c r="J100" s="28"/>
      <c r="K100" s="28"/>
      <c r="L100" s="28"/>
      <c r="M100" s="28"/>
      <c r="N100" s="28"/>
      <c r="O100" s="28"/>
      <c r="P100" s="28"/>
      <c r="Q100" s="30"/>
      <c r="R100" s="31"/>
      <c r="S100" s="28"/>
      <c r="T100" s="28"/>
      <c r="U100" s="28"/>
      <c r="V100" s="30"/>
      <c r="W100" s="33"/>
      <c r="X100" s="34"/>
      <c r="Z100" s="601"/>
    </row>
    <row r="101" spans="1:26" s="899" customFormat="1" ht="18.75" customHeight="1" thickBot="1" x14ac:dyDescent="0.3">
      <c r="A101" s="602" t="s">
        <v>51</v>
      </c>
      <c r="B101" s="603">
        <f>Z101</f>
        <v>0</v>
      </c>
      <c r="D101" s="900"/>
      <c r="E101" s="901">
        <f>SUM(E98:E100)</f>
        <v>0</v>
      </c>
      <c r="F101" s="575">
        <f>SUM(F98:F100)</f>
        <v>0</v>
      </c>
      <c r="G101" s="575">
        <f>SUM(G98:G100)</f>
        <v>0</v>
      </c>
      <c r="H101" s="575">
        <f>SUM(H98:H100)</f>
        <v>0</v>
      </c>
      <c r="I101" s="575">
        <f>SUM(I98:I100)</f>
        <v>0</v>
      </c>
      <c r="J101" s="575">
        <f>SUM(J98:J100)</f>
        <v>0</v>
      </c>
      <c r="K101" s="575">
        <f>SUM(K98:K100)</f>
        <v>0</v>
      </c>
      <c r="L101" s="575">
        <f>SUM(L98:L100)</f>
        <v>0</v>
      </c>
      <c r="M101" s="575">
        <f>SUM(M98:M100)</f>
        <v>0</v>
      </c>
      <c r="N101" s="575">
        <f>SUM(N98:N100)</f>
        <v>0</v>
      </c>
      <c r="O101" s="575">
        <f>SUM(O98:O100)</f>
        <v>0</v>
      </c>
      <c r="P101" s="575">
        <f>SUM(P98:P100)</f>
        <v>0</v>
      </c>
      <c r="Q101" s="37">
        <f>SUM(Q98:Q100)</f>
        <v>0</v>
      </c>
      <c r="R101" s="574">
        <f>SUM(R98:R100)</f>
        <v>0</v>
      </c>
      <c r="S101" s="575">
        <f>SUM(S98:S100)</f>
        <v>0</v>
      </c>
      <c r="T101" s="575">
        <f>SUM(T98:T100)</f>
        <v>0</v>
      </c>
      <c r="U101" s="575">
        <f>SUM(U98:U100)</f>
        <v>0</v>
      </c>
      <c r="V101" s="37">
        <f>SUM(V98:V100)</f>
        <v>0</v>
      </c>
      <c r="W101" s="39">
        <f>SUM(W98:W100)</f>
        <v>0</v>
      </c>
      <c r="X101" s="40">
        <f>SUM(X98:X100)</f>
        <v>0</v>
      </c>
      <c r="Z101" s="604">
        <f>SUM(Z98:Z99)</f>
        <v>0</v>
      </c>
    </row>
    <row r="102" spans="1:26" ht="15.75" thickBot="1" x14ac:dyDescent="0.3"/>
    <row r="103" spans="1:26" ht="15" customHeight="1" x14ac:dyDescent="0.25">
      <c r="A103" s="730" t="s">
        <v>82</v>
      </c>
      <c r="B103" s="728" t="s">
        <v>19</v>
      </c>
      <c r="C103" s="728" t="s">
        <v>45</v>
      </c>
      <c r="D103" s="732" t="s">
        <v>256</v>
      </c>
      <c r="E103" s="711" t="s">
        <v>20</v>
      </c>
      <c r="F103" s="691"/>
      <c r="G103" s="691"/>
      <c r="H103" s="691"/>
      <c r="I103" s="691"/>
      <c r="J103" s="691"/>
      <c r="K103" s="691"/>
      <c r="L103" s="691"/>
      <c r="M103" s="691"/>
      <c r="N103" s="691"/>
      <c r="O103" s="691"/>
      <c r="P103" s="692"/>
      <c r="Q103" s="712" t="s">
        <v>20</v>
      </c>
      <c r="R103" s="690" t="s">
        <v>25</v>
      </c>
      <c r="S103" s="691"/>
      <c r="T103" s="691"/>
      <c r="U103" s="692"/>
      <c r="V103" s="693" t="s">
        <v>25</v>
      </c>
      <c r="W103" s="695" t="s">
        <v>26</v>
      </c>
      <c r="X103" s="697" t="s">
        <v>27</v>
      </c>
      <c r="Z103" s="738" t="s">
        <v>50</v>
      </c>
    </row>
    <row r="104" spans="1:26" ht="15.75" thickBot="1" x14ac:dyDescent="0.3">
      <c r="A104" s="731"/>
      <c r="B104" s="729"/>
      <c r="C104" s="729"/>
      <c r="D104" s="733"/>
      <c r="E104" s="1">
        <v>1</v>
      </c>
      <c r="F104" s="2">
        <v>2</v>
      </c>
      <c r="G104" s="2">
        <v>3</v>
      </c>
      <c r="H104" s="2">
        <v>4</v>
      </c>
      <c r="I104" s="2">
        <v>5</v>
      </c>
      <c r="J104" s="2">
        <v>6</v>
      </c>
      <c r="K104" s="2">
        <v>7</v>
      </c>
      <c r="L104" s="2">
        <v>8</v>
      </c>
      <c r="M104" s="2">
        <v>9</v>
      </c>
      <c r="N104" s="2">
        <v>10</v>
      </c>
      <c r="O104" s="2">
        <v>11</v>
      </c>
      <c r="P104" s="3">
        <v>12</v>
      </c>
      <c r="Q104" s="713"/>
      <c r="R104" s="4" t="s">
        <v>21</v>
      </c>
      <c r="S104" s="2" t="s">
        <v>22</v>
      </c>
      <c r="T104" s="2" t="s">
        <v>23</v>
      </c>
      <c r="U104" s="2" t="s">
        <v>24</v>
      </c>
      <c r="V104" s="694"/>
      <c r="W104" s="696"/>
      <c r="X104" s="698"/>
      <c r="Z104" s="739"/>
    </row>
    <row r="105" spans="1:26" ht="18.75" customHeight="1" thickTop="1" x14ac:dyDescent="0.25">
      <c r="A105" s="94" t="s">
        <v>120</v>
      </c>
      <c r="B105" s="18">
        <v>200</v>
      </c>
      <c r="C105" s="19" t="s">
        <v>123</v>
      </c>
      <c r="D105" s="20">
        <v>2</v>
      </c>
      <c r="E105" s="6">
        <f>IF(AND($C105="j",$D105=E$34),$B105,IF($C105="h",$B105*IF($D105=IF(MOD(E$34,6)=0,6,MOD(E$34,6)),1,0),IF($C105="q",$B105*IF($D105=IF(MOD(E$34,3)=0,3,MOD(E$34,3)),1,0),IF($C105="z",$B105*IF($D105=IF(MOD(E$34,2)=0,2,MOD(E$34,2)),1,0),IF($C105="m",$B105,0)))))</f>
        <v>0</v>
      </c>
      <c r="F105" s="7">
        <f t="shared" ref="F105:P108" si="112">IF(AND($C105="j",$D105=F$34),$B105,IF($C105="h",$B105*IF($D105=IF(MOD(F$34,6)=0,6,MOD(F$34,6)),1,0),IF($C105="q",$B105*IF($D105=IF(MOD(F$34,3)=0,3,MOD(F$34,3)),1,0),IF($C105="z",$B105*IF($D105=IF(MOD(F$34,2)=0,2,MOD(F$34,2)),1,0),IF($C105="m",$B105,0)))))</f>
        <v>200</v>
      </c>
      <c r="G105" s="7">
        <f t="shared" si="112"/>
        <v>0</v>
      </c>
      <c r="H105" s="7">
        <f t="shared" si="112"/>
        <v>0</v>
      </c>
      <c r="I105" s="7">
        <f t="shared" si="112"/>
        <v>200</v>
      </c>
      <c r="J105" s="7">
        <f t="shared" si="112"/>
        <v>0</v>
      </c>
      <c r="K105" s="7">
        <f t="shared" si="112"/>
        <v>0</v>
      </c>
      <c r="L105" s="7">
        <f t="shared" si="112"/>
        <v>200</v>
      </c>
      <c r="M105" s="7">
        <f t="shared" si="112"/>
        <v>0</v>
      </c>
      <c r="N105" s="7">
        <f t="shared" si="112"/>
        <v>0</v>
      </c>
      <c r="O105" s="7">
        <f t="shared" si="112"/>
        <v>200</v>
      </c>
      <c r="P105" s="7">
        <f t="shared" si="112"/>
        <v>0</v>
      </c>
      <c r="Q105" s="272">
        <f>SUM(E105:P105)</f>
        <v>800</v>
      </c>
      <c r="R105" s="310">
        <f>IF(AND($C105="j",$D105&gt;=1,$D105&lt;=3),$B105,IF(AND($C105="h",$D105&gt;=1,$D105&lt;=3),$B105,IF(AND($C105="q",$D105&gt;=1,$D105&lt;=3),$B105,IF($C105="z",IF($D105=1,2*$B105,$B105),IF($C105="m",3*$B105,0)))))</f>
        <v>200</v>
      </c>
      <c r="S105" s="7">
        <f>IF(AND($C105="j",$D105&gt;=4,$D105&lt;=6),$B105,IF(AND($C105="h",$D105&gt;=4,$D105&lt;=6),$B105,IF(AND($C105="q",$D105&gt;=1,$D105&lt;=3),$B105,IF($C105="z",IF($D105=2,2*$B105,$B105),IF($C105="m",3*$B105,0)))))</f>
        <v>200</v>
      </c>
      <c r="T105" s="7">
        <f>IF(AND($C105="j",$D105&gt;=7,$D105&lt;=9),$B105,IF(AND($C105="h",$D105&gt;=1,$D105&lt;=3),$B105,IF(AND($C105="q",$D105&gt;=1,$D105&lt;=3),$B105,IF($C105="z",IF($D105=1,2*$B105,$B105),IF($C105="m",3*$B105,0)))))</f>
        <v>200</v>
      </c>
      <c r="U105" s="7">
        <f>IF(AND($C105="j",$D105&gt;=10,$D105&lt;=12),$B105,IF(AND($C105="h",$D105&gt;=4,$D105&lt;=6),$B105,IF(AND($C105="q",$D105&gt;=1,$D105&lt;=3),$B105,IF($C105="z",IF($D105=2,2*$B105,$B105),IF($C105="m",3*$B105,0)))))</f>
        <v>200</v>
      </c>
      <c r="V105" s="272">
        <f>SUM(R105:U105)</f>
        <v>800</v>
      </c>
      <c r="W105" s="8">
        <f>IF($C105="j",$B105,IF($C105="h",2*$B105,IF($C105="q",4*$B105,IF($C105="z",6*$B105,12*$B105))))</f>
        <v>800</v>
      </c>
      <c r="X105" s="9">
        <f>IF($C105="j",$B105,IF($C105="h",2*$B105,IF($C105="q",4*$B105,IF($C105="z",6*$B105,12*$B105))))</f>
        <v>800</v>
      </c>
      <c r="Z105" s="599">
        <f>Q105/12</f>
        <v>66.666666666666671</v>
      </c>
    </row>
    <row r="106" spans="1:26" ht="18.75" customHeight="1" x14ac:dyDescent="0.25">
      <c r="A106" s="95" t="s">
        <v>121</v>
      </c>
      <c r="B106" s="96">
        <f>B27*0.36%</f>
        <v>107.7344322</v>
      </c>
      <c r="C106" s="97" t="s">
        <v>46</v>
      </c>
      <c r="D106" s="98" t="s">
        <v>49</v>
      </c>
      <c r="E106" s="10">
        <f t="shared" ref="E106:E108" si="113">IF(AND($C106="j",$D106=E$34),$B106,IF($C106="h",$B106*IF($D106=IF(MOD(E$34,6)=0,6,MOD(E$34,6)),1,0),IF($C106="q",$B106*IF($D106=IF(MOD(E$34,3)=0,3,MOD(E$34,3)),1,0),IF($C106="z",$B106*IF($D106=IF(MOD(E$34,2)=0,2,MOD(E$34,2)),1,0),IF($C106="m",$B106,0)))))</f>
        <v>107.7344322</v>
      </c>
      <c r="F106" s="11">
        <f t="shared" si="112"/>
        <v>107.7344322</v>
      </c>
      <c r="G106" s="11">
        <f t="shared" si="112"/>
        <v>107.7344322</v>
      </c>
      <c r="H106" s="11">
        <f t="shared" si="112"/>
        <v>107.7344322</v>
      </c>
      <c r="I106" s="11">
        <f t="shared" si="112"/>
        <v>107.7344322</v>
      </c>
      <c r="J106" s="11">
        <f t="shared" si="112"/>
        <v>107.7344322</v>
      </c>
      <c r="K106" s="11">
        <f t="shared" si="112"/>
        <v>107.7344322</v>
      </c>
      <c r="L106" s="11">
        <f t="shared" si="112"/>
        <v>107.7344322</v>
      </c>
      <c r="M106" s="11">
        <f t="shared" si="112"/>
        <v>107.7344322</v>
      </c>
      <c r="N106" s="11">
        <f t="shared" si="112"/>
        <v>107.7344322</v>
      </c>
      <c r="O106" s="11">
        <f t="shared" si="112"/>
        <v>107.7344322</v>
      </c>
      <c r="P106" s="11">
        <f t="shared" si="112"/>
        <v>107.7344322</v>
      </c>
      <c r="Q106" s="591">
        <f t="shared" ref="Q106:Q108" si="114">SUM(E106:P106)</f>
        <v>1292.8131863999997</v>
      </c>
      <c r="R106" s="311">
        <f t="shared" ref="R106:R108" si="115">IF(AND($C106="j",$D106&gt;=1,$D106&lt;=3),$B106,IF(AND($C106="h",$D106&gt;=1,$D106&lt;=3),$B106,IF(AND($C106="q",$D106&gt;=1,$D106&lt;=3),$B106,IF($C106="z",IF($D106=1,2*$B106,$B106),IF($C106="m",3*$B106,0)))))</f>
        <v>323.20329659999999</v>
      </c>
      <c r="S106" s="11">
        <f t="shared" ref="S106:S108" si="116">IF(AND($C106="j",$D106&gt;=4,$D106&lt;=6),$B106,IF(AND($C106="h",$D106&gt;=4,$D106&lt;=6),$B106,IF(AND($C106="q",$D106&gt;=1,$D106&lt;=3),$B106,IF($C106="z",IF($D106=2,2*$B106,$B106),IF($C106="m",3*$B106,0)))))</f>
        <v>323.20329659999999</v>
      </c>
      <c r="T106" s="11">
        <f t="shared" ref="T106:T108" si="117">IF(AND($C106="j",$D106&gt;=7,$D106&lt;=9),$B106,IF(AND($C106="h",$D106&gt;=1,$D106&lt;=3),$B106,IF(AND($C106="q",$D106&gt;=1,$D106&lt;=3),$B106,IF($C106="z",IF($D106=1,2*$B106,$B106),IF($C106="m",3*$B106,0)))))</f>
        <v>323.20329659999999</v>
      </c>
      <c r="U106" s="11">
        <f t="shared" ref="U106:U108" si="118">IF(AND($C106="j",$D106&gt;=10,$D106&lt;=12),$B106,IF(AND($C106="h",$D106&gt;=4,$D106&lt;=6),$B106,IF(AND($C106="q",$D106&gt;=1,$D106&lt;=3),$B106,IF($C106="z",IF($D106=2,2*$B106,$B106),IF($C106="m",3*$B106,0)))))</f>
        <v>323.20329659999999</v>
      </c>
      <c r="V106" s="591">
        <f t="shared" ref="V106:V108" si="119">SUM(R106:U106)</f>
        <v>1292.8131863999999</v>
      </c>
      <c r="W106" s="12">
        <f t="shared" ref="W106:X108" si="120">IF($C106="j",$B106,IF($C106="h",2*$B106,IF($C106="q",4*$B106,IF($C106="z",6*$B106,12*$B106))))</f>
        <v>1292.8131863999999</v>
      </c>
      <c r="X106" s="13">
        <f t="shared" si="120"/>
        <v>1292.8131863999999</v>
      </c>
      <c r="Z106" s="600">
        <f t="shared" ref="Z106:Z108" si="121">Q106/12</f>
        <v>107.73443219999997</v>
      </c>
    </row>
    <row r="107" spans="1:26" ht="18.75" customHeight="1" x14ac:dyDescent="0.25">
      <c r="A107" s="95" t="s">
        <v>122</v>
      </c>
      <c r="B107" s="96">
        <f>B27*0.043%</f>
        <v>12.868279401666667</v>
      </c>
      <c r="C107" s="97" t="s">
        <v>46</v>
      </c>
      <c r="D107" s="98" t="s">
        <v>49</v>
      </c>
      <c r="E107" s="10">
        <f t="shared" si="113"/>
        <v>12.868279401666667</v>
      </c>
      <c r="F107" s="11">
        <f t="shared" si="112"/>
        <v>12.868279401666667</v>
      </c>
      <c r="G107" s="11">
        <f t="shared" si="112"/>
        <v>12.868279401666667</v>
      </c>
      <c r="H107" s="11">
        <f t="shared" si="112"/>
        <v>12.868279401666667</v>
      </c>
      <c r="I107" s="11">
        <f t="shared" si="112"/>
        <v>12.868279401666667</v>
      </c>
      <c r="J107" s="11">
        <f t="shared" si="112"/>
        <v>12.868279401666667</v>
      </c>
      <c r="K107" s="11">
        <f t="shared" si="112"/>
        <v>12.868279401666667</v>
      </c>
      <c r="L107" s="11">
        <f t="shared" si="112"/>
        <v>12.868279401666667</v>
      </c>
      <c r="M107" s="11">
        <f t="shared" si="112"/>
        <v>12.868279401666667</v>
      </c>
      <c r="N107" s="11">
        <f t="shared" si="112"/>
        <v>12.868279401666667</v>
      </c>
      <c r="O107" s="11">
        <f t="shared" si="112"/>
        <v>12.868279401666667</v>
      </c>
      <c r="P107" s="11">
        <f t="shared" si="112"/>
        <v>12.868279401666667</v>
      </c>
      <c r="Q107" s="591">
        <f t="shared" si="114"/>
        <v>154.41935281999997</v>
      </c>
      <c r="R107" s="311">
        <f t="shared" si="115"/>
        <v>38.604838205</v>
      </c>
      <c r="S107" s="11">
        <f t="shared" si="116"/>
        <v>38.604838205</v>
      </c>
      <c r="T107" s="11">
        <f t="shared" si="117"/>
        <v>38.604838205</v>
      </c>
      <c r="U107" s="11">
        <f t="shared" si="118"/>
        <v>38.604838205</v>
      </c>
      <c r="V107" s="591">
        <f t="shared" si="119"/>
        <v>154.41935282</v>
      </c>
      <c r="W107" s="12">
        <f t="shared" si="120"/>
        <v>154.41935282</v>
      </c>
      <c r="X107" s="13">
        <f t="shared" si="120"/>
        <v>154.41935282</v>
      </c>
      <c r="Z107" s="600">
        <f t="shared" si="121"/>
        <v>12.868279401666664</v>
      </c>
    </row>
    <row r="108" spans="1:26" ht="18.75" customHeight="1" thickBot="1" x14ac:dyDescent="0.3">
      <c r="A108" s="99"/>
      <c r="B108" s="100"/>
      <c r="C108" s="101"/>
      <c r="D108" s="102"/>
      <c r="E108" s="14">
        <f t="shared" si="113"/>
        <v>0</v>
      </c>
      <c r="F108" s="15">
        <f t="shared" si="112"/>
        <v>0</v>
      </c>
      <c r="G108" s="15">
        <f t="shared" si="112"/>
        <v>0</v>
      </c>
      <c r="H108" s="15">
        <f t="shared" si="112"/>
        <v>0</v>
      </c>
      <c r="I108" s="15">
        <f t="shared" si="112"/>
        <v>0</v>
      </c>
      <c r="J108" s="15">
        <f t="shared" si="112"/>
        <v>0</v>
      </c>
      <c r="K108" s="15">
        <f t="shared" si="112"/>
        <v>0</v>
      </c>
      <c r="L108" s="15">
        <f t="shared" si="112"/>
        <v>0</v>
      </c>
      <c r="M108" s="15">
        <f t="shared" si="112"/>
        <v>0</v>
      </c>
      <c r="N108" s="15">
        <f t="shared" si="112"/>
        <v>0</v>
      </c>
      <c r="O108" s="15">
        <f t="shared" si="112"/>
        <v>0</v>
      </c>
      <c r="P108" s="15">
        <f t="shared" si="112"/>
        <v>0</v>
      </c>
      <c r="Q108" s="273">
        <f t="shared" si="114"/>
        <v>0</v>
      </c>
      <c r="R108" s="595">
        <f t="shared" si="115"/>
        <v>0</v>
      </c>
      <c r="S108" s="15">
        <f t="shared" si="116"/>
        <v>0</v>
      </c>
      <c r="T108" s="15">
        <f t="shared" si="117"/>
        <v>0</v>
      </c>
      <c r="U108" s="15">
        <f t="shared" si="118"/>
        <v>0</v>
      </c>
      <c r="V108" s="273">
        <f t="shared" si="119"/>
        <v>0</v>
      </c>
      <c r="W108" s="16">
        <f t="shared" si="120"/>
        <v>0</v>
      </c>
      <c r="X108" s="17">
        <f t="shared" si="120"/>
        <v>0</v>
      </c>
      <c r="Z108" s="605">
        <f t="shared" si="121"/>
        <v>0</v>
      </c>
    </row>
    <row r="109" spans="1:26" ht="7.5" customHeight="1" thickTop="1" thickBot="1" x14ac:dyDescent="0.3">
      <c r="A109" s="103"/>
      <c r="B109" s="104"/>
      <c r="C109" s="105"/>
      <c r="D109" s="106"/>
      <c r="E109" s="27"/>
      <c r="F109" s="28"/>
      <c r="G109" s="28"/>
      <c r="H109" s="28"/>
      <c r="I109" s="28"/>
      <c r="J109" s="28"/>
      <c r="K109" s="28"/>
      <c r="L109" s="28"/>
      <c r="M109" s="28"/>
      <c r="N109" s="28"/>
      <c r="O109" s="28"/>
      <c r="P109" s="28"/>
      <c r="Q109" s="30"/>
      <c r="R109" s="31"/>
      <c r="S109" s="28"/>
      <c r="T109" s="28"/>
      <c r="U109" s="28"/>
      <c r="V109" s="30"/>
      <c r="W109" s="33"/>
      <c r="X109" s="34"/>
      <c r="Z109" s="601"/>
    </row>
    <row r="110" spans="1:26" s="899" customFormat="1" ht="18.75" customHeight="1" thickBot="1" x14ac:dyDescent="0.3">
      <c r="A110" s="602" t="s">
        <v>51</v>
      </c>
      <c r="B110" s="603">
        <f>Z110</f>
        <v>187.2693782683333</v>
      </c>
      <c r="D110" s="900"/>
      <c r="E110" s="901">
        <f>SUM(E105:E109)</f>
        <v>120.60271160166667</v>
      </c>
      <c r="F110" s="575">
        <f t="shared" ref="F110:X110" si="122">SUM(F105:F109)</f>
        <v>320.60271160166667</v>
      </c>
      <c r="G110" s="575">
        <f t="shared" si="122"/>
        <v>120.60271160166667</v>
      </c>
      <c r="H110" s="575">
        <f t="shared" si="122"/>
        <v>120.60271160166667</v>
      </c>
      <c r="I110" s="575">
        <f t="shared" si="122"/>
        <v>320.60271160166667</v>
      </c>
      <c r="J110" s="575">
        <f t="shared" si="122"/>
        <v>120.60271160166667</v>
      </c>
      <c r="K110" s="575">
        <f t="shared" si="122"/>
        <v>120.60271160166667</v>
      </c>
      <c r="L110" s="575">
        <f t="shared" si="122"/>
        <v>320.60271160166667</v>
      </c>
      <c r="M110" s="575">
        <f t="shared" si="122"/>
        <v>120.60271160166667</v>
      </c>
      <c r="N110" s="575">
        <f t="shared" si="122"/>
        <v>120.60271160166667</v>
      </c>
      <c r="O110" s="575">
        <f t="shared" si="122"/>
        <v>320.60271160166667</v>
      </c>
      <c r="P110" s="575">
        <f t="shared" si="122"/>
        <v>120.60271160166667</v>
      </c>
      <c r="Q110" s="37">
        <f t="shared" si="122"/>
        <v>2247.2325392199996</v>
      </c>
      <c r="R110" s="574">
        <f t="shared" si="122"/>
        <v>561.8081348049999</v>
      </c>
      <c r="S110" s="575">
        <f t="shared" si="122"/>
        <v>561.8081348049999</v>
      </c>
      <c r="T110" s="575">
        <f t="shared" si="122"/>
        <v>561.8081348049999</v>
      </c>
      <c r="U110" s="575">
        <f t="shared" si="122"/>
        <v>561.8081348049999</v>
      </c>
      <c r="V110" s="37">
        <f t="shared" si="122"/>
        <v>2247.2325392199996</v>
      </c>
      <c r="W110" s="39">
        <f t="shared" si="122"/>
        <v>2247.2325392199996</v>
      </c>
      <c r="X110" s="40">
        <f t="shared" si="122"/>
        <v>2247.2325392199996</v>
      </c>
      <c r="Z110" s="604">
        <f>SUM(Z105:Z108)</f>
        <v>187.2693782683333</v>
      </c>
    </row>
    <row r="111" spans="1:26" ht="15.75" thickBot="1" x14ac:dyDescent="0.3"/>
    <row r="112" spans="1:26" ht="15" customHeight="1" x14ac:dyDescent="0.25">
      <c r="A112" s="730" t="s">
        <v>83</v>
      </c>
      <c r="B112" s="728" t="s">
        <v>19</v>
      </c>
      <c r="C112" s="728" t="s">
        <v>45</v>
      </c>
      <c r="D112" s="732" t="s">
        <v>256</v>
      </c>
      <c r="E112" s="711" t="s">
        <v>20</v>
      </c>
      <c r="F112" s="691"/>
      <c r="G112" s="691"/>
      <c r="H112" s="691"/>
      <c r="I112" s="691"/>
      <c r="J112" s="691"/>
      <c r="K112" s="691"/>
      <c r="L112" s="691"/>
      <c r="M112" s="691"/>
      <c r="N112" s="691"/>
      <c r="O112" s="691"/>
      <c r="P112" s="692"/>
      <c r="Q112" s="712" t="s">
        <v>20</v>
      </c>
      <c r="R112" s="690" t="s">
        <v>25</v>
      </c>
      <c r="S112" s="691"/>
      <c r="T112" s="691"/>
      <c r="U112" s="692"/>
      <c r="V112" s="693" t="s">
        <v>25</v>
      </c>
      <c r="W112" s="695" t="s">
        <v>26</v>
      </c>
      <c r="X112" s="697" t="s">
        <v>27</v>
      </c>
      <c r="Z112" s="738" t="s">
        <v>50</v>
      </c>
    </row>
    <row r="113" spans="1:26" ht="15.75" thickBot="1" x14ac:dyDescent="0.3">
      <c r="A113" s="731"/>
      <c r="B113" s="729"/>
      <c r="C113" s="729"/>
      <c r="D113" s="733"/>
      <c r="E113" s="1">
        <v>1</v>
      </c>
      <c r="F113" s="2">
        <v>2</v>
      </c>
      <c r="G113" s="2">
        <v>3</v>
      </c>
      <c r="H113" s="2">
        <v>4</v>
      </c>
      <c r="I113" s="2">
        <v>5</v>
      </c>
      <c r="J113" s="2">
        <v>6</v>
      </c>
      <c r="K113" s="2">
        <v>7</v>
      </c>
      <c r="L113" s="2">
        <v>8</v>
      </c>
      <c r="M113" s="2">
        <v>9</v>
      </c>
      <c r="N113" s="2">
        <v>10</v>
      </c>
      <c r="O113" s="2">
        <v>11</v>
      </c>
      <c r="P113" s="3">
        <v>12</v>
      </c>
      <c r="Q113" s="713"/>
      <c r="R113" s="4" t="s">
        <v>21</v>
      </c>
      <c r="S113" s="2" t="s">
        <v>22</v>
      </c>
      <c r="T113" s="2" t="s">
        <v>23</v>
      </c>
      <c r="U113" s="2" t="s">
        <v>24</v>
      </c>
      <c r="V113" s="694"/>
      <c r="W113" s="696"/>
      <c r="X113" s="698"/>
      <c r="Z113" s="739"/>
    </row>
    <row r="114" spans="1:26" ht="18.75" customHeight="1" thickTop="1" x14ac:dyDescent="0.25">
      <c r="A114" s="94"/>
      <c r="B114" s="18"/>
      <c r="C114" s="19"/>
      <c r="D114" s="20"/>
      <c r="E114" s="6">
        <f>IF(AND($C114="j",$D114=E$34),$B114,IF($C114="h",$B114*IF($D114=IF(MOD(E$34,6)=0,6,MOD(E$34,6)),1,0),IF($C114="q",$B114*IF($D114=IF(MOD(E$34,3)=0,3,MOD(E$34,3)),1,0),IF($C114="z",$B114*IF($D114=IF(MOD(E$34,2)=0,2,MOD(E$34,2)),1,0),IF($C114="m",$B114,0)))))</f>
        <v>0</v>
      </c>
      <c r="F114" s="7">
        <f>IF(AND($C114="j",$D114=F$34),$B114,IF($C114="h",$B114*IF($D114=IF(MOD(F$34,6)=0,6,MOD(F$34,6)),1,0),IF($C114="q",$B114*IF($D114=IF(MOD(F$34,3)=0,3,MOD(F$34,3)),1,0),IF($C114="z",$B114*IF($D114=IF(MOD(F$34,2)=0,2,MOD(F$34,2)),1,0),IF($C114="m",$B114,0)))))</f>
        <v>0</v>
      </c>
      <c r="G114" s="7">
        <f>IF(AND($C114="j",$D114=G$34),$B114,IF($C114="h",$B114*IF($D114=IF(MOD(G$34,6)=0,6,MOD(G$34,6)),1,0),IF($C114="q",$B114*IF($D114=IF(MOD(G$34,3)=0,3,MOD(G$34,3)),1,0),IF($C114="z",$B114*IF($D114=IF(MOD(G$34,2)=0,2,MOD(G$34,2)),1,0),IF($C114="m",$B114,0)))))</f>
        <v>0</v>
      </c>
      <c r="H114" s="7">
        <f>IF(AND($C114="j",$D114=H$34),$B114,IF($C114="h",$B114*IF($D114=IF(MOD(H$34,6)=0,6,MOD(H$34,6)),1,0),IF($C114="q",$B114*IF($D114=IF(MOD(H$34,3)=0,3,MOD(H$34,3)),1,0),IF($C114="z",$B114*IF($D114=IF(MOD(H$34,2)=0,2,MOD(H$34,2)),1,0),IF($C114="m",$B114,0)))))</f>
        <v>0</v>
      </c>
      <c r="I114" s="7">
        <f>IF(AND($C114="j",$D114=I$34),$B114,IF($C114="h",$B114*IF($D114=IF(MOD(I$34,6)=0,6,MOD(I$34,6)),1,0),IF($C114="q",$B114*IF($D114=IF(MOD(I$34,3)=0,3,MOD(I$34,3)),1,0),IF($C114="z",$B114*IF($D114=IF(MOD(I$34,2)=0,2,MOD(I$34,2)),1,0),IF($C114="m",$B114,0)))))</f>
        <v>0</v>
      </c>
      <c r="J114" s="7">
        <f>IF(AND($C114="j",$D114=J$34),$B114,IF($C114="h",$B114*IF($D114=IF(MOD(J$34,6)=0,6,MOD(J$34,6)),1,0),IF($C114="q",$B114*IF($D114=IF(MOD(J$34,3)=0,3,MOD(J$34,3)),1,0),IF($C114="z",$B114*IF($D114=IF(MOD(J$34,2)=0,2,MOD(J$34,2)),1,0),IF($C114="m",$B114,0)))))</f>
        <v>0</v>
      </c>
      <c r="K114" s="7">
        <f>IF(AND($C114="j",$D114=K$34),$B114,IF($C114="h",$B114*IF($D114=IF(MOD(K$34,6)=0,6,MOD(K$34,6)),1,0),IF($C114="q",$B114*IF($D114=IF(MOD(K$34,3)=0,3,MOD(K$34,3)),1,0),IF($C114="z",$B114*IF($D114=IF(MOD(K$34,2)=0,2,MOD(K$34,2)),1,0),IF($C114="m",$B114,0)))))</f>
        <v>0</v>
      </c>
      <c r="L114" s="7">
        <f>IF(AND($C114="j",$D114=L$34),$B114,IF($C114="h",$B114*IF($D114=IF(MOD(L$34,6)=0,6,MOD(L$34,6)),1,0),IF($C114="q",$B114*IF($D114=IF(MOD(L$34,3)=0,3,MOD(L$34,3)),1,0),IF($C114="z",$B114*IF($D114=IF(MOD(L$34,2)=0,2,MOD(L$34,2)),1,0),IF($C114="m",$B114,0)))))</f>
        <v>0</v>
      </c>
      <c r="M114" s="7">
        <f>IF(AND($C114="j",$D114=M$34),$B114,IF($C114="h",$B114*IF($D114=IF(MOD(M$34,6)=0,6,MOD(M$34,6)),1,0),IF($C114="q",$B114*IF($D114=IF(MOD(M$34,3)=0,3,MOD(M$34,3)),1,0),IF($C114="z",$B114*IF($D114=IF(MOD(M$34,2)=0,2,MOD(M$34,2)),1,0),IF($C114="m",$B114,0)))))</f>
        <v>0</v>
      </c>
      <c r="N114" s="7">
        <f>IF(AND($C114="j",$D114=N$34),$B114,IF($C114="h",$B114*IF($D114=IF(MOD(N$34,6)=0,6,MOD(N$34,6)),1,0),IF($C114="q",$B114*IF($D114=IF(MOD(N$34,3)=0,3,MOD(N$34,3)),1,0),IF($C114="z",$B114*IF($D114=IF(MOD(N$34,2)=0,2,MOD(N$34,2)),1,0),IF($C114="m",$B114,0)))))</f>
        <v>0</v>
      </c>
      <c r="O114" s="7">
        <f>IF(AND($C114="j",$D114=O$34),$B114,IF($C114="h",$B114*IF($D114=IF(MOD(O$34,6)=0,6,MOD(O$34,6)),1,0),IF($C114="q",$B114*IF($D114=IF(MOD(O$34,3)=0,3,MOD(O$34,3)),1,0),IF($C114="z",$B114*IF($D114=IF(MOD(O$34,2)=0,2,MOD(O$34,2)),1,0),IF($C114="m",$B114,0)))))</f>
        <v>0</v>
      </c>
      <c r="P114" s="7">
        <f>IF(AND($C114="j",$D114=P$34),$B114,IF($C114="h",$B114*IF($D114=IF(MOD(P$34,6)=0,6,MOD(P$34,6)),1,0),IF($C114="q",$B114*IF($D114=IF(MOD(P$34,3)=0,3,MOD(P$34,3)),1,0),IF($C114="z",$B114*IF($D114=IF(MOD(P$34,2)=0,2,MOD(P$34,2)),1,0),IF($C114="m",$B114,0)))))</f>
        <v>0</v>
      </c>
      <c r="Q114" s="272">
        <f>SUM(E114:P114)</f>
        <v>0</v>
      </c>
      <c r="R114" s="310">
        <f>IF(AND($C114="j",$D114&gt;=1,$D114&lt;=3),$B114,IF(AND($C114="h",$D114&gt;=1,$D114&lt;=3),$B114,IF(AND($C114="q",$D114&gt;=1,$D114&lt;=3),$B114,IF($C114="z",IF($D114=1,2*$B114,$B114),IF($C114="m",3*$B114,0)))))</f>
        <v>0</v>
      </c>
      <c r="S114" s="7">
        <f>IF(AND($C114="j",$D114&gt;=4,$D114&lt;=6),$B114,IF(AND($C114="h",$D114&gt;=4,$D114&lt;=6),$B114,IF(AND($C114="q",$D114&gt;=1,$D114&lt;=3),$B114,IF($C114="z",IF($D114=2,2*$B114,$B114),IF($C114="m",3*$B114,0)))))</f>
        <v>0</v>
      </c>
      <c r="T114" s="7">
        <f>IF(AND($C114="j",$D114&gt;=7,$D114&lt;=9),$B114,IF(AND($C114="h",$D114&gt;=1,$D114&lt;=3),$B114,IF(AND($C114="q",$D114&gt;=1,$D114&lt;=3),$B114,IF($C114="z",IF($D114=1,2*$B114,$B114),IF($C114="m",3*$B114,0)))))</f>
        <v>0</v>
      </c>
      <c r="U114" s="7">
        <f>IF(AND($C114="j",$D114&gt;=10,$D114&lt;=12),$B114,IF(AND($C114="h",$D114&gt;=4,$D114&lt;=6),$B114,IF(AND($C114="q",$D114&gt;=1,$D114&lt;=3),$B114,IF($C114="z",IF($D114=2,2*$B114,$B114),IF($C114="m",3*$B114,0)))))</f>
        <v>0</v>
      </c>
      <c r="V114" s="272">
        <f>SUM(R114:U114)</f>
        <v>0</v>
      </c>
      <c r="W114" s="8">
        <f>IF($C114="j",$B114,IF($C114="h",2*$B114,IF($C114="q",4*$B114,IF($C114="z",6*$B114,12*$B114))))</f>
        <v>0</v>
      </c>
      <c r="X114" s="9">
        <f>IF($C114="j",$B114,IF($C114="h",2*$B114,IF($C114="q",4*$B114,IF($C114="z",6*$B114,12*$B114))))</f>
        <v>0</v>
      </c>
      <c r="Z114" s="599">
        <f>Q114/12</f>
        <v>0</v>
      </c>
    </row>
    <row r="115" spans="1:26" ht="18.75" customHeight="1" thickBot="1" x14ac:dyDescent="0.3">
      <c r="A115" s="99"/>
      <c r="B115" s="100"/>
      <c r="C115" s="101"/>
      <c r="D115" s="102"/>
      <c r="E115" s="14">
        <f>IF(AND($C115="j",$D115=E$34),$B115,IF($C115="h",$B115*IF($D115=IF(MOD(E$34,6)=0,6,MOD(E$34,6)),1,0),IF($C115="q",$B115*IF($D115=IF(MOD(E$34,3)=0,3,MOD(E$34,3)),1,0),IF($C115="z",$B115*IF($D115=IF(MOD(E$34,2)=0,2,MOD(E$34,2)),1,0),IF($C115="m",$B115,0)))))</f>
        <v>0</v>
      </c>
      <c r="F115" s="15">
        <f>IF(AND($C115="j",$D115=F$34),$B115,IF($C115="h",$B115*IF($D115=IF(MOD(F$34,6)=0,6,MOD(F$34,6)),1,0),IF($C115="q",$B115*IF($D115=IF(MOD(F$34,3)=0,3,MOD(F$34,3)),1,0),IF($C115="z",$B115*IF($D115=IF(MOD(F$34,2)=0,2,MOD(F$34,2)),1,0),IF($C115="m",$B115,0)))))</f>
        <v>0</v>
      </c>
      <c r="G115" s="15">
        <f>IF(AND($C115="j",$D115=G$34),$B115,IF($C115="h",$B115*IF($D115=IF(MOD(G$34,6)=0,6,MOD(G$34,6)),1,0),IF($C115="q",$B115*IF($D115=IF(MOD(G$34,3)=0,3,MOD(G$34,3)),1,0),IF($C115="z",$B115*IF($D115=IF(MOD(G$34,2)=0,2,MOD(G$34,2)),1,0),IF($C115="m",$B115,0)))))</f>
        <v>0</v>
      </c>
      <c r="H115" s="15">
        <f>IF(AND($C115="j",$D115=H$34),$B115,IF($C115="h",$B115*IF($D115=IF(MOD(H$34,6)=0,6,MOD(H$34,6)),1,0),IF($C115="q",$B115*IF($D115=IF(MOD(H$34,3)=0,3,MOD(H$34,3)),1,0),IF($C115="z",$B115*IF($D115=IF(MOD(H$34,2)=0,2,MOD(H$34,2)),1,0),IF($C115="m",$B115,0)))))</f>
        <v>0</v>
      </c>
      <c r="I115" s="15">
        <f>IF(AND($C115="j",$D115=I$34),$B115,IF($C115="h",$B115*IF($D115=IF(MOD(I$34,6)=0,6,MOD(I$34,6)),1,0),IF($C115="q",$B115*IF($D115=IF(MOD(I$34,3)=0,3,MOD(I$34,3)),1,0),IF($C115="z",$B115*IF($D115=IF(MOD(I$34,2)=0,2,MOD(I$34,2)),1,0),IF($C115="m",$B115,0)))))</f>
        <v>0</v>
      </c>
      <c r="J115" s="15">
        <f>IF(AND($C115="j",$D115=J$34),$B115,IF($C115="h",$B115*IF($D115=IF(MOD(J$34,6)=0,6,MOD(J$34,6)),1,0),IF($C115="q",$B115*IF($D115=IF(MOD(J$34,3)=0,3,MOD(J$34,3)),1,0),IF($C115="z",$B115*IF($D115=IF(MOD(J$34,2)=0,2,MOD(J$34,2)),1,0),IF($C115="m",$B115,0)))))</f>
        <v>0</v>
      </c>
      <c r="K115" s="15">
        <f>IF(AND($C115="j",$D115=K$34),$B115,IF($C115="h",$B115*IF($D115=IF(MOD(K$34,6)=0,6,MOD(K$34,6)),1,0),IF($C115="q",$B115*IF($D115=IF(MOD(K$34,3)=0,3,MOD(K$34,3)),1,0),IF($C115="z",$B115*IF($D115=IF(MOD(K$34,2)=0,2,MOD(K$34,2)),1,0),IF($C115="m",$B115,0)))))</f>
        <v>0</v>
      </c>
      <c r="L115" s="15">
        <f>IF(AND($C115="j",$D115=L$34),$B115,IF($C115="h",$B115*IF($D115=IF(MOD(L$34,6)=0,6,MOD(L$34,6)),1,0),IF($C115="q",$B115*IF($D115=IF(MOD(L$34,3)=0,3,MOD(L$34,3)),1,0),IF($C115="z",$B115*IF($D115=IF(MOD(L$34,2)=0,2,MOD(L$34,2)),1,0),IF($C115="m",$B115,0)))))</f>
        <v>0</v>
      </c>
      <c r="M115" s="15">
        <f>IF(AND($C115="j",$D115=M$34),$B115,IF($C115="h",$B115*IF($D115=IF(MOD(M$34,6)=0,6,MOD(M$34,6)),1,0),IF($C115="q",$B115*IF($D115=IF(MOD(M$34,3)=0,3,MOD(M$34,3)),1,0),IF($C115="z",$B115*IF($D115=IF(MOD(M$34,2)=0,2,MOD(M$34,2)),1,0),IF($C115="m",$B115,0)))))</f>
        <v>0</v>
      </c>
      <c r="N115" s="15">
        <f>IF(AND($C115="j",$D115=N$34),$B115,IF($C115="h",$B115*IF($D115=IF(MOD(N$34,6)=0,6,MOD(N$34,6)),1,0),IF($C115="q",$B115*IF($D115=IF(MOD(N$34,3)=0,3,MOD(N$34,3)),1,0),IF($C115="z",$B115*IF($D115=IF(MOD(N$34,2)=0,2,MOD(N$34,2)),1,0),IF($C115="m",$B115,0)))))</f>
        <v>0</v>
      </c>
      <c r="O115" s="15">
        <f>IF(AND($C115="j",$D115=O$34),$B115,IF($C115="h",$B115*IF($D115=IF(MOD(O$34,6)=0,6,MOD(O$34,6)),1,0),IF($C115="q",$B115*IF($D115=IF(MOD(O$34,3)=0,3,MOD(O$34,3)),1,0),IF($C115="z",$B115*IF($D115=IF(MOD(O$34,2)=0,2,MOD(O$34,2)),1,0),IF($C115="m",$B115,0)))))</f>
        <v>0</v>
      </c>
      <c r="P115" s="15">
        <f>IF(AND($C115="j",$D115=P$34),$B115,IF($C115="h",$B115*IF($D115=IF(MOD(P$34,6)=0,6,MOD(P$34,6)),1,0),IF($C115="q",$B115*IF($D115=IF(MOD(P$34,3)=0,3,MOD(P$34,3)),1,0),IF($C115="z",$B115*IF($D115=IF(MOD(P$34,2)=0,2,MOD(P$34,2)),1,0),IF($C115="m",$B115,0)))))</f>
        <v>0</v>
      </c>
      <c r="Q115" s="273">
        <f t="shared" ref="Q115" si="123">SUM(E115:P115)</f>
        <v>0</v>
      </c>
      <c r="R115" s="595">
        <f t="shared" ref="R115" si="124">IF(AND($C115="j",$D115&gt;=1,$D115&lt;=3),$B115,IF(AND($C115="h",$D115&gt;=1,$D115&lt;=3),$B115,IF(AND($C115="q",$D115&gt;=1,$D115&lt;=3),$B115,IF($C115="z",IF($D115=1,2*$B115,$B115),IF($C115="m",3*$B115,0)))))</f>
        <v>0</v>
      </c>
      <c r="S115" s="15">
        <f t="shared" ref="S115" si="125">IF(AND($C115="j",$D115&gt;=4,$D115&lt;=6),$B115,IF(AND($C115="h",$D115&gt;=4,$D115&lt;=6),$B115,IF(AND($C115="q",$D115&gt;=1,$D115&lt;=3),$B115,IF($C115="z",IF($D115=2,2*$B115,$B115),IF($C115="m",3*$B115,0)))))</f>
        <v>0</v>
      </c>
      <c r="T115" s="15">
        <f t="shared" ref="T115" si="126">IF(AND($C115="j",$D115&gt;=7,$D115&lt;=9),$B115,IF(AND($C115="h",$D115&gt;=1,$D115&lt;=3),$B115,IF(AND($C115="q",$D115&gt;=1,$D115&lt;=3),$B115,IF($C115="z",IF($D115=1,2*$B115,$B115),IF($C115="m",3*$B115,0)))))</f>
        <v>0</v>
      </c>
      <c r="U115" s="15">
        <f t="shared" ref="U115" si="127">IF(AND($C115="j",$D115&gt;=10,$D115&lt;=12),$B115,IF(AND($C115="h",$D115&gt;=4,$D115&lt;=6),$B115,IF(AND($C115="q",$D115&gt;=1,$D115&lt;=3),$B115,IF($C115="z",IF($D115=2,2*$B115,$B115),IF($C115="m",3*$B115,0)))))</f>
        <v>0</v>
      </c>
      <c r="V115" s="273">
        <f t="shared" ref="V115" si="128">SUM(R115:U115)</f>
        <v>0</v>
      </c>
      <c r="W115" s="16">
        <f t="shared" ref="W115:X115" si="129">IF($C115="j",$B115,IF($C115="h",2*$B115,IF($C115="q",4*$B115,IF($C115="z",6*$B115,12*$B115))))</f>
        <v>0</v>
      </c>
      <c r="X115" s="17">
        <f t="shared" si="129"/>
        <v>0</v>
      </c>
      <c r="Z115" s="605">
        <f t="shared" ref="Z115" si="130">Q115/12</f>
        <v>0</v>
      </c>
    </row>
    <row r="116" spans="1:26" ht="7.5" customHeight="1" thickTop="1" thickBot="1" x14ac:dyDescent="0.3">
      <c r="A116" s="103"/>
      <c r="B116" s="104"/>
      <c r="C116" s="105"/>
      <c r="D116" s="106"/>
      <c r="E116" s="27"/>
      <c r="F116" s="28"/>
      <c r="G116" s="28"/>
      <c r="H116" s="28"/>
      <c r="I116" s="28"/>
      <c r="J116" s="28"/>
      <c r="K116" s="28"/>
      <c r="L116" s="28"/>
      <c r="M116" s="28"/>
      <c r="N116" s="28"/>
      <c r="O116" s="28"/>
      <c r="P116" s="28"/>
      <c r="Q116" s="30"/>
      <c r="R116" s="31"/>
      <c r="S116" s="28"/>
      <c r="T116" s="28"/>
      <c r="U116" s="28"/>
      <c r="V116" s="30"/>
      <c r="W116" s="33"/>
      <c r="X116" s="34"/>
      <c r="Z116" s="601"/>
    </row>
    <row r="117" spans="1:26" s="899" customFormat="1" ht="18.75" customHeight="1" thickBot="1" x14ac:dyDescent="0.3">
      <c r="A117" s="602" t="s">
        <v>51</v>
      </c>
      <c r="B117" s="603">
        <f>Z117</f>
        <v>0</v>
      </c>
      <c r="D117" s="900"/>
      <c r="E117" s="901">
        <f>SUM(E114:E116)</f>
        <v>0</v>
      </c>
      <c r="F117" s="575">
        <f>SUM(F114:F116)</f>
        <v>0</v>
      </c>
      <c r="G117" s="575">
        <f>SUM(G114:G116)</f>
        <v>0</v>
      </c>
      <c r="H117" s="575">
        <f>SUM(H114:H116)</f>
        <v>0</v>
      </c>
      <c r="I117" s="575">
        <f>SUM(I114:I116)</f>
        <v>0</v>
      </c>
      <c r="J117" s="575">
        <f>SUM(J114:J116)</f>
        <v>0</v>
      </c>
      <c r="K117" s="575">
        <f>SUM(K114:K116)</f>
        <v>0</v>
      </c>
      <c r="L117" s="575">
        <f>SUM(L114:L116)</f>
        <v>0</v>
      </c>
      <c r="M117" s="575">
        <f>SUM(M114:M116)</f>
        <v>0</v>
      </c>
      <c r="N117" s="575">
        <f>SUM(N114:N116)</f>
        <v>0</v>
      </c>
      <c r="O117" s="575">
        <f>SUM(O114:O116)</f>
        <v>0</v>
      </c>
      <c r="P117" s="575">
        <f>SUM(P114:P116)</f>
        <v>0</v>
      </c>
      <c r="Q117" s="37">
        <f>SUM(Q114:Q116)</f>
        <v>0</v>
      </c>
      <c r="R117" s="574">
        <f>SUM(R114:R116)</f>
        <v>0</v>
      </c>
      <c r="S117" s="575">
        <f>SUM(S114:S116)</f>
        <v>0</v>
      </c>
      <c r="T117" s="575">
        <f>SUM(T114:T116)</f>
        <v>0</v>
      </c>
      <c r="U117" s="575">
        <f>SUM(U114:U116)</f>
        <v>0</v>
      </c>
      <c r="V117" s="37">
        <f>SUM(V114:V116)</f>
        <v>0</v>
      </c>
      <c r="W117" s="39">
        <f>SUM(W114:W116)</f>
        <v>0</v>
      </c>
      <c r="X117" s="40">
        <f>SUM(X114:X116)</f>
        <v>0</v>
      </c>
      <c r="Z117" s="604">
        <f>SUM(Z114:Z115)</f>
        <v>0</v>
      </c>
    </row>
    <row r="118" spans="1:26" ht="15.75" thickBot="1" x14ac:dyDescent="0.3"/>
    <row r="119" spans="1:26" ht="15" customHeight="1" x14ac:dyDescent="0.25">
      <c r="A119" s="730" t="s">
        <v>84</v>
      </c>
      <c r="B119" s="728" t="s">
        <v>19</v>
      </c>
      <c r="C119" s="728" t="s">
        <v>45</v>
      </c>
      <c r="D119" s="732" t="s">
        <v>256</v>
      </c>
      <c r="E119" s="711" t="s">
        <v>20</v>
      </c>
      <c r="F119" s="691"/>
      <c r="G119" s="691"/>
      <c r="H119" s="691"/>
      <c r="I119" s="691"/>
      <c r="J119" s="691"/>
      <c r="K119" s="691"/>
      <c r="L119" s="691"/>
      <c r="M119" s="691"/>
      <c r="N119" s="691"/>
      <c r="O119" s="691"/>
      <c r="P119" s="692"/>
      <c r="Q119" s="712" t="s">
        <v>20</v>
      </c>
      <c r="R119" s="690" t="s">
        <v>25</v>
      </c>
      <c r="S119" s="691"/>
      <c r="T119" s="691"/>
      <c r="U119" s="692"/>
      <c r="V119" s="693" t="s">
        <v>25</v>
      </c>
      <c r="W119" s="695" t="s">
        <v>26</v>
      </c>
      <c r="X119" s="697" t="s">
        <v>27</v>
      </c>
      <c r="Z119" s="738" t="s">
        <v>50</v>
      </c>
    </row>
    <row r="120" spans="1:26" ht="15.75" thickBot="1" x14ac:dyDescent="0.3">
      <c r="A120" s="731"/>
      <c r="B120" s="729"/>
      <c r="C120" s="729"/>
      <c r="D120" s="733"/>
      <c r="E120" s="1">
        <v>1</v>
      </c>
      <c r="F120" s="2">
        <v>2</v>
      </c>
      <c r="G120" s="2">
        <v>3</v>
      </c>
      <c r="H120" s="2">
        <v>4</v>
      </c>
      <c r="I120" s="2">
        <v>5</v>
      </c>
      <c r="J120" s="2">
        <v>6</v>
      </c>
      <c r="K120" s="2">
        <v>7</v>
      </c>
      <c r="L120" s="2">
        <v>8</v>
      </c>
      <c r="M120" s="2">
        <v>9</v>
      </c>
      <c r="N120" s="2">
        <v>10</v>
      </c>
      <c r="O120" s="2">
        <v>11</v>
      </c>
      <c r="P120" s="3">
        <v>12</v>
      </c>
      <c r="Q120" s="713"/>
      <c r="R120" s="4" t="s">
        <v>21</v>
      </c>
      <c r="S120" s="2" t="s">
        <v>22</v>
      </c>
      <c r="T120" s="2" t="s">
        <v>23</v>
      </c>
      <c r="U120" s="2" t="s">
        <v>24</v>
      </c>
      <c r="V120" s="694"/>
      <c r="W120" s="696"/>
      <c r="X120" s="698"/>
      <c r="Z120" s="739"/>
    </row>
    <row r="121" spans="1:26" ht="18.75" customHeight="1" thickTop="1" x14ac:dyDescent="0.25">
      <c r="A121" s="94" t="s">
        <v>136</v>
      </c>
      <c r="B121" s="18">
        <v>1500</v>
      </c>
      <c r="C121" s="19" t="s">
        <v>46</v>
      </c>
      <c r="D121" s="20" t="s">
        <v>49</v>
      </c>
      <c r="E121" s="6">
        <f>IF(AND($C121="j",$D121=E$34),$B121,IF($C121="h",$B121*IF($D121=IF(MOD(E$34,6)=0,6,MOD(E$34,6)),1,0),IF($C121="q",$B121*IF($D121=IF(MOD(E$34,3)=0,3,MOD(E$34,3)),1,0),IF($C121="z",$B121*IF($D121=IF(MOD(E$34,2)=0,2,MOD(E$34,2)),1,0),IF($C121="m",$B121,0)))))</f>
        <v>1500</v>
      </c>
      <c r="F121" s="7">
        <f>IF(AND($C121="j",$D121=F$34),$B121,IF($C121="h",$B121*IF($D121=IF(MOD(F$34,6)=0,6,MOD(F$34,6)),1,0),IF($C121="q",$B121*IF($D121=IF(MOD(F$34,3)=0,3,MOD(F$34,3)),1,0),IF($C121="z",$B121*IF($D121=IF(MOD(F$34,2)=0,2,MOD(F$34,2)),1,0),IF($C121="m",$B121,0)))))</f>
        <v>1500</v>
      </c>
      <c r="G121" s="7">
        <f>IF(AND($C121="j",$D121=G$34),$B121,IF($C121="h",$B121*IF($D121=IF(MOD(G$34,6)=0,6,MOD(G$34,6)),1,0),IF($C121="q",$B121*IF($D121=IF(MOD(G$34,3)=0,3,MOD(G$34,3)),1,0),IF($C121="z",$B121*IF($D121=IF(MOD(G$34,2)=0,2,MOD(G$34,2)),1,0),IF($C121="m",$B121,0)))))</f>
        <v>1500</v>
      </c>
      <c r="H121" s="7">
        <f>IF(AND($C121="j",$D121=H$34),$B121,IF($C121="h",$B121*IF($D121=IF(MOD(H$34,6)=0,6,MOD(H$34,6)),1,0),IF($C121="q",$B121*IF($D121=IF(MOD(H$34,3)=0,3,MOD(H$34,3)),1,0),IF($C121="z",$B121*IF($D121=IF(MOD(H$34,2)=0,2,MOD(H$34,2)),1,0),IF($C121="m",$B121,0)))))</f>
        <v>1500</v>
      </c>
      <c r="I121" s="7">
        <f>IF(AND($C121="j",$D121=I$34),$B121,IF($C121="h",$B121*IF($D121=IF(MOD(I$34,6)=0,6,MOD(I$34,6)),1,0),IF($C121="q",$B121*IF($D121=IF(MOD(I$34,3)=0,3,MOD(I$34,3)),1,0),IF($C121="z",$B121*IF($D121=IF(MOD(I$34,2)=0,2,MOD(I$34,2)),1,0),IF($C121="m",$B121,0)))))</f>
        <v>1500</v>
      </c>
      <c r="J121" s="7">
        <f>IF(AND($C121="j",$D121=J$34),$B121,IF($C121="h",$B121*IF($D121=IF(MOD(J$34,6)=0,6,MOD(J$34,6)),1,0),IF($C121="q",$B121*IF($D121=IF(MOD(J$34,3)=0,3,MOD(J$34,3)),1,0),IF($C121="z",$B121*IF($D121=IF(MOD(J$34,2)=0,2,MOD(J$34,2)),1,0),IF($C121="m",$B121,0)))))</f>
        <v>1500</v>
      </c>
      <c r="K121" s="7">
        <f>IF(AND($C121="j",$D121=K$34),$B121,IF($C121="h",$B121*IF($D121=IF(MOD(K$34,6)=0,6,MOD(K$34,6)),1,0),IF($C121="q",$B121*IF($D121=IF(MOD(K$34,3)=0,3,MOD(K$34,3)),1,0),IF($C121="z",$B121*IF($D121=IF(MOD(K$34,2)=0,2,MOD(K$34,2)),1,0),IF($C121="m",$B121,0)))))</f>
        <v>1500</v>
      </c>
      <c r="L121" s="7">
        <f>IF(AND($C121="j",$D121=L$34),$B121,IF($C121="h",$B121*IF($D121=IF(MOD(L$34,6)=0,6,MOD(L$34,6)),1,0),IF($C121="q",$B121*IF($D121=IF(MOD(L$34,3)=0,3,MOD(L$34,3)),1,0),IF($C121="z",$B121*IF($D121=IF(MOD(L$34,2)=0,2,MOD(L$34,2)),1,0),IF($C121="m",$B121,0)))))</f>
        <v>1500</v>
      </c>
      <c r="M121" s="7">
        <f>IF(AND($C121="j",$D121=M$34),$B121,IF($C121="h",$B121*IF($D121=IF(MOD(M$34,6)=0,6,MOD(M$34,6)),1,0),IF($C121="q",$B121*IF($D121=IF(MOD(M$34,3)=0,3,MOD(M$34,3)),1,0),IF($C121="z",$B121*IF($D121=IF(MOD(M$34,2)=0,2,MOD(M$34,2)),1,0),IF($C121="m",$B121,0)))))</f>
        <v>1500</v>
      </c>
      <c r="N121" s="7">
        <f>IF(AND($C121="j",$D121=N$34),$B121,IF($C121="h",$B121*IF($D121=IF(MOD(N$34,6)=0,6,MOD(N$34,6)),1,0),IF($C121="q",$B121*IF($D121=IF(MOD(N$34,3)=0,3,MOD(N$34,3)),1,0),IF($C121="z",$B121*IF($D121=IF(MOD(N$34,2)=0,2,MOD(N$34,2)),1,0),IF($C121="m",$B121,0)))))</f>
        <v>1500</v>
      </c>
      <c r="O121" s="7">
        <f>IF(AND($C121="j",$D121=O$34),$B121,IF($C121="h",$B121*IF($D121=IF(MOD(O$34,6)=0,6,MOD(O$34,6)),1,0),IF($C121="q",$B121*IF($D121=IF(MOD(O$34,3)=0,3,MOD(O$34,3)),1,0),IF($C121="z",$B121*IF($D121=IF(MOD(O$34,2)=0,2,MOD(O$34,2)),1,0),IF($C121="m",$B121,0)))))</f>
        <v>1500</v>
      </c>
      <c r="P121" s="7">
        <f>IF(AND($C121="j",$D121=P$34),$B121,IF($C121="h",$B121*IF($D121=IF(MOD(P$34,6)=0,6,MOD(P$34,6)),1,0),IF($C121="q",$B121*IF($D121=IF(MOD(P$34,3)=0,3,MOD(P$34,3)),1,0),IF($C121="z",$B121*IF($D121=IF(MOD(P$34,2)=0,2,MOD(P$34,2)),1,0),IF($C121="m",$B121,0)))))</f>
        <v>1500</v>
      </c>
      <c r="Q121" s="272">
        <f>SUM(E121:P121)</f>
        <v>18000</v>
      </c>
      <c r="R121" s="310">
        <f>IF(AND($C121="j",$D121&gt;=1,$D121&lt;=3),$B121,IF(AND($C121="h",$D121&gt;=1,$D121&lt;=3),$B121,IF(AND($C121="q",$D121&gt;=1,$D121&lt;=3),$B121,IF($C121="z",IF($D121=1,2*$B121,$B121),IF($C121="m",3*$B121,0)))))</f>
        <v>4500</v>
      </c>
      <c r="S121" s="7">
        <f>IF(AND($C121="j",$D121&gt;=4,$D121&lt;=6),$B121,IF(AND($C121="h",$D121&gt;=4,$D121&lt;=6),$B121,IF(AND($C121="q",$D121&gt;=1,$D121&lt;=3),$B121,IF($C121="z",IF($D121=2,2*$B121,$B121),IF($C121="m",3*$B121,0)))))</f>
        <v>4500</v>
      </c>
      <c r="T121" s="7">
        <f>IF(AND($C121="j",$D121&gt;=7,$D121&lt;=9),$B121,IF(AND($C121="h",$D121&gt;=1,$D121&lt;=3),$B121,IF(AND($C121="q",$D121&gt;=1,$D121&lt;=3),$B121,IF($C121="z",IF($D121=1,2*$B121,$B121),IF($C121="m",3*$B121,0)))))</f>
        <v>4500</v>
      </c>
      <c r="U121" s="7">
        <f>IF(AND($C121="j",$D121&gt;=10,$D121&lt;=12),$B121,IF(AND($C121="h",$D121&gt;=4,$D121&lt;=6),$B121,IF(AND($C121="q",$D121&gt;=1,$D121&lt;=3),$B121,IF($C121="z",IF($D121=2,2*$B121,$B121),IF($C121="m",3*$B121,0)))))</f>
        <v>4500</v>
      </c>
      <c r="V121" s="272">
        <v>0</v>
      </c>
      <c r="W121" s="8">
        <v>0</v>
      </c>
      <c r="X121" s="9">
        <v>0</v>
      </c>
      <c r="Z121" s="599">
        <f>Q121/12</f>
        <v>1500</v>
      </c>
    </row>
    <row r="122" spans="1:26" ht="18.75" customHeight="1" thickBot="1" x14ac:dyDescent="0.3">
      <c r="A122" s="99"/>
      <c r="B122" s="100"/>
      <c r="C122" s="101"/>
      <c r="D122" s="102"/>
      <c r="E122" s="14">
        <f>IF(AND($C122="j",$D122=E$34),$B122,IF($C122="h",$B122*IF($D122=IF(MOD(E$34,6)=0,6,MOD(E$34,6)),1,0),IF($C122="q",$B122*IF($D122=IF(MOD(E$34,3)=0,3,MOD(E$34,3)),1,0),IF($C122="z",$B122*IF($D122=IF(MOD(E$34,2)=0,2,MOD(E$34,2)),1,0),IF($C122="m",$B122,0)))))</f>
        <v>0</v>
      </c>
      <c r="F122" s="15">
        <f>IF(AND($C122="j",$D122=F$34),$B122,IF($C122="h",$B122*IF($D122=IF(MOD(F$34,6)=0,6,MOD(F$34,6)),1,0),IF($C122="q",$B122*IF($D122=IF(MOD(F$34,3)=0,3,MOD(F$34,3)),1,0),IF($C122="z",$B122*IF($D122=IF(MOD(F$34,2)=0,2,MOD(F$34,2)),1,0),IF($C122="m",$B122,0)))))</f>
        <v>0</v>
      </c>
      <c r="G122" s="15">
        <f>IF(AND($C122="j",$D122=G$34),$B122,IF($C122="h",$B122*IF($D122=IF(MOD(G$34,6)=0,6,MOD(G$34,6)),1,0),IF($C122="q",$B122*IF($D122=IF(MOD(G$34,3)=0,3,MOD(G$34,3)),1,0),IF($C122="z",$B122*IF($D122=IF(MOD(G$34,2)=0,2,MOD(G$34,2)),1,0),IF($C122="m",$B122,0)))))</f>
        <v>0</v>
      </c>
      <c r="H122" s="15">
        <f>IF(AND($C122="j",$D122=H$34),$B122,IF($C122="h",$B122*IF($D122=IF(MOD(H$34,6)=0,6,MOD(H$34,6)),1,0),IF($C122="q",$B122*IF($D122=IF(MOD(H$34,3)=0,3,MOD(H$34,3)),1,0),IF($C122="z",$B122*IF($D122=IF(MOD(H$34,2)=0,2,MOD(H$34,2)),1,0),IF($C122="m",$B122,0)))))</f>
        <v>0</v>
      </c>
      <c r="I122" s="15">
        <f>IF(AND($C122="j",$D122=I$34),$B122,IF($C122="h",$B122*IF($D122=IF(MOD(I$34,6)=0,6,MOD(I$34,6)),1,0),IF($C122="q",$B122*IF($D122=IF(MOD(I$34,3)=0,3,MOD(I$34,3)),1,0),IF($C122="z",$B122*IF($D122=IF(MOD(I$34,2)=0,2,MOD(I$34,2)),1,0),IF($C122="m",$B122,0)))))</f>
        <v>0</v>
      </c>
      <c r="J122" s="15">
        <f>IF(AND($C122="j",$D122=J$34),$B122,IF($C122="h",$B122*IF($D122=IF(MOD(J$34,6)=0,6,MOD(J$34,6)),1,0),IF($C122="q",$B122*IF($D122=IF(MOD(J$34,3)=0,3,MOD(J$34,3)),1,0),IF($C122="z",$B122*IF($D122=IF(MOD(J$34,2)=0,2,MOD(J$34,2)),1,0),IF($C122="m",$B122,0)))))</f>
        <v>0</v>
      </c>
      <c r="K122" s="15">
        <f>IF(AND($C122="j",$D122=K$34),$B122,IF($C122="h",$B122*IF($D122=IF(MOD(K$34,6)=0,6,MOD(K$34,6)),1,0),IF($C122="q",$B122*IF($D122=IF(MOD(K$34,3)=0,3,MOD(K$34,3)),1,0),IF($C122="z",$B122*IF($D122=IF(MOD(K$34,2)=0,2,MOD(K$34,2)),1,0),IF($C122="m",$B122,0)))))</f>
        <v>0</v>
      </c>
      <c r="L122" s="15">
        <f>IF(AND($C122="j",$D122=L$34),$B122,IF($C122="h",$B122*IF($D122=IF(MOD(L$34,6)=0,6,MOD(L$34,6)),1,0),IF($C122="q",$B122*IF($D122=IF(MOD(L$34,3)=0,3,MOD(L$34,3)),1,0),IF($C122="z",$B122*IF($D122=IF(MOD(L$34,2)=0,2,MOD(L$34,2)),1,0),IF($C122="m",$B122,0)))))</f>
        <v>0</v>
      </c>
      <c r="M122" s="15">
        <f>IF(AND($C122="j",$D122=M$34),$B122,IF($C122="h",$B122*IF($D122=IF(MOD(M$34,6)=0,6,MOD(M$34,6)),1,0),IF($C122="q",$B122*IF($D122=IF(MOD(M$34,3)=0,3,MOD(M$34,3)),1,0),IF($C122="z",$B122*IF($D122=IF(MOD(M$34,2)=0,2,MOD(M$34,2)),1,0),IF($C122="m",$B122,0)))))</f>
        <v>0</v>
      </c>
      <c r="N122" s="15">
        <f>IF(AND($C122="j",$D122=N$34),$B122,IF($C122="h",$B122*IF($D122=IF(MOD(N$34,6)=0,6,MOD(N$34,6)),1,0),IF($C122="q",$B122*IF($D122=IF(MOD(N$34,3)=0,3,MOD(N$34,3)),1,0),IF($C122="z",$B122*IF($D122=IF(MOD(N$34,2)=0,2,MOD(N$34,2)),1,0),IF($C122="m",$B122,0)))))</f>
        <v>0</v>
      </c>
      <c r="O122" s="15">
        <f>IF(AND($C122="j",$D122=O$34),$B122,IF($C122="h",$B122*IF($D122=IF(MOD(O$34,6)=0,6,MOD(O$34,6)),1,0),IF($C122="q",$B122*IF($D122=IF(MOD(O$34,3)=0,3,MOD(O$34,3)),1,0),IF($C122="z",$B122*IF($D122=IF(MOD(O$34,2)=0,2,MOD(O$34,2)),1,0),IF($C122="m",$B122,0)))))</f>
        <v>0</v>
      </c>
      <c r="P122" s="15">
        <f>IF(AND($C122="j",$D122=P$34),$B122,IF($C122="h",$B122*IF($D122=IF(MOD(P$34,6)=0,6,MOD(P$34,6)),1,0),IF($C122="q",$B122*IF($D122=IF(MOD(P$34,3)=0,3,MOD(P$34,3)),1,0),IF($C122="z",$B122*IF($D122=IF(MOD(P$34,2)=0,2,MOD(P$34,2)),1,0),IF($C122="m",$B122,0)))))</f>
        <v>0</v>
      </c>
      <c r="Q122" s="273">
        <f t="shared" ref="Q122" si="131">SUM(E122:P122)</f>
        <v>0</v>
      </c>
      <c r="R122" s="595">
        <f t="shared" ref="R122" si="132">IF(AND($C122="j",$D122&gt;=1,$D122&lt;=3),$B122,IF(AND($C122="h",$D122&gt;=1,$D122&lt;=3),$B122,IF(AND($C122="q",$D122&gt;=1,$D122&lt;=3),$B122,IF($C122="z",IF($D122=1,2*$B122,$B122),IF($C122="m",3*$B122,0)))))</f>
        <v>0</v>
      </c>
      <c r="S122" s="15">
        <f t="shared" ref="S122" si="133">IF(AND($C122="j",$D122&gt;=4,$D122&lt;=6),$B122,IF(AND($C122="h",$D122&gt;=4,$D122&lt;=6),$B122,IF(AND($C122="q",$D122&gt;=1,$D122&lt;=3),$B122,IF($C122="z",IF($D122=2,2*$B122,$B122),IF($C122="m",3*$B122,0)))))</f>
        <v>0</v>
      </c>
      <c r="T122" s="15">
        <f t="shared" ref="T122" si="134">IF(AND($C122="j",$D122&gt;=7,$D122&lt;=9),$B122,IF(AND($C122="h",$D122&gt;=1,$D122&lt;=3),$B122,IF(AND($C122="q",$D122&gt;=1,$D122&lt;=3),$B122,IF($C122="z",IF($D122=1,2*$B122,$B122),IF($C122="m",3*$B122,0)))))</f>
        <v>0</v>
      </c>
      <c r="U122" s="15">
        <f t="shared" ref="U122" si="135">IF(AND($C122="j",$D122&gt;=10,$D122&lt;=12),$B122,IF(AND($C122="h",$D122&gt;=4,$D122&lt;=6),$B122,IF(AND($C122="q",$D122&gt;=1,$D122&lt;=3),$B122,IF($C122="z",IF($D122=2,2*$B122,$B122),IF($C122="m",3*$B122,0)))))</f>
        <v>0</v>
      </c>
      <c r="V122" s="273">
        <f t="shared" ref="V122" si="136">SUM(R122:U122)</f>
        <v>0</v>
      </c>
      <c r="W122" s="16">
        <f t="shared" ref="W122:X122" si="137">IF($C122="j",$B122,IF($C122="h",2*$B122,IF($C122="q",4*$B122,IF($C122="z",6*$B122,12*$B122))))</f>
        <v>0</v>
      </c>
      <c r="X122" s="17">
        <f t="shared" si="137"/>
        <v>0</v>
      </c>
      <c r="Z122" s="605">
        <f t="shared" ref="Z122" si="138">Q122/12</f>
        <v>0</v>
      </c>
    </row>
    <row r="123" spans="1:26" ht="7.5" customHeight="1" thickTop="1" thickBot="1" x14ac:dyDescent="0.3">
      <c r="A123" s="103"/>
      <c r="B123" s="104"/>
      <c r="C123" s="105"/>
      <c r="D123" s="106"/>
      <c r="E123" s="27"/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P123" s="28"/>
      <c r="Q123" s="30"/>
      <c r="R123" s="31"/>
      <c r="S123" s="28"/>
      <c r="T123" s="28"/>
      <c r="U123" s="28"/>
      <c r="V123" s="30"/>
      <c r="W123" s="33"/>
      <c r="X123" s="34"/>
      <c r="Z123" s="601"/>
    </row>
    <row r="124" spans="1:26" s="899" customFormat="1" ht="18.75" customHeight="1" thickBot="1" x14ac:dyDescent="0.3">
      <c r="A124" s="602" t="s">
        <v>51</v>
      </c>
      <c r="B124" s="603">
        <f>Z124</f>
        <v>1500</v>
      </c>
      <c r="D124" s="900"/>
      <c r="E124" s="901">
        <f>SUM(E121:E123)</f>
        <v>1500</v>
      </c>
      <c r="F124" s="575">
        <f t="shared" ref="F124:X124" si="139">SUM(F121:F123)</f>
        <v>1500</v>
      </c>
      <c r="G124" s="575">
        <f t="shared" si="139"/>
        <v>1500</v>
      </c>
      <c r="H124" s="575">
        <f t="shared" si="139"/>
        <v>1500</v>
      </c>
      <c r="I124" s="575">
        <f t="shared" si="139"/>
        <v>1500</v>
      </c>
      <c r="J124" s="575">
        <f t="shared" si="139"/>
        <v>1500</v>
      </c>
      <c r="K124" s="575">
        <f t="shared" si="139"/>
        <v>1500</v>
      </c>
      <c r="L124" s="575">
        <f t="shared" si="139"/>
        <v>1500</v>
      </c>
      <c r="M124" s="575">
        <f t="shared" si="139"/>
        <v>1500</v>
      </c>
      <c r="N124" s="575">
        <f t="shared" si="139"/>
        <v>1500</v>
      </c>
      <c r="O124" s="575">
        <f t="shared" si="139"/>
        <v>1500</v>
      </c>
      <c r="P124" s="575">
        <f t="shared" si="139"/>
        <v>1500</v>
      </c>
      <c r="Q124" s="37">
        <f t="shared" si="139"/>
        <v>18000</v>
      </c>
      <c r="R124" s="574">
        <f t="shared" si="139"/>
        <v>4500</v>
      </c>
      <c r="S124" s="575">
        <f t="shared" si="139"/>
        <v>4500</v>
      </c>
      <c r="T124" s="575">
        <f t="shared" si="139"/>
        <v>4500</v>
      </c>
      <c r="U124" s="575">
        <f t="shared" si="139"/>
        <v>4500</v>
      </c>
      <c r="V124" s="37">
        <f t="shared" si="139"/>
        <v>0</v>
      </c>
      <c r="W124" s="39">
        <f t="shared" si="139"/>
        <v>0</v>
      </c>
      <c r="X124" s="40">
        <f t="shared" si="139"/>
        <v>0</v>
      </c>
      <c r="Z124" s="604">
        <f>SUM(Z121:Z122)</f>
        <v>1500</v>
      </c>
    </row>
    <row r="125" spans="1:26" ht="15.75" thickBot="1" x14ac:dyDescent="0.3"/>
    <row r="126" spans="1:26" ht="15" customHeight="1" x14ac:dyDescent="0.25">
      <c r="A126" s="730" t="s">
        <v>85</v>
      </c>
      <c r="B126" s="728" t="s">
        <v>19</v>
      </c>
      <c r="C126" s="728" t="s">
        <v>45</v>
      </c>
      <c r="D126" s="732" t="s">
        <v>256</v>
      </c>
      <c r="E126" s="711" t="s">
        <v>20</v>
      </c>
      <c r="F126" s="691"/>
      <c r="G126" s="691"/>
      <c r="H126" s="691"/>
      <c r="I126" s="691"/>
      <c r="J126" s="691"/>
      <c r="K126" s="691"/>
      <c r="L126" s="691"/>
      <c r="M126" s="691"/>
      <c r="N126" s="691"/>
      <c r="O126" s="691"/>
      <c r="P126" s="692"/>
      <c r="Q126" s="712" t="s">
        <v>20</v>
      </c>
      <c r="R126" s="690" t="s">
        <v>25</v>
      </c>
      <c r="S126" s="691"/>
      <c r="T126" s="691"/>
      <c r="U126" s="692"/>
      <c r="V126" s="693" t="s">
        <v>25</v>
      </c>
      <c r="W126" s="695" t="s">
        <v>26</v>
      </c>
      <c r="X126" s="697" t="s">
        <v>27</v>
      </c>
      <c r="Z126" s="738" t="s">
        <v>50</v>
      </c>
    </row>
    <row r="127" spans="1:26" ht="15.75" thickBot="1" x14ac:dyDescent="0.3">
      <c r="A127" s="731"/>
      <c r="B127" s="729"/>
      <c r="C127" s="729"/>
      <c r="D127" s="733"/>
      <c r="E127" s="1">
        <v>1</v>
      </c>
      <c r="F127" s="2">
        <v>2</v>
      </c>
      <c r="G127" s="2">
        <v>3</v>
      </c>
      <c r="H127" s="2">
        <v>4</v>
      </c>
      <c r="I127" s="2">
        <v>5</v>
      </c>
      <c r="J127" s="2">
        <v>6</v>
      </c>
      <c r="K127" s="2">
        <v>7</v>
      </c>
      <c r="L127" s="2">
        <v>8</v>
      </c>
      <c r="M127" s="2">
        <v>9</v>
      </c>
      <c r="N127" s="2">
        <v>10</v>
      </c>
      <c r="O127" s="2">
        <v>11</v>
      </c>
      <c r="P127" s="3">
        <v>12</v>
      </c>
      <c r="Q127" s="713"/>
      <c r="R127" s="4" t="s">
        <v>21</v>
      </c>
      <c r="S127" s="2" t="s">
        <v>22</v>
      </c>
      <c r="T127" s="2" t="s">
        <v>23</v>
      </c>
      <c r="U127" s="2" t="s">
        <v>24</v>
      </c>
      <c r="V127" s="694"/>
      <c r="W127" s="696"/>
      <c r="X127" s="698"/>
      <c r="Z127" s="739"/>
    </row>
    <row r="128" spans="1:26" ht="18.75" customHeight="1" thickTop="1" x14ac:dyDescent="0.25">
      <c r="A128" s="94" t="s">
        <v>148</v>
      </c>
      <c r="B128" s="18">
        <v>50</v>
      </c>
      <c r="C128" s="19" t="s">
        <v>123</v>
      </c>
      <c r="D128" s="20">
        <v>1</v>
      </c>
      <c r="E128" s="6">
        <f>IF(AND($C128="j",$D128=E$34),$B128,IF($C128="h",$B128*IF($D128=IF(MOD(E$34,6)=0,6,MOD(E$34,6)),1,0),IF($C128="q",$B128*IF($D128=IF(MOD(E$34,3)=0,3,MOD(E$34,3)),1,0),IF($C128="z",$B128*IF($D128=IF(MOD(E$34,2)=0,2,MOD(E$34,2)),1,0),IF($C128="m",$B128,0)))))</f>
        <v>50</v>
      </c>
      <c r="F128" s="7">
        <f t="shared" ref="F128:P129" si="140">IF(AND($C128="j",$D128=F$34),$B128,IF($C128="h",$B128*IF($D128=IF(MOD(F$34,6)=0,6,MOD(F$34,6)),1,0),IF($C128="q",$B128*IF($D128=IF(MOD(F$34,3)=0,3,MOD(F$34,3)),1,0),IF($C128="z",$B128*IF($D128=IF(MOD(F$34,2)=0,2,MOD(F$34,2)),1,0),IF($C128="m",$B128,0)))))</f>
        <v>0</v>
      </c>
      <c r="G128" s="7">
        <f t="shared" si="140"/>
        <v>0</v>
      </c>
      <c r="H128" s="7">
        <f t="shared" si="140"/>
        <v>50</v>
      </c>
      <c r="I128" s="7">
        <f t="shared" si="140"/>
        <v>0</v>
      </c>
      <c r="J128" s="7">
        <f t="shared" si="140"/>
        <v>0</v>
      </c>
      <c r="K128" s="7">
        <f t="shared" si="140"/>
        <v>50</v>
      </c>
      <c r="L128" s="7">
        <f t="shared" si="140"/>
        <v>0</v>
      </c>
      <c r="M128" s="7">
        <f t="shared" si="140"/>
        <v>0</v>
      </c>
      <c r="N128" s="7">
        <f t="shared" si="140"/>
        <v>50</v>
      </c>
      <c r="O128" s="7">
        <f t="shared" si="140"/>
        <v>0</v>
      </c>
      <c r="P128" s="7">
        <f t="shared" si="140"/>
        <v>0</v>
      </c>
      <c r="Q128" s="272">
        <f>SUM(E128:P128)</f>
        <v>200</v>
      </c>
      <c r="R128" s="310">
        <f>IF(AND($C128="j",$D128&gt;=1,$D128&lt;=3),$B128,IF(AND($C128="h",$D128&gt;=1,$D128&lt;=3),$B128,IF(AND($C128="q",$D128&gt;=1,$D128&lt;=3),$B128,IF($C128="z",IF($D128=1,2*$B128,$B128),IF($C128="m",3*$B128,0)))))</f>
        <v>50</v>
      </c>
      <c r="S128" s="7">
        <f>IF(AND($C128="j",$D128&gt;=4,$D128&lt;=6),$B128,IF(AND($C128="h",$D128&gt;=4,$D128&lt;=6),$B128,IF(AND($C128="q",$D128&gt;=1,$D128&lt;=3),$B128,IF($C128="z",IF($D128=2,2*$B128,$B128),IF($C128="m",3*$B128,0)))))</f>
        <v>50</v>
      </c>
      <c r="T128" s="7">
        <f>IF(AND($C128="j",$D128&gt;=7,$D128&lt;=9),$B128,IF(AND($C128="h",$D128&gt;=1,$D128&lt;=3),$B128,IF(AND($C128="q",$D128&gt;=1,$D128&lt;=3),$B128,IF($C128="z",IF($D128=1,2*$B128,$B128),IF($C128="m",3*$B128,0)))))</f>
        <v>50</v>
      </c>
      <c r="U128" s="7">
        <f>IF(AND($C128="j",$D128&gt;=10,$D128&lt;=12),$B128,IF(AND($C128="h",$D128&gt;=4,$D128&lt;=6),$B128,IF(AND($C128="q",$D128&gt;=1,$D128&lt;=3),$B128,IF($C128="z",IF($D128=2,2*$B128,$B128),IF($C128="m",3*$B128,0)))))</f>
        <v>50</v>
      </c>
      <c r="V128" s="272">
        <f>SUM(R128:U128)</f>
        <v>200</v>
      </c>
      <c r="W128" s="8">
        <f>IF($C128="j",$B128,IF($C128="h",2*$B128,IF($C128="q",4*$B128,IF($C128="z",6*$B128,12*$B128))))</f>
        <v>200</v>
      </c>
      <c r="X128" s="9">
        <f>IF($C128="j",$B128,IF($C128="h",2*$B128,IF($C128="q",4*$B128,IF($C128="z",6*$B128,12*$B128))))</f>
        <v>200</v>
      </c>
      <c r="Z128" s="599">
        <f>Q128/12</f>
        <v>16.666666666666668</v>
      </c>
    </row>
    <row r="129" spans="1:26" ht="18.75" customHeight="1" thickBot="1" x14ac:dyDescent="0.3">
      <c r="A129" s="99"/>
      <c r="B129" s="100"/>
      <c r="C129" s="101"/>
      <c r="D129" s="102"/>
      <c r="E129" s="14">
        <f t="shared" ref="E129" si="141">IF(AND($C129="j",$D129=E$34),$B129,IF($C129="h",$B129*IF($D129=IF(MOD(E$34,6)=0,6,MOD(E$34,6)),1,0),IF($C129="q",$B129*IF($D129=IF(MOD(E$34,3)=0,3,MOD(E$34,3)),1,0),IF($C129="z",$B129*IF($D129=IF(MOD(E$34,2)=0,2,MOD(E$34,2)),1,0),IF($C129="m",$B129,0)))))</f>
        <v>0</v>
      </c>
      <c r="F129" s="15">
        <f t="shared" si="140"/>
        <v>0</v>
      </c>
      <c r="G129" s="15">
        <f t="shared" si="140"/>
        <v>0</v>
      </c>
      <c r="H129" s="15">
        <f t="shared" si="140"/>
        <v>0</v>
      </c>
      <c r="I129" s="15">
        <f t="shared" si="140"/>
        <v>0</v>
      </c>
      <c r="J129" s="15">
        <f t="shared" si="140"/>
        <v>0</v>
      </c>
      <c r="K129" s="15">
        <f t="shared" si="140"/>
        <v>0</v>
      </c>
      <c r="L129" s="15">
        <f t="shared" si="140"/>
        <v>0</v>
      </c>
      <c r="M129" s="15">
        <f t="shared" si="140"/>
        <v>0</v>
      </c>
      <c r="N129" s="15">
        <f t="shared" si="140"/>
        <v>0</v>
      </c>
      <c r="O129" s="15">
        <f t="shared" si="140"/>
        <v>0</v>
      </c>
      <c r="P129" s="15">
        <f t="shared" si="140"/>
        <v>0</v>
      </c>
      <c r="Q129" s="273">
        <f t="shared" ref="Q129" si="142">SUM(E129:P129)</f>
        <v>0</v>
      </c>
      <c r="R129" s="595">
        <f t="shared" ref="R129" si="143">IF(AND($C129="j",$D129&gt;=1,$D129&lt;=3),$B129,IF(AND($C129="h",$D129&gt;=1,$D129&lt;=3),$B129,IF(AND($C129="q",$D129&gt;=1,$D129&lt;=3),$B129,IF($C129="z",IF($D129=1,2*$B129,$B129),IF($C129="m",3*$B129,0)))))</f>
        <v>0</v>
      </c>
      <c r="S129" s="15">
        <f t="shared" ref="S129" si="144">IF(AND($C129="j",$D129&gt;=4,$D129&lt;=6),$B129,IF(AND($C129="h",$D129&gt;=4,$D129&lt;=6),$B129,IF(AND($C129="q",$D129&gt;=1,$D129&lt;=3),$B129,IF($C129="z",IF($D129=2,2*$B129,$B129),IF($C129="m",3*$B129,0)))))</f>
        <v>0</v>
      </c>
      <c r="T129" s="15">
        <f t="shared" ref="T129" si="145">IF(AND($C129="j",$D129&gt;=7,$D129&lt;=9),$B129,IF(AND($C129="h",$D129&gt;=1,$D129&lt;=3),$B129,IF(AND($C129="q",$D129&gt;=1,$D129&lt;=3),$B129,IF($C129="z",IF($D129=1,2*$B129,$B129),IF($C129="m",3*$B129,0)))))</f>
        <v>0</v>
      </c>
      <c r="U129" s="15">
        <f t="shared" ref="U129" si="146">IF(AND($C129="j",$D129&gt;=10,$D129&lt;=12),$B129,IF(AND($C129="h",$D129&gt;=4,$D129&lt;=6),$B129,IF(AND($C129="q",$D129&gt;=1,$D129&lt;=3),$B129,IF($C129="z",IF($D129=2,2*$B129,$B129),IF($C129="m",3*$B129,0)))))</f>
        <v>0</v>
      </c>
      <c r="V129" s="273">
        <f t="shared" ref="V129" si="147">SUM(R129:U129)</f>
        <v>0</v>
      </c>
      <c r="W129" s="16">
        <f t="shared" ref="W129:X129" si="148">IF($C129="j",$B129,IF($C129="h",2*$B129,IF($C129="q",4*$B129,IF($C129="z",6*$B129,12*$B129))))</f>
        <v>0</v>
      </c>
      <c r="X129" s="17">
        <f t="shared" si="148"/>
        <v>0</v>
      </c>
      <c r="Z129" s="605">
        <f t="shared" ref="Z129" si="149">Q129/12</f>
        <v>0</v>
      </c>
    </row>
    <row r="130" spans="1:26" ht="7.5" customHeight="1" thickTop="1" thickBot="1" x14ac:dyDescent="0.3">
      <c r="A130" s="103"/>
      <c r="B130" s="104"/>
      <c r="C130" s="105"/>
      <c r="D130" s="106"/>
      <c r="E130" s="27"/>
      <c r="F130" s="28"/>
      <c r="G130" s="28"/>
      <c r="H130" s="28"/>
      <c r="I130" s="28"/>
      <c r="J130" s="28"/>
      <c r="K130" s="28"/>
      <c r="L130" s="28"/>
      <c r="M130" s="28"/>
      <c r="N130" s="28"/>
      <c r="O130" s="28"/>
      <c r="P130" s="28"/>
      <c r="Q130" s="30"/>
      <c r="R130" s="31"/>
      <c r="S130" s="28"/>
      <c r="T130" s="28"/>
      <c r="U130" s="28"/>
      <c r="V130" s="30"/>
      <c r="W130" s="33"/>
      <c r="X130" s="34"/>
      <c r="Z130" s="601"/>
    </row>
    <row r="131" spans="1:26" s="899" customFormat="1" ht="18.75" customHeight="1" thickBot="1" x14ac:dyDescent="0.3">
      <c r="A131" s="602" t="s">
        <v>51</v>
      </c>
      <c r="B131" s="603">
        <f>Z131</f>
        <v>16.666666666666668</v>
      </c>
      <c r="D131" s="900"/>
      <c r="E131" s="901">
        <f>SUM(E128:E130)</f>
        <v>50</v>
      </c>
      <c r="F131" s="575">
        <f t="shared" ref="F131:X131" si="150">SUM(F128:F130)</f>
        <v>0</v>
      </c>
      <c r="G131" s="575">
        <f t="shared" si="150"/>
        <v>0</v>
      </c>
      <c r="H131" s="575">
        <f t="shared" si="150"/>
        <v>50</v>
      </c>
      <c r="I131" s="575">
        <f t="shared" si="150"/>
        <v>0</v>
      </c>
      <c r="J131" s="575">
        <f t="shared" si="150"/>
        <v>0</v>
      </c>
      <c r="K131" s="575">
        <f t="shared" si="150"/>
        <v>50</v>
      </c>
      <c r="L131" s="575">
        <f t="shared" si="150"/>
        <v>0</v>
      </c>
      <c r="M131" s="575">
        <f t="shared" si="150"/>
        <v>0</v>
      </c>
      <c r="N131" s="575">
        <f t="shared" si="150"/>
        <v>50</v>
      </c>
      <c r="O131" s="575">
        <f t="shared" si="150"/>
        <v>0</v>
      </c>
      <c r="P131" s="575">
        <f t="shared" si="150"/>
        <v>0</v>
      </c>
      <c r="Q131" s="37">
        <f t="shared" si="150"/>
        <v>200</v>
      </c>
      <c r="R131" s="574">
        <f t="shared" si="150"/>
        <v>50</v>
      </c>
      <c r="S131" s="575">
        <f t="shared" si="150"/>
        <v>50</v>
      </c>
      <c r="T131" s="575">
        <f t="shared" si="150"/>
        <v>50</v>
      </c>
      <c r="U131" s="575">
        <f t="shared" si="150"/>
        <v>50</v>
      </c>
      <c r="V131" s="37">
        <f t="shared" si="150"/>
        <v>200</v>
      </c>
      <c r="W131" s="39">
        <f t="shared" si="150"/>
        <v>200</v>
      </c>
      <c r="X131" s="40">
        <f t="shared" si="150"/>
        <v>200</v>
      </c>
      <c r="Z131" s="604">
        <f>SUM(Z128:Z129)</f>
        <v>16.666666666666668</v>
      </c>
    </row>
    <row r="132" spans="1:26" ht="15.75" thickBot="1" x14ac:dyDescent="0.3"/>
    <row r="133" spans="1:26" ht="15" customHeight="1" x14ac:dyDescent="0.25">
      <c r="A133" s="730" t="s">
        <v>86</v>
      </c>
      <c r="B133" s="728" t="s">
        <v>19</v>
      </c>
      <c r="C133" s="728" t="s">
        <v>45</v>
      </c>
      <c r="D133" s="732" t="s">
        <v>256</v>
      </c>
      <c r="E133" s="711" t="s">
        <v>20</v>
      </c>
      <c r="F133" s="691"/>
      <c r="G133" s="691"/>
      <c r="H133" s="691"/>
      <c r="I133" s="691"/>
      <c r="J133" s="691"/>
      <c r="K133" s="691"/>
      <c r="L133" s="691"/>
      <c r="M133" s="691"/>
      <c r="N133" s="691"/>
      <c r="O133" s="691"/>
      <c r="P133" s="692"/>
      <c r="Q133" s="712" t="s">
        <v>20</v>
      </c>
      <c r="R133" s="690" t="s">
        <v>25</v>
      </c>
      <c r="S133" s="691"/>
      <c r="T133" s="691"/>
      <c r="U133" s="692"/>
      <c r="V133" s="693" t="s">
        <v>25</v>
      </c>
      <c r="W133" s="695" t="s">
        <v>26</v>
      </c>
      <c r="X133" s="697" t="s">
        <v>27</v>
      </c>
      <c r="Z133" s="738" t="s">
        <v>50</v>
      </c>
    </row>
    <row r="134" spans="1:26" ht="15.75" thickBot="1" x14ac:dyDescent="0.3">
      <c r="A134" s="731"/>
      <c r="B134" s="729"/>
      <c r="C134" s="729"/>
      <c r="D134" s="733"/>
      <c r="E134" s="1">
        <v>1</v>
      </c>
      <c r="F134" s="2">
        <v>2</v>
      </c>
      <c r="G134" s="2">
        <v>3</v>
      </c>
      <c r="H134" s="2">
        <v>4</v>
      </c>
      <c r="I134" s="2">
        <v>5</v>
      </c>
      <c r="J134" s="2">
        <v>6</v>
      </c>
      <c r="K134" s="2">
        <v>7</v>
      </c>
      <c r="L134" s="2">
        <v>8</v>
      </c>
      <c r="M134" s="2">
        <v>9</v>
      </c>
      <c r="N134" s="2">
        <v>10</v>
      </c>
      <c r="O134" s="2">
        <v>11</v>
      </c>
      <c r="P134" s="3">
        <v>12</v>
      </c>
      <c r="Q134" s="713"/>
      <c r="R134" s="4" t="s">
        <v>21</v>
      </c>
      <c r="S134" s="2" t="s">
        <v>22</v>
      </c>
      <c r="T134" s="2" t="s">
        <v>23</v>
      </c>
      <c r="U134" s="2" t="s">
        <v>24</v>
      </c>
      <c r="V134" s="694"/>
      <c r="W134" s="696"/>
      <c r="X134" s="698"/>
      <c r="Z134" s="739"/>
    </row>
    <row r="135" spans="1:26" ht="18.75" customHeight="1" thickTop="1" x14ac:dyDescent="0.25">
      <c r="A135" s="94" t="s">
        <v>141</v>
      </c>
      <c r="B135" s="18">
        <v>5000</v>
      </c>
      <c r="C135" s="19" t="s">
        <v>48</v>
      </c>
      <c r="D135" s="20">
        <v>5</v>
      </c>
      <c r="E135" s="6">
        <f>IF(AND($C135="j",$D135=E$34),$B135,IF($C135="h",$B135*IF($D135=IF(MOD(E$34,6)=0,6,MOD(E$34,6)),1,0),IF($C135="q",$B135*IF($D135=IF(MOD(E$34,3)=0,3,MOD(E$34,3)),1,0),IF($C135="z",$B135*IF($D135=IF(MOD(E$34,2)=0,2,MOD(E$34,2)),1,0),IF($C135="m",$B135,0)))))</f>
        <v>0</v>
      </c>
      <c r="F135" s="7">
        <f t="shared" ref="F135:P137" si="151">IF(AND($C135="j",$D135=F$34),$B135,IF($C135="h",$B135*IF($D135=IF(MOD(F$34,6)=0,6,MOD(F$34,6)),1,0),IF($C135="q",$B135*IF($D135=IF(MOD(F$34,3)=0,3,MOD(F$34,3)),1,0),IF($C135="z",$B135*IF($D135=IF(MOD(F$34,2)=0,2,MOD(F$34,2)),1,0),IF($C135="m",$B135,0)))))</f>
        <v>0</v>
      </c>
      <c r="G135" s="7">
        <f t="shared" si="151"/>
        <v>0</v>
      </c>
      <c r="H135" s="7">
        <f t="shared" si="151"/>
        <v>0</v>
      </c>
      <c r="I135" s="7">
        <f t="shared" si="151"/>
        <v>5000</v>
      </c>
      <c r="J135" s="7">
        <f t="shared" si="151"/>
        <v>0</v>
      </c>
      <c r="K135" s="7">
        <f t="shared" si="151"/>
        <v>0</v>
      </c>
      <c r="L135" s="7">
        <f t="shared" si="151"/>
        <v>0</v>
      </c>
      <c r="M135" s="7">
        <f t="shared" si="151"/>
        <v>0</v>
      </c>
      <c r="N135" s="7">
        <f t="shared" si="151"/>
        <v>0</v>
      </c>
      <c r="O135" s="7">
        <f t="shared" si="151"/>
        <v>0</v>
      </c>
      <c r="P135" s="7">
        <f t="shared" si="151"/>
        <v>0</v>
      </c>
      <c r="Q135" s="272">
        <f>SUM(E135:P135)</f>
        <v>5000</v>
      </c>
      <c r="R135" s="310">
        <f>IF(AND($C135="j",$D135&gt;=1,$D135&lt;=3),$B135,IF(AND($C135="h",$D135&gt;=1,$D135&lt;=3),$B135,IF(AND($C135="q",$D135&gt;=1,$D135&lt;=3),$B135,IF($C135="z",IF($D135=1,2*$B135,$B135),IF($C135="m",3*$B135,0)))))</f>
        <v>0</v>
      </c>
      <c r="S135" s="7">
        <f>IF(AND($C135="j",$D135&gt;=4,$D135&lt;=6),$B135,IF(AND($C135="h",$D135&gt;=4,$D135&lt;=6),$B135,IF(AND($C135="q",$D135&gt;=1,$D135&lt;=3),$B135,IF($C135="z",IF($D135=2,2*$B135,$B135),IF($C135="m",3*$B135,0)))))</f>
        <v>5000</v>
      </c>
      <c r="T135" s="7">
        <f>IF(AND($C135="j",$D135&gt;=7,$D135&lt;=9),$B135,IF(AND($C135="h",$D135&gt;=1,$D135&lt;=3),$B135,IF(AND($C135="q",$D135&gt;=1,$D135&lt;=3),$B135,IF($C135="z",IF($D135=1,2*$B135,$B135),IF($C135="m",3*$B135,0)))))</f>
        <v>0</v>
      </c>
      <c r="U135" s="7">
        <f>IF(AND($C135="j",$D135&gt;=10,$D135&lt;=12),$B135,IF(AND($C135="h",$D135&gt;=4,$D135&lt;=6),$B135,IF(AND($C135="q",$D135&gt;=1,$D135&lt;=3),$B135,IF($C135="z",IF($D135=2,2*$B135,$B135),IF($C135="m",3*$B135,0)))))</f>
        <v>0</v>
      </c>
      <c r="V135" s="272">
        <f>SUM(R135:U135)</f>
        <v>5000</v>
      </c>
      <c r="W135" s="8">
        <f>IF($C135="j",$B135,IF($C135="h",2*$B135,IF($C135="q",4*$B135,IF($C135="z",6*$B135,12*$B135))))</f>
        <v>5000</v>
      </c>
      <c r="X135" s="9">
        <f>IF($C135="j",$B135,IF($C135="h",2*$B135,IF($C135="q",4*$B135,IF($C135="z",6*$B135,12*$B135))))</f>
        <v>5000</v>
      </c>
      <c r="Z135" s="599">
        <f>Q135/12</f>
        <v>416.66666666666669</v>
      </c>
    </row>
    <row r="136" spans="1:26" ht="18.75" customHeight="1" x14ac:dyDescent="0.25">
      <c r="A136" s="95" t="s">
        <v>142</v>
      </c>
      <c r="B136" s="96">
        <v>10000</v>
      </c>
      <c r="C136" s="97" t="s">
        <v>48</v>
      </c>
      <c r="D136" s="98">
        <v>5</v>
      </c>
      <c r="E136" s="10">
        <f t="shared" ref="E136:E137" si="152">IF(AND($C136="j",$D136=E$34),$B136,IF($C136="h",$B136*IF($D136=IF(MOD(E$34,6)=0,6,MOD(E$34,6)),1,0),IF($C136="q",$B136*IF($D136=IF(MOD(E$34,3)=0,3,MOD(E$34,3)),1,0),IF($C136="z",$B136*IF($D136=IF(MOD(E$34,2)=0,2,MOD(E$34,2)),1,0),IF($C136="m",$B136,0)))))</f>
        <v>0</v>
      </c>
      <c r="F136" s="11">
        <f t="shared" si="151"/>
        <v>0</v>
      </c>
      <c r="G136" s="11">
        <f t="shared" si="151"/>
        <v>0</v>
      </c>
      <c r="H136" s="11">
        <f t="shared" si="151"/>
        <v>0</v>
      </c>
      <c r="I136" s="11">
        <f t="shared" si="151"/>
        <v>10000</v>
      </c>
      <c r="J136" s="11">
        <f t="shared" si="151"/>
        <v>0</v>
      </c>
      <c r="K136" s="11">
        <f t="shared" si="151"/>
        <v>0</v>
      </c>
      <c r="L136" s="11">
        <f t="shared" si="151"/>
        <v>0</v>
      </c>
      <c r="M136" s="11">
        <f t="shared" si="151"/>
        <v>0</v>
      </c>
      <c r="N136" s="11">
        <f t="shared" si="151"/>
        <v>0</v>
      </c>
      <c r="O136" s="11">
        <f t="shared" si="151"/>
        <v>0</v>
      </c>
      <c r="P136" s="11">
        <f t="shared" si="151"/>
        <v>0</v>
      </c>
      <c r="Q136" s="591">
        <f t="shared" ref="Q136:Q137" si="153">SUM(E136:P136)</f>
        <v>10000</v>
      </c>
      <c r="R136" s="311">
        <f t="shared" ref="R136:R137" si="154">IF(AND($C136="j",$D136&gt;=1,$D136&lt;=3),$B136,IF(AND($C136="h",$D136&gt;=1,$D136&lt;=3),$B136,IF(AND($C136="q",$D136&gt;=1,$D136&lt;=3),$B136,IF($C136="z",IF($D136=1,2*$B136,$B136),IF($C136="m",3*$B136,0)))))</f>
        <v>0</v>
      </c>
      <c r="S136" s="11">
        <f t="shared" ref="S136:S137" si="155">IF(AND($C136="j",$D136&gt;=4,$D136&lt;=6),$B136,IF(AND($C136="h",$D136&gt;=4,$D136&lt;=6),$B136,IF(AND($C136="q",$D136&gt;=1,$D136&lt;=3),$B136,IF($C136="z",IF($D136=2,2*$B136,$B136),IF($C136="m",3*$B136,0)))))</f>
        <v>10000</v>
      </c>
      <c r="T136" s="11">
        <f t="shared" ref="T136:T137" si="156">IF(AND($C136="j",$D136&gt;=7,$D136&lt;=9),$B136,IF(AND($C136="h",$D136&gt;=1,$D136&lt;=3),$B136,IF(AND($C136="q",$D136&gt;=1,$D136&lt;=3),$B136,IF($C136="z",IF($D136=1,2*$B136,$B136),IF($C136="m",3*$B136,0)))))</f>
        <v>0</v>
      </c>
      <c r="U136" s="11">
        <f t="shared" ref="U136:U137" si="157">IF(AND($C136="j",$D136&gt;=10,$D136&lt;=12),$B136,IF(AND($C136="h",$D136&gt;=4,$D136&lt;=6),$B136,IF(AND($C136="q",$D136&gt;=1,$D136&lt;=3),$B136,IF($C136="z",IF($D136=2,2*$B136,$B136),IF($C136="m",3*$B136,0)))))</f>
        <v>0</v>
      </c>
      <c r="V136" s="591">
        <f t="shared" ref="V136:V137" si="158">SUM(R136:U136)</f>
        <v>10000</v>
      </c>
      <c r="W136" s="12">
        <f t="shared" ref="W136:X137" si="159">IF($C136="j",$B136,IF($C136="h",2*$B136,IF($C136="q",4*$B136,IF($C136="z",6*$B136,12*$B136))))</f>
        <v>10000</v>
      </c>
      <c r="X136" s="13">
        <f t="shared" si="159"/>
        <v>10000</v>
      </c>
      <c r="Z136" s="600">
        <f t="shared" ref="Z136:Z137" si="160">Q136/12</f>
        <v>833.33333333333337</v>
      </c>
    </row>
    <row r="137" spans="1:26" ht="18.75" customHeight="1" thickBot="1" x14ac:dyDescent="0.3">
      <c r="A137" s="99"/>
      <c r="B137" s="100"/>
      <c r="C137" s="101"/>
      <c r="D137" s="102"/>
      <c r="E137" s="14">
        <f t="shared" si="152"/>
        <v>0</v>
      </c>
      <c r="F137" s="15">
        <f t="shared" si="151"/>
        <v>0</v>
      </c>
      <c r="G137" s="15">
        <f t="shared" si="151"/>
        <v>0</v>
      </c>
      <c r="H137" s="15">
        <f t="shared" si="151"/>
        <v>0</v>
      </c>
      <c r="I137" s="15">
        <f t="shared" si="151"/>
        <v>0</v>
      </c>
      <c r="J137" s="15">
        <f t="shared" si="151"/>
        <v>0</v>
      </c>
      <c r="K137" s="15">
        <f t="shared" si="151"/>
        <v>0</v>
      </c>
      <c r="L137" s="15">
        <f t="shared" si="151"/>
        <v>0</v>
      </c>
      <c r="M137" s="15">
        <f t="shared" si="151"/>
        <v>0</v>
      </c>
      <c r="N137" s="15">
        <f t="shared" si="151"/>
        <v>0</v>
      </c>
      <c r="O137" s="15">
        <f t="shared" si="151"/>
        <v>0</v>
      </c>
      <c r="P137" s="15">
        <f t="shared" si="151"/>
        <v>0</v>
      </c>
      <c r="Q137" s="273">
        <f t="shared" si="153"/>
        <v>0</v>
      </c>
      <c r="R137" s="595">
        <f t="shared" si="154"/>
        <v>0</v>
      </c>
      <c r="S137" s="15">
        <f t="shared" si="155"/>
        <v>0</v>
      </c>
      <c r="T137" s="15">
        <f t="shared" si="156"/>
        <v>0</v>
      </c>
      <c r="U137" s="15">
        <f t="shared" si="157"/>
        <v>0</v>
      </c>
      <c r="V137" s="273">
        <f t="shared" si="158"/>
        <v>0</v>
      </c>
      <c r="W137" s="16">
        <f t="shared" si="159"/>
        <v>0</v>
      </c>
      <c r="X137" s="17">
        <f t="shared" si="159"/>
        <v>0</v>
      </c>
      <c r="Z137" s="605">
        <f t="shared" si="160"/>
        <v>0</v>
      </c>
    </row>
    <row r="138" spans="1:26" ht="7.5" customHeight="1" thickTop="1" thickBot="1" x14ac:dyDescent="0.3">
      <c r="A138" s="103"/>
      <c r="B138" s="104"/>
      <c r="C138" s="105"/>
      <c r="D138" s="106"/>
      <c r="E138" s="27"/>
      <c r="F138" s="28"/>
      <c r="G138" s="28"/>
      <c r="H138" s="28"/>
      <c r="I138" s="28"/>
      <c r="J138" s="28"/>
      <c r="K138" s="28"/>
      <c r="L138" s="28"/>
      <c r="M138" s="28"/>
      <c r="N138" s="28"/>
      <c r="O138" s="28"/>
      <c r="P138" s="28"/>
      <c r="Q138" s="30"/>
      <c r="R138" s="31"/>
      <c r="S138" s="28"/>
      <c r="T138" s="28"/>
      <c r="U138" s="28"/>
      <c r="V138" s="30"/>
      <c r="W138" s="33"/>
      <c r="X138" s="34"/>
      <c r="Z138" s="601"/>
    </row>
    <row r="139" spans="1:26" ht="18.75" customHeight="1" thickBot="1" x14ac:dyDescent="0.3">
      <c r="A139" s="602" t="s">
        <v>51</v>
      </c>
      <c r="B139" s="603">
        <f>Z139</f>
        <v>1250</v>
      </c>
      <c r="C139" s="899"/>
      <c r="D139" s="900"/>
      <c r="E139" s="901">
        <f>SUM(E135:E138)</f>
        <v>0</v>
      </c>
      <c r="F139" s="575">
        <f t="shared" ref="F139:L139" si="161">SUM(F135:F138)</f>
        <v>0</v>
      </c>
      <c r="G139" s="575">
        <f>SUM(G135:G138)</f>
        <v>0</v>
      </c>
      <c r="H139" s="575">
        <f t="shared" si="161"/>
        <v>0</v>
      </c>
      <c r="I139" s="575">
        <f t="shared" si="161"/>
        <v>15000</v>
      </c>
      <c r="J139" s="575">
        <f t="shared" si="161"/>
        <v>0</v>
      </c>
      <c r="K139" s="575">
        <f t="shared" si="161"/>
        <v>0</v>
      </c>
      <c r="L139" s="575">
        <f t="shared" si="161"/>
        <v>0</v>
      </c>
      <c r="M139" s="575">
        <f t="shared" ref="M139" si="162">SUM(M135:M138)</f>
        <v>0</v>
      </c>
      <c r="N139" s="575">
        <f t="shared" ref="N139" si="163">SUM(N135:N138)</f>
        <v>0</v>
      </c>
      <c r="O139" s="575">
        <f t="shared" ref="O139" si="164">SUM(O135:O138)</f>
        <v>0</v>
      </c>
      <c r="P139" s="575">
        <f t="shared" ref="P139" si="165">SUM(P135:P138)</f>
        <v>0</v>
      </c>
      <c r="Q139" s="37">
        <f t="shared" ref="Q139" si="166">SUM(Q135:Q138)</f>
        <v>15000</v>
      </c>
      <c r="R139" s="574">
        <f t="shared" ref="R139" si="167">SUM(R135:R138)</f>
        <v>0</v>
      </c>
      <c r="S139" s="575">
        <f t="shared" ref="S139" si="168">SUM(S135:S138)</f>
        <v>15000</v>
      </c>
      <c r="T139" s="575">
        <f t="shared" ref="T139" si="169">SUM(T135:T138)</f>
        <v>0</v>
      </c>
      <c r="U139" s="575">
        <f t="shared" ref="U139" si="170">SUM(U135:U138)</f>
        <v>0</v>
      </c>
      <c r="V139" s="37">
        <f t="shared" ref="V139" si="171">SUM(V135:V138)</f>
        <v>15000</v>
      </c>
      <c r="W139" s="39">
        <f t="shared" ref="W139" si="172">SUM(W135:W138)</f>
        <v>15000</v>
      </c>
      <c r="X139" s="40">
        <f t="shared" ref="X139" si="173">SUM(X135:X138)</f>
        <v>15000</v>
      </c>
      <c r="Z139" s="604">
        <f>SUM(Z135:Z137)</f>
        <v>1250</v>
      </c>
    </row>
  </sheetData>
  <mergeCells count="189">
    <mergeCell ref="Z126:Z127"/>
    <mergeCell ref="A133:A134"/>
    <mergeCell ref="B133:B134"/>
    <mergeCell ref="C133:C134"/>
    <mergeCell ref="D133:D134"/>
    <mergeCell ref="E133:P133"/>
    <mergeCell ref="Q133:Q134"/>
    <mergeCell ref="R133:U133"/>
    <mergeCell ref="V133:V134"/>
    <mergeCell ref="W133:W134"/>
    <mergeCell ref="X133:X134"/>
    <mergeCell ref="Z133:Z134"/>
    <mergeCell ref="Q126:Q127"/>
    <mergeCell ref="R126:U126"/>
    <mergeCell ref="V126:V127"/>
    <mergeCell ref="W126:W127"/>
    <mergeCell ref="X126:X127"/>
    <mergeCell ref="A126:A127"/>
    <mergeCell ref="B126:B127"/>
    <mergeCell ref="C126:C127"/>
    <mergeCell ref="D126:D127"/>
    <mergeCell ref="E126:P126"/>
    <mergeCell ref="X119:X120"/>
    <mergeCell ref="Z119:Z120"/>
    <mergeCell ref="Q112:Q113"/>
    <mergeCell ref="R112:U112"/>
    <mergeCell ref="V112:V113"/>
    <mergeCell ref="W112:W113"/>
    <mergeCell ref="X112:X113"/>
    <mergeCell ref="A112:A113"/>
    <mergeCell ref="B112:B113"/>
    <mergeCell ref="C112:C113"/>
    <mergeCell ref="D112:D113"/>
    <mergeCell ref="E112:P112"/>
    <mergeCell ref="A119:A120"/>
    <mergeCell ref="B119:B120"/>
    <mergeCell ref="C119:C120"/>
    <mergeCell ref="D119:D120"/>
    <mergeCell ref="E119:P119"/>
    <mergeCell ref="Q119:Q120"/>
    <mergeCell ref="R119:U119"/>
    <mergeCell ref="V119:V120"/>
    <mergeCell ref="W119:W120"/>
    <mergeCell ref="Z112:Z113"/>
    <mergeCell ref="Z96:Z97"/>
    <mergeCell ref="A103:A104"/>
    <mergeCell ref="B103:B104"/>
    <mergeCell ref="C103:C104"/>
    <mergeCell ref="D103:D104"/>
    <mergeCell ref="E103:P103"/>
    <mergeCell ref="Q103:Q104"/>
    <mergeCell ref="R103:U103"/>
    <mergeCell ref="V103:V104"/>
    <mergeCell ref="W103:W104"/>
    <mergeCell ref="X103:X104"/>
    <mergeCell ref="Z103:Z104"/>
    <mergeCell ref="Q96:Q97"/>
    <mergeCell ref="R96:U96"/>
    <mergeCell ref="V96:V97"/>
    <mergeCell ref="W96:W97"/>
    <mergeCell ref="X96:X97"/>
    <mergeCell ref="A96:A97"/>
    <mergeCell ref="B96:B97"/>
    <mergeCell ref="C96:C97"/>
    <mergeCell ref="D96:D97"/>
    <mergeCell ref="E96:P96"/>
    <mergeCell ref="Z79:Z80"/>
    <mergeCell ref="A87:A88"/>
    <mergeCell ref="B87:B88"/>
    <mergeCell ref="C87:C88"/>
    <mergeCell ref="D87:D88"/>
    <mergeCell ref="E87:P87"/>
    <mergeCell ref="Q87:Q88"/>
    <mergeCell ref="R87:U87"/>
    <mergeCell ref="V87:V88"/>
    <mergeCell ref="W87:W88"/>
    <mergeCell ref="X87:X88"/>
    <mergeCell ref="Z87:Z88"/>
    <mergeCell ref="E79:P79"/>
    <mergeCell ref="Q79:Q80"/>
    <mergeCell ref="R79:U79"/>
    <mergeCell ref="V79:V80"/>
    <mergeCell ref="W79:W80"/>
    <mergeCell ref="A79:A80"/>
    <mergeCell ref="B79:B80"/>
    <mergeCell ref="C79:C80"/>
    <mergeCell ref="D79:D80"/>
    <mergeCell ref="X79:X80"/>
    <mergeCell ref="Z63:Z64"/>
    <mergeCell ref="A71:A72"/>
    <mergeCell ref="B71:B72"/>
    <mergeCell ref="C71:C72"/>
    <mergeCell ref="D71:D72"/>
    <mergeCell ref="E71:P71"/>
    <mergeCell ref="Q71:Q72"/>
    <mergeCell ref="R71:U71"/>
    <mergeCell ref="V71:V72"/>
    <mergeCell ref="W71:W72"/>
    <mergeCell ref="X71:X72"/>
    <mergeCell ref="Z71:Z72"/>
    <mergeCell ref="Q63:Q64"/>
    <mergeCell ref="R63:U63"/>
    <mergeCell ref="V63:V64"/>
    <mergeCell ref="W63:W64"/>
    <mergeCell ref="X63:X64"/>
    <mergeCell ref="A63:A64"/>
    <mergeCell ref="B63:B64"/>
    <mergeCell ref="C63:C64"/>
    <mergeCell ref="D63:D64"/>
    <mergeCell ref="E63:P63"/>
    <mergeCell ref="Z47:Z48"/>
    <mergeCell ref="A56:A57"/>
    <mergeCell ref="B56:B57"/>
    <mergeCell ref="C56:C57"/>
    <mergeCell ref="D56:D57"/>
    <mergeCell ref="E56:P56"/>
    <mergeCell ref="Q56:Q57"/>
    <mergeCell ref="R56:U56"/>
    <mergeCell ref="V56:V57"/>
    <mergeCell ref="W56:W57"/>
    <mergeCell ref="X56:X57"/>
    <mergeCell ref="Z56:Z57"/>
    <mergeCell ref="Q47:Q48"/>
    <mergeCell ref="R47:U47"/>
    <mergeCell ref="V47:V48"/>
    <mergeCell ref="W47:W48"/>
    <mergeCell ref="X47:X48"/>
    <mergeCell ref="A47:A48"/>
    <mergeCell ref="B47:B48"/>
    <mergeCell ref="C47:C48"/>
    <mergeCell ref="D47:D48"/>
    <mergeCell ref="E47:P47"/>
    <mergeCell ref="Z25:Z26"/>
    <mergeCell ref="A40:A41"/>
    <mergeCell ref="B40:B41"/>
    <mergeCell ref="C40:C41"/>
    <mergeCell ref="D40:D41"/>
    <mergeCell ref="E40:P40"/>
    <mergeCell ref="Q40:Q41"/>
    <mergeCell ref="R40:U40"/>
    <mergeCell ref="V40:V41"/>
    <mergeCell ref="W40:W41"/>
    <mergeCell ref="X40:X41"/>
    <mergeCell ref="Z40:Z41"/>
    <mergeCell ref="Q25:Q26"/>
    <mergeCell ref="R25:U25"/>
    <mergeCell ref="V25:V26"/>
    <mergeCell ref="W25:W26"/>
    <mergeCell ref="X25:X26"/>
    <mergeCell ref="Z33:Z34"/>
    <mergeCell ref="B23:C23"/>
    <mergeCell ref="B25:B26"/>
    <mergeCell ref="C25:C26"/>
    <mergeCell ref="W33:W34"/>
    <mergeCell ref="X33:X34"/>
    <mergeCell ref="A1:X1"/>
    <mergeCell ref="A33:A34"/>
    <mergeCell ref="B33:B34"/>
    <mergeCell ref="C33:C34"/>
    <mergeCell ref="D33:D34"/>
    <mergeCell ref="E33:P33"/>
    <mergeCell ref="Q33:Q34"/>
    <mergeCell ref="R33:U33"/>
    <mergeCell ref="V33:V34"/>
    <mergeCell ref="A25:A26"/>
    <mergeCell ref="D25:D26"/>
    <mergeCell ref="E25:P25"/>
    <mergeCell ref="B6:C7"/>
    <mergeCell ref="B13:C13"/>
    <mergeCell ref="B11:C11"/>
    <mergeCell ref="B10:C10"/>
    <mergeCell ref="B9:C9"/>
    <mergeCell ref="B8:C8"/>
    <mergeCell ref="B16:C16"/>
    <mergeCell ref="E6:P6"/>
    <mergeCell ref="Q6:Q7"/>
    <mergeCell ref="R6:U6"/>
    <mergeCell ref="V6:V7"/>
    <mergeCell ref="W6:W7"/>
    <mergeCell ref="X6:X7"/>
    <mergeCell ref="A14:X14"/>
    <mergeCell ref="A22:X22"/>
    <mergeCell ref="B18:C18"/>
    <mergeCell ref="B19:C19"/>
    <mergeCell ref="B20:C20"/>
    <mergeCell ref="B21:C21"/>
    <mergeCell ref="B17:C17"/>
    <mergeCell ref="B12:C12"/>
    <mergeCell ref="D6:D7"/>
  </mergeCells>
  <dataValidations count="3">
    <dataValidation type="list" allowBlank="1" showInputMessage="1" showErrorMessage="1" sqref="C27:C29 C49:C52 C105:C108 C89:C92 C128:C129 C135:C137 C35:C36 C42:C43 C58:C59 C114:C115 C121:C122 C98:C99 C81:C83 C73:C75 C65:C67">
      <formula1>"j,h,q,z,m"</formula1>
    </dataValidation>
    <dataValidation type="list" allowBlank="1" showInputMessage="1" showErrorMessage="1" sqref="D27:D29 D49:D52 D105:D108 D89:D92 D128:D129 D135:D137 D35:D36 D42:D43 D58:D59 D114:D115 D121:D122 D98:D99 D81:D83 D73:D75 D65:D67">
      <formula1>IF($C27="j",Anually,IF($C27="h",SemiAnually,IF($C27="q",Quaterly,IF($C27="z",Bimonthly,Monthly))))</formula1>
    </dataValidation>
    <dataValidation type="whole" allowBlank="1" showInputMessage="1" showErrorMessage="1" sqref="D8:D12 D16:D20">
      <formula1>1</formula1>
      <formula2>48</formula2>
    </dataValidation>
  </dataValidations>
  <pageMargins left="0.7" right="0.7" top="0.78740157499999996" bottom="0.78740157499999996" header="0.3" footer="0.3"/>
  <pageSetup paperSize="8" scale="73" fitToHeight="0" orientation="landscape" horizontalDpi="0" verticalDpi="0" r:id="rId1"/>
  <rowBreaks count="2" manualBreakCount="2">
    <brk id="55" max="23" man="1"/>
    <brk id="111" max="2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>
    <pageSetUpPr fitToPage="1"/>
  </sheetPr>
  <dimension ref="A1:M34"/>
  <sheetViews>
    <sheetView showGridLines="0" view="pageBreakPreview"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27" sqref="A27"/>
    </sheetView>
  </sheetViews>
  <sheetFormatPr baseColWidth="10" defaultRowHeight="15" outlineLevelRow="2" x14ac:dyDescent="0.25"/>
  <cols>
    <col min="1" max="1" width="35.140625" style="41" bestFit="1" customWidth="1"/>
    <col min="2" max="2" width="12.140625" style="41" bestFit="1" customWidth="1"/>
    <col min="3" max="3" width="6.28515625" style="41" bestFit="1" customWidth="1"/>
    <col min="4" max="4" width="9" style="41" bestFit="1" customWidth="1"/>
    <col min="5" max="5" width="6.7109375" style="41" bestFit="1" customWidth="1"/>
    <col min="6" max="6" width="11.85546875" style="41" bestFit="1" customWidth="1"/>
    <col min="7" max="7" width="13" style="41" bestFit="1" customWidth="1"/>
    <col min="8" max="8" width="11.85546875" style="41" bestFit="1" customWidth="1"/>
    <col min="9" max="9" width="13" style="41" bestFit="1" customWidth="1"/>
    <col min="10" max="10" width="11.85546875" style="41" bestFit="1" customWidth="1"/>
    <col min="11" max="11" width="13" style="41" bestFit="1" customWidth="1"/>
    <col min="12" max="13" width="11.85546875" style="41" bestFit="1" customWidth="1"/>
    <col min="14" max="16384" width="11.42578125" style="41"/>
  </cols>
  <sheetData>
    <row r="1" spans="1:13" ht="27" thickBot="1" x14ac:dyDescent="0.3">
      <c r="A1" s="714" t="s">
        <v>137</v>
      </c>
      <c r="B1" s="715"/>
      <c r="C1" s="715"/>
      <c r="D1" s="715"/>
      <c r="E1" s="715"/>
      <c r="F1" s="715"/>
      <c r="G1" s="715"/>
      <c r="H1" s="715"/>
      <c r="I1" s="715"/>
      <c r="J1" s="715"/>
      <c r="K1" s="715"/>
      <c r="L1" s="715"/>
      <c r="M1" s="716"/>
    </row>
    <row r="2" spans="1:13" ht="7.5" customHeight="1" thickBot="1" x14ac:dyDescent="0.3"/>
    <row r="3" spans="1:13" ht="15" customHeight="1" x14ac:dyDescent="0.25">
      <c r="A3" s="699" t="s">
        <v>186</v>
      </c>
      <c r="B3" s="709" t="s">
        <v>188</v>
      </c>
      <c r="C3" s="709" t="s">
        <v>32</v>
      </c>
      <c r="D3" s="709" t="s">
        <v>31</v>
      </c>
      <c r="E3" s="707" t="s">
        <v>187</v>
      </c>
      <c r="F3" s="778" t="s">
        <v>20</v>
      </c>
      <c r="G3" s="779"/>
      <c r="H3" s="690" t="s">
        <v>25</v>
      </c>
      <c r="I3" s="693"/>
      <c r="J3" s="690" t="s">
        <v>26</v>
      </c>
      <c r="K3" s="693"/>
      <c r="L3" s="690" t="s">
        <v>27</v>
      </c>
      <c r="M3" s="780"/>
    </row>
    <row r="4" spans="1:13" s="5" customFormat="1" ht="15" customHeight="1" thickBot="1" x14ac:dyDescent="0.3">
      <c r="A4" s="700"/>
      <c r="B4" s="710"/>
      <c r="C4" s="710"/>
      <c r="D4" s="710"/>
      <c r="E4" s="708"/>
      <c r="F4" s="262" t="s">
        <v>138</v>
      </c>
      <c r="G4" s="263" t="s">
        <v>139</v>
      </c>
      <c r="H4" s="264" t="s">
        <v>138</v>
      </c>
      <c r="I4" s="271" t="s">
        <v>139</v>
      </c>
      <c r="J4" s="264" t="s">
        <v>138</v>
      </c>
      <c r="K4" s="271" t="s">
        <v>139</v>
      </c>
      <c r="L4" s="264" t="s">
        <v>138</v>
      </c>
      <c r="M4" s="386" t="s">
        <v>139</v>
      </c>
    </row>
    <row r="5" spans="1:13" ht="18.75" customHeight="1" outlineLevel="2" thickTop="1" x14ac:dyDescent="0.25">
      <c r="A5" s="494" t="str">
        <f t="array" ref="A5:D14">IF(Investitionsplan!A5:D14="","",Investitionsplan!A5:D14)</f>
        <v>Büroeinrichtung</v>
      </c>
      <c r="B5" s="252">
        <v>25000</v>
      </c>
      <c r="C5" s="114">
        <v>10</v>
      </c>
      <c r="D5" s="114">
        <v>1</v>
      </c>
      <c r="E5" s="115">
        <f>IF($D5="","",IF(OR($D5&lt;=6,AND($D5&gt;12,$D5&lt;=18),AND($D5&gt;24,$D5&lt;=30),AND($D5&gt;36,$D5&lt;=42)),1,2))</f>
        <v>1</v>
      </c>
      <c r="F5" s="6">
        <f>IF($D5&lt;=12,$B5/$C5/$E5,0)</f>
        <v>2500</v>
      </c>
      <c r="G5" s="72">
        <f>IF($D5&lt;=12,$B5-$F5,0)</f>
        <v>22500</v>
      </c>
      <c r="H5" s="73">
        <f>IF($D5&lt;=24,IF($D5&lt;=12,$B5/$C5,$B5/$C5/$E5),0)</f>
        <v>2500</v>
      </c>
      <c r="I5" s="75">
        <f>IF($D5&lt;=24,IF($D5&lt;=12,G5-H5,$B5-H5),0)</f>
        <v>20000</v>
      </c>
      <c r="J5" s="73">
        <f>IF($D5&lt;=36,IF($D5&lt;=24,$B5/$C5,$B5/$C5/$E5),0)</f>
        <v>2500</v>
      </c>
      <c r="K5" s="75">
        <f>IF($D5&lt;=36,IF($D5&lt;=24,I5-J5,$B5-J5),0)</f>
        <v>17500</v>
      </c>
      <c r="L5" s="73">
        <f t="shared" ref="L5:L6" si="0">IFERROR(IF($C5*12+$D5-1&lt;=36,0,IF(IF($D5&lt;=48,IF($D5&lt;=36,$B5/$C5,$B5/$C5/$E5),0)&gt;$K5,$K5,IF($D5&lt;=48,IF($D5&lt;=36,$B5/$C5,$B5/$C5/$E5),0))),0)</f>
        <v>2500</v>
      </c>
      <c r="M5" s="387">
        <f>IF($D5&lt;=48,IF($D5&lt;=36,K5-L5,$B5-L5),0)</f>
        <v>15000</v>
      </c>
    </row>
    <row r="6" spans="1:13" ht="18.75" customHeight="1" outlineLevel="2" x14ac:dyDescent="0.25">
      <c r="A6" s="493" t="str">
        <v>Küchenausstattung</v>
      </c>
      <c r="B6" s="253">
        <v>3000</v>
      </c>
      <c r="C6" s="116">
        <v>5</v>
      </c>
      <c r="D6" s="116">
        <v>1</v>
      </c>
      <c r="E6" s="254">
        <f t="shared" ref="E6:E14" si="1">IF($D6="","",IF(OR($D6&lt;=6,AND($D6&gt;12,$D6&lt;=18),AND($D6&gt;24,$D6&lt;=30),AND($D6&gt;36,$D6&lt;=42)),1,2))</f>
        <v>1</v>
      </c>
      <c r="F6" s="10">
        <f t="shared" ref="F6:F13" si="2">IF($D6&lt;=12,$B6/$C6/$E6,0)</f>
        <v>600</v>
      </c>
      <c r="G6" s="76">
        <f t="shared" ref="G6:G13" si="3">IF($D6&lt;=12,$B6-$F6,0)</f>
        <v>2400</v>
      </c>
      <c r="H6" s="77">
        <f t="shared" ref="H6:H13" si="4">IF($D6&lt;=24,IF($D6&lt;=12,$B6/$C6,$B6/$C6/$E6),0)</f>
        <v>600</v>
      </c>
      <c r="I6" s="79">
        <f t="shared" ref="I6:I13" si="5">IF($D6&lt;=24,IF($D6&lt;=12,G6-H6,$B6-H6),0)</f>
        <v>1800</v>
      </c>
      <c r="J6" s="77">
        <f t="shared" ref="J6:J13" si="6">IF($D6&lt;=36,IF($D6&lt;=24,$B6/$C6,$B6/$C6/$E6),0)</f>
        <v>600</v>
      </c>
      <c r="K6" s="79">
        <f t="shared" ref="K6:K13" si="7">IF($D6&lt;=36,IF($D6&lt;=24,I6-J6,$B6-J6),0)</f>
        <v>1200</v>
      </c>
      <c r="L6" s="77">
        <f t="shared" si="0"/>
        <v>600</v>
      </c>
      <c r="M6" s="388">
        <f t="shared" ref="M6:M13" si="8">IF($D6&lt;=48,IF($D6&lt;=36,K6-L6,$B6-L6),0)</f>
        <v>600</v>
      </c>
    </row>
    <row r="7" spans="1:13" ht="18.75" customHeight="1" outlineLevel="2" x14ac:dyDescent="0.25">
      <c r="A7" s="493" t="str">
        <v>EDV - Ausstattung (allgemein)</v>
      </c>
      <c r="B7" s="253">
        <v>10000</v>
      </c>
      <c r="C7" s="116">
        <v>4</v>
      </c>
      <c r="D7" s="116">
        <v>1</v>
      </c>
      <c r="E7" s="254">
        <f t="shared" si="1"/>
        <v>1</v>
      </c>
      <c r="F7" s="10">
        <f t="shared" si="2"/>
        <v>2500</v>
      </c>
      <c r="G7" s="76">
        <f t="shared" si="3"/>
        <v>7500</v>
      </c>
      <c r="H7" s="77">
        <f t="shared" si="4"/>
        <v>2500</v>
      </c>
      <c r="I7" s="79">
        <f t="shared" si="5"/>
        <v>5000</v>
      </c>
      <c r="J7" s="77">
        <f t="shared" si="6"/>
        <v>2500</v>
      </c>
      <c r="K7" s="79">
        <f t="shared" si="7"/>
        <v>2500</v>
      </c>
      <c r="L7" s="77">
        <f>IFERROR(IF($C7*12+$D7-1&lt;=36,0,IF(IF($D7&lt;=48,IF($D7&lt;=36,$B7/$C7,$B7/$C7/$E7),0)&gt;$K7,$K7,IF($D7&lt;=48,IF($D7&lt;=36,$B7/$C7,$B7/$C7/$E7),0))),0)</f>
        <v>2500</v>
      </c>
      <c r="M7" s="388">
        <f t="shared" si="8"/>
        <v>0</v>
      </c>
    </row>
    <row r="8" spans="1:13" ht="18.75" customHeight="1" outlineLevel="2" x14ac:dyDescent="0.25">
      <c r="A8" s="493" t="str">
        <v>EDV - Ausstattung (Gründer)</v>
      </c>
      <c r="B8" s="253">
        <v>12000</v>
      </c>
      <c r="C8" s="116">
        <v>4</v>
      </c>
      <c r="D8" s="116">
        <v>1</v>
      </c>
      <c r="E8" s="254">
        <f t="shared" si="1"/>
        <v>1</v>
      </c>
      <c r="F8" s="10">
        <f t="shared" si="2"/>
        <v>3000</v>
      </c>
      <c r="G8" s="76">
        <f t="shared" si="3"/>
        <v>9000</v>
      </c>
      <c r="H8" s="77">
        <f t="shared" si="4"/>
        <v>3000</v>
      </c>
      <c r="I8" s="79">
        <f t="shared" si="5"/>
        <v>6000</v>
      </c>
      <c r="J8" s="77">
        <f t="shared" si="6"/>
        <v>3000</v>
      </c>
      <c r="K8" s="79">
        <f t="shared" si="7"/>
        <v>3000</v>
      </c>
      <c r="L8" s="77">
        <f t="shared" ref="L8:L13" si="9">IFERROR(IF($C8*12+$D8-1&lt;=36,0,IF(IF($D8&lt;=48,IF($D8&lt;=36,$B8/$C8,$B8/$C8/$E8),0)&gt;$K8,$K8,IF($D8&lt;=48,IF($D8&lt;=36,$B8/$C8,$B8/$C8/$E8),0))),0)</f>
        <v>3000</v>
      </c>
      <c r="M8" s="388">
        <f t="shared" si="8"/>
        <v>0</v>
      </c>
    </row>
    <row r="9" spans="1:13" ht="18.75" customHeight="1" outlineLevel="2" x14ac:dyDescent="0.25">
      <c r="A9" s="493" t="str">
        <v>EDV - Ausstattung (Mitarbeiter)</v>
      </c>
      <c r="B9" s="253">
        <v>8000</v>
      </c>
      <c r="C9" s="116">
        <v>4</v>
      </c>
      <c r="D9" s="116">
        <v>1</v>
      </c>
      <c r="E9" s="254">
        <f t="shared" si="1"/>
        <v>1</v>
      </c>
      <c r="F9" s="10">
        <f t="shared" si="2"/>
        <v>2000</v>
      </c>
      <c r="G9" s="76">
        <f t="shared" si="3"/>
        <v>6000</v>
      </c>
      <c r="H9" s="77">
        <f t="shared" si="4"/>
        <v>2000</v>
      </c>
      <c r="I9" s="79">
        <f t="shared" si="5"/>
        <v>4000</v>
      </c>
      <c r="J9" s="77">
        <f t="shared" si="6"/>
        <v>2000</v>
      </c>
      <c r="K9" s="79">
        <f t="shared" si="7"/>
        <v>2000</v>
      </c>
      <c r="L9" s="77">
        <f t="shared" si="9"/>
        <v>2000</v>
      </c>
      <c r="M9" s="388">
        <f t="shared" si="8"/>
        <v>0</v>
      </c>
    </row>
    <row r="10" spans="1:13" ht="18.75" customHeight="1" outlineLevel="2" x14ac:dyDescent="0.25">
      <c r="A10" s="493" t="str">
        <v>EDV - Ausstattung (Mitarbeiter)</v>
      </c>
      <c r="B10" s="253">
        <v>2000</v>
      </c>
      <c r="C10" s="116">
        <v>4</v>
      </c>
      <c r="D10" s="116">
        <v>13</v>
      </c>
      <c r="E10" s="254">
        <f t="shared" si="1"/>
        <v>1</v>
      </c>
      <c r="F10" s="10">
        <f t="shared" si="2"/>
        <v>0</v>
      </c>
      <c r="G10" s="76">
        <f t="shared" si="3"/>
        <v>0</v>
      </c>
      <c r="H10" s="77">
        <f t="shared" si="4"/>
        <v>500</v>
      </c>
      <c r="I10" s="79">
        <f t="shared" si="5"/>
        <v>1500</v>
      </c>
      <c r="J10" s="77">
        <f t="shared" si="6"/>
        <v>500</v>
      </c>
      <c r="K10" s="79">
        <f t="shared" si="7"/>
        <v>1000</v>
      </c>
      <c r="L10" s="77">
        <f t="shared" si="9"/>
        <v>500</v>
      </c>
      <c r="M10" s="388">
        <f t="shared" si="8"/>
        <v>500</v>
      </c>
    </row>
    <row r="11" spans="1:13" ht="18.75" customHeight="1" outlineLevel="2" x14ac:dyDescent="0.25">
      <c r="A11" s="255" t="str">
        <v>Server</v>
      </c>
      <c r="B11" s="256">
        <v>10000</v>
      </c>
      <c r="C11" s="257">
        <v>4</v>
      </c>
      <c r="D11" s="257">
        <v>2</v>
      </c>
      <c r="E11" s="258">
        <f t="shared" si="1"/>
        <v>1</v>
      </c>
      <c r="F11" s="14">
        <f t="shared" si="2"/>
        <v>2500</v>
      </c>
      <c r="G11" s="80">
        <f t="shared" si="3"/>
        <v>7500</v>
      </c>
      <c r="H11" s="81">
        <f t="shared" si="4"/>
        <v>2500</v>
      </c>
      <c r="I11" s="83">
        <f t="shared" si="5"/>
        <v>5000</v>
      </c>
      <c r="J11" s="81">
        <f t="shared" si="6"/>
        <v>2500</v>
      </c>
      <c r="K11" s="83">
        <f t="shared" si="7"/>
        <v>2500</v>
      </c>
      <c r="L11" s="77">
        <f t="shared" si="9"/>
        <v>2500</v>
      </c>
      <c r="M11" s="389">
        <f t="shared" si="8"/>
        <v>0</v>
      </c>
    </row>
    <row r="12" spans="1:13" ht="18.75" customHeight="1" outlineLevel="2" x14ac:dyDescent="0.25">
      <c r="A12" s="255" t="str">
        <v>Messaufbau</v>
      </c>
      <c r="B12" s="256">
        <v>10000</v>
      </c>
      <c r="C12" s="257">
        <v>5</v>
      </c>
      <c r="D12" s="257">
        <v>5</v>
      </c>
      <c r="E12" s="258">
        <f t="shared" si="1"/>
        <v>1</v>
      </c>
      <c r="F12" s="14">
        <f t="shared" si="2"/>
        <v>2000</v>
      </c>
      <c r="G12" s="80">
        <f t="shared" si="3"/>
        <v>8000</v>
      </c>
      <c r="H12" s="81">
        <f t="shared" si="4"/>
        <v>2000</v>
      </c>
      <c r="I12" s="83">
        <f t="shared" si="5"/>
        <v>6000</v>
      </c>
      <c r="J12" s="81">
        <f t="shared" si="6"/>
        <v>2000</v>
      </c>
      <c r="K12" s="83">
        <f t="shared" si="7"/>
        <v>4000</v>
      </c>
      <c r="L12" s="77">
        <f t="shared" si="9"/>
        <v>2000</v>
      </c>
      <c r="M12" s="389">
        <f t="shared" si="8"/>
        <v>2000</v>
      </c>
    </row>
    <row r="13" spans="1:13" ht="18.75" customHeight="1" outlineLevel="2" thickBot="1" x14ac:dyDescent="0.3">
      <c r="A13" s="255" t="str">
        <v/>
      </c>
      <c r="B13" s="256" t="str">
        <v/>
      </c>
      <c r="C13" s="257" t="str">
        <v/>
      </c>
      <c r="D13" s="257" t="str">
        <v/>
      </c>
      <c r="E13" s="258" t="str">
        <f t="shared" si="1"/>
        <v/>
      </c>
      <c r="F13" s="14">
        <f t="shared" si="2"/>
        <v>0</v>
      </c>
      <c r="G13" s="80">
        <f t="shared" si="3"/>
        <v>0</v>
      </c>
      <c r="H13" s="81">
        <f t="shared" si="4"/>
        <v>0</v>
      </c>
      <c r="I13" s="83">
        <f t="shared" si="5"/>
        <v>0</v>
      </c>
      <c r="J13" s="81">
        <f t="shared" si="6"/>
        <v>0</v>
      </c>
      <c r="K13" s="83">
        <f t="shared" si="7"/>
        <v>0</v>
      </c>
      <c r="L13" s="81">
        <f t="shared" si="9"/>
        <v>0</v>
      </c>
      <c r="M13" s="389">
        <f t="shared" si="8"/>
        <v>0</v>
      </c>
    </row>
    <row r="14" spans="1:13" ht="7.5" customHeight="1" outlineLevel="2" thickTop="1" thickBot="1" x14ac:dyDescent="0.3">
      <c r="A14" s="259" t="str">
        <v/>
      </c>
      <c r="B14" s="260" t="str">
        <v/>
      </c>
      <c r="C14" s="260" t="str">
        <v/>
      </c>
      <c r="D14" s="260" t="str">
        <v/>
      </c>
      <c r="E14" s="261" t="str">
        <f t="shared" si="1"/>
        <v/>
      </c>
      <c r="F14" s="27"/>
      <c r="G14" s="30"/>
      <c r="H14" s="31"/>
      <c r="I14" s="32"/>
      <c r="J14" s="31"/>
      <c r="K14" s="32"/>
      <c r="L14" s="31"/>
      <c r="M14" s="390"/>
    </row>
    <row r="15" spans="1:13" ht="18.75" customHeight="1" outlineLevel="1" thickBot="1" x14ac:dyDescent="0.3">
      <c r="A15" s="35" t="s">
        <v>28</v>
      </c>
      <c r="B15" s="561">
        <f>SUM(B5:B14)</f>
        <v>80000</v>
      </c>
      <c r="C15" s="42"/>
      <c r="D15" s="43"/>
      <c r="E15" s="44"/>
      <c r="F15" s="463">
        <f>SUM(F5:F14)</f>
        <v>15100</v>
      </c>
      <c r="G15" s="563">
        <f>SUM(G5:G14)</f>
        <v>62900</v>
      </c>
      <c r="H15" s="465">
        <f>SUM(H5:H14)</f>
        <v>15600</v>
      </c>
      <c r="I15" s="564">
        <f>SUM(I5:I14)</f>
        <v>49300</v>
      </c>
      <c r="J15" s="465">
        <f>SUM(J5:J14)</f>
        <v>15600</v>
      </c>
      <c r="K15" s="563">
        <f>SUM(K5:K14)</f>
        <v>33700</v>
      </c>
      <c r="L15" s="465">
        <f>SUM(L5:L14)</f>
        <v>15600</v>
      </c>
      <c r="M15" s="615">
        <f>SUM(M5:M14)</f>
        <v>18100</v>
      </c>
    </row>
    <row r="16" spans="1:13" ht="7.5" customHeight="1" outlineLevel="1" x14ac:dyDescent="0.25">
      <c r="A16" s="701"/>
      <c r="B16" s="702"/>
      <c r="C16" s="702"/>
      <c r="D16" s="702"/>
      <c r="E16" s="702"/>
      <c r="F16" s="702"/>
      <c r="G16" s="702"/>
      <c r="H16" s="702"/>
      <c r="I16" s="702"/>
      <c r="J16" s="702"/>
      <c r="K16" s="702"/>
      <c r="L16" s="702"/>
      <c r="M16" s="703"/>
    </row>
    <row r="17" spans="1:13" ht="18.75" customHeight="1" outlineLevel="1" thickBot="1" x14ac:dyDescent="0.3">
      <c r="A17" s="45" t="s">
        <v>29</v>
      </c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7"/>
    </row>
    <row r="18" spans="1:13" ht="18.75" customHeight="1" outlineLevel="2" thickTop="1" x14ac:dyDescent="0.25">
      <c r="A18" s="494" t="str">
        <f t="array" ref="A18:D20">IF(Investitionsplan!A18:D20="","",Investitionsplan!A18:D20)</f>
        <v>Patentanträge</v>
      </c>
      <c r="B18" s="74">
        <v>20000</v>
      </c>
      <c r="C18" s="114">
        <v>20</v>
      </c>
      <c r="D18" s="114">
        <v>1</v>
      </c>
      <c r="E18" s="910"/>
      <c r="F18" s="278"/>
      <c r="G18" s="72">
        <f>$B18</f>
        <v>20000</v>
      </c>
      <c r="H18" s="280"/>
      <c r="I18" s="75">
        <f>$B18</f>
        <v>20000</v>
      </c>
      <c r="J18" s="280"/>
      <c r="K18" s="272">
        <f>$B18</f>
        <v>20000</v>
      </c>
      <c r="L18" s="280"/>
      <c r="M18" s="274">
        <f>$B18</f>
        <v>20000</v>
      </c>
    </row>
    <row r="19" spans="1:13" ht="18.75" customHeight="1" outlineLevel="2" thickBot="1" x14ac:dyDescent="0.3">
      <c r="A19" s="255" t="str">
        <v/>
      </c>
      <c r="B19" s="616" t="str">
        <v/>
      </c>
      <c r="C19" s="616" t="str">
        <v/>
      </c>
      <c r="D19" s="616" t="str">
        <v/>
      </c>
      <c r="E19" s="911"/>
      <c r="F19" s="279"/>
      <c r="G19" s="80" t="str">
        <f t="shared" ref="G19:M19" si="10">$B19</f>
        <v/>
      </c>
      <c r="H19" s="281"/>
      <c r="I19" s="83" t="str">
        <f t="shared" si="10"/>
        <v/>
      </c>
      <c r="J19" s="281"/>
      <c r="K19" s="273" t="str">
        <f t="shared" si="10"/>
        <v/>
      </c>
      <c r="L19" s="281"/>
      <c r="M19" s="275" t="str">
        <f t="shared" si="10"/>
        <v/>
      </c>
    </row>
    <row r="20" spans="1:13" ht="7.5" customHeight="1" outlineLevel="2" thickTop="1" thickBot="1" x14ac:dyDescent="0.3">
      <c r="A20" s="259" t="str">
        <v/>
      </c>
      <c r="B20" s="260" t="str">
        <v/>
      </c>
      <c r="C20" s="260" t="str">
        <v/>
      </c>
      <c r="D20" s="260" t="str">
        <v/>
      </c>
      <c r="E20" s="912"/>
      <c r="F20" s="913"/>
      <c r="G20" s="30"/>
      <c r="H20" s="914"/>
      <c r="I20" s="32"/>
      <c r="J20" s="914"/>
      <c r="K20" s="30"/>
      <c r="L20" s="914"/>
      <c r="M20" s="276"/>
    </row>
    <row r="21" spans="1:13" ht="18.75" customHeight="1" outlineLevel="1" thickBot="1" x14ac:dyDescent="0.3">
      <c r="A21" s="35" t="s">
        <v>28</v>
      </c>
      <c r="B21" s="561">
        <f>SUM(B16:B20)</f>
        <v>20000</v>
      </c>
      <c r="C21" s="42"/>
      <c r="D21" s="43"/>
      <c r="E21" s="44"/>
      <c r="F21" s="287"/>
      <c r="G21" s="563">
        <f>SUM(G16:G20)</f>
        <v>20000</v>
      </c>
      <c r="H21" s="284"/>
      <c r="I21" s="564">
        <f>SUM(I16:I20)</f>
        <v>20000</v>
      </c>
      <c r="J21" s="284"/>
      <c r="K21" s="563">
        <f>SUM(K16:K20)</f>
        <v>20000</v>
      </c>
      <c r="L21" s="284"/>
      <c r="M21" s="615">
        <f>SUM(M16:M20)</f>
        <v>20000</v>
      </c>
    </row>
    <row r="22" spans="1:13" ht="7.5" customHeight="1" outlineLevel="1" thickBot="1" x14ac:dyDescent="0.3">
      <c r="A22" s="48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7"/>
    </row>
    <row r="23" spans="1:13" s="49" customFormat="1" ht="18.75" customHeight="1" thickBot="1" x14ac:dyDescent="0.3">
      <c r="A23" s="50" t="s">
        <v>33</v>
      </c>
      <c r="B23" s="51">
        <f>B21+B15</f>
        <v>100000</v>
      </c>
      <c r="C23" s="52"/>
      <c r="D23" s="52"/>
      <c r="E23" s="126"/>
      <c r="F23" s="286"/>
      <c r="G23" s="53">
        <f>G21+G15</f>
        <v>82900</v>
      </c>
      <c r="H23" s="285"/>
      <c r="I23" s="53">
        <f>I21+I15</f>
        <v>69300</v>
      </c>
      <c r="J23" s="288"/>
      <c r="K23" s="54">
        <f>K21+K15</f>
        <v>53700</v>
      </c>
      <c r="L23" s="289"/>
      <c r="M23" s="55">
        <f>M21+M15</f>
        <v>38100</v>
      </c>
    </row>
    <row r="24" spans="1:13" ht="7.5" customHeight="1" thickBot="1" x14ac:dyDescent="0.3">
      <c r="A24" s="704"/>
      <c r="B24" s="705"/>
      <c r="C24" s="705"/>
      <c r="D24" s="705"/>
      <c r="E24" s="705"/>
      <c r="F24" s="705"/>
      <c r="G24" s="705"/>
      <c r="H24" s="705"/>
      <c r="I24" s="705"/>
      <c r="J24" s="705"/>
      <c r="K24" s="705"/>
      <c r="L24" s="705"/>
      <c r="M24" s="706"/>
    </row>
    <row r="25" spans="1:13" ht="15" customHeight="1" x14ac:dyDescent="0.25">
      <c r="A25" s="699" t="s">
        <v>260</v>
      </c>
      <c r="B25" s="709" t="s">
        <v>188</v>
      </c>
      <c r="C25" s="709" t="s">
        <v>32</v>
      </c>
      <c r="D25" s="709" t="s">
        <v>31</v>
      </c>
      <c r="E25" s="707" t="s">
        <v>187</v>
      </c>
      <c r="F25" s="778" t="s">
        <v>20</v>
      </c>
      <c r="G25" s="779"/>
      <c r="H25" s="690" t="s">
        <v>25</v>
      </c>
      <c r="I25" s="693"/>
      <c r="J25" s="690" t="s">
        <v>26</v>
      </c>
      <c r="K25" s="693"/>
      <c r="L25" s="690" t="s">
        <v>27</v>
      </c>
      <c r="M25" s="780"/>
    </row>
    <row r="26" spans="1:13" ht="15" customHeight="1" thickBot="1" x14ac:dyDescent="0.3">
      <c r="A26" s="700"/>
      <c r="B26" s="710"/>
      <c r="C26" s="710"/>
      <c r="D26" s="710"/>
      <c r="E26" s="708"/>
      <c r="F26" s="262" t="s">
        <v>138</v>
      </c>
      <c r="G26" s="263" t="s">
        <v>139</v>
      </c>
      <c r="H26" s="264" t="s">
        <v>138</v>
      </c>
      <c r="I26" s="271" t="s">
        <v>139</v>
      </c>
      <c r="J26" s="264" t="s">
        <v>138</v>
      </c>
      <c r="K26" s="271" t="s">
        <v>139</v>
      </c>
      <c r="L26" s="264" t="s">
        <v>138</v>
      </c>
      <c r="M26" s="386" t="s">
        <v>139</v>
      </c>
    </row>
    <row r="27" spans="1:13" ht="18.75" customHeight="1" outlineLevel="1" thickTop="1" x14ac:dyDescent="0.25">
      <c r="A27" s="494" t="str">
        <f t="array" ref="A27:D31">IF(Investitionsplan!A27:D31="","",Investitionsplan!A27:D31)</f>
        <v>Vertriebsauto</v>
      </c>
      <c r="B27" s="74">
        <v>35000</v>
      </c>
      <c r="C27" s="114">
        <v>4</v>
      </c>
      <c r="D27" s="114">
        <v>2</v>
      </c>
      <c r="E27" s="115">
        <f>IF($D27="","",IF(OR($D27&lt;=6,AND($D27&gt;12,$D27&lt;=18),AND($D27&gt;24,$D27&lt;=30),AND($D27&gt;36,$D27&lt;=42)),1,2))</f>
        <v>1</v>
      </c>
      <c r="F27" s="6">
        <f>IF($D27&lt;=12,$B27/$C27/$E27,0)</f>
        <v>8750</v>
      </c>
      <c r="G27" s="72">
        <f>IF($D27&lt;=12,$B27-$F27,0)</f>
        <v>26250</v>
      </c>
      <c r="H27" s="73">
        <f>IF($D27&lt;=24,IF($D27&lt;=12,$B27/$C27,$B27/$C27/$E27),0)</f>
        <v>8750</v>
      </c>
      <c r="I27" s="75">
        <f>IF($D27&lt;=24,IF($D27&lt;=12,G27-H27,$B27-H27),0)</f>
        <v>17500</v>
      </c>
      <c r="J27" s="75">
        <f>IF($D27&lt;=36,IF($D27&lt;=24,$B27/$C27,$B27/$C27/$E27),0)</f>
        <v>8750</v>
      </c>
      <c r="K27" s="8">
        <f>IF($D27&lt;=36,IF($D27&lt;=24,I27-J27,$B27-J27),0)</f>
        <v>8750</v>
      </c>
      <c r="L27" s="266">
        <f t="shared" ref="L27:L30" si="11">IFERROR(IF($C27*12+$D27-1&lt;=36,0,IF(IF($D27&lt;=48,IF($D27&lt;=36,$B27/$C27,$B27/$C27/$E27),0)&gt;$K27,$K27,IF($D27&lt;=48,IF($D27&lt;=36,$B27/$C27,$B27/$C27/$E27),0))),0)</f>
        <v>8750</v>
      </c>
      <c r="M27" s="9">
        <f>IF($D27&lt;=48,IF($D27&lt;=36,K27-L27,$B27-L27),0)</f>
        <v>0</v>
      </c>
    </row>
    <row r="28" spans="1:13" ht="18.75" customHeight="1" outlineLevel="1" x14ac:dyDescent="0.25">
      <c r="A28" s="493" t="str">
        <v>Vertriebsauto</v>
      </c>
      <c r="B28" s="78">
        <v>35000</v>
      </c>
      <c r="C28" s="116">
        <v>4</v>
      </c>
      <c r="D28" s="116">
        <v>13</v>
      </c>
      <c r="E28" s="254">
        <f t="shared" ref="E28:E30" si="12">IF($D28="","",IF(OR($D28&lt;=6,AND($D28&gt;12,$D28&lt;=18),AND($D28&gt;24,$D28&lt;=30),AND($D28&gt;36,$D28&lt;=42)),1,2))</f>
        <v>1</v>
      </c>
      <c r="F28" s="10">
        <f t="shared" ref="F28:F30" si="13">IF($D28&lt;=12,$B28/$C28/$E28,0)</f>
        <v>0</v>
      </c>
      <c r="G28" s="76">
        <f t="shared" ref="G28:G30" si="14">IF($D28&lt;=12,$B28-$F28,0)</f>
        <v>0</v>
      </c>
      <c r="H28" s="77">
        <f t="shared" ref="H28:H30" si="15">IF($D28&lt;=24,IF($D28&lt;=12,$B28/$C28,$B28/$C28/$E28),0)</f>
        <v>8750</v>
      </c>
      <c r="I28" s="79">
        <f t="shared" ref="I28:I30" si="16">IF($D28&lt;=24,IF($D28&lt;=12,G28-H28,$B28-H28),0)</f>
        <v>26250</v>
      </c>
      <c r="J28" s="79">
        <f t="shared" ref="J28:J30" si="17">IF($D28&lt;=36,IF($D28&lt;=24,$B28/$C28,$B28/$C28/$E28),0)</f>
        <v>8750</v>
      </c>
      <c r="K28" s="12">
        <f t="shared" ref="K28:K30" si="18">IF($D28&lt;=36,IF($D28&lt;=24,I28-J28,$B28-J28),0)</f>
        <v>17500</v>
      </c>
      <c r="L28" s="240">
        <f t="shared" si="11"/>
        <v>8750</v>
      </c>
      <c r="M28" s="13">
        <f t="shared" ref="M28:M30" si="19">IF($D28&lt;=48,IF($D28&lt;=36,K28-L28,$B28-L28),0)</f>
        <v>8750</v>
      </c>
    </row>
    <row r="29" spans="1:13" ht="18.75" customHeight="1" outlineLevel="1" x14ac:dyDescent="0.25">
      <c r="A29" s="493" t="str">
        <v>Kundendienstauto</v>
      </c>
      <c r="B29" s="78">
        <v>25000</v>
      </c>
      <c r="C29" s="116">
        <v>4</v>
      </c>
      <c r="D29" s="116">
        <v>13</v>
      </c>
      <c r="E29" s="254">
        <f t="shared" si="12"/>
        <v>1</v>
      </c>
      <c r="F29" s="10">
        <f t="shared" si="13"/>
        <v>0</v>
      </c>
      <c r="G29" s="76">
        <f t="shared" si="14"/>
        <v>0</v>
      </c>
      <c r="H29" s="77">
        <f t="shared" si="15"/>
        <v>6250</v>
      </c>
      <c r="I29" s="79">
        <f t="shared" si="16"/>
        <v>18750</v>
      </c>
      <c r="J29" s="79">
        <f t="shared" si="17"/>
        <v>6250</v>
      </c>
      <c r="K29" s="12">
        <f t="shared" si="18"/>
        <v>12500</v>
      </c>
      <c r="L29" s="240">
        <f t="shared" si="11"/>
        <v>6250</v>
      </c>
      <c r="M29" s="13">
        <f t="shared" si="19"/>
        <v>6250</v>
      </c>
    </row>
    <row r="30" spans="1:13" ht="18.75" customHeight="1" outlineLevel="1" thickBot="1" x14ac:dyDescent="0.3">
      <c r="A30" s="503" t="str">
        <v/>
      </c>
      <c r="B30" s="617" t="str">
        <v/>
      </c>
      <c r="C30" s="617" t="str">
        <v/>
      </c>
      <c r="D30" s="617" t="str">
        <v/>
      </c>
      <c r="E30" s="618" t="str">
        <f t="shared" si="12"/>
        <v/>
      </c>
      <c r="F30" s="130">
        <f t="shared" si="13"/>
        <v>0</v>
      </c>
      <c r="G30" s="132">
        <f t="shared" si="14"/>
        <v>0</v>
      </c>
      <c r="H30" s="133">
        <f t="shared" si="15"/>
        <v>0</v>
      </c>
      <c r="I30" s="135">
        <f t="shared" si="16"/>
        <v>0</v>
      </c>
      <c r="J30" s="135">
        <f t="shared" si="17"/>
        <v>0</v>
      </c>
      <c r="K30" s="136">
        <f t="shared" si="18"/>
        <v>0</v>
      </c>
      <c r="L30" s="268">
        <f t="shared" si="11"/>
        <v>0</v>
      </c>
      <c r="M30" s="137">
        <f t="shared" si="19"/>
        <v>0</v>
      </c>
    </row>
    <row r="31" spans="1:13" ht="7.5" customHeight="1" outlineLevel="1" thickTop="1" thickBot="1" x14ac:dyDescent="0.3">
      <c r="A31" s="259" t="str">
        <v/>
      </c>
      <c r="B31" s="260" t="str">
        <v/>
      </c>
      <c r="C31" s="260" t="str">
        <v/>
      </c>
      <c r="D31" s="260" t="str">
        <v/>
      </c>
      <c r="E31" s="261"/>
      <c r="F31" s="27"/>
      <c r="G31" s="30"/>
      <c r="H31" s="31"/>
      <c r="I31" s="32"/>
      <c r="J31" s="32"/>
      <c r="K31" s="33"/>
      <c r="L31" s="267"/>
      <c r="M31" s="34"/>
    </row>
    <row r="32" spans="1:13" ht="18.75" customHeight="1" thickBot="1" x14ac:dyDescent="0.3">
      <c r="A32" s="492" t="s">
        <v>34</v>
      </c>
      <c r="B32" s="67">
        <f>SUM(B27:B31)</f>
        <v>95000</v>
      </c>
      <c r="C32" s="64"/>
      <c r="D32" s="65"/>
      <c r="E32" s="66"/>
      <c r="F32" s="282">
        <f>SUM(F27:F31)</f>
        <v>8750</v>
      </c>
      <c r="G32" s="68">
        <f>SUM(G27:G31)</f>
        <v>26250</v>
      </c>
      <c r="H32" s="283">
        <f>SUM(H27:H31)</f>
        <v>23750</v>
      </c>
      <c r="I32" s="69">
        <f>SUM(I27:I31)</f>
        <v>62500</v>
      </c>
      <c r="J32" s="69">
        <f>SUM(J27:J31)</f>
        <v>23750</v>
      </c>
      <c r="K32" s="70">
        <f>SUM(K27:K31)</f>
        <v>38750</v>
      </c>
      <c r="L32" s="269">
        <f>SUM(L27:L31)</f>
        <v>23750</v>
      </c>
      <c r="M32" s="71">
        <f>SUM(M27:M31)</f>
        <v>15000</v>
      </c>
    </row>
    <row r="33" spans="1:13" ht="7.5" customHeight="1" thickBot="1" x14ac:dyDescent="0.3">
      <c r="A33" s="701"/>
      <c r="B33" s="702"/>
      <c r="C33" s="702"/>
      <c r="D33" s="702"/>
      <c r="E33" s="702"/>
      <c r="F33" s="702"/>
      <c r="G33" s="702"/>
      <c r="H33" s="702"/>
      <c r="I33" s="702"/>
      <c r="J33" s="702"/>
      <c r="K33" s="702"/>
      <c r="L33" s="702"/>
      <c r="M33" s="703"/>
    </row>
    <row r="34" spans="1:13" ht="22.5" customHeight="1" thickBot="1" x14ac:dyDescent="0.3">
      <c r="A34" s="277"/>
      <c r="B34" s="775" t="s">
        <v>140</v>
      </c>
      <c r="C34" s="776"/>
      <c r="D34" s="776"/>
      <c r="E34" s="777"/>
      <c r="F34" s="56">
        <f>F32+F15</f>
        <v>23850</v>
      </c>
      <c r="G34" s="58">
        <f>G32+G23</f>
        <v>109150</v>
      </c>
      <c r="H34" s="59">
        <f>H32+H15</f>
        <v>39350</v>
      </c>
      <c r="I34" s="58">
        <f>I32+I23</f>
        <v>131800</v>
      </c>
      <c r="J34" s="265">
        <f>J32+J15</f>
        <v>39350</v>
      </c>
      <c r="K34" s="60">
        <f>K32+K23</f>
        <v>92450</v>
      </c>
      <c r="L34" s="270">
        <f>L32+L15</f>
        <v>39350</v>
      </c>
      <c r="M34" s="61">
        <f>M32+M23</f>
        <v>53100</v>
      </c>
    </row>
  </sheetData>
  <sheetProtection selectLockedCells="1"/>
  <mergeCells count="23">
    <mergeCell ref="A1:M1"/>
    <mergeCell ref="A3:A4"/>
    <mergeCell ref="B3:B4"/>
    <mergeCell ref="C3:C4"/>
    <mergeCell ref="D3:D4"/>
    <mergeCell ref="E3:E4"/>
    <mergeCell ref="L3:M3"/>
    <mergeCell ref="B34:E34"/>
    <mergeCell ref="A16:M16"/>
    <mergeCell ref="A24:M24"/>
    <mergeCell ref="A33:M33"/>
    <mergeCell ref="F3:G3"/>
    <mergeCell ref="H3:I3"/>
    <mergeCell ref="J3:K3"/>
    <mergeCell ref="A25:A26"/>
    <mergeCell ref="B25:B26"/>
    <mergeCell ref="C25:C26"/>
    <mergeCell ref="D25:D26"/>
    <mergeCell ref="E25:E26"/>
    <mergeCell ref="F25:G25"/>
    <mergeCell ref="H25:I25"/>
    <mergeCell ref="J25:K25"/>
    <mergeCell ref="L25:M25"/>
  </mergeCells>
  <dataValidations count="1">
    <dataValidation type="whole" allowBlank="1" showInputMessage="1" showErrorMessage="1" sqref="D5:E14 D18:E20 D27:E31">
      <formula1>1</formula1>
      <formula2>48</formula2>
    </dataValidation>
  </dataValidations>
  <printOptions horizontalCentered="1"/>
  <pageMargins left="0.59055118110236227" right="0.59055118110236227" top="0.78740157480314965" bottom="0.59055118110236227" header="0.31496062992125984" footer="0.31496062992125984"/>
  <pageSetup paperSize="8" fitToHeight="0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>
    <pageSetUpPr fitToPage="1"/>
  </sheetPr>
  <dimension ref="A1:X61"/>
  <sheetViews>
    <sheetView showGridLines="0" view="pageBreakPreview" zoomScale="85" zoomScaleNormal="85" zoomScaleSheetLayoutView="85" workbookViewId="0">
      <pane xSplit="4" ySplit="8" topLeftCell="N36" activePane="bottomRight" state="frozen"/>
      <selection pane="topRight" activeCell="D1" sqref="D1"/>
      <selection pane="bottomLeft" activeCell="A9" sqref="A9"/>
      <selection pane="bottomRight" activeCell="P10" sqref="P10"/>
    </sheetView>
  </sheetViews>
  <sheetFormatPr baseColWidth="10" defaultRowHeight="15" outlineLevelRow="1" outlineLevelCol="1" x14ac:dyDescent="0.25"/>
  <cols>
    <col min="1" max="2" width="3.5703125" style="41" customWidth="1"/>
    <col min="3" max="3" width="28.5703125" style="41" customWidth="1"/>
    <col min="4" max="4" width="4.7109375" style="41" bestFit="1" customWidth="1"/>
    <col min="5" max="16" width="14.28515625" style="41" customWidth="1" outlineLevel="1"/>
    <col min="17" max="17" width="14.28515625" style="41" customWidth="1"/>
    <col min="18" max="21" width="14.28515625" style="41" customWidth="1" outlineLevel="1"/>
    <col min="22" max="24" width="14.28515625" style="41" customWidth="1"/>
    <col min="25" max="16384" width="11.42578125" style="41"/>
  </cols>
  <sheetData>
    <row r="1" spans="1:24" ht="27" thickBot="1" x14ac:dyDescent="0.3">
      <c r="A1" s="714" t="s">
        <v>98</v>
      </c>
      <c r="B1" s="715"/>
      <c r="C1" s="715"/>
      <c r="D1" s="715"/>
      <c r="E1" s="715"/>
      <c r="F1" s="715"/>
      <c r="G1" s="715"/>
      <c r="H1" s="715"/>
      <c r="I1" s="715"/>
      <c r="J1" s="715"/>
      <c r="K1" s="715"/>
      <c r="L1" s="715"/>
      <c r="M1" s="715"/>
      <c r="N1" s="715"/>
      <c r="O1" s="715"/>
      <c r="P1" s="715"/>
      <c r="Q1" s="715"/>
      <c r="R1" s="715"/>
      <c r="S1" s="715"/>
      <c r="T1" s="715"/>
      <c r="U1" s="715"/>
      <c r="V1" s="715"/>
      <c r="W1" s="715"/>
      <c r="X1" s="715"/>
    </row>
    <row r="2" spans="1:24" ht="15.75" thickBot="1" x14ac:dyDescent="0.3"/>
    <row r="3" spans="1:24" x14ac:dyDescent="0.25">
      <c r="A3" s="766" t="s">
        <v>108</v>
      </c>
      <c r="B3" s="767"/>
      <c r="C3" s="768"/>
      <c r="D3" s="150">
        <v>0</v>
      </c>
      <c r="E3" s="157"/>
    </row>
    <row r="4" spans="1:24" x14ac:dyDescent="0.25">
      <c r="A4" s="769" t="s">
        <v>109</v>
      </c>
      <c r="B4" s="770"/>
      <c r="C4" s="771"/>
      <c r="D4" s="151">
        <v>0.03</v>
      </c>
      <c r="E4" s="157"/>
    </row>
    <row r="5" spans="1:24" x14ac:dyDescent="0.25">
      <c r="A5" s="769" t="s">
        <v>132</v>
      </c>
      <c r="B5" s="770"/>
      <c r="C5" s="770"/>
      <c r="D5" s="153">
        <v>0.25</v>
      </c>
      <c r="E5" s="157"/>
    </row>
    <row r="6" spans="1:24" ht="15.75" thickBot="1" x14ac:dyDescent="0.3">
      <c r="A6" s="772" t="s">
        <v>105</v>
      </c>
      <c r="B6" s="773"/>
      <c r="C6" s="774"/>
      <c r="D6" s="152">
        <v>0.2</v>
      </c>
      <c r="E6" s="158"/>
    </row>
    <row r="7" spans="1:24" ht="18.75" customHeight="1" x14ac:dyDescent="0.25">
      <c r="A7" s="749" t="s">
        <v>99</v>
      </c>
      <c r="B7" s="750"/>
      <c r="C7" s="750"/>
      <c r="D7" s="751"/>
      <c r="E7" s="691" t="s">
        <v>20</v>
      </c>
      <c r="F7" s="691"/>
      <c r="G7" s="691"/>
      <c r="H7" s="691"/>
      <c r="I7" s="691"/>
      <c r="J7" s="691"/>
      <c r="K7" s="691"/>
      <c r="L7" s="691"/>
      <c r="M7" s="691"/>
      <c r="N7" s="691"/>
      <c r="O7" s="691"/>
      <c r="P7" s="691"/>
      <c r="Q7" s="695" t="s">
        <v>20</v>
      </c>
      <c r="R7" s="690" t="s">
        <v>25</v>
      </c>
      <c r="S7" s="691"/>
      <c r="T7" s="691"/>
      <c r="U7" s="691"/>
      <c r="V7" s="695" t="s">
        <v>25</v>
      </c>
      <c r="W7" s="695" t="s">
        <v>26</v>
      </c>
      <c r="X7" s="697" t="s">
        <v>27</v>
      </c>
    </row>
    <row r="8" spans="1:24" ht="18.75" customHeight="1" thickBot="1" x14ac:dyDescent="0.3">
      <c r="A8" s="752"/>
      <c r="B8" s="753"/>
      <c r="C8" s="753"/>
      <c r="D8" s="754"/>
      <c r="E8" s="113">
        <v>1</v>
      </c>
      <c r="F8" s="2">
        <v>2</v>
      </c>
      <c r="G8" s="2">
        <v>3</v>
      </c>
      <c r="H8" s="2">
        <v>4</v>
      </c>
      <c r="I8" s="2">
        <v>5</v>
      </c>
      <c r="J8" s="2">
        <v>6</v>
      </c>
      <c r="K8" s="2">
        <v>7</v>
      </c>
      <c r="L8" s="2">
        <v>8</v>
      </c>
      <c r="M8" s="2">
        <v>9</v>
      </c>
      <c r="N8" s="2">
        <v>10</v>
      </c>
      <c r="O8" s="2">
        <v>11</v>
      </c>
      <c r="P8" s="3">
        <v>12</v>
      </c>
      <c r="Q8" s="696"/>
      <c r="R8" s="4" t="s">
        <v>21</v>
      </c>
      <c r="S8" s="2" t="s">
        <v>22</v>
      </c>
      <c r="T8" s="2" t="s">
        <v>23</v>
      </c>
      <c r="U8" s="3" t="s">
        <v>24</v>
      </c>
      <c r="V8" s="696"/>
      <c r="W8" s="696"/>
      <c r="X8" s="698"/>
    </row>
    <row r="9" spans="1:24" ht="18.75" customHeight="1" thickTop="1" x14ac:dyDescent="0.25">
      <c r="A9" s="159" t="s">
        <v>113</v>
      </c>
      <c r="B9" s="747" t="s">
        <v>100</v>
      </c>
      <c r="C9" s="747"/>
      <c r="D9" s="748"/>
      <c r="E9" s="149">
        <v>0</v>
      </c>
      <c r="F9" s="18">
        <v>0</v>
      </c>
      <c r="G9" s="18">
        <v>0</v>
      </c>
      <c r="H9" s="18">
        <v>0</v>
      </c>
      <c r="I9" s="18">
        <v>0</v>
      </c>
      <c r="J9" s="18">
        <v>0</v>
      </c>
      <c r="K9" s="18">
        <v>100000</v>
      </c>
      <c r="L9" s="18">
        <v>0</v>
      </c>
      <c r="M9" s="18">
        <v>0</v>
      </c>
      <c r="N9" s="18">
        <v>0</v>
      </c>
      <c r="O9" s="18">
        <v>100000</v>
      </c>
      <c r="P9" s="154">
        <v>8000</v>
      </c>
      <c r="Q9" s="8">
        <f>SUM(E9:P9)</f>
        <v>208000</v>
      </c>
      <c r="R9" s="148">
        <v>33000</v>
      </c>
      <c r="S9" s="18">
        <v>133000</v>
      </c>
      <c r="T9" s="18">
        <v>133000</v>
      </c>
      <c r="U9" s="154">
        <v>133000</v>
      </c>
      <c r="V9" s="8">
        <f>SUM(R9:U9)</f>
        <v>432000</v>
      </c>
      <c r="W9" s="146">
        <v>776000</v>
      </c>
      <c r="X9" s="147">
        <v>1824000</v>
      </c>
    </row>
    <row r="10" spans="1:24" ht="18.75" customHeight="1" thickBot="1" x14ac:dyDescent="0.3">
      <c r="A10" s="160" t="s">
        <v>112</v>
      </c>
      <c r="B10" s="742" t="s">
        <v>101</v>
      </c>
      <c r="C10" s="742"/>
      <c r="D10" s="743"/>
      <c r="E10" s="130">
        <f>-(E9*$D$6)</f>
        <v>0</v>
      </c>
      <c r="F10" s="131">
        <f t="shared" ref="F10:P10" si="0">-(F9*$D$6)</f>
        <v>0</v>
      </c>
      <c r="G10" s="131">
        <f t="shared" si="0"/>
        <v>0</v>
      </c>
      <c r="H10" s="131">
        <f t="shared" si="0"/>
        <v>0</v>
      </c>
      <c r="I10" s="131">
        <f t="shared" si="0"/>
        <v>0</v>
      </c>
      <c r="J10" s="131">
        <f t="shared" si="0"/>
        <v>0</v>
      </c>
      <c r="K10" s="131">
        <f t="shared" si="0"/>
        <v>-20000</v>
      </c>
      <c r="L10" s="131">
        <f t="shared" si="0"/>
        <v>0</v>
      </c>
      <c r="M10" s="131">
        <f t="shared" si="0"/>
        <v>0</v>
      </c>
      <c r="N10" s="131">
        <f t="shared" si="0"/>
        <v>0</v>
      </c>
      <c r="O10" s="131">
        <f t="shared" si="0"/>
        <v>-20000</v>
      </c>
      <c r="P10" s="161">
        <f t="shared" si="0"/>
        <v>-1600</v>
      </c>
      <c r="Q10" s="136">
        <f t="shared" ref="Q10:Q40" si="1">SUM(E10:P10)</f>
        <v>-41600</v>
      </c>
      <c r="R10" s="162">
        <f>-(R9*$D$6)</f>
        <v>-6600</v>
      </c>
      <c r="S10" s="131">
        <f t="shared" ref="S10:U10" si="2">-(S9*$D$6)</f>
        <v>-26600</v>
      </c>
      <c r="T10" s="131">
        <f t="shared" si="2"/>
        <v>-26600</v>
      </c>
      <c r="U10" s="161">
        <f t="shared" si="2"/>
        <v>-26600</v>
      </c>
      <c r="V10" s="136">
        <f t="shared" ref="V10:V40" si="3">SUM(R10:U10)</f>
        <v>-86400</v>
      </c>
      <c r="W10" s="136">
        <f>-(W9*$D$6)</f>
        <v>-155200</v>
      </c>
      <c r="X10" s="137">
        <f>-(X9*$D$6)</f>
        <v>-364800</v>
      </c>
    </row>
    <row r="11" spans="1:24" s="173" customFormat="1" ht="7.5" customHeight="1" thickTop="1" x14ac:dyDescent="0.25">
      <c r="A11" s="163"/>
      <c r="B11" s="164"/>
      <c r="C11" s="164"/>
      <c r="D11" s="165"/>
      <c r="E11" s="166"/>
      <c r="F11" s="167"/>
      <c r="G11" s="167"/>
      <c r="H11" s="167"/>
      <c r="I11" s="167"/>
      <c r="J11" s="167"/>
      <c r="K11" s="167"/>
      <c r="L11" s="167"/>
      <c r="M11" s="167"/>
      <c r="N11" s="167"/>
      <c r="O11" s="167"/>
      <c r="P11" s="168"/>
      <c r="Q11" s="169"/>
      <c r="R11" s="170"/>
      <c r="S11" s="167"/>
      <c r="T11" s="167"/>
      <c r="U11" s="168"/>
      <c r="V11" s="169"/>
      <c r="W11" s="171"/>
      <c r="X11" s="172"/>
    </row>
    <row r="12" spans="1:24" ht="18.75" customHeight="1" thickBot="1" x14ac:dyDescent="0.3">
      <c r="A12" s="744" t="s">
        <v>102</v>
      </c>
      <c r="B12" s="745"/>
      <c r="C12" s="745"/>
      <c r="D12" s="746"/>
      <c r="E12" s="174">
        <f t="shared" ref="E12:P12" si="4">E9+E10</f>
        <v>0</v>
      </c>
      <c r="F12" s="175">
        <f t="shared" si="4"/>
        <v>0</v>
      </c>
      <c r="G12" s="175">
        <f t="shared" si="4"/>
        <v>0</v>
      </c>
      <c r="H12" s="175">
        <f t="shared" si="4"/>
        <v>0</v>
      </c>
      <c r="I12" s="175">
        <f t="shared" si="4"/>
        <v>0</v>
      </c>
      <c r="J12" s="175">
        <f t="shared" si="4"/>
        <v>0</v>
      </c>
      <c r="K12" s="175">
        <f t="shared" si="4"/>
        <v>80000</v>
      </c>
      <c r="L12" s="175">
        <f t="shared" si="4"/>
        <v>0</v>
      </c>
      <c r="M12" s="175">
        <f t="shared" si="4"/>
        <v>0</v>
      </c>
      <c r="N12" s="175">
        <f t="shared" si="4"/>
        <v>0</v>
      </c>
      <c r="O12" s="175">
        <f t="shared" si="4"/>
        <v>80000</v>
      </c>
      <c r="P12" s="176">
        <f t="shared" si="4"/>
        <v>6400</v>
      </c>
      <c r="Q12" s="177">
        <f t="shared" si="1"/>
        <v>166400</v>
      </c>
      <c r="R12" s="178">
        <f t="shared" ref="R12:X12" si="5">R9+R10</f>
        <v>26400</v>
      </c>
      <c r="S12" s="175">
        <f t="shared" si="5"/>
        <v>106400</v>
      </c>
      <c r="T12" s="175">
        <f t="shared" si="5"/>
        <v>106400</v>
      </c>
      <c r="U12" s="176">
        <f t="shared" si="5"/>
        <v>106400</v>
      </c>
      <c r="V12" s="177">
        <f t="shared" si="5"/>
        <v>345600</v>
      </c>
      <c r="W12" s="179">
        <f t="shared" si="5"/>
        <v>620800</v>
      </c>
      <c r="X12" s="180">
        <f t="shared" si="5"/>
        <v>1459200</v>
      </c>
    </row>
    <row r="13" spans="1:24" ht="18.75" customHeight="1" outlineLevel="1" thickTop="1" x14ac:dyDescent="0.25">
      <c r="A13" s="159" t="s">
        <v>112</v>
      </c>
      <c r="B13" s="747" t="s">
        <v>103</v>
      </c>
      <c r="C13" s="747"/>
      <c r="D13" s="748"/>
      <c r="E13" s="181">
        <f>-(E12*$D$3)</f>
        <v>0</v>
      </c>
      <c r="F13" s="7">
        <f t="shared" ref="F13:P13" si="6">-(F12*$D$3)</f>
        <v>0</v>
      </c>
      <c r="G13" s="7">
        <f t="shared" si="6"/>
        <v>0</v>
      </c>
      <c r="H13" s="7">
        <f t="shared" si="6"/>
        <v>0</v>
      </c>
      <c r="I13" s="7">
        <f t="shared" si="6"/>
        <v>0</v>
      </c>
      <c r="J13" s="7">
        <f t="shared" si="6"/>
        <v>0</v>
      </c>
      <c r="K13" s="7">
        <f t="shared" si="6"/>
        <v>0</v>
      </c>
      <c r="L13" s="7">
        <f t="shared" si="6"/>
        <v>0</v>
      </c>
      <c r="M13" s="7">
        <f t="shared" si="6"/>
        <v>0</v>
      </c>
      <c r="N13" s="7">
        <f t="shared" si="6"/>
        <v>0</v>
      </c>
      <c r="O13" s="7">
        <f t="shared" si="6"/>
        <v>0</v>
      </c>
      <c r="P13" s="182">
        <f t="shared" si="6"/>
        <v>0</v>
      </c>
      <c r="Q13" s="8">
        <f t="shared" si="1"/>
        <v>0</v>
      </c>
      <c r="R13" s="181">
        <f>-(R12*$D$3)</f>
        <v>0</v>
      </c>
      <c r="S13" s="7">
        <f t="shared" ref="S13:U13" si="7">-(S12*$D$3)</f>
        <v>0</v>
      </c>
      <c r="T13" s="7">
        <f t="shared" si="7"/>
        <v>0</v>
      </c>
      <c r="U13" s="182">
        <f t="shared" si="7"/>
        <v>0</v>
      </c>
      <c r="V13" s="8">
        <f t="shared" si="3"/>
        <v>0</v>
      </c>
      <c r="W13" s="183">
        <f>-(W12*$D$3)</f>
        <v>0</v>
      </c>
      <c r="X13" s="184">
        <f>-(X12*$D$3)</f>
        <v>0</v>
      </c>
    </row>
    <row r="14" spans="1:24" ht="18.75" customHeight="1" outlineLevel="1" x14ac:dyDescent="0.25">
      <c r="A14" s="185" t="s">
        <v>112</v>
      </c>
      <c r="B14" s="740" t="s">
        <v>104</v>
      </c>
      <c r="C14" s="740"/>
      <c r="D14" s="741"/>
      <c r="E14" s="186">
        <f>-(E12*$D$4)</f>
        <v>0</v>
      </c>
      <c r="F14" s="11">
        <f t="shared" ref="F14:P14" si="8">-(F12*$D$4)</f>
        <v>0</v>
      </c>
      <c r="G14" s="11">
        <f t="shared" si="8"/>
        <v>0</v>
      </c>
      <c r="H14" s="11">
        <f t="shared" si="8"/>
        <v>0</v>
      </c>
      <c r="I14" s="11">
        <f t="shared" si="8"/>
        <v>0</v>
      </c>
      <c r="J14" s="11">
        <f t="shared" si="8"/>
        <v>0</v>
      </c>
      <c r="K14" s="11">
        <f t="shared" si="8"/>
        <v>-2400</v>
      </c>
      <c r="L14" s="11">
        <f t="shared" si="8"/>
        <v>0</v>
      </c>
      <c r="M14" s="11">
        <f t="shared" si="8"/>
        <v>0</v>
      </c>
      <c r="N14" s="11">
        <f t="shared" si="8"/>
        <v>0</v>
      </c>
      <c r="O14" s="11">
        <f t="shared" si="8"/>
        <v>-2400</v>
      </c>
      <c r="P14" s="187">
        <f t="shared" si="8"/>
        <v>-192</v>
      </c>
      <c r="Q14" s="12">
        <f t="shared" si="1"/>
        <v>-4992</v>
      </c>
      <c r="R14" s="186">
        <f>-(R12*$D$4)</f>
        <v>-792</v>
      </c>
      <c r="S14" s="11">
        <f t="shared" ref="S14:U14" si="9">-(S12*$D$4)</f>
        <v>-3192</v>
      </c>
      <c r="T14" s="11">
        <f t="shared" si="9"/>
        <v>-3192</v>
      </c>
      <c r="U14" s="187">
        <f t="shared" si="9"/>
        <v>-3192</v>
      </c>
      <c r="V14" s="12">
        <f t="shared" si="3"/>
        <v>-10368</v>
      </c>
      <c r="W14" s="188">
        <f>-(W12*$D$4)</f>
        <v>-18624</v>
      </c>
      <c r="X14" s="189">
        <f>-(X12*$D$4)</f>
        <v>-43776</v>
      </c>
    </row>
    <row r="15" spans="1:24" ht="18.75" customHeight="1" outlineLevel="1" x14ac:dyDescent="0.25">
      <c r="A15" s="185" t="s">
        <v>113</v>
      </c>
      <c r="B15" s="740" t="s">
        <v>106</v>
      </c>
      <c r="C15" s="740"/>
      <c r="D15" s="741"/>
      <c r="E15" s="139"/>
      <c r="F15" s="96"/>
      <c r="G15" s="96"/>
      <c r="H15" s="96"/>
      <c r="I15" s="96"/>
      <c r="J15" s="96"/>
      <c r="K15" s="96"/>
      <c r="L15" s="96"/>
      <c r="M15" s="96"/>
      <c r="N15" s="96"/>
      <c r="O15" s="96"/>
      <c r="P15" s="155"/>
      <c r="Q15" s="12">
        <f t="shared" si="1"/>
        <v>0</v>
      </c>
      <c r="R15" s="139"/>
      <c r="S15" s="96"/>
      <c r="T15" s="96"/>
      <c r="U15" s="155"/>
      <c r="V15" s="12">
        <f t="shared" si="3"/>
        <v>0</v>
      </c>
      <c r="W15" s="142"/>
      <c r="X15" s="143"/>
    </row>
    <row r="16" spans="1:24" ht="18.75" customHeight="1" outlineLevel="1" thickBot="1" x14ac:dyDescent="0.3">
      <c r="A16" s="160" t="s">
        <v>113</v>
      </c>
      <c r="B16" s="742" t="s">
        <v>107</v>
      </c>
      <c r="C16" s="742"/>
      <c r="D16" s="743"/>
      <c r="E16" s="140"/>
      <c r="F16" s="141"/>
      <c r="G16" s="141"/>
      <c r="H16" s="141"/>
      <c r="I16" s="141"/>
      <c r="J16" s="141"/>
      <c r="K16" s="141"/>
      <c r="L16" s="141"/>
      <c r="M16" s="141"/>
      <c r="N16" s="141"/>
      <c r="O16" s="141"/>
      <c r="P16" s="156"/>
      <c r="Q16" s="136">
        <f t="shared" si="1"/>
        <v>0</v>
      </c>
      <c r="R16" s="140"/>
      <c r="S16" s="141"/>
      <c r="T16" s="141"/>
      <c r="U16" s="156"/>
      <c r="V16" s="136">
        <f t="shared" si="3"/>
        <v>0</v>
      </c>
      <c r="W16" s="144"/>
      <c r="X16" s="145"/>
    </row>
    <row r="17" spans="1:24" s="196" customFormat="1" ht="7.5" customHeight="1" outlineLevel="1" thickTop="1" x14ac:dyDescent="0.25">
      <c r="A17" s="163"/>
      <c r="B17" s="164"/>
      <c r="C17" s="164"/>
      <c r="D17" s="165"/>
      <c r="E17" s="190"/>
      <c r="F17" s="191"/>
      <c r="G17" s="191"/>
      <c r="H17" s="191"/>
      <c r="I17" s="191"/>
      <c r="J17" s="191"/>
      <c r="K17" s="191"/>
      <c r="L17" s="191"/>
      <c r="M17" s="191"/>
      <c r="N17" s="191"/>
      <c r="O17" s="191"/>
      <c r="P17" s="192"/>
      <c r="Q17" s="193"/>
      <c r="R17" s="190"/>
      <c r="S17" s="191"/>
      <c r="T17" s="191"/>
      <c r="U17" s="192"/>
      <c r="V17" s="193"/>
      <c r="W17" s="194"/>
      <c r="X17" s="195"/>
    </row>
    <row r="18" spans="1:24" ht="18.75" customHeight="1" thickBot="1" x14ac:dyDescent="0.3">
      <c r="A18" s="744" t="s">
        <v>110</v>
      </c>
      <c r="B18" s="745"/>
      <c r="C18" s="745"/>
      <c r="D18" s="746"/>
      <c r="E18" s="178">
        <f>SUM(E12:E16)</f>
        <v>0</v>
      </c>
      <c r="F18" s="175">
        <f t="shared" ref="F18:R18" si="10">SUM(F12:F16)</f>
        <v>0</v>
      </c>
      <c r="G18" s="175">
        <f t="shared" si="10"/>
        <v>0</v>
      </c>
      <c r="H18" s="175">
        <f t="shared" si="10"/>
        <v>0</v>
      </c>
      <c r="I18" s="175">
        <f t="shared" si="10"/>
        <v>0</v>
      </c>
      <c r="J18" s="175">
        <f t="shared" si="10"/>
        <v>0</v>
      </c>
      <c r="K18" s="175">
        <f t="shared" si="10"/>
        <v>77600</v>
      </c>
      <c r="L18" s="175">
        <f t="shared" si="10"/>
        <v>0</v>
      </c>
      <c r="M18" s="175">
        <f t="shared" si="10"/>
        <v>0</v>
      </c>
      <c r="N18" s="175">
        <f t="shared" si="10"/>
        <v>0</v>
      </c>
      <c r="O18" s="175">
        <f t="shared" si="10"/>
        <v>77600</v>
      </c>
      <c r="P18" s="176">
        <f t="shared" si="10"/>
        <v>6208</v>
      </c>
      <c r="Q18" s="177">
        <f t="shared" si="1"/>
        <v>161408</v>
      </c>
      <c r="R18" s="178">
        <f t="shared" si="10"/>
        <v>25608</v>
      </c>
      <c r="S18" s="175">
        <f t="shared" ref="S18" si="11">SUM(S12:S16)</f>
        <v>103208</v>
      </c>
      <c r="T18" s="175">
        <f t="shared" ref="T18" si="12">SUM(T12:T16)</f>
        <v>103208</v>
      </c>
      <c r="U18" s="176">
        <f t="shared" ref="U18:X18" si="13">SUM(U12:U16)</f>
        <v>103208</v>
      </c>
      <c r="V18" s="177">
        <f t="shared" si="13"/>
        <v>335232</v>
      </c>
      <c r="W18" s="179">
        <f t="shared" si="13"/>
        <v>602176</v>
      </c>
      <c r="X18" s="197">
        <f t="shared" si="13"/>
        <v>1415424</v>
      </c>
    </row>
    <row r="19" spans="1:24" ht="18.75" customHeight="1" outlineLevel="1" thickTop="1" x14ac:dyDescent="0.25">
      <c r="A19" s="159" t="s">
        <v>112</v>
      </c>
      <c r="B19" s="747" t="str">
        <f>Plankosten!A33</f>
        <v>Materialeinsatz</v>
      </c>
      <c r="C19" s="747"/>
      <c r="D19" s="748"/>
      <c r="E19" s="181">
        <f>-Plankosten!E38</f>
        <v>0</v>
      </c>
      <c r="F19" s="7">
        <f>-Plankosten!F38</f>
        <v>0</v>
      </c>
      <c r="G19" s="7">
        <f>-Plankosten!G38</f>
        <v>0</v>
      </c>
      <c r="H19" s="7">
        <f>-Plankosten!H38</f>
        <v>0</v>
      </c>
      <c r="I19" s="7">
        <f>-Plankosten!I38</f>
        <v>0</v>
      </c>
      <c r="J19" s="7">
        <f>-Plankosten!J38</f>
        <v>0</v>
      </c>
      <c r="K19" s="7">
        <f>-Plankosten!K38</f>
        <v>0</v>
      </c>
      <c r="L19" s="7">
        <f>-Plankosten!L38</f>
        <v>0</v>
      </c>
      <c r="M19" s="7">
        <f>-Plankosten!M38</f>
        <v>0</v>
      </c>
      <c r="N19" s="7">
        <f>-Plankosten!N38</f>
        <v>0</v>
      </c>
      <c r="O19" s="7">
        <f>-Plankosten!O38</f>
        <v>0</v>
      </c>
      <c r="P19" s="182">
        <f>-Plankosten!P38</f>
        <v>0</v>
      </c>
      <c r="Q19" s="8">
        <f t="shared" si="1"/>
        <v>0</v>
      </c>
      <c r="R19" s="181">
        <f>-Plankosten!R38</f>
        <v>0</v>
      </c>
      <c r="S19" s="7">
        <f>-Plankosten!S38</f>
        <v>0</v>
      </c>
      <c r="T19" s="7">
        <f>-Plankosten!T38</f>
        <v>0</v>
      </c>
      <c r="U19" s="182">
        <f>-Plankosten!U38</f>
        <v>0</v>
      </c>
      <c r="V19" s="8">
        <f t="shared" si="3"/>
        <v>0</v>
      </c>
      <c r="W19" s="183">
        <f>-Plankosten!W38</f>
        <v>0</v>
      </c>
      <c r="X19" s="184">
        <f>-Plankosten!X38</f>
        <v>0</v>
      </c>
    </row>
    <row r="20" spans="1:24" ht="18.75" customHeight="1" outlineLevel="1" thickBot="1" x14ac:dyDescent="0.3">
      <c r="A20" s="160" t="s">
        <v>112</v>
      </c>
      <c r="B20" s="742" t="str">
        <f>Plankosten!A40</f>
        <v>Roh-, Betriebs- uns Hilfsstoffe</v>
      </c>
      <c r="C20" s="742"/>
      <c r="D20" s="743"/>
      <c r="E20" s="198">
        <f>-Plankosten!E45</f>
        <v>0</v>
      </c>
      <c r="F20" s="131">
        <f>-Plankosten!F45</f>
        <v>0</v>
      </c>
      <c r="G20" s="131">
        <f>-Plankosten!G45</f>
        <v>0</v>
      </c>
      <c r="H20" s="131">
        <f>-Plankosten!H45</f>
        <v>0</v>
      </c>
      <c r="I20" s="131">
        <f>-Plankosten!I45</f>
        <v>0</v>
      </c>
      <c r="J20" s="131">
        <f>-Plankosten!J45</f>
        <v>0</v>
      </c>
      <c r="K20" s="131">
        <f>-Plankosten!K45</f>
        <v>0</v>
      </c>
      <c r="L20" s="131">
        <f>-Plankosten!L45</f>
        <v>0</v>
      </c>
      <c r="M20" s="131">
        <f>-Plankosten!M45</f>
        <v>0</v>
      </c>
      <c r="N20" s="131">
        <f>-Plankosten!N45</f>
        <v>0</v>
      </c>
      <c r="O20" s="131">
        <f>-Plankosten!O45</f>
        <v>0</v>
      </c>
      <c r="P20" s="161">
        <f>-Plankosten!P45</f>
        <v>0</v>
      </c>
      <c r="Q20" s="136">
        <f t="shared" si="1"/>
        <v>0</v>
      </c>
      <c r="R20" s="198">
        <f>-Plankosten!R45</f>
        <v>0</v>
      </c>
      <c r="S20" s="131">
        <f>-Plankosten!S45</f>
        <v>0</v>
      </c>
      <c r="T20" s="131">
        <f>-Plankosten!T45</f>
        <v>0</v>
      </c>
      <c r="U20" s="161">
        <f>-Plankosten!U45</f>
        <v>0</v>
      </c>
      <c r="V20" s="136">
        <f t="shared" si="3"/>
        <v>0</v>
      </c>
      <c r="W20" s="199">
        <f>-Plankosten!W45</f>
        <v>0</v>
      </c>
      <c r="X20" s="200">
        <f>-Plankosten!X45</f>
        <v>0</v>
      </c>
    </row>
    <row r="21" spans="1:24" s="196" customFormat="1" ht="7.5" customHeight="1" outlineLevel="1" thickTop="1" x14ac:dyDescent="0.25">
      <c r="A21" s="163"/>
      <c r="B21" s="164"/>
      <c r="C21" s="164"/>
      <c r="D21" s="165"/>
      <c r="E21" s="190"/>
      <c r="F21" s="191"/>
      <c r="G21" s="191"/>
      <c r="H21" s="191"/>
      <c r="I21" s="191"/>
      <c r="J21" s="191"/>
      <c r="K21" s="191"/>
      <c r="L21" s="191"/>
      <c r="M21" s="191"/>
      <c r="N21" s="191"/>
      <c r="O21" s="191"/>
      <c r="P21" s="192"/>
      <c r="Q21" s="193"/>
      <c r="R21" s="190"/>
      <c r="S21" s="191"/>
      <c r="T21" s="191"/>
      <c r="U21" s="192"/>
      <c r="V21" s="193"/>
      <c r="W21" s="194"/>
      <c r="X21" s="195"/>
    </row>
    <row r="22" spans="1:24" ht="18.75" customHeight="1" thickBot="1" x14ac:dyDescent="0.3">
      <c r="A22" s="744" t="s">
        <v>111</v>
      </c>
      <c r="B22" s="745"/>
      <c r="C22" s="745"/>
      <c r="D22" s="746"/>
      <c r="E22" s="178">
        <f>SUM(E18:E20)</f>
        <v>0</v>
      </c>
      <c r="F22" s="175">
        <f t="shared" ref="F22:X22" si="14">SUM(F18:F20)</f>
        <v>0</v>
      </c>
      <c r="G22" s="175">
        <f t="shared" si="14"/>
        <v>0</v>
      </c>
      <c r="H22" s="175">
        <f t="shared" si="14"/>
        <v>0</v>
      </c>
      <c r="I22" s="175">
        <f t="shared" si="14"/>
        <v>0</v>
      </c>
      <c r="J22" s="175">
        <f t="shared" si="14"/>
        <v>0</v>
      </c>
      <c r="K22" s="175">
        <f t="shared" si="14"/>
        <v>77600</v>
      </c>
      <c r="L22" s="175">
        <f t="shared" si="14"/>
        <v>0</v>
      </c>
      <c r="M22" s="175">
        <f t="shared" si="14"/>
        <v>0</v>
      </c>
      <c r="N22" s="175">
        <f t="shared" si="14"/>
        <v>0</v>
      </c>
      <c r="O22" s="175">
        <f t="shared" si="14"/>
        <v>77600</v>
      </c>
      <c r="P22" s="176">
        <f t="shared" si="14"/>
        <v>6208</v>
      </c>
      <c r="Q22" s="177">
        <f t="shared" si="1"/>
        <v>161408</v>
      </c>
      <c r="R22" s="178">
        <f t="shared" si="14"/>
        <v>25608</v>
      </c>
      <c r="S22" s="175">
        <f t="shared" si="14"/>
        <v>103208</v>
      </c>
      <c r="T22" s="175">
        <f t="shared" si="14"/>
        <v>103208</v>
      </c>
      <c r="U22" s="176">
        <f t="shared" si="14"/>
        <v>103208</v>
      </c>
      <c r="V22" s="177">
        <f t="shared" si="14"/>
        <v>335232</v>
      </c>
      <c r="W22" s="179">
        <f t="shared" si="14"/>
        <v>602176</v>
      </c>
      <c r="X22" s="197">
        <f t="shared" si="14"/>
        <v>1415424</v>
      </c>
    </row>
    <row r="23" spans="1:24" ht="18.75" customHeight="1" outlineLevel="1" thickTop="1" x14ac:dyDescent="0.25">
      <c r="A23" s="159" t="s">
        <v>112</v>
      </c>
      <c r="B23" s="747" t="str">
        <f>Plankosten!A25</f>
        <v>Personalkosten</v>
      </c>
      <c r="C23" s="747"/>
      <c r="D23" s="748"/>
      <c r="E23" s="181">
        <f>-Plankosten!E31</f>
        <v>-16200.000000000002</v>
      </c>
      <c r="F23" s="7">
        <f>-Plankosten!F31</f>
        <v>-18508</v>
      </c>
      <c r="G23" s="7">
        <f>-Plankosten!G31</f>
        <v>-22156</v>
      </c>
      <c r="H23" s="7">
        <f>-Plankosten!H31</f>
        <v>-25804</v>
      </c>
      <c r="I23" s="7">
        <f>-Plankosten!I31</f>
        <v>-49700.666666666672</v>
      </c>
      <c r="J23" s="7">
        <f>-Plankosten!J31</f>
        <v>-25804</v>
      </c>
      <c r="K23" s="7">
        <f>-Plankosten!K31</f>
        <v>-25804</v>
      </c>
      <c r="L23" s="7">
        <f>-Plankosten!L31</f>
        <v>-25804</v>
      </c>
      <c r="M23" s="7">
        <f>-Plankosten!M31</f>
        <v>-25804</v>
      </c>
      <c r="N23" s="7">
        <f>-Plankosten!N31</f>
        <v>-25804</v>
      </c>
      <c r="O23" s="7">
        <f>-Plankosten!O31</f>
        <v>-49700.666666666672</v>
      </c>
      <c r="P23" s="182">
        <f>-Plankosten!P31</f>
        <v>-25804</v>
      </c>
      <c r="Q23" s="8">
        <f t="shared" si="1"/>
        <v>-336893.33333333337</v>
      </c>
      <c r="R23" s="181">
        <f>-Plankosten!R31</f>
        <v>-91893.6</v>
      </c>
      <c r="S23" s="7">
        <f>-Plankosten!S31</f>
        <v>-122284.8</v>
      </c>
      <c r="T23" s="7">
        <f>-Plankosten!T31</f>
        <v>-91893.6</v>
      </c>
      <c r="U23" s="182">
        <f>-Plankosten!U31</f>
        <v>-122284.8</v>
      </c>
      <c r="V23" s="8">
        <f t="shared" si="3"/>
        <v>-428356.8</v>
      </c>
      <c r="W23" s="183">
        <f>-Plankosten!W31</f>
        <v>-449630.64</v>
      </c>
      <c r="X23" s="184">
        <f>-Plankosten!X31</f>
        <v>-471968.17200000008</v>
      </c>
    </row>
    <row r="24" spans="1:24" ht="30" customHeight="1" outlineLevel="1" x14ac:dyDescent="0.25">
      <c r="A24" s="185" t="s">
        <v>112</v>
      </c>
      <c r="B24" s="755" t="str">
        <f>Plankosten!A47</f>
        <v>Sonstige betriebliche Aufwendungen
(Miete, Pacht, Betriebskosten)</v>
      </c>
      <c r="C24" s="755"/>
      <c r="D24" s="756"/>
      <c r="E24" s="186">
        <f>-Plankosten!E54</f>
        <v>-1271</v>
      </c>
      <c r="F24" s="11">
        <f>-Plankosten!F54</f>
        <v>-1271</v>
      </c>
      <c r="G24" s="11">
        <f>-Plankosten!G54</f>
        <v>-1271</v>
      </c>
      <c r="H24" s="11">
        <f>-Plankosten!H54</f>
        <v>-1271</v>
      </c>
      <c r="I24" s="11">
        <f>-Plankosten!I54</f>
        <v>-1271</v>
      </c>
      <c r="J24" s="11">
        <f>-Plankosten!J54</f>
        <v>-1271</v>
      </c>
      <c r="K24" s="11">
        <f>-Plankosten!K54</f>
        <v>-1271</v>
      </c>
      <c r="L24" s="11">
        <f>-Plankosten!L54</f>
        <v>-1271</v>
      </c>
      <c r="M24" s="11">
        <f>-Plankosten!M54</f>
        <v>-1271</v>
      </c>
      <c r="N24" s="11">
        <f>-Plankosten!N54</f>
        <v>-1271</v>
      </c>
      <c r="O24" s="11">
        <f>-Plankosten!O54</f>
        <v>-1271</v>
      </c>
      <c r="P24" s="187">
        <f>-Plankosten!P54</f>
        <v>-1271</v>
      </c>
      <c r="Q24" s="12">
        <f t="shared" si="1"/>
        <v>-15252</v>
      </c>
      <c r="R24" s="186">
        <f>-Plankosten!R54</f>
        <v>-3813</v>
      </c>
      <c r="S24" s="11">
        <f>-Plankosten!S54</f>
        <v>-3813</v>
      </c>
      <c r="T24" s="11">
        <f>-Plankosten!T54</f>
        <v>-3813</v>
      </c>
      <c r="U24" s="187">
        <f>-Plankosten!U54</f>
        <v>-3813</v>
      </c>
      <c r="V24" s="12">
        <f t="shared" si="3"/>
        <v>-15252</v>
      </c>
      <c r="W24" s="188">
        <f>-Plankosten!W54</f>
        <v>-15252</v>
      </c>
      <c r="X24" s="189">
        <f>-Plankosten!X54</f>
        <v>-15252</v>
      </c>
    </row>
    <row r="25" spans="1:24" ht="18.75" customHeight="1" outlineLevel="1" x14ac:dyDescent="0.25">
      <c r="A25" s="185" t="s">
        <v>112</v>
      </c>
      <c r="B25" s="740" t="str">
        <f>Plankosten!A56</f>
        <v>Instandhaltung</v>
      </c>
      <c r="C25" s="740"/>
      <c r="D25" s="741"/>
      <c r="E25" s="186">
        <f>-Plankosten!E61</f>
        <v>0</v>
      </c>
      <c r="F25" s="11">
        <f>-Plankosten!F61</f>
        <v>0</v>
      </c>
      <c r="G25" s="11">
        <f>-Plankosten!G61</f>
        <v>0</v>
      </c>
      <c r="H25" s="11">
        <f>-Plankosten!H61</f>
        <v>0</v>
      </c>
      <c r="I25" s="11">
        <f>-Plankosten!I61</f>
        <v>0</v>
      </c>
      <c r="J25" s="11">
        <f>-Plankosten!J61</f>
        <v>0</v>
      </c>
      <c r="K25" s="11">
        <f>-Plankosten!K61</f>
        <v>0</v>
      </c>
      <c r="L25" s="11">
        <f>-Plankosten!L61</f>
        <v>0</v>
      </c>
      <c r="M25" s="11">
        <f>-Plankosten!M61</f>
        <v>0</v>
      </c>
      <c r="N25" s="11">
        <f>-Plankosten!N61</f>
        <v>0</v>
      </c>
      <c r="O25" s="11">
        <f>-Plankosten!O61</f>
        <v>0</v>
      </c>
      <c r="P25" s="187">
        <f>-Plankosten!P61</f>
        <v>-2000</v>
      </c>
      <c r="Q25" s="12">
        <f t="shared" si="1"/>
        <v>-2000</v>
      </c>
      <c r="R25" s="186">
        <f>-Plankosten!R61</f>
        <v>0</v>
      </c>
      <c r="S25" s="11">
        <f>-Plankosten!S61</f>
        <v>0</v>
      </c>
      <c r="T25" s="11">
        <f>-Plankosten!T61</f>
        <v>0</v>
      </c>
      <c r="U25" s="187">
        <f>-Plankosten!U61</f>
        <v>-2000</v>
      </c>
      <c r="V25" s="12">
        <f t="shared" si="3"/>
        <v>-2000</v>
      </c>
      <c r="W25" s="188">
        <f>-Plankosten!W61</f>
        <v>-2000</v>
      </c>
      <c r="X25" s="189">
        <f>-Plankosten!X61</f>
        <v>-2000</v>
      </c>
    </row>
    <row r="26" spans="1:24" ht="18.75" customHeight="1" outlineLevel="1" x14ac:dyDescent="0.25">
      <c r="A26" s="185" t="s">
        <v>112</v>
      </c>
      <c r="B26" s="740" t="str">
        <f>Plankosten!A63</f>
        <v>Kfz-Kosten und Reisekosten</v>
      </c>
      <c r="C26" s="740"/>
      <c r="D26" s="741"/>
      <c r="E26" s="186">
        <f>-Plankosten!E69</f>
        <v>-2000</v>
      </c>
      <c r="F26" s="11">
        <f>-Plankosten!F69</f>
        <v>-500</v>
      </c>
      <c r="G26" s="11">
        <f>-Plankosten!G69</f>
        <v>-500</v>
      </c>
      <c r="H26" s="11">
        <f>-Plankosten!H69</f>
        <v>-500</v>
      </c>
      <c r="I26" s="11">
        <f>-Plankosten!I69</f>
        <v>-500</v>
      </c>
      <c r="J26" s="11">
        <f>-Plankosten!J69</f>
        <v>-500</v>
      </c>
      <c r="K26" s="11">
        <f>-Plankosten!K69</f>
        <v>-500</v>
      </c>
      <c r="L26" s="11">
        <f>-Plankosten!L69</f>
        <v>-500</v>
      </c>
      <c r="M26" s="11">
        <f>-Plankosten!M69</f>
        <v>-500</v>
      </c>
      <c r="N26" s="11">
        <f>-Plankosten!N69</f>
        <v>-500</v>
      </c>
      <c r="O26" s="11">
        <f>-Plankosten!O69</f>
        <v>-500</v>
      </c>
      <c r="P26" s="187">
        <f>-Plankosten!P69</f>
        <v>-500</v>
      </c>
      <c r="Q26" s="12">
        <f t="shared" si="1"/>
        <v>-7500</v>
      </c>
      <c r="R26" s="186">
        <f>-Plankosten!R69</f>
        <v>-3000</v>
      </c>
      <c r="S26" s="11">
        <f>-Plankosten!S69</f>
        <v>-1500</v>
      </c>
      <c r="T26" s="11">
        <f>-Plankosten!T69</f>
        <v>-1500</v>
      </c>
      <c r="U26" s="187">
        <f>-Plankosten!U69</f>
        <v>-1500</v>
      </c>
      <c r="V26" s="12">
        <f t="shared" si="3"/>
        <v>-7500</v>
      </c>
      <c r="W26" s="188">
        <f>-Plankosten!W69</f>
        <v>-7500</v>
      </c>
      <c r="X26" s="189">
        <f>-Plankosten!X69</f>
        <v>-7500</v>
      </c>
    </row>
    <row r="27" spans="1:24" ht="18.75" customHeight="1" outlineLevel="1" x14ac:dyDescent="0.25">
      <c r="A27" s="185" t="s">
        <v>112</v>
      </c>
      <c r="B27" s="740" t="str">
        <f>Plankosten!A71</f>
        <v>Büromaterial</v>
      </c>
      <c r="C27" s="740"/>
      <c r="D27" s="741"/>
      <c r="E27" s="186">
        <f>-Plankosten!E77</f>
        <v>-2200</v>
      </c>
      <c r="F27" s="11">
        <f>-Plankosten!F77</f>
        <v>-2200</v>
      </c>
      <c r="G27" s="11">
        <f>-Plankosten!G77</f>
        <v>-2200</v>
      </c>
      <c r="H27" s="11">
        <f>-Plankosten!H77</f>
        <v>-2200</v>
      </c>
      <c r="I27" s="11">
        <f>-Plankosten!I77</f>
        <v>-2200</v>
      </c>
      <c r="J27" s="11">
        <f>-Plankosten!J77</f>
        <v>-2200</v>
      </c>
      <c r="K27" s="11">
        <f>-Plankosten!K77</f>
        <v>-2200</v>
      </c>
      <c r="L27" s="11">
        <f>-Plankosten!L77</f>
        <v>-2200</v>
      </c>
      <c r="M27" s="11">
        <f>-Plankosten!M77</f>
        <v>-2200</v>
      </c>
      <c r="N27" s="11">
        <f>-Plankosten!N77</f>
        <v>-2200</v>
      </c>
      <c r="O27" s="11">
        <f>-Plankosten!O77</f>
        <v>-2200</v>
      </c>
      <c r="P27" s="187">
        <f>-Plankosten!P77</f>
        <v>-2200</v>
      </c>
      <c r="Q27" s="12">
        <f t="shared" si="1"/>
        <v>-26400</v>
      </c>
      <c r="R27" s="186">
        <f>-Plankosten!R77</f>
        <v>-6600</v>
      </c>
      <c r="S27" s="11">
        <f>-Plankosten!S77</f>
        <v>-6600</v>
      </c>
      <c r="T27" s="11">
        <f>-Plankosten!T77</f>
        <v>-6600</v>
      </c>
      <c r="U27" s="187">
        <f>-Plankosten!U77</f>
        <v>-6600</v>
      </c>
      <c r="V27" s="12">
        <f t="shared" si="3"/>
        <v>-26400</v>
      </c>
      <c r="W27" s="188">
        <f>-Plankosten!W77</f>
        <v>-26400</v>
      </c>
      <c r="X27" s="189">
        <f>-Plankosten!X77</f>
        <v>-26400</v>
      </c>
    </row>
    <row r="28" spans="1:24" ht="18.75" customHeight="1" outlineLevel="1" x14ac:dyDescent="0.25">
      <c r="A28" s="185" t="s">
        <v>112</v>
      </c>
      <c r="B28" s="740" t="str">
        <f>Plankosten!A79</f>
        <v>Telefon / Fax / Internet</v>
      </c>
      <c r="C28" s="740"/>
      <c r="D28" s="741"/>
      <c r="E28" s="186">
        <f>-Plankosten!E85</f>
        <v>-388</v>
      </c>
      <c r="F28" s="11">
        <f>-Plankosten!F85</f>
        <v>-388</v>
      </c>
      <c r="G28" s="11">
        <f>-Plankosten!G85</f>
        <v>-388</v>
      </c>
      <c r="H28" s="11">
        <f>-Plankosten!H85</f>
        <v>-388</v>
      </c>
      <c r="I28" s="11">
        <f>-Plankosten!I85</f>
        <v>-388</v>
      </c>
      <c r="J28" s="11">
        <f>-Plankosten!J85</f>
        <v>-388</v>
      </c>
      <c r="K28" s="11">
        <f>-Plankosten!K85</f>
        <v>-388</v>
      </c>
      <c r="L28" s="11">
        <f>-Plankosten!L85</f>
        <v>-388</v>
      </c>
      <c r="M28" s="11">
        <f>-Plankosten!M85</f>
        <v>-388</v>
      </c>
      <c r="N28" s="11">
        <f>-Plankosten!N85</f>
        <v>-388</v>
      </c>
      <c r="O28" s="11">
        <f>-Plankosten!O85</f>
        <v>-388</v>
      </c>
      <c r="P28" s="187">
        <f>-Plankosten!P85</f>
        <v>-388</v>
      </c>
      <c r="Q28" s="12">
        <f t="shared" si="1"/>
        <v>-4656</v>
      </c>
      <c r="R28" s="186">
        <f>-Plankosten!R85</f>
        <v>-1164</v>
      </c>
      <c r="S28" s="11">
        <f>-Plankosten!S85</f>
        <v>-1164</v>
      </c>
      <c r="T28" s="11">
        <f>-Plankosten!T85</f>
        <v>-1164</v>
      </c>
      <c r="U28" s="187">
        <f>-Plankosten!U85</f>
        <v>-1164</v>
      </c>
      <c r="V28" s="12">
        <f t="shared" si="3"/>
        <v>-4656</v>
      </c>
      <c r="W28" s="188">
        <f>-Plankosten!W85</f>
        <v>-4656</v>
      </c>
      <c r="X28" s="189">
        <f>-Plankosten!X85</f>
        <v>-4656</v>
      </c>
    </row>
    <row r="29" spans="1:24" ht="18.75" customHeight="1" outlineLevel="1" x14ac:dyDescent="0.25">
      <c r="A29" s="185" t="s">
        <v>112</v>
      </c>
      <c r="B29" s="740" t="str">
        <f>Plankosten!A87</f>
        <v>Steuer- und Rechtsberatung</v>
      </c>
      <c r="C29" s="740"/>
      <c r="D29" s="741"/>
      <c r="E29" s="186">
        <f>-Plankosten!E94</f>
        <v>-300</v>
      </c>
      <c r="F29" s="11">
        <f>-Plankosten!F94</f>
        <v>-300</v>
      </c>
      <c r="G29" s="11">
        <f>-Plankosten!G94</f>
        <v>-2300</v>
      </c>
      <c r="H29" s="11">
        <f>-Plankosten!H94</f>
        <v>-300</v>
      </c>
      <c r="I29" s="11">
        <f>-Plankosten!I94</f>
        <v>-300</v>
      </c>
      <c r="J29" s="11">
        <f>-Plankosten!J94</f>
        <v>-300</v>
      </c>
      <c r="K29" s="11">
        <f>-Plankosten!K94</f>
        <v>-300</v>
      </c>
      <c r="L29" s="11">
        <f>-Plankosten!L94</f>
        <v>-300</v>
      </c>
      <c r="M29" s="11">
        <f>-Plankosten!M94</f>
        <v>-300</v>
      </c>
      <c r="N29" s="11">
        <f>-Plankosten!N94</f>
        <v>-3300</v>
      </c>
      <c r="O29" s="11">
        <f>-Plankosten!O94</f>
        <v>-300</v>
      </c>
      <c r="P29" s="187">
        <f>-Plankosten!P94</f>
        <v>-300</v>
      </c>
      <c r="Q29" s="12">
        <f t="shared" si="1"/>
        <v>-8600</v>
      </c>
      <c r="R29" s="186">
        <f>-Plankosten!R94</f>
        <v>-900</v>
      </c>
      <c r="S29" s="11">
        <f>-Plankosten!S94</f>
        <v>-900</v>
      </c>
      <c r="T29" s="11">
        <f>-Plankosten!T94</f>
        <v>-900</v>
      </c>
      <c r="U29" s="187">
        <f>-Plankosten!U94</f>
        <v>-3900</v>
      </c>
      <c r="V29" s="12">
        <f t="shared" si="3"/>
        <v>-6600</v>
      </c>
      <c r="W29" s="188">
        <f>-Plankosten!W94</f>
        <v>-6600</v>
      </c>
      <c r="X29" s="189">
        <f>-Plankosten!X94</f>
        <v>-6600</v>
      </c>
    </row>
    <row r="30" spans="1:24" ht="18.75" customHeight="1" outlineLevel="1" x14ac:dyDescent="0.25">
      <c r="A30" s="185" t="s">
        <v>112</v>
      </c>
      <c r="B30" s="740" t="str">
        <f>Plankosten!A96</f>
        <v>Werbungskosten</v>
      </c>
      <c r="C30" s="740"/>
      <c r="D30" s="741"/>
      <c r="E30" s="186">
        <f>-Plankosten!E101</f>
        <v>0</v>
      </c>
      <c r="F30" s="11">
        <f>-Plankosten!F101</f>
        <v>0</v>
      </c>
      <c r="G30" s="11">
        <f>-Plankosten!G101</f>
        <v>0</v>
      </c>
      <c r="H30" s="11">
        <f>-Plankosten!H101</f>
        <v>0</v>
      </c>
      <c r="I30" s="11">
        <f>-Plankosten!I101</f>
        <v>0</v>
      </c>
      <c r="J30" s="11">
        <f>-Plankosten!J101</f>
        <v>0</v>
      </c>
      <c r="K30" s="11">
        <f>-Plankosten!K101</f>
        <v>0</v>
      </c>
      <c r="L30" s="11">
        <f>-Plankosten!L101</f>
        <v>0</v>
      </c>
      <c r="M30" s="11">
        <f>-Plankosten!M101</f>
        <v>0</v>
      </c>
      <c r="N30" s="11">
        <f>-Plankosten!N101</f>
        <v>0</v>
      </c>
      <c r="O30" s="11">
        <f>-Plankosten!O101</f>
        <v>0</v>
      </c>
      <c r="P30" s="187">
        <f>-Plankosten!P101</f>
        <v>0</v>
      </c>
      <c r="Q30" s="12">
        <f t="shared" si="1"/>
        <v>0</v>
      </c>
      <c r="R30" s="186">
        <f>-Plankosten!R101</f>
        <v>0</v>
      </c>
      <c r="S30" s="11">
        <f>-Plankosten!S101</f>
        <v>0</v>
      </c>
      <c r="T30" s="11">
        <f>-Plankosten!T101</f>
        <v>0</v>
      </c>
      <c r="U30" s="187">
        <f>-Plankosten!U101</f>
        <v>0</v>
      </c>
      <c r="V30" s="12">
        <f t="shared" si="3"/>
        <v>0</v>
      </c>
      <c r="W30" s="188">
        <f>-Plankosten!W101</f>
        <v>0</v>
      </c>
      <c r="X30" s="189">
        <f>-Plankosten!X101</f>
        <v>0</v>
      </c>
    </row>
    <row r="31" spans="1:24" ht="18.75" customHeight="1" outlineLevel="1" x14ac:dyDescent="0.25">
      <c r="A31" s="185" t="s">
        <v>112</v>
      </c>
      <c r="B31" s="740" t="str">
        <f>Plankosten!A103</f>
        <v>Gebühren, Kammerbeiträge</v>
      </c>
      <c r="C31" s="740"/>
      <c r="D31" s="741"/>
      <c r="E31" s="186">
        <f>-Plankosten!E110</f>
        <v>-120.60271160166667</v>
      </c>
      <c r="F31" s="11">
        <f>-Plankosten!F110</f>
        <v>-320.60271160166667</v>
      </c>
      <c r="G31" s="11">
        <f>-Plankosten!G110</f>
        <v>-120.60271160166667</v>
      </c>
      <c r="H31" s="11">
        <f>-Plankosten!H110</f>
        <v>-120.60271160166667</v>
      </c>
      <c r="I31" s="11">
        <f>-Plankosten!I110</f>
        <v>-320.60271160166667</v>
      </c>
      <c r="J31" s="11">
        <f>-Plankosten!J110</f>
        <v>-120.60271160166667</v>
      </c>
      <c r="K31" s="11">
        <f>-Plankosten!K110</f>
        <v>-120.60271160166667</v>
      </c>
      <c r="L31" s="11">
        <f>-Plankosten!L110</f>
        <v>-320.60271160166667</v>
      </c>
      <c r="M31" s="11">
        <f>-Plankosten!M110</f>
        <v>-120.60271160166667</v>
      </c>
      <c r="N31" s="11">
        <f>-Plankosten!N110</f>
        <v>-120.60271160166667</v>
      </c>
      <c r="O31" s="11">
        <f>-Plankosten!O110</f>
        <v>-320.60271160166667</v>
      </c>
      <c r="P31" s="187">
        <f>-Plankosten!P110</f>
        <v>-120.60271160166667</v>
      </c>
      <c r="Q31" s="12">
        <f t="shared" si="1"/>
        <v>-2247.23253922</v>
      </c>
      <c r="R31" s="186">
        <f>-Plankosten!R110</f>
        <v>-561.8081348049999</v>
      </c>
      <c r="S31" s="11">
        <f>-Plankosten!S110</f>
        <v>-561.8081348049999</v>
      </c>
      <c r="T31" s="11">
        <f>-Plankosten!T110</f>
        <v>-561.8081348049999</v>
      </c>
      <c r="U31" s="187">
        <f>-Plankosten!U110</f>
        <v>-561.8081348049999</v>
      </c>
      <c r="V31" s="12">
        <f t="shared" si="3"/>
        <v>-2247.2325392199996</v>
      </c>
      <c r="W31" s="188">
        <f>-Plankosten!W110</f>
        <v>-2247.2325392199996</v>
      </c>
      <c r="X31" s="189">
        <f>-Plankosten!X110</f>
        <v>-2247.2325392199996</v>
      </c>
    </row>
    <row r="32" spans="1:24" ht="18.75" customHeight="1" outlineLevel="1" x14ac:dyDescent="0.25">
      <c r="A32" s="185" t="s">
        <v>112</v>
      </c>
      <c r="B32" s="740" t="str">
        <f>Plankosten!A112</f>
        <v>Betriebsversicherung</v>
      </c>
      <c r="C32" s="740"/>
      <c r="D32" s="741"/>
      <c r="E32" s="186">
        <f>-Plankosten!E117</f>
        <v>0</v>
      </c>
      <c r="F32" s="11">
        <f>-Plankosten!F117</f>
        <v>0</v>
      </c>
      <c r="G32" s="11">
        <f>-Plankosten!G117</f>
        <v>0</v>
      </c>
      <c r="H32" s="11">
        <f>-Plankosten!H117</f>
        <v>0</v>
      </c>
      <c r="I32" s="11">
        <f>-Plankosten!I117</f>
        <v>0</v>
      </c>
      <c r="J32" s="11">
        <f>-Plankosten!J117</f>
        <v>0</v>
      </c>
      <c r="K32" s="11">
        <f>-Plankosten!K117</f>
        <v>0</v>
      </c>
      <c r="L32" s="11">
        <f>-Plankosten!L117</f>
        <v>0</v>
      </c>
      <c r="M32" s="11">
        <f>-Plankosten!M117</f>
        <v>0</v>
      </c>
      <c r="N32" s="11">
        <f>-Plankosten!N117</f>
        <v>0</v>
      </c>
      <c r="O32" s="11">
        <f>-Plankosten!O117</f>
        <v>0</v>
      </c>
      <c r="P32" s="187">
        <f>-Plankosten!P117</f>
        <v>0</v>
      </c>
      <c r="Q32" s="12">
        <f t="shared" si="1"/>
        <v>0</v>
      </c>
      <c r="R32" s="186">
        <f>-Plankosten!R117</f>
        <v>0</v>
      </c>
      <c r="S32" s="11">
        <f>-Plankosten!S117</f>
        <v>0</v>
      </c>
      <c r="T32" s="11">
        <f>-Plankosten!T117</f>
        <v>0</v>
      </c>
      <c r="U32" s="187">
        <f>-Plankosten!U117</f>
        <v>0</v>
      </c>
      <c r="V32" s="12">
        <f t="shared" si="3"/>
        <v>0</v>
      </c>
      <c r="W32" s="188">
        <f>-Plankosten!W117</f>
        <v>0</v>
      </c>
      <c r="X32" s="189">
        <f>-Plankosten!X117</f>
        <v>0</v>
      </c>
    </row>
    <row r="33" spans="1:24" ht="18.75" customHeight="1" outlineLevel="1" x14ac:dyDescent="0.25">
      <c r="A33" s="185" t="s">
        <v>112</v>
      </c>
      <c r="B33" s="740" t="str">
        <f>Plankosten!A119</f>
        <v>Leasinggebühren</v>
      </c>
      <c r="C33" s="740"/>
      <c r="D33" s="741"/>
      <c r="E33" s="186">
        <f>-Plankosten!E124</f>
        <v>-1500</v>
      </c>
      <c r="F33" s="11">
        <f>-Plankosten!F124</f>
        <v>-1500</v>
      </c>
      <c r="G33" s="11">
        <f>-Plankosten!G124</f>
        <v>-1500</v>
      </c>
      <c r="H33" s="11">
        <f>-Plankosten!H124</f>
        <v>-1500</v>
      </c>
      <c r="I33" s="11">
        <f>-Plankosten!I124</f>
        <v>-1500</v>
      </c>
      <c r="J33" s="11">
        <f>-Plankosten!J124</f>
        <v>-1500</v>
      </c>
      <c r="K33" s="11">
        <f>-Plankosten!K124</f>
        <v>-1500</v>
      </c>
      <c r="L33" s="11">
        <f>-Plankosten!L124</f>
        <v>-1500</v>
      </c>
      <c r="M33" s="11">
        <f>-Plankosten!M124</f>
        <v>-1500</v>
      </c>
      <c r="N33" s="11">
        <f>-Plankosten!N124</f>
        <v>-1500</v>
      </c>
      <c r="O33" s="11">
        <f>-Plankosten!O124</f>
        <v>-1500</v>
      </c>
      <c r="P33" s="187">
        <f>-Plankosten!P124</f>
        <v>-1500</v>
      </c>
      <c r="Q33" s="12">
        <f t="shared" si="1"/>
        <v>-18000</v>
      </c>
      <c r="R33" s="186">
        <f>-Plankosten!R124</f>
        <v>-4500</v>
      </c>
      <c r="S33" s="11">
        <f>-Plankosten!S124</f>
        <v>-4500</v>
      </c>
      <c r="T33" s="11">
        <f>-Plankosten!T124</f>
        <v>-4500</v>
      </c>
      <c r="U33" s="187">
        <f>-Plankosten!U124</f>
        <v>-4500</v>
      </c>
      <c r="V33" s="12">
        <f t="shared" si="3"/>
        <v>-18000</v>
      </c>
      <c r="W33" s="188">
        <f>-Plankosten!W124</f>
        <v>0</v>
      </c>
      <c r="X33" s="189">
        <f>-Plankosten!X124</f>
        <v>0</v>
      </c>
    </row>
    <row r="34" spans="1:24" ht="18.75" customHeight="1" outlineLevel="1" x14ac:dyDescent="0.25">
      <c r="A34" s="185" t="s">
        <v>112</v>
      </c>
      <c r="B34" s="740" t="str">
        <f>Plankosten!A126</f>
        <v>Spesen-, Bank-, Kreditgebühren</v>
      </c>
      <c r="C34" s="740"/>
      <c r="D34" s="741"/>
      <c r="E34" s="186">
        <f>-Plankosten!E131</f>
        <v>-50</v>
      </c>
      <c r="F34" s="11">
        <f>-Plankosten!F131</f>
        <v>0</v>
      </c>
      <c r="G34" s="11">
        <f>-Plankosten!G131</f>
        <v>0</v>
      </c>
      <c r="H34" s="11">
        <f>-Plankosten!H131</f>
        <v>-50</v>
      </c>
      <c r="I34" s="11">
        <f>-Plankosten!I131</f>
        <v>0</v>
      </c>
      <c r="J34" s="11">
        <f>-Plankosten!J131</f>
        <v>0</v>
      </c>
      <c r="K34" s="11">
        <f>-Plankosten!K131</f>
        <v>-50</v>
      </c>
      <c r="L34" s="11">
        <f>-Plankosten!L131</f>
        <v>0</v>
      </c>
      <c r="M34" s="11">
        <f>-Plankosten!M131</f>
        <v>0</v>
      </c>
      <c r="N34" s="11">
        <f>-Plankosten!N131</f>
        <v>-50</v>
      </c>
      <c r="O34" s="11">
        <f>-Plankosten!O131</f>
        <v>0</v>
      </c>
      <c r="P34" s="187">
        <f>-Plankosten!P131</f>
        <v>0</v>
      </c>
      <c r="Q34" s="12">
        <f t="shared" si="1"/>
        <v>-200</v>
      </c>
      <c r="R34" s="186">
        <f>-Plankosten!R131</f>
        <v>-50</v>
      </c>
      <c r="S34" s="11">
        <f>-Plankosten!S131</f>
        <v>-50</v>
      </c>
      <c r="T34" s="11">
        <f>-Plankosten!T131</f>
        <v>-50</v>
      </c>
      <c r="U34" s="187">
        <f>-Plankosten!U131</f>
        <v>-50</v>
      </c>
      <c r="V34" s="12">
        <f t="shared" si="3"/>
        <v>-200</v>
      </c>
      <c r="W34" s="188">
        <f>-Plankosten!W131</f>
        <v>-200</v>
      </c>
      <c r="X34" s="189">
        <f>-Plankosten!X131</f>
        <v>-200</v>
      </c>
    </row>
    <row r="35" spans="1:24" ht="18.75" customHeight="1" outlineLevel="1" x14ac:dyDescent="0.25">
      <c r="A35" s="185" t="s">
        <v>112</v>
      </c>
      <c r="B35" s="740" t="str">
        <f>Plankosten!A133</f>
        <v>Sonstige Kosten</v>
      </c>
      <c r="C35" s="740"/>
      <c r="D35" s="741"/>
      <c r="E35" s="186">
        <f>-Plankosten!E139</f>
        <v>0</v>
      </c>
      <c r="F35" s="11">
        <f>-Plankosten!F139</f>
        <v>0</v>
      </c>
      <c r="G35" s="11">
        <f>-Plankosten!G139</f>
        <v>0</v>
      </c>
      <c r="H35" s="11">
        <f>-Plankosten!H139</f>
        <v>0</v>
      </c>
      <c r="I35" s="11">
        <f>-Plankosten!I139</f>
        <v>-15000</v>
      </c>
      <c r="J35" s="11">
        <f>-Plankosten!J139</f>
        <v>0</v>
      </c>
      <c r="K35" s="11">
        <f>-Plankosten!K139</f>
        <v>0</v>
      </c>
      <c r="L35" s="11">
        <f>-Plankosten!L139</f>
        <v>0</v>
      </c>
      <c r="M35" s="11">
        <f>-Plankosten!M139</f>
        <v>0</v>
      </c>
      <c r="N35" s="11">
        <f>-Plankosten!N139</f>
        <v>0</v>
      </c>
      <c r="O35" s="11">
        <f>-Plankosten!O139</f>
        <v>0</v>
      </c>
      <c r="P35" s="187">
        <f>-Plankosten!P139</f>
        <v>0</v>
      </c>
      <c r="Q35" s="12">
        <f t="shared" si="1"/>
        <v>-15000</v>
      </c>
      <c r="R35" s="186">
        <f>-Plankosten!R139</f>
        <v>0</v>
      </c>
      <c r="S35" s="11">
        <f>-Plankosten!S139</f>
        <v>-15000</v>
      </c>
      <c r="T35" s="11">
        <f>-Plankosten!T139</f>
        <v>0</v>
      </c>
      <c r="U35" s="187">
        <f>-Plankosten!U139</f>
        <v>0</v>
      </c>
      <c r="V35" s="12">
        <f t="shared" si="3"/>
        <v>-15000</v>
      </c>
      <c r="W35" s="188">
        <f>-Plankosten!W139</f>
        <v>-15000</v>
      </c>
      <c r="X35" s="189">
        <f>-Plankosten!X139</f>
        <v>-15000</v>
      </c>
    </row>
    <row r="36" spans="1:24" ht="18.75" customHeight="1" outlineLevel="1" thickBot="1" x14ac:dyDescent="0.3">
      <c r="A36" s="160" t="s">
        <v>112</v>
      </c>
      <c r="B36" s="742" t="s">
        <v>137</v>
      </c>
      <c r="C36" s="742"/>
      <c r="D36" s="743"/>
      <c r="E36" s="198">
        <f>-(Abschreibung!$F$15/12)</f>
        <v>-1258.3333333333333</v>
      </c>
      <c r="F36" s="131">
        <f>-(Abschreibung!$F$15/12)</f>
        <v>-1258.3333333333333</v>
      </c>
      <c r="G36" s="131">
        <f>-(Abschreibung!$F$15/12)</f>
        <v>-1258.3333333333333</v>
      </c>
      <c r="H36" s="131">
        <f>-(Abschreibung!$F$15/12)</f>
        <v>-1258.3333333333333</v>
      </c>
      <c r="I36" s="131">
        <f>-(Abschreibung!$F$15/12)</f>
        <v>-1258.3333333333333</v>
      </c>
      <c r="J36" s="131">
        <f>-(Abschreibung!$F$15/12)</f>
        <v>-1258.3333333333333</v>
      </c>
      <c r="K36" s="131">
        <f>-(Abschreibung!$F$15/12)</f>
        <v>-1258.3333333333333</v>
      </c>
      <c r="L36" s="131">
        <f>-(Abschreibung!$F$15/12)</f>
        <v>-1258.3333333333333</v>
      </c>
      <c r="M36" s="131">
        <f>-(Abschreibung!$F$15/12)</f>
        <v>-1258.3333333333333</v>
      </c>
      <c r="N36" s="131">
        <f>-(Abschreibung!$F$15/12)</f>
        <v>-1258.3333333333333</v>
      </c>
      <c r="O36" s="131">
        <f>-(Abschreibung!$F$15/12)</f>
        <v>-1258.3333333333333</v>
      </c>
      <c r="P36" s="161">
        <f>-(Abschreibung!$F$15/12)</f>
        <v>-1258.3333333333333</v>
      </c>
      <c r="Q36" s="136">
        <f t="shared" si="1"/>
        <v>-15100.000000000002</v>
      </c>
      <c r="R36" s="161">
        <f>-(Abschreibung!$H$15/4)</f>
        <v>-3900</v>
      </c>
      <c r="S36" s="131">
        <f>-(Abschreibung!$H$15/4)</f>
        <v>-3900</v>
      </c>
      <c r="T36" s="131">
        <f>-(Abschreibung!$H$15/4)</f>
        <v>-3900</v>
      </c>
      <c r="U36" s="161">
        <f>-(Abschreibung!$H$15/4)</f>
        <v>-3900</v>
      </c>
      <c r="V36" s="136">
        <f t="shared" si="3"/>
        <v>-15600</v>
      </c>
      <c r="W36" s="199">
        <f>-(Abschreibung!$I$15)</f>
        <v>-49300</v>
      </c>
      <c r="X36" s="200">
        <f>-(Abschreibung!$K$15)</f>
        <v>-33700</v>
      </c>
    </row>
    <row r="37" spans="1:24" s="196" customFormat="1" ht="7.5" customHeight="1" outlineLevel="1" thickTop="1" x14ac:dyDescent="0.25">
      <c r="A37" s="163"/>
      <c r="B37" s="164"/>
      <c r="C37" s="164"/>
      <c r="D37" s="165"/>
      <c r="E37" s="190"/>
      <c r="F37" s="191"/>
      <c r="G37" s="191"/>
      <c r="H37" s="191"/>
      <c r="I37" s="191"/>
      <c r="J37" s="191"/>
      <c r="K37" s="191"/>
      <c r="L37" s="191"/>
      <c r="M37" s="191"/>
      <c r="N37" s="191"/>
      <c r="O37" s="191"/>
      <c r="P37" s="192"/>
      <c r="Q37" s="193"/>
      <c r="R37" s="190"/>
      <c r="S37" s="191"/>
      <c r="T37" s="191"/>
      <c r="U37" s="192"/>
      <c r="V37" s="193"/>
      <c r="W37" s="194"/>
      <c r="X37" s="195"/>
    </row>
    <row r="38" spans="1:24" ht="18.75" customHeight="1" thickBot="1" x14ac:dyDescent="0.3">
      <c r="A38" s="744" t="s">
        <v>119</v>
      </c>
      <c r="B38" s="745"/>
      <c r="C38" s="745"/>
      <c r="D38" s="746"/>
      <c r="E38" s="178">
        <f>SUM(E22:E36)</f>
        <v>-25287.936044934999</v>
      </c>
      <c r="F38" s="175">
        <f t="shared" ref="F38:P38" si="15">SUM(F22:F36)</f>
        <v>-26245.936044934999</v>
      </c>
      <c r="G38" s="175">
        <f t="shared" si="15"/>
        <v>-31693.936044934999</v>
      </c>
      <c r="H38" s="175">
        <f t="shared" si="15"/>
        <v>-33391.936044934999</v>
      </c>
      <c r="I38" s="175">
        <f t="shared" si="15"/>
        <v>-72438.602711601663</v>
      </c>
      <c r="J38" s="175">
        <f t="shared" si="15"/>
        <v>-33341.936044934999</v>
      </c>
      <c r="K38" s="175">
        <f t="shared" si="15"/>
        <v>44208.063955065001</v>
      </c>
      <c r="L38" s="175">
        <f t="shared" si="15"/>
        <v>-33541.936044934999</v>
      </c>
      <c r="M38" s="175">
        <f t="shared" si="15"/>
        <v>-33341.936044934999</v>
      </c>
      <c r="N38" s="175">
        <f t="shared" si="15"/>
        <v>-36391.936044934999</v>
      </c>
      <c r="O38" s="175">
        <f t="shared" si="15"/>
        <v>20161.39728839833</v>
      </c>
      <c r="P38" s="176">
        <f t="shared" si="15"/>
        <v>-29133.936044934999</v>
      </c>
      <c r="Q38" s="177">
        <f t="shared" ref="Q38" si="16">SUM(Q22:Q36)</f>
        <v>-290440.56587255339</v>
      </c>
      <c r="R38" s="178">
        <f t="shared" ref="R38" si="17">SUM(R22:R36)</f>
        <v>-90774.408134805009</v>
      </c>
      <c r="S38" s="175">
        <f t="shared" ref="S38" si="18">SUM(S22:S36)</f>
        <v>-57065.608134804999</v>
      </c>
      <c r="T38" s="175">
        <f t="shared" ref="T38" si="19">SUM(T22:T36)</f>
        <v>-11674.408134805006</v>
      </c>
      <c r="U38" s="176">
        <f t="shared" ref="U38" si="20">SUM(U22:U36)</f>
        <v>-47065.608134804999</v>
      </c>
      <c r="V38" s="177">
        <f t="shared" ref="V38" si="21">SUM(V22:V36)</f>
        <v>-206580.03253921997</v>
      </c>
      <c r="W38" s="179">
        <f t="shared" ref="W38" si="22">SUM(W22:W36)</f>
        <v>23390.127460779986</v>
      </c>
      <c r="X38" s="197">
        <f t="shared" ref="X38" si="23">SUM(X22:X36)</f>
        <v>829900.59546077996</v>
      </c>
    </row>
    <row r="39" spans="1:24" ht="18.75" customHeight="1" outlineLevel="1" thickTop="1" x14ac:dyDescent="0.25">
      <c r="A39" s="159" t="s">
        <v>112</v>
      </c>
      <c r="B39" s="747" t="s">
        <v>183</v>
      </c>
      <c r="C39" s="747"/>
      <c r="D39" s="748"/>
      <c r="E39" s="181">
        <f>-(Liquiditätsplan!E83+Liquiditätsplan!E85)/3</f>
        <v>-323.70402033701248</v>
      </c>
      <c r="F39" s="7">
        <f>-(Liquiditätsplan!E83+Liquiditätsplan!E85)/3</f>
        <v>-323.70402033701248</v>
      </c>
      <c r="G39" s="7">
        <f>-(Liquiditätsplan!E83+Liquiditätsplan!E85)/3</f>
        <v>-323.70402033701248</v>
      </c>
      <c r="H39" s="7">
        <f>-(Liquiditätsplan!H83+Liquiditätsplan!H85)/3</f>
        <v>-1091.5548145731623</v>
      </c>
      <c r="I39" s="7">
        <f>-(Liquiditätsplan!H83+Liquiditätsplan!H85)/3</f>
        <v>-1091.5548145731623</v>
      </c>
      <c r="J39" s="7">
        <f>-(Liquiditätsplan!H83+Liquiditätsplan!H85)/3</f>
        <v>-1091.5548145731623</v>
      </c>
      <c r="K39" s="7">
        <f>-(Liquiditätsplan!K83+Liquiditätsplan!K85)/3</f>
        <v>-1341.2719036540657</v>
      </c>
      <c r="L39" s="7">
        <f>-(Liquiditätsplan!K83+Liquiditätsplan!K85)/3</f>
        <v>-1341.2719036540657</v>
      </c>
      <c r="M39" s="7">
        <f>-(Liquiditätsplan!K83+Liquiditätsplan!K85)/3</f>
        <v>-1341.2719036540657</v>
      </c>
      <c r="N39" s="7">
        <f>-(Liquiditätsplan!N83+Liquiditätsplan!N85)/3</f>
        <v>-1656.0527504655147</v>
      </c>
      <c r="O39" s="7">
        <f>-(Liquiditätsplan!N83+Liquiditätsplan!N85)/3</f>
        <v>-1656.0527504655147</v>
      </c>
      <c r="P39" s="182">
        <f>-(Liquiditätsplan!N83+Liquiditätsplan!N85)/3</f>
        <v>-1656.0527504655147</v>
      </c>
      <c r="Q39" s="8">
        <f t="shared" si="1"/>
        <v>-13237.750467089265</v>
      </c>
      <c r="R39" s="181">
        <f>-(Liquiditätsplan!R83+Liquiditätsplan!R85)</f>
        <v>-6233.3528692202017</v>
      </c>
      <c r="S39" s="7">
        <f>-(Liquiditätsplan!S83+Liquiditätsplan!S85)</f>
        <v>-7644.2584913135679</v>
      </c>
      <c r="T39" s="7">
        <f>-(Liquiditätsplan!T83+Liquiditätsplan!T85)</f>
        <v>-7944.4848652063147</v>
      </c>
      <c r="U39" s="182">
        <f>-(Liquiditätsplan!U83+Liquiditätsplan!U85)</f>
        <v>-8272.0447290689535</v>
      </c>
      <c r="V39" s="8">
        <f t="shared" si="3"/>
        <v>-30094.140954809038</v>
      </c>
      <c r="W39" s="183">
        <f>-(Liquiditätsplan!W83+Liquiditätsplan!W85)</f>
        <v>-34299.503372942825</v>
      </c>
      <c r="X39" s="184">
        <f>-(Liquiditätsplan!X83+Liquiditätsplan!X85)</f>
        <v>-26629.231742373493</v>
      </c>
    </row>
    <row r="40" spans="1:24" ht="18.75" customHeight="1" outlineLevel="1" thickBot="1" x14ac:dyDescent="0.3">
      <c r="A40" s="160" t="s">
        <v>113</v>
      </c>
      <c r="B40" s="742" t="s">
        <v>182</v>
      </c>
      <c r="C40" s="742"/>
      <c r="D40" s="743"/>
      <c r="E40" s="198">
        <f>Liquiditätsplan!E84/3</f>
        <v>0</v>
      </c>
      <c r="F40" s="131">
        <f>Liquiditätsplan!E84/3</f>
        <v>0</v>
      </c>
      <c r="G40" s="131">
        <f>Liquiditätsplan!E84/3</f>
        <v>0</v>
      </c>
      <c r="H40" s="131">
        <f>Liquiditätsplan!H84/3</f>
        <v>0</v>
      </c>
      <c r="I40" s="131">
        <f>Liquiditätsplan!H84/3</f>
        <v>0</v>
      </c>
      <c r="J40" s="131">
        <f>Liquiditätsplan!H84/3</f>
        <v>0</v>
      </c>
      <c r="K40" s="131">
        <f>Liquiditätsplan!K84/3</f>
        <v>0</v>
      </c>
      <c r="L40" s="131">
        <f>Liquiditätsplan!K84/3</f>
        <v>0</v>
      </c>
      <c r="M40" s="131">
        <f>Liquiditätsplan!K84/3</f>
        <v>0</v>
      </c>
      <c r="N40" s="131">
        <f>Liquiditätsplan!N84/3</f>
        <v>0</v>
      </c>
      <c r="O40" s="131">
        <f>Liquiditätsplan!N84/3</f>
        <v>0</v>
      </c>
      <c r="P40" s="161">
        <f>Liquiditätsplan!N84/3</f>
        <v>0</v>
      </c>
      <c r="Q40" s="136">
        <f t="shared" si="1"/>
        <v>0</v>
      </c>
      <c r="R40" s="198">
        <f>Liquiditätsplan!R84</f>
        <v>0</v>
      </c>
      <c r="S40" s="131">
        <f>Liquiditätsplan!S84</f>
        <v>0</v>
      </c>
      <c r="T40" s="131">
        <f>Liquiditätsplan!T84</f>
        <v>0</v>
      </c>
      <c r="U40" s="161">
        <f>Liquiditätsplan!U84</f>
        <v>0</v>
      </c>
      <c r="V40" s="136">
        <f t="shared" si="3"/>
        <v>0</v>
      </c>
      <c r="W40" s="199">
        <f>Liquiditätsplan!W84</f>
        <v>0</v>
      </c>
      <c r="X40" s="200">
        <f>Liquiditätsplan!X84</f>
        <v>0</v>
      </c>
    </row>
    <row r="41" spans="1:24" s="196" customFormat="1" ht="7.5" customHeight="1" outlineLevel="1" thickTop="1" x14ac:dyDescent="0.25">
      <c r="A41" s="163"/>
      <c r="B41" s="164"/>
      <c r="C41" s="164"/>
      <c r="D41" s="165"/>
      <c r="E41" s="190"/>
      <c r="F41" s="191"/>
      <c r="G41" s="191"/>
      <c r="H41" s="191"/>
      <c r="I41" s="191"/>
      <c r="J41" s="191"/>
      <c r="K41" s="191"/>
      <c r="L41" s="191"/>
      <c r="M41" s="191"/>
      <c r="N41" s="191"/>
      <c r="O41" s="191"/>
      <c r="P41" s="192"/>
      <c r="Q41" s="193"/>
      <c r="R41" s="190"/>
      <c r="S41" s="191"/>
      <c r="T41" s="191"/>
      <c r="U41" s="192"/>
      <c r="V41" s="193"/>
      <c r="W41" s="194"/>
      <c r="X41" s="195"/>
    </row>
    <row r="42" spans="1:24" ht="18.75" customHeight="1" thickBot="1" x14ac:dyDescent="0.3">
      <c r="A42" s="744" t="s">
        <v>124</v>
      </c>
      <c r="B42" s="745"/>
      <c r="C42" s="745"/>
      <c r="D42" s="746"/>
      <c r="E42" s="178">
        <f>SUM(E39:E40)</f>
        <v>-323.70402033701248</v>
      </c>
      <c r="F42" s="175">
        <f t="shared" ref="F42:X42" si="24">SUM(F39:F40)</f>
        <v>-323.70402033701248</v>
      </c>
      <c r="G42" s="175">
        <f t="shared" si="24"/>
        <v>-323.70402033701248</v>
      </c>
      <c r="H42" s="175">
        <f t="shared" si="24"/>
        <v>-1091.5548145731623</v>
      </c>
      <c r="I42" s="175">
        <f t="shared" si="24"/>
        <v>-1091.5548145731623</v>
      </c>
      <c r="J42" s="175">
        <f t="shared" si="24"/>
        <v>-1091.5548145731623</v>
      </c>
      <c r="K42" s="175">
        <f t="shared" si="24"/>
        <v>-1341.2719036540657</v>
      </c>
      <c r="L42" s="175">
        <f t="shared" si="24"/>
        <v>-1341.2719036540657</v>
      </c>
      <c r="M42" s="175">
        <f t="shared" si="24"/>
        <v>-1341.2719036540657</v>
      </c>
      <c r="N42" s="175">
        <f t="shared" si="24"/>
        <v>-1656.0527504655147</v>
      </c>
      <c r="O42" s="175">
        <f t="shared" si="24"/>
        <v>-1656.0527504655147</v>
      </c>
      <c r="P42" s="176">
        <f t="shared" si="24"/>
        <v>-1656.0527504655147</v>
      </c>
      <c r="Q42" s="177">
        <f t="shared" si="24"/>
        <v>-13237.750467089265</v>
      </c>
      <c r="R42" s="178">
        <f t="shared" si="24"/>
        <v>-6233.3528692202017</v>
      </c>
      <c r="S42" s="175">
        <f t="shared" si="24"/>
        <v>-7644.2584913135679</v>
      </c>
      <c r="T42" s="175">
        <f t="shared" si="24"/>
        <v>-7944.4848652063147</v>
      </c>
      <c r="U42" s="176">
        <f t="shared" si="24"/>
        <v>-8272.0447290689535</v>
      </c>
      <c r="V42" s="177">
        <f t="shared" si="24"/>
        <v>-30094.140954809038</v>
      </c>
      <c r="W42" s="179">
        <f t="shared" si="24"/>
        <v>-34299.503372942825</v>
      </c>
      <c r="X42" s="197">
        <f t="shared" si="24"/>
        <v>-26629.231742373493</v>
      </c>
    </row>
    <row r="43" spans="1:24" ht="7.5" customHeight="1" thickTop="1" x14ac:dyDescent="0.25">
      <c r="A43" s="201"/>
      <c r="B43" s="202"/>
      <c r="C43" s="202"/>
      <c r="D43" s="203"/>
      <c r="E43" s="204"/>
      <c r="F43" s="112"/>
      <c r="G43" s="112"/>
      <c r="H43" s="112"/>
      <c r="I43" s="112"/>
      <c r="J43" s="112"/>
      <c r="K43" s="112"/>
      <c r="L43" s="112"/>
      <c r="M43" s="112"/>
      <c r="N43" s="112"/>
      <c r="O43" s="112"/>
      <c r="P43" s="205"/>
      <c r="Q43" s="206"/>
      <c r="R43" s="204"/>
      <c r="S43" s="112"/>
      <c r="T43" s="112"/>
      <c r="U43" s="205"/>
      <c r="V43" s="206"/>
      <c r="W43" s="207"/>
      <c r="X43" s="208"/>
    </row>
    <row r="44" spans="1:24" ht="18.75" customHeight="1" thickBot="1" x14ac:dyDescent="0.3">
      <c r="A44" s="744" t="s">
        <v>125</v>
      </c>
      <c r="B44" s="745"/>
      <c r="C44" s="745"/>
      <c r="D44" s="746"/>
      <c r="E44" s="178">
        <f>E42+E38</f>
        <v>-25611.640065272011</v>
      </c>
      <c r="F44" s="175">
        <f t="shared" ref="F44:X44" si="25">F42+F38</f>
        <v>-26569.640065272011</v>
      </c>
      <c r="G44" s="175">
        <f t="shared" si="25"/>
        <v>-32017.640065272011</v>
      </c>
      <c r="H44" s="175">
        <f t="shared" si="25"/>
        <v>-34483.490859508158</v>
      </c>
      <c r="I44" s="175">
        <f t="shared" si="25"/>
        <v>-73530.157526174822</v>
      </c>
      <c r="J44" s="175">
        <f t="shared" si="25"/>
        <v>-34433.490859508158</v>
      </c>
      <c r="K44" s="175">
        <f t="shared" si="25"/>
        <v>42866.792051410936</v>
      </c>
      <c r="L44" s="175">
        <f t="shared" si="25"/>
        <v>-34883.207948589064</v>
      </c>
      <c r="M44" s="175">
        <f t="shared" si="25"/>
        <v>-34683.207948589064</v>
      </c>
      <c r="N44" s="175">
        <f t="shared" si="25"/>
        <v>-38047.98879540051</v>
      </c>
      <c r="O44" s="175">
        <f t="shared" si="25"/>
        <v>18505.344537932815</v>
      </c>
      <c r="P44" s="176">
        <f t="shared" si="25"/>
        <v>-30789.988795400513</v>
      </c>
      <c r="Q44" s="177">
        <f t="shared" si="25"/>
        <v>-303678.31633964262</v>
      </c>
      <c r="R44" s="178">
        <f t="shared" si="25"/>
        <v>-97007.761004025204</v>
      </c>
      <c r="S44" s="175">
        <f t="shared" si="25"/>
        <v>-64709.866626118564</v>
      </c>
      <c r="T44" s="175">
        <f t="shared" si="25"/>
        <v>-19618.893000011321</v>
      </c>
      <c r="U44" s="176">
        <f t="shared" si="25"/>
        <v>-55337.652863873955</v>
      </c>
      <c r="V44" s="177">
        <f t="shared" si="25"/>
        <v>-236674.173494029</v>
      </c>
      <c r="W44" s="179">
        <f t="shared" si="25"/>
        <v>-10909.375912162839</v>
      </c>
      <c r="X44" s="197">
        <f t="shared" si="25"/>
        <v>803271.36371840653</v>
      </c>
    </row>
    <row r="45" spans="1:24" ht="18.75" customHeight="1" thickTop="1" thickBot="1" x14ac:dyDescent="0.3">
      <c r="A45" s="209" t="s">
        <v>112</v>
      </c>
      <c r="B45" s="759" t="s">
        <v>174</v>
      </c>
      <c r="C45" s="759"/>
      <c r="D45" s="760"/>
      <c r="E45" s="210">
        <f>$Q$45/12</f>
        <v>-41.666666666666664</v>
      </c>
      <c r="F45" s="210">
        <f t="shared" ref="F45:P45" si="26">$Q$45/12</f>
        <v>-41.666666666666664</v>
      </c>
      <c r="G45" s="210">
        <f t="shared" si="26"/>
        <v>-41.666666666666664</v>
      </c>
      <c r="H45" s="210">
        <f t="shared" si="26"/>
        <v>-41.666666666666664</v>
      </c>
      <c r="I45" s="210">
        <f t="shared" si="26"/>
        <v>-41.666666666666664</v>
      </c>
      <c r="J45" s="210">
        <f t="shared" si="26"/>
        <v>-41.666666666666664</v>
      </c>
      <c r="K45" s="210">
        <f t="shared" si="26"/>
        <v>-41.666666666666664</v>
      </c>
      <c r="L45" s="210">
        <f t="shared" si="26"/>
        <v>-41.666666666666664</v>
      </c>
      <c r="M45" s="210">
        <f t="shared" si="26"/>
        <v>-41.666666666666664</v>
      </c>
      <c r="N45" s="210">
        <f t="shared" si="26"/>
        <v>-41.666666666666664</v>
      </c>
      <c r="O45" s="210">
        <f t="shared" si="26"/>
        <v>-41.666666666666664</v>
      </c>
      <c r="P45" s="211">
        <f t="shared" si="26"/>
        <v>-41.666666666666664</v>
      </c>
      <c r="Q45" s="212">
        <f>-Q56</f>
        <v>-500</v>
      </c>
      <c r="R45" s="210">
        <f>$V$45/4</f>
        <v>-125</v>
      </c>
      <c r="S45" s="210">
        <f t="shared" ref="S45:U45" si="27">$V$45/4</f>
        <v>-125</v>
      </c>
      <c r="T45" s="210">
        <f t="shared" si="27"/>
        <v>-125</v>
      </c>
      <c r="U45" s="211">
        <f t="shared" si="27"/>
        <v>-125</v>
      </c>
      <c r="V45" s="212">
        <f>-V56</f>
        <v>-500</v>
      </c>
      <c r="W45" s="213">
        <f>-W56</f>
        <v>-500</v>
      </c>
      <c r="X45" s="214">
        <f>-X56</f>
        <v>-63002.374493143041</v>
      </c>
    </row>
    <row r="46" spans="1:24" s="173" customFormat="1" ht="7.5" customHeight="1" thickTop="1" thickBot="1" x14ac:dyDescent="0.3">
      <c r="A46" s="215"/>
      <c r="B46" s="216"/>
      <c r="C46" s="216"/>
      <c r="D46" s="217"/>
      <c r="E46" s="218"/>
      <c r="F46" s="219"/>
      <c r="G46" s="219"/>
      <c r="H46" s="219"/>
      <c r="I46" s="219"/>
      <c r="J46" s="219"/>
      <c r="K46" s="219"/>
      <c r="L46" s="219"/>
      <c r="M46" s="219"/>
      <c r="N46" s="219"/>
      <c r="O46" s="219"/>
      <c r="P46" s="220"/>
      <c r="Q46" s="221"/>
      <c r="R46" s="222"/>
      <c r="S46" s="223"/>
      <c r="T46" s="223"/>
      <c r="U46" s="224"/>
      <c r="V46" s="225"/>
      <c r="W46" s="226"/>
      <c r="X46" s="227"/>
    </row>
    <row r="47" spans="1:24" ht="22.5" customHeight="1" thickBot="1" x14ac:dyDescent="0.3">
      <c r="A47" s="761" t="s">
        <v>126</v>
      </c>
      <c r="B47" s="762"/>
      <c r="C47" s="762"/>
      <c r="D47" s="763"/>
      <c r="E47" s="228">
        <f>E44+E45</f>
        <v>-25653.306731938679</v>
      </c>
      <c r="F47" s="229">
        <f t="shared" ref="F47:X47" si="28">F44+F45</f>
        <v>-26611.306731938679</v>
      </c>
      <c r="G47" s="229">
        <f t="shared" si="28"/>
        <v>-32059.306731938679</v>
      </c>
      <c r="H47" s="229">
        <f t="shared" si="28"/>
        <v>-34525.157526174822</v>
      </c>
      <c r="I47" s="229">
        <f t="shared" si="28"/>
        <v>-73571.824192841494</v>
      </c>
      <c r="J47" s="229">
        <f t="shared" si="28"/>
        <v>-34475.157526174822</v>
      </c>
      <c r="K47" s="229">
        <f t="shared" si="28"/>
        <v>42825.125384744271</v>
      </c>
      <c r="L47" s="229">
        <f t="shared" si="28"/>
        <v>-34924.874615255729</v>
      </c>
      <c r="M47" s="229">
        <f t="shared" si="28"/>
        <v>-34724.874615255729</v>
      </c>
      <c r="N47" s="229">
        <f t="shared" si="28"/>
        <v>-38089.655462067174</v>
      </c>
      <c r="O47" s="229">
        <f t="shared" si="28"/>
        <v>18463.677871266147</v>
      </c>
      <c r="P47" s="230">
        <f t="shared" si="28"/>
        <v>-30831.655462067181</v>
      </c>
      <c r="Q47" s="231">
        <f t="shared" si="28"/>
        <v>-304178.31633964262</v>
      </c>
      <c r="R47" s="228">
        <f t="shared" si="28"/>
        <v>-97132.761004025204</v>
      </c>
      <c r="S47" s="229">
        <f t="shared" si="28"/>
        <v>-64834.866626118564</v>
      </c>
      <c r="T47" s="229">
        <f t="shared" si="28"/>
        <v>-19743.893000011321</v>
      </c>
      <c r="U47" s="230">
        <f t="shared" si="28"/>
        <v>-55462.652863873955</v>
      </c>
      <c r="V47" s="231">
        <f t="shared" si="28"/>
        <v>-237174.173494029</v>
      </c>
      <c r="W47" s="232">
        <f t="shared" si="28"/>
        <v>-11409.375912162839</v>
      </c>
      <c r="X47" s="233">
        <f t="shared" si="28"/>
        <v>740268.98922526347</v>
      </c>
    </row>
    <row r="48" spans="1:24" ht="18.75" customHeight="1" thickBot="1" x14ac:dyDescent="0.3"/>
    <row r="49" spans="1:24" ht="18.75" customHeight="1" x14ac:dyDescent="0.25">
      <c r="A49" s="757" t="s">
        <v>127</v>
      </c>
      <c r="B49" s="757"/>
      <c r="C49" s="757"/>
      <c r="D49" s="757"/>
      <c r="E49" s="757"/>
      <c r="F49" s="757"/>
      <c r="G49" s="757"/>
      <c r="H49" s="757"/>
      <c r="I49" s="757"/>
      <c r="J49" s="757"/>
      <c r="K49" s="757"/>
      <c r="L49" s="757"/>
      <c r="M49" s="757"/>
      <c r="N49" s="757"/>
      <c r="O49" s="757"/>
      <c r="P49" s="758"/>
      <c r="Q49" s="234">
        <f>Q44</f>
        <v>-303678.31633964262</v>
      </c>
      <c r="R49" s="235"/>
      <c r="S49" s="235"/>
      <c r="T49" s="235"/>
      <c r="U49" s="235"/>
      <c r="V49" s="236">
        <f>V44</f>
        <v>-236674.173494029</v>
      </c>
      <c r="W49" s="236">
        <f>W44</f>
        <v>-10909.375912162839</v>
      </c>
      <c r="X49" s="237">
        <f>X44</f>
        <v>803271.36371840653</v>
      </c>
    </row>
    <row r="50" spans="1:24" ht="18.75" customHeight="1" x14ac:dyDescent="0.25">
      <c r="A50" s="757" t="s">
        <v>133</v>
      </c>
      <c r="B50" s="757"/>
      <c r="C50" s="757"/>
      <c r="D50" s="757"/>
      <c r="E50" s="757"/>
      <c r="F50" s="757"/>
      <c r="G50" s="757"/>
      <c r="H50" s="757"/>
      <c r="I50" s="757"/>
      <c r="J50" s="757"/>
      <c r="K50" s="757"/>
      <c r="L50" s="757"/>
      <c r="M50" s="757"/>
      <c r="N50" s="757"/>
      <c r="O50" s="757"/>
      <c r="P50" s="758"/>
      <c r="Q50" s="238">
        <f>IF(Q49&lt;0,0,Q49*$D$5)</f>
        <v>0</v>
      </c>
      <c r="R50" s="239"/>
      <c r="S50" s="239"/>
      <c r="T50" s="239"/>
      <c r="U50" s="239"/>
      <c r="V50" s="240">
        <f>IF(V49&lt;0,0,V49*$D$5)</f>
        <v>0</v>
      </c>
      <c r="W50" s="240">
        <f>IF(W49&lt;0,0,W49*$D$5)</f>
        <v>0</v>
      </c>
      <c r="X50" s="13">
        <f>IF(X49&lt;0,0,X49*$D$5)</f>
        <v>200817.84092960163</v>
      </c>
    </row>
    <row r="51" spans="1:24" ht="18.75" customHeight="1" x14ac:dyDescent="0.25">
      <c r="A51" s="757" t="s">
        <v>128</v>
      </c>
      <c r="B51" s="757"/>
      <c r="C51" s="757"/>
      <c r="D51" s="757"/>
      <c r="E51" s="757"/>
      <c r="F51" s="757"/>
      <c r="G51" s="757"/>
      <c r="H51" s="757"/>
      <c r="I51" s="757"/>
      <c r="J51" s="757"/>
      <c r="K51" s="757"/>
      <c r="L51" s="757"/>
      <c r="M51" s="757"/>
      <c r="N51" s="757"/>
      <c r="O51" s="757"/>
      <c r="P51" s="758"/>
      <c r="Q51" s="238">
        <v>0</v>
      </c>
      <c r="R51" s="239"/>
      <c r="S51" s="239"/>
      <c r="T51" s="239"/>
      <c r="U51" s="239"/>
      <c r="V51" s="240">
        <f>Q52</f>
        <v>-303678.31633964262</v>
      </c>
      <c r="W51" s="240">
        <f>V52</f>
        <v>-540352.4898336716</v>
      </c>
      <c r="X51" s="13">
        <f>W52</f>
        <v>-551261.86574583442</v>
      </c>
    </row>
    <row r="52" spans="1:24" ht="18.75" customHeight="1" x14ac:dyDescent="0.25">
      <c r="A52" s="757" t="s">
        <v>129</v>
      </c>
      <c r="B52" s="757"/>
      <c r="C52" s="757"/>
      <c r="D52" s="757"/>
      <c r="E52" s="757"/>
      <c r="F52" s="757"/>
      <c r="G52" s="757"/>
      <c r="H52" s="757"/>
      <c r="I52" s="757"/>
      <c r="J52" s="757"/>
      <c r="K52" s="757"/>
      <c r="L52" s="757"/>
      <c r="M52" s="757"/>
      <c r="N52" s="757"/>
      <c r="O52" s="757"/>
      <c r="P52" s="758"/>
      <c r="Q52" s="238">
        <f>IF(Q51+(Q49-Q50)&gt;0,0,Q51+(Q49-Q50))</f>
        <v>-303678.31633964262</v>
      </c>
      <c r="R52" s="239"/>
      <c r="S52" s="239"/>
      <c r="T52" s="239"/>
      <c r="U52" s="239"/>
      <c r="V52" s="240">
        <f>IF(V51+(V49-V50)&gt;0,0,V51+(V49-V50))</f>
        <v>-540352.4898336716</v>
      </c>
      <c r="W52" s="240">
        <f>IF(W51+(W49-W50)&gt;0,0,W51+(W49-W50))</f>
        <v>-551261.86574583442</v>
      </c>
      <c r="X52" s="13">
        <f>IF(X51+(X49-X50)&gt;0,0,X51+(X49-X50))</f>
        <v>0</v>
      </c>
    </row>
    <row r="53" spans="1:24" ht="7.5" customHeight="1" x14ac:dyDescent="0.25">
      <c r="A53" s="490"/>
      <c r="B53" s="490"/>
      <c r="C53" s="490"/>
      <c r="D53" s="490"/>
      <c r="E53" s="490"/>
      <c r="F53" s="490"/>
      <c r="G53" s="490"/>
      <c r="H53" s="490"/>
      <c r="I53" s="490"/>
      <c r="J53" s="490"/>
      <c r="K53" s="490"/>
      <c r="L53" s="490"/>
      <c r="M53" s="490"/>
      <c r="N53" s="757"/>
      <c r="O53" s="757"/>
      <c r="P53" s="758"/>
      <c r="Q53" s="241"/>
      <c r="R53" s="242"/>
      <c r="S53" s="242"/>
      <c r="T53" s="242"/>
      <c r="U53" s="242"/>
      <c r="V53" s="243"/>
      <c r="W53" s="243"/>
      <c r="X53" s="17"/>
    </row>
    <row r="54" spans="1:24" ht="18.75" customHeight="1" x14ac:dyDescent="0.25">
      <c r="A54" s="757" t="s">
        <v>130</v>
      </c>
      <c r="B54" s="757"/>
      <c r="C54" s="757"/>
      <c r="D54" s="757"/>
      <c r="E54" s="757"/>
      <c r="F54" s="757"/>
      <c r="G54" s="757"/>
      <c r="H54" s="757"/>
      <c r="I54" s="757"/>
      <c r="J54" s="757"/>
      <c r="K54" s="757"/>
      <c r="L54" s="757"/>
      <c r="M54" s="757"/>
      <c r="N54" s="757"/>
      <c r="O54" s="757"/>
      <c r="P54" s="758"/>
      <c r="Q54" s="244">
        <f>IF(Q49*(1-$D$5)&gt;ABS(Q51),Q49*(1-$D$5)+Q51,0)</f>
        <v>0</v>
      </c>
      <c r="R54" s="245"/>
      <c r="S54" s="245"/>
      <c r="T54" s="245"/>
      <c r="U54" s="245"/>
      <c r="V54" s="246">
        <f>IF(V49*(1-$D$5)&gt;ABS(V51),V49*(1-$D$5)+V51,0)</f>
        <v>0</v>
      </c>
      <c r="W54" s="246">
        <f>IF(W49*(1-$D$5)&gt;ABS(W51),W49*(1-$D$5)+W51,0)</f>
        <v>0</v>
      </c>
      <c r="X54" s="247">
        <f>IF(X49*(1-$D$5)&gt;ABS(X51),X49*(1-$D$5)+X51,0)</f>
        <v>51191.657042970532</v>
      </c>
    </row>
    <row r="55" spans="1:24" ht="18.75" customHeight="1" thickBot="1" x14ac:dyDescent="0.3">
      <c r="A55" s="757" t="s">
        <v>131</v>
      </c>
      <c r="B55" s="757"/>
      <c r="C55" s="757"/>
      <c r="D55" s="757"/>
      <c r="E55" s="757"/>
      <c r="F55" s="757"/>
      <c r="G55" s="757"/>
      <c r="H55" s="757"/>
      <c r="I55" s="757"/>
      <c r="J55" s="757"/>
      <c r="K55" s="757"/>
      <c r="L55" s="757"/>
      <c r="M55" s="757"/>
      <c r="N55" s="757"/>
      <c r="O55" s="757"/>
      <c r="P55" s="758"/>
      <c r="Q55" s="241">
        <f>SUM(Q50,Q54)</f>
        <v>0</v>
      </c>
      <c r="R55" s="242"/>
      <c r="S55" s="242"/>
      <c r="T55" s="242"/>
      <c r="U55" s="242"/>
      <c r="V55" s="243">
        <f>SUM(V50,V54)</f>
        <v>0</v>
      </c>
      <c r="W55" s="243">
        <f>SUM(W50,W54)</f>
        <v>0</v>
      </c>
      <c r="X55" s="17">
        <f>SUM(X50,X54)</f>
        <v>252009.49797257216</v>
      </c>
    </row>
    <row r="56" spans="1:24" ht="18.75" customHeight="1" thickTop="1" thickBot="1" x14ac:dyDescent="0.3">
      <c r="A56" s="764" t="s">
        <v>134</v>
      </c>
      <c r="B56" s="764"/>
      <c r="C56" s="764"/>
      <c r="D56" s="764"/>
      <c r="E56" s="764"/>
      <c r="F56" s="764"/>
      <c r="G56" s="764"/>
      <c r="H56" s="764"/>
      <c r="I56" s="764"/>
      <c r="J56" s="764"/>
      <c r="K56" s="764"/>
      <c r="L56" s="764"/>
      <c r="M56" s="764"/>
      <c r="N56" s="764"/>
      <c r="O56" s="764"/>
      <c r="P56" s="765"/>
      <c r="Q56" s="248">
        <f>IF(Q55*$D$5&lt;500,500,Q55*$D$5)</f>
        <v>500</v>
      </c>
      <c r="R56" s="249"/>
      <c r="S56" s="249"/>
      <c r="T56" s="249"/>
      <c r="U56" s="249"/>
      <c r="V56" s="250">
        <f>IF(V55*$D$5&lt;500,500,V55*$D$5)</f>
        <v>500</v>
      </c>
      <c r="W56" s="250">
        <f>IF(W55*$D$5&lt;500,500,W55*$D$5)</f>
        <v>500</v>
      </c>
      <c r="X56" s="251">
        <f>IF(X55*$D$5&lt;500,500,X55*$D$5)</f>
        <v>63002.374493143041</v>
      </c>
    </row>
    <row r="57" spans="1:24" ht="18.75" customHeight="1" x14ac:dyDescent="0.25"/>
    <row r="58" spans="1:24" ht="18.75" customHeight="1" x14ac:dyDescent="0.25"/>
    <row r="59" spans="1:24" ht="18.75" customHeight="1" x14ac:dyDescent="0.25"/>
    <row r="60" spans="1:24" ht="18.75" customHeight="1" x14ac:dyDescent="0.25"/>
    <row r="61" spans="1:24" ht="18.75" customHeight="1" x14ac:dyDescent="0.25"/>
  </sheetData>
  <mergeCells count="52">
    <mergeCell ref="A56:P56"/>
    <mergeCell ref="A3:C3"/>
    <mergeCell ref="A4:C4"/>
    <mergeCell ref="A5:C5"/>
    <mergeCell ref="A6:C6"/>
    <mergeCell ref="A54:P54"/>
    <mergeCell ref="A55:P55"/>
    <mergeCell ref="N53:P53"/>
    <mergeCell ref="A38:D38"/>
    <mergeCell ref="B26:D26"/>
    <mergeCell ref="B27:D27"/>
    <mergeCell ref="B28:D28"/>
    <mergeCell ref="B29:D29"/>
    <mergeCell ref="B30:D30"/>
    <mergeCell ref="B31:D31"/>
    <mergeCell ref="B19:D19"/>
    <mergeCell ref="A1:X1"/>
    <mergeCell ref="A49:P49"/>
    <mergeCell ref="A50:P50"/>
    <mergeCell ref="A51:P51"/>
    <mergeCell ref="A52:P52"/>
    <mergeCell ref="B39:D39"/>
    <mergeCell ref="B40:D40"/>
    <mergeCell ref="A42:D42"/>
    <mergeCell ref="A44:D44"/>
    <mergeCell ref="B45:D45"/>
    <mergeCell ref="A47:D47"/>
    <mergeCell ref="B32:D32"/>
    <mergeCell ref="B33:D33"/>
    <mergeCell ref="B34:D34"/>
    <mergeCell ref="B35:D35"/>
    <mergeCell ref="B36:D36"/>
    <mergeCell ref="B20:D20"/>
    <mergeCell ref="A22:D22"/>
    <mergeCell ref="B23:D23"/>
    <mergeCell ref="B24:D24"/>
    <mergeCell ref="B25:D25"/>
    <mergeCell ref="B15:D15"/>
    <mergeCell ref="B16:D16"/>
    <mergeCell ref="A18:D18"/>
    <mergeCell ref="B9:D9"/>
    <mergeCell ref="A7:D8"/>
    <mergeCell ref="B10:D10"/>
    <mergeCell ref="A12:D12"/>
    <mergeCell ref="B13:D13"/>
    <mergeCell ref="B14:D14"/>
    <mergeCell ref="X7:X8"/>
    <mergeCell ref="E7:P7"/>
    <mergeCell ref="Q7:Q8"/>
    <mergeCell ref="R7:U7"/>
    <mergeCell ref="V7:V8"/>
    <mergeCell ref="W7:W8"/>
  </mergeCells>
  <pageMargins left="0.7" right="0.7" top="0.78740157499999996" bottom="0.78740157499999996" header="0.3" footer="0.3"/>
  <pageSetup paperSize="8" scale="60" fitToHeight="0" orientation="landscape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X87"/>
  <sheetViews>
    <sheetView showGridLines="0" view="pageBreakPreview" zoomScaleNormal="85" zoomScaleSheetLayoutView="100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W21" sqref="W21"/>
    </sheetView>
  </sheetViews>
  <sheetFormatPr baseColWidth="10" defaultRowHeight="15" outlineLevelRow="1" outlineLevelCol="1" x14ac:dyDescent="0.25"/>
  <cols>
    <col min="1" max="4" width="11.42578125" style="41" customWidth="1"/>
    <col min="5" max="16" width="14.28515625" style="41" customWidth="1" outlineLevel="1"/>
    <col min="17" max="17" width="14.28515625" style="41" customWidth="1"/>
    <col min="18" max="21" width="14.28515625" style="41" customWidth="1" outlineLevel="1"/>
    <col min="22" max="24" width="16.140625" style="41" bestFit="1" customWidth="1"/>
    <col min="25" max="16384" width="11.42578125" style="41"/>
  </cols>
  <sheetData>
    <row r="1" spans="1:24" ht="27" thickBot="1" x14ac:dyDescent="0.3">
      <c r="A1" s="714" t="s">
        <v>185</v>
      </c>
      <c r="B1" s="715"/>
      <c r="C1" s="715"/>
      <c r="D1" s="715"/>
      <c r="E1" s="715"/>
      <c r="F1" s="715"/>
      <c r="G1" s="715"/>
      <c r="H1" s="715"/>
      <c r="I1" s="715"/>
      <c r="J1" s="715"/>
      <c r="K1" s="715"/>
      <c r="L1" s="715"/>
      <c r="M1" s="715"/>
      <c r="N1" s="715"/>
      <c r="O1" s="715"/>
      <c r="P1" s="715"/>
      <c r="Q1" s="715"/>
      <c r="R1" s="715"/>
      <c r="S1" s="715"/>
      <c r="T1" s="715"/>
      <c r="U1" s="715"/>
      <c r="V1" s="715"/>
      <c r="W1" s="715"/>
      <c r="X1" s="716"/>
    </row>
    <row r="2" spans="1:24" ht="15.75" thickBot="1" x14ac:dyDescent="0.3"/>
    <row r="3" spans="1:24" ht="15.75" thickBot="1" x14ac:dyDescent="0.3">
      <c r="A3" s="793" t="s">
        <v>180</v>
      </c>
      <c r="B3" s="794"/>
      <c r="C3" s="795"/>
      <c r="D3" s="391">
        <v>35000</v>
      </c>
    </row>
    <row r="4" spans="1:24" x14ac:dyDescent="0.25">
      <c r="A4" s="796" t="s">
        <v>189</v>
      </c>
      <c r="B4" s="797"/>
      <c r="C4" s="798"/>
      <c r="D4" s="392">
        <v>0.04</v>
      </c>
    </row>
    <row r="5" spans="1:24" x14ac:dyDescent="0.25">
      <c r="A5" s="769" t="s">
        <v>169</v>
      </c>
      <c r="B5" s="770"/>
      <c r="C5" s="771"/>
      <c r="D5" s="393">
        <v>0.06</v>
      </c>
    </row>
    <row r="6" spans="1:24" x14ac:dyDescent="0.25">
      <c r="A6" s="769" t="s">
        <v>170</v>
      </c>
      <c r="B6" s="770"/>
      <c r="C6" s="771"/>
      <c r="D6" s="393">
        <v>1E-3</v>
      </c>
    </row>
    <row r="7" spans="1:24" x14ac:dyDescent="0.25">
      <c r="A7" s="769" t="s">
        <v>105</v>
      </c>
      <c r="B7" s="770"/>
      <c r="C7" s="771"/>
      <c r="D7" s="383">
        <f>'Plan G&amp;V'!D6</f>
        <v>0.2</v>
      </c>
    </row>
    <row r="8" spans="1:24" ht="15.75" thickBot="1" x14ac:dyDescent="0.3">
      <c r="A8" s="772" t="s">
        <v>164</v>
      </c>
      <c r="B8" s="773"/>
      <c r="C8" s="774"/>
      <c r="D8" s="394">
        <v>0.2</v>
      </c>
    </row>
    <row r="9" spans="1:24" ht="18.75" customHeight="1" x14ac:dyDescent="0.25">
      <c r="A9" s="788" t="s">
        <v>259</v>
      </c>
      <c r="B9" s="789"/>
      <c r="C9" s="789"/>
      <c r="D9" s="790"/>
      <c r="E9" s="691" t="s">
        <v>20</v>
      </c>
      <c r="F9" s="691"/>
      <c r="G9" s="691"/>
      <c r="H9" s="691"/>
      <c r="I9" s="691"/>
      <c r="J9" s="691"/>
      <c r="K9" s="691"/>
      <c r="L9" s="691"/>
      <c r="M9" s="691"/>
      <c r="N9" s="691"/>
      <c r="O9" s="691"/>
      <c r="P9" s="691"/>
      <c r="Q9" s="695" t="s">
        <v>20</v>
      </c>
      <c r="R9" s="691" t="s">
        <v>25</v>
      </c>
      <c r="S9" s="691"/>
      <c r="T9" s="691"/>
      <c r="U9" s="691"/>
      <c r="V9" s="695" t="s">
        <v>25</v>
      </c>
      <c r="W9" s="695" t="s">
        <v>26</v>
      </c>
      <c r="X9" s="697" t="s">
        <v>27</v>
      </c>
    </row>
    <row r="10" spans="1:24" ht="18.75" customHeight="1" thickBot="1" x14ac:dyDescent="0.3">
      <c r="A10" s="791"/>
      <c r="B10" s="792"/>
      <c r="C10" s="792"/>
      <c r="D10" s="792"/>
      <c r="E10" s="1">
        <v>1</v>
      </c>
      <c r="F10" s="2">
        <v>2</v>
      </c>
      <c r="G10" s="2">
        <v>3</v>
      </c>
      <c r="H10" s="2">
        <v>4</v>
      </c>
      <c r="I10" s="2">
        <v>5</v>
      </c>
      <c r="J10" s="2">
        <v>6</v>
      </c>
      <c r="K10" s="2">
        <v>7</v>
      </c>
      <c r="L10" s="2">
        <v>8</v>
      </c>
      <c r="M10" s="2">
        <v>9</v>
      </c>
      <c r="N10" s="2">
        <v>10</v>
      </c>
      <c r="O10" s="2">
        <v>11</v>
      </c>
      <c r="P10" s="290">
        <v>12</v>
      </c>
      <c r="Q10" s="696"/>
      <c r="R10" s="4" t="s">
        <v>21</v>
      </c>
      <c r="S10" s="2" t="s">
        <v>22</v>
      </c>
      <c r="T10" s="2" t="s">
        <v>23</v>
      </c>
      <c r="U10" s="290" t="s">
        <v>24</v>
      </c>
      <c r="V10" s="696"/>
      <c r="W10" s="696"/>
      <c r="X10" s="698"/>
    </row>
    <row r="11" spans="1:24" ht="18.75" customHeight="1" thickTop="1" x14ac:dyDescent="0.25">
      <c r="A11" s="785" t="s">
        <v>144</v>
      </c>
      <c r="B11" s="747"/>
      <c r="C11" s="747"/>
      <c r="D11" s="747"/>
      <c r="E11" s="395">
        <v>0.9</v>
      </c>
      <c r="F11" s="396">
        <v>0.9</v>
      </c>
      <c r="G11" s="396">
        <v>0.9</v>
      </c>
      <c r="H11" s="396">
        <v>0.9</v>
      </c>
      <c r="I11" s="396">
        <v>0.9</v>
      </c>
      <c r="J11" s="396">
        <v>0.9</v>
      </c>
      <c r="K11" s="396">
        <v>0.9</v>
      </c>
      <c r="L11" s="396">
        <v>0.9</v>
      </c>
      <c r="M11" s="396">
        <v>0.9</v>
      </c>
      <c r="N11" s="396">
        <v>0.9</v>
      </c>
      <c r="O11" s="396">
        <v>0.9</v>
      </c>
      <c r="P11" s="397">
        <v>0.9</v>
      </c>
      <c r="Q11" s="317">
        <f>AVERAGE(E11:P11)</f>
        <v>0.90000000000000024</v>
      </c>
      <c r="R11" s="400">
        <v>0.9</v>
      </c>
      <c r="S11" s="396">
        <v>0.9</v>
      </c>
      <c r="T11" s="396">
        <v>0.9</v>
      </c>
      <c r="U11" s="397">
        <v>0.9</v>
      </c>
      <c r="V11" s="317">
        <f>AVERAGE(R11:U11)</f>
        <v>0.9</v>
      </c>
      <c r="W11" s="402">
        <v>0.9</v>
      </c>
      <c r="X11" s="403">
        <v>0.9</v>
      </c>
    </row>
    <row r="12" spans="1:24" ht="18.75" customHeight="1" x14ac:dyDescent="0.25">
      <c r="A12" s="784" t="s">
        <v>145</v>
      </c>
      <c r="B12" s="740"/>
      <c r="C12" s="740"/>
      <c r="D12" s="740"/>
      <c r="E12" s="398">
        <v>0.1</v>
      </c>
      <c r="F12" s="399">
        <v>0.1</v>
      </c>
      <c r="G12" s="399">
        <v>0.1</v>
      </c>
      <c r="H12" s="399">
        <v>0.1</v>
      </c>
      <c r="I12" s="399">
        <v>0.1</v>
      </c>
      <c r="J12" s="399">
        <v>0.1</v>
      </c>
      <c r="K12" s="399">
        <v>0.1</v>
      </c>
      <c r="L12" s="399">
        <v>0.1</v>
      </c>
      <c r="M12" s="399">
        <v>0.1</v>
      </c>
      <c r="N12" s="399">
        <v>0.1</v>
      </c>
      <c r="O12" s="399">
        <v>0.1</v>
      </c>
      <c r="P12" s="399">
        <v>0.1</v>
      </c>
      <c r="Q12" s="318">
        <f t="shared" ref="Q12:Q13" si="0">AVERAGE(E12:P12)</f>
        <v>9.9999999999999992E-2</v>
      </c>
      <c r="R12" s="401">
        <v>0.1</v>
      </c>
      <c r="S12" s="399">
        <v>0.1</v>
      </c>
      <c r="T12" s="399">
        <v>0.1</v>
      </c>
      <c r="U12" s="399">
        <v>0.1</v>
      </c>
      <c r="V12" s="318">
        <f t="shared" ref="V12:V13" si="1">AVERAGE(R12:U12)</f>
        <v>0.1</v>
      </c>
      <c r="W12" s="404">
        <v>0.1</v>
      </c>
      <c r="X12" s="405">
        <v>0.1</v>
      </c>
    </row>
    <row r="13" spans="1:24" ht="18.75" customHeight="1" thickBot="1" x14ac:dyDescent="0.3">
      <c r="A13" s="783" t="s">
        <v>146</v>
      </c>
      <c r="B13" s="742"/>
      <c r="C13" s="742"/>
      <c r="D13" s="742"/>
      <c r="E13" s="319">
        <f>1-E12-E11</f>
        <v>0</v>
      </c>
      <c r="F13" s="320">
        <f t="shared" ref="F13:X13" si="2">1-F12-F11</f>
        <v>0</v>
      </c>
      <c r="G13" s="320">
        <f t="shared" si="2"/>
        <v>0</v>
      </c>
      <c r="H13" s="320">
        <f t="shared" si="2"/>
        <v>0</v>
      </c>
      <c r="I13" s="320">
        <f t="shared" si="2"/>
        <v>0</v>
      </c>
      <c r="J13" s="320">
        <f t="shared" si="2"/>
        <v>0</v>
      </c>
      <c r="K13" s="320">
        <f t="shared" si="2"/>
        <v>0</v>
      </c>
      <c r="L13" s="320">
        <f t="shared" si="2"/>
        <v>0</v>
      </c>
      <c r="M13" s="320">
        <f t="shared" si="2"/>
        <v>0</v>
      </c>
      <c r="N13" s="320">
        <f t="shared" si="2"/>
        <v>0</v>
      </c>
      <c r="O13" s="320">
        <f t="shared" si="2"/>
        <v>0</v>
      </c>
      <c r="P13" s="321">
        <f t="shared" si="2"/>
        <v>0</v>
      </c>
      <c r="Q13" s="322">
        <f t="shared" si="0"/>
        <v>0</v>
      </c>
      <c r="R13" s="323">
        <f t="shared" si="2"/>
        <v>0</v>
      </c>
      <c r="S13" s="320">
        <f t="shared" si="2"/>
        <v>0</v>
      </c>
      <c r="T13" s="320">
        <f t="shared" si="2"/>
        <v>0</v>
      </c>
      <c r="U13" s="321">
        <f t="shared" si="2"/>
        <v>0</v>
      </c>
      <c r="V13" s="322">
        <f t="shared" si="1"/>
        <v>0</v>
      </c>
      <c r="W13" s="322">
        <f t="shared" si="2"/>
        <v>0</v>
      </c>
      <c r="X13" s="324">
        <f t="shared" si="2"/>
        <v>0</v>
      </c>
    </row>
    <row r="14" spans="1:24" ht="7.5" customHeight="1" thickTop="1" thickBot="1" x14ac:dyDescent="0.3">
      <c r="A14" s="325"/>
      <c r="B14" s="326"/>
      <c r="C14" s="326"/>
      <c r="D14" s="326"/>
      <c r="E14" s="327"/>
      <c r="F14" s="328"/>
      <c r="G14" s="328"/>
      <c r="H14" s="328"/>
      <c r="I14" s="328"/>
      <c r="J14" s="328"/>
      <c r="K14" s="328"/>
      <c r="L14" s="328"/>
      <c r="M14" s="328"/>
      <c r="N14" s="328"/>
      <c r="O14" s="328"/>
      <c r="P14" s="329"/>
      <c r="Q14" s="330"/>
      <c r="R14" s="331"/>
      <c r="S14" s="328"/>
      <c r="T14" s="328"/>
      <c r="U14" s="329"/>
      <c r="V14" s="330"/>
      <c r="W14" s="330"/>
      <c r="X14" s="332"/>
    </row>
    <row r="15" spans="1:24" ht="18.75" customHeight="1" x14ac:dyDescent="0.25">
      <c r="A15" s="786" t="s">
        <v>147</v>
      </c>
      <c r="B15" s="787"/>
      <c r="C15" s="787"/>
      <c r="D15" s="787"/>
      <c r="E15" s="619">
        <f>'Plan G&amp;V'!E9</f>
        <v>0</v>
      </c>
      <c r="F15" s="620">
        <f>'Plan G&amp;V'!F9</f>
        <v>0</v>
      </c>
      <c r="G15" s="620">
        <f>'Plan G&amp;V'!G9</f>
        <v>0</v>
      </c>
      <c r="H15" s="620">
        <f>'Plan G&amp;V'!H9</f>
        <v>0</v>
      </c>
      <c r="I15" s="620">
        <f>'Plan G&amp;V'!I9</f>
        <v>0</v>
      </c>
      <c r="J15" s="620">
        <f>'Plan G&amp;V'!J9</f>
        <v>0</v>
      </c>
      <c r="K15" s="620">
        <f>'Plan G&amp;V'!K9</f>
        <v>100000</v>
      </c>
      <c r="L15" s="620">
        <f>'Plan G&amp;V'!L9</f>
        <v>0</v>
      </c>
      <c r="M15" s="620">
        <f>'Plan G&amp;V'!M9</f>
        <v>0</v>
      </c>
      <c r="N15" s="620">
        <f>'Plan G&amp;V'!N9</f>
        <v>0</v>
      </c>
      <c r="O15" s="620">
        <f>'Plan G&amp;V'!O9</f>
        <v>100000</v>
      </c>
      <c r="P15" s="621">
        <f>'Plan G&amp;V'!P9</f>
        <v>8000</v>
      </c>
      <c r="Q15" s="622">
        <f>'Plan G&amp;V'!Q9</f>
        <v>208000</v>
      </c>
      <c r="R15" s="623">
        <f>'Plan G&amp;V'!R9</f>
        <v>33000</v>
      </c>
      <c r="S15" s="620">
        <f>'Plan G&amp;V'!S9</f>
        <v>133000</v>
      </c>
      <c r="T15" s="620">
        <f>'Plan G&amp;V'!T9</f>
        <v>133000</v>
      </c>
      <c r="U15" s="621">
        <f>'Plan G&amp;V'!U9</f>
        <v>133000</v>
      </c>
      <c r="V15" s="622">
        <f>'Plan G&amp;V'!V9</f>
        <v>432000</v>
      </c>
      <c r="W15" s="622">
        <f>'Plan G&amp;V'!W9</f>
        <v>776000</v>
      </c>
      <c r="X15" s="624">
        <f>'Plan G&amp;V'!X9</f>
        <v>1824000</v>
      </c>
    </row>
    <row r="16" spans="1:24" ht="18.75" customHeight="1" thickBot="1" x14ac:dyDescent="0.3">
      <c r="A16" s="781" t="s">
        <v>152</v>
      </c>
      <c r="B16" s="782"/>
      <c r="C16" s="782"/>
      <c r="D16" s="782"/>
      <c r="E16" s="625">
        <f>E25*E11</f>
        <v>0</v>
      </c>
      <c r="F16" s="626">
        <f>F11*F25+E25*E12</f>
        <v>0</v>
      </c>
      <c r="G16" s="626">
        <f>G11*G25+F25*F12+E25*E13</f>
        <v>0</v>
      </c>
      <c r="H16" s="626">
        <f>H11*H25+G25*G12+F25*F13</f>
        <v>0</v>
      </c>
      <c r="I16" s="626">
        <f>I11*I25+H25*H12+G25*G13</f>
        <v>0</v>
      </c>
      <c r="J16" s="626">
        <f>J11*J25+I25*I12+H25*H13</f>
        <v>0</v>
      </c>
      <c r="K16" s="626">
        <f>K11*K25+J25*J12+I25*I13</f>
        <v>90000</v>
      </c>
      <c r="L16" s="626">
        <f>L11*L25+K25*K12+J25*J13</f>
        <v>10000</v>
      </c>
      <c r="M16" s="626">
        <f>M11*M25+L25*L12+K25*K13</f>
        <v>0</v>
      </c>
      <c r="N16" s="626">
        <f>N11*N25+M25*M12+L25*L13</f>
        <v>0</v>
      </c>
      <c r="O16" s="626">
        <f>O11*O25+N25*N12+M25*M13</f>
        <v>90000</v>
      </c>
      <c r="P16" s="627">
        <f>P11*P25+O25*O12+N25*N13</f>
        <v>17200</v>
      </c>
      <c r="Q16" s="629">
        <f>SUM(E16:P16)</f>
        <v>207200</v>
      </c>
      <c r="R16" s="628">
        <f>(((R25/3)*SUM(R11,R12,R13))+((R25/3)*SUM(R11,R12))+((R25/3)*SUM(R11)))+(P25*P12)+(O25*O13)</f>
        <v>32700</v>
      </c>
      <c r="S16" s="626">
        <f>(((S25/3)*SUM(S11,S12,S13))+((S25/3)*SUM(S11,S12))+((S25/3)*SUM(S11)))+((R25/3)*SUM(R12,R13)+(R25/3)*SUM(R13))</f>
        <v>129666.66666666667</v>
      </c>
      <c r="T16" s="626">
        <f>(((T25/3)*SUM(T11,T12,T13))+((T25/3)*SUM(T11,T12))+((T25/3)*SUM(T11)))+((S25/3)*SUM(S12,S13)+(S25/3)*SUM(S13))</f>
        <v>133000</v>
      </c>
      <c r="U16" s="627">
        <f>(((U25/3)*SUM(U11,U12,U13))+((U25/3)*SUM(U11,U12))+((U25/3)*SUM(U11)))+((T25/3)*SUM(T12,T13)+(T25/3)*SUM(T13))</f>
        <v>133000</v>
      </c>
      <c r="V16" s="629">
        <f>SUM(R16:U16)</f>
        <v>428366.66666666669</v>
      </c>
      <c r="W16" s="629">
        <f>((W25/12)*10*SUM(W11,W12,W13)+(W25/12)*1*SUM(W11,W12)+(W25/12)*1*SUM(W11))+((U25/3)*SUM(U12,U13)+(U25/3)*SUM(U13))</f>
        <v>773966.66666666663</v>
      </c>
      <c r="X16" s="630">
        <f>((X25/12)*10*SUM(X11,X12,X13)+(X25/12)*1*SUM(X11,X12)+(X25/12)*1*SUM(X11))+((W25/12)*SUM(W12,W13)+(W25/12)*SUM(W13))</f>
        <v>1815266.6666666667</v>
      </c>
    </row>
    <row r="17" spans="1:24" ht="7.5" customHeight="1" thickBot="1" x14ac:dyDescent="0.3"/>
    <row r="18" spans="1:24" ht="22.5" customHeight="1" thickBot="1" x14ac:dyDescent="0.3">
      <c r="A18" s="815" t="s">
        <v>151</v>
      </c>
      <c r="B18" s="816"/>
      <c r="C18" s="817"/>
      <c r="D18" s="333"/>
      <c r="E18" s="691" t="s">
        <v>20</v>
      </c>
      <c r="F18" s="691"/>
      <c r="G18" s="691"/>
      <c r="H18" s="691"/>
      <c r="I18" s="691"/>
      <c r="J18" s="691"/>
      <c r="K18" s="691"/>
      <c r="L18" s="691"/>
      <c r="M18" s="691"/>
      <c r="N18" s="691"/>
      <c r="O18" s="691"/>
      <c r="P18" s="691"/>
      <c r="Q18" s="695" t="s">
        <v>20</v>
      </c>
      <c r="R18" s="691" t="s">
        <v>25</v>
      </c>
      <c r="S18" s="691"/>
      <c r="T18" s="691"/>
      <c r="U18" s="691"/>
      <c r="V18" s="695" t="s">
        <v>25</v>
      </c>
      <c r="W18" s="693" t="s">
        <v>26</v>
      </c>
      <c r="X18" s="697" t="s">
        <v>27</v>
      </c>
    </row>
    <row r="19" spans="1:24" ht="18.75" customHeight="1" thickBot="1" x14ac:dyDescent="0.3">
      <c r="A19" s="812" t="s">
        <v>150</v>
      </c>
      <c r="B19" s="813"/>
      <c r="C19" s="813"/>
      <c r="D19" s="814"/>
      <c r="E19" s="113">
        <v>1</v>
      </c>
      <c r="F19" s="2">
        <v>2</v>
      </c>
      <c r="G19" s="2">
        <v>3</v>
      </c>
      <c r="H19" s="2">
        <v>4</v>
      </c>
      <c r="I19" s="2">
        <v>5</v>
      </c>
      <c r="J19" s="2">
        <v>6</v>
      </c>
      <c r="K19" s="2">
        <v>7</v>
      </c>
      <c r="L19" s="2">
        <v>8</v>
      </c>
      <c r="M19" s="2">
        <v>9</v>
      </c>
      <c r="N19" s="2">
        <v>10</v>
      </c>
      <c r="O19" s="2">
        <v>11</v>
      </c>
      <c r="P19" s="3">
        <v>12</v>
      </c>
      <c r="Q19" s="696"/>
      <c r="R19" s="113" t="s">
        <v>21</v>
      </c>
      <c r="S19" s="2" t="s">
        <v>22</v>
      </c>
      <c r="T19" s="2" t="s">
        <v>23</v>
      </c>
      <c r="U19" s="3" t="s">
        <v>24</v>
      </c>
      <c r="V19" s="696"/>
      <c r="W19" s="694"/>
      <c r="X19" s="698"/>
    </row>
    <row r="20" spans="1:24" ht="18.75" customHeight="1" outlineLevel="1" thickTop="1" x14ac:dyDescent="0.25">
      <c r="A20" s="805" t="s">
        <v>264</v>
      </c>
      <c r="B20" s="806"/>
      <c r="C20" s="806"/>
      <c r="D20" s="807"/>
      <c r="E20" s="149"/>
      <c r="F20" s="18"/>
      <c r="G20" s="18"/>
      <c r="H20" s="18"/>
      <c r="I20" s="18"/>
      <c r="J20" s="18"/>
      <c r="K20" s="18">
        <v>100000</v>
      </c>
      <c r="L20" s="18"/>
      <c r="M20" s="18"/>
      <c r="N20" s="18"/>
      <c r="O20" s="18">
        <v>100000</v>
      </c>
      <c r="P20" s="154"/>
      <c r="Q20" s="8">
        <f>SUM(E20:P20)</f>
        <v>200000</v>
      </c>
      <c r="R20" s="410"/>
      <c r="S20" s="18">
        <v>100000</v>
      </c>
      <c r="T20" s="18">
        <v>100000</v>
      </c>
      <c r="U20" s="154">
        <v>100000</v>
      </c>
      <c r="V20" s="8">
        <f>SUM(R20:U20)</f>
        <v>300000</v>
      </c>
      <c r="W20" s="415">
        <v>400000</v>
      </c>
      <c r="X20" s="147">
        <v>600000</v>
      </c>
    </row>
    <row r="21" spans="1:24" ht="18.75" customHeight="1" outlineLevel="1" x14ac:dyDescent="0.25">
      <c r="A21" s="683" t="s">
        <v>265</v>
      </c>
      <c r="B21" s="685"/>
      <c r="C21" s="685"/>
      <c r="D21" s="808"/>
      <c r="E21" s="406"/>
      <c r="F21" s="407"/>
      <c r="G21" s="407"/>
      <c r="H21" s="407"/>
      <c r="I21" s="407"/>
      <c r="J21" s="407"/>
      <c r="K21" s="407"/>
      <c r="L21" s="407"/>
      <c r="M21" s="407"/>
      <c r="N21" s="407"/>
      <c r="O21" s="407"/>
      <c r="P21" s="408"/>
      <c r="Q21" s="334">
        <f t="shared" ref="Q21:Q23" si="3">SUM(E21:P21)</f>
        <v>0</v>
      </c>
      <c r="R21" s="411">
        <f>(((400000/100)*0.02)*1500)/4</f>
        <v>30000</v>
      </c>
      <c r="S21" s="407">
        <f>R21</f>
        <v>30000</v>
      </c>
      <c r="T21" s="407">
        <f>R21</f>
        <v>30000</v>
      </c>
      <c r="U21" s="408">
        <f>R21</f>
        <v>30000</v>
      </c>
      <c r="V21" s="334">
        <f t="shared" ref="V21:V23" si="4">SUM(R21:U21)</f>
        <v>120000</v>
      </c>
      <c r="W21" s="416">
        <f>(((400000/100)*0.06)*1500)</f>
        <v>360000</v>
      </c>
      <c r="X21" s="417">
        <f>(((400000/100)*0.2)*1500)</f>
        <v>1200000</v>
      </c>
    </row>
    <row r="22" spans="1:24" ht="18.75" customHeight="1" outlineLevel="1" x14ac:dyDescent="0.25">
      <c r="A22" s="683" t="s">
        <v>266</v>
      </c>
      <c r="B22" s="685"/>
      <c r="C22" s="685"/>
      <c r="D22" s="808"/>
      <c r="E22" s="916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316">
        <v>8000</v>
      </c>
      <c r="Q22" s="334">
        <f t="shared" si="3"/>
        <v>8000</v>
      </c>
      <c r="R22" s="315">
        <v>3000</v>
      </c>
      <c r="S22" s="110">
        <v>3000</v>
      </c>
      <c r="T22" s="110">
        <v>3000</v>
      </c>
      <c r="U22" s="316">
        <v>3000</v>
      </c>
      <c r="V22" s="334">
        <f t="shared" si="4"/>
        <v>12000</v>
      </c>
      <c r="W22" s="917">
        <v>16000</v>
      </c>
      <c r="X22" s="918">
        <v>24000</v>
      </c>
    </row>
    <row r="23" spans="1:24" ht="18.75" customHeight="1" outlineLevel="1" thickBot="1" x14ac:dyDescent="0.3">
      <c r="A23" s="809"/>
      <c r="B23" s="810"/>
      <c r="C23" s="810"/>
      <c r="D23" s="811"/>
      <c r="E23" s="314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56"/>
      <c r="Q23" s="136">
        <f t="shared" si="3"/>
        <v>0</v>
      </c>
      <c r="R23" s="140"/>
      <c r="S23" s="141"/>
      <c r="T23" s="141"/>
      <c r="U23" s="156"/>
      <c r="V23" s="136">
        <f t="shared" si="4"/>
        <v>0</v>
      </c>
      <c r="W23" s="144"/>
      <c r="X23" s="419"/>
    </row>
    <row r="24" spans="1:24" ht="7.5" customHeight="1" outlineLevel="1" thickTop="1" thickBot="1" x14ac:dyDescent="0.3">
      <c r="A24" s="799"/>
      <c r="B24" s="800"/>
      <c r="C24" s="800"/>
      <c r="D24" s="801"/>
      <c r="E24" s="315"/>
      <c r="F24" s="110"/>
      <c r="G24" s="110"/>
      <c r="H24" s="110"/>
      <c r="I24" s="110"/>
      <c r="J24" s="110"/>
      <c r="K24" s="110"/>
      <c r="L24" s="110"/>
      <c r="M24" s="110"/>
      <c r="N24" s="110"/>
      <c r="O24" s="110"/>
      <c r="P24" s="316"/>
      <c r="Q24" s="330"/>
      <c r="R24" s="412"/>
      <c r="S24" s="413"/>
      <c r="T24" s="413"/>
      <c r="U24" s="414"/>
      <c r="V24" s="330"/>
      <c r="W24" s="420"/>
      <c r="X24" s="421"/>
    </row>
    <row r="25" spans="1:24" ht="18.75" customHeight="1" thickBot="1" x14ac:dyDescent="0.3">
      <c r="A25" s="802" t="s">
        <v>155</v>
      </c>
      <c r="B25" s="803"/>
      <c r="C25" s="803"/>
      <c r="D25" s="804"/>
      <c r="E25" s="631">
        <f>SUM(E20:E24)</f>
        <v>0</v>
      </c>
      <c r="F25" s="565">
        <f>SUM(F20:F24)</f>
        <v>0</v>
      </c>
      <c r="G25" s="565">
        <f>SUM(G20:G24)</f>
        <v>0</v>
      </c>
      <c r="H25" s="565">
        <f>SUM(H20:H24)</f>
        <v>0</v>
      </c>
      <c r="I25" s="565">
        <f>SUM(I20:I24)</f>
        <v>0</v>
      </c>
      <c r="J25" s="565">
        <f>SUM(J20:J24)</f>
        <v>0</v>
      </c>
      <c r="K25" s="565">
        <f>SUM(K20:K24)</f>
        <v>100000</v>
      </c>
      <c r="L25" s="565">
        <f>SUM(L20:L24)</f>
        <v>0</v>
      </c>
      <c r="M25" s="565">
        <f>SUM(M20:M24)</f>
        <v>0</v>
      </c>
      <c r="N25" s="565">
        <f>SUM(N20:N24)</f>
        <v>0</v>
      </c>
      <c r="O25" s="565">
        <f>SUM(O20:O24)</f>
        <v>100000</v>
      </c>
      <c r="P25" s="562">
        <f>SUM(P20:P24)</f>
        <v>8000</v>
      </c>
      <c r="Q25" s="568">
        <f>SUM(Q20:Q24)</f>
        <v>208000</v>
      </c>
      <c r="R25" s="452">
        <f>SUM(R20:R24)</f>
        <v>33000</v>
      </c>
      <c r="S25" s="565">
        <f>SUM(S20:S24)</f>
        <v>133000</v>
      </c>
      <c r="T25" s="565">
        <f>SUM(T20:T24)</f>
        <v>133000</v>
      </c>
      <c r="U25" s="562">
        <f>SUM(U20:U24)</f>
        <v>133000</v>
      </c>
      <c r="V25" s="568">
        <f>SUM(V20:V24)</f>
        <v>432000</v>
      </c>
      <c r="W25" s="567">
        <f>SUM(W20:W24)</f>
        <v>776000</v>
      </c>
      <c r="X25" s="507">
        <f>SUM(X20:X24)</f>
        <v>1824000</v>
      </c>
    </row>
    <row r="26" spans="1:24" ht="7.5" customHeight="1" thickBot="1" x14ac:dyDescent="0.3">
      <c r="A26" s="717"/>
      <c r="B26" s="718"/>
      <c r="C26" s="718"/>
      <c r="D26" s="718"/>
      <c r="E26" s="718"/>
      <c r="F26" s="718"/>
      <c r="G26" s="718"/>
      <c r="H26" s="718"/>
      <c r="I26" s="718"/>
      <c r="J26" s="718"/>
      <c r="K26" s="718"/>
      <c r="L26" s="718"/>
      <c r="M26" s="718"/>
      <c r="N26" s="718"/>
      <c r="O26" s="718"/>
      <c r="P26" s="718"/>
      <c r="Q26" s="718"/>
      <c r="R26" s="718"/>
      <c r="S26" s="718"/>
      <c r="T26" s="718"/>
      <c r="U26" s="718"/>
      <c r="V26" s="718"/>
      <c r="W26" s="718"/>
      <c r="X26" s="719"/>
    </row>
    <row r="27" spans="1:24" ht="18.75" customHeight="1" thickBot="1" x14ac:dyDescent="0.3">
      <c r="A27" s="824" t="s">
        <v>149</v>
      </c>
      <c r="B27" s="825"/>
      <c r="C27" s="825"/>
      <c r="D27" s="826"/>
      <c r="X27" s="335"/>
    </row>
    <row r="28" spans="1:24" ht="18.75" customHeight="1" outlineLevel="1" thickTop="1" x14ac:dyDescent="0.25">
      <c r="A28" s="821" t="s">
        <v>171</v>
      </c>
      <c r="B28" s="822"/>
      <c r="C28" s="822"/>
      <c r="D28" s="823"/>
      <c r="E28" s="278"/>
      <c r="F28" s="308"/>
      <c r="G28" s="308"/>
      <c r="H28" s="7">
        <f>E84</f>
        <v>0</v>
      </c>
      <c r="I28" s="308"/>
      <c r="J28" s="308"/>
      <c r="K28" s="7">
        <f>H84</f>
        <v>0</v>
      </c>
      <c r="L28" s="308"/>
      <c r="M28" s="308"/>
      <c r="N28" s="7">
        <f>K84</f>
        <v>0</v>
      </c>
      <c r="O28" s="308"/>
      <c r="P28" s="309"/>
      <c r="Q28" s="8">
        <f>SUM(E28:P28)</f>
        <v>0</v>
      </c>
      <c r="R28" s="310">
        <f>N84</f>
        <v>0</v>
      </c>
      <c r="S28" s="7">
        <f>R84</f>
        <v>0</v>
      </c>
      <c r="T28" s="7">
        <f>S84</f>
        <v>0</v>
      </c>
      <c r="U28" s="182">
        <f>T84</f>
        <v>0</v>
      </c>
      <c r="V28" s="8">
        <f>SUM(R28:U28)</f>
        <v>0</v>
      </c>
      <c r="W28" s="8">
        <f>U84</f>
        <v>0</v>
      </c>
      <c r="X28" s="9">
        <f>W84</f>
        <v>0</v>
      </c>
    </row>
    <row r="29" spans="1:24" ht="18.75" customHeight="1" outlineLevel="1" x14ac:dyDescent="0.25">
      <c r="A29" s="827" t="s">
        <v>184</v>
      </c>
      <c r="B29" s="828"/>
      <c r="C29" s="828"/>
      <c r="D29" s="829"/>
      <c r="E29" s="379"/>
      <c r="F29" s="380"/>
      <c r="G29" s="78">
        <f>((SUM(E40,E41,E42,E43,E45,E46,E47,E48,E51,E53)/(1+$D$8))*$D$8)+(Investitionsplan!F23*$D$8)</f>
        <v>12731.8</v>
      </c>
      <c r="H29" s="78">
        <f>((SUM(F40,F41,F42,F43,F45,F46,F47,F48,F51,F53)/(1+$D$8))*$D$8)+(Investitionsplan!G23*$D$8)</f>
        <v>943.16666666666686</v>
      </c>
      <c r="I29" s="78">
        <f>((SUM(G40,G41,G42,G43,G45,G46,G47,G48,G51,G53)/(1+$D$8))*$D$8)+(Investitionsplan!H23*$D$8)</f>
        <v>3276.5</v>
      </c>
      <c r="J29" s="78">
        <f>((SUM(H40,H41,H42,H43,H45,H46,H47,H48,H51,H53)/(1+$D$8))*$D$8)+(Investitionsplan!I23*$D$8)</f>
        <v>943.16666666666686</v>
      </c>
      <c r="K29" s="78">
        <f>((SUM(I40,I41,I42,I43,I45,I46,I47,I48,I51,I53)/(1+$D$8))*$D$8)+(Investitionsplan!J23*$D$8)</f>
        <v>3443.1666666666674</v>
      </c>
      <c r="L29" s="78">
        <f>((SUM(J40,J41,J42,J43,J45,J46,J47,J48,J51,J53)/(1+$D$8))*$D$8)+(Investitionsplan!K23*$D$8)</f>
        <v>2943.166666666667</v>
      </c>
      <c r="M29" s="78">
        <f>((SUM(K40,K41,K42,K43,K45,K46,K47,K48,K51,K53)/(1+$D$8))*$D$8)+(Investitionsplan!L23*$D$8)</f>
        <v>943.16666666666686</v>
      </c>
      <c r="N29" s="78">
        <f>((SUM(L40,L41,L42,L43,L45,L46,L47,L48,L51,L53)/(1+$D$8))*$D$8)+(Investitionsplan!M23*$D$8)</f>
        <v>943.16666666666686</v>
      </c>
      <c r="O29" s="78">
        <f>((SUM(M40,M41,M42,M43,M45,M46,M47,M48,M51,M53)/(1+$D$8))*$D$8)+(Investitionsplan!N23*$D$8)</f>
        <v>943.16666666666686</v>
      </c>
      <c r="P29" s="301">
        <f>((SUM(N40,N41,N42,N43,N45,N46,N47,N48,N51,N53)/(1+$D$8))*$D$8)+(Investitionsplan!O23*$D$8)</f>
        <v>5443.166666666667</v>
      </c>
      <c r="Q29" s="12">
        <f>SUM(E29:P29)</f>
        <v>32553.633333333342</v>
      </c>
      <c r="R29" s="77">
        <f>((SUM(O40:O43,O45:O48,O51,O53)/(1+$D$8))*$D$8)+((SUM(P40:P43,P45:P48,P51,P53)/(1+$D$8))*$D$8)+((SUM(R40:R43,R45:R48,R51,R53)/(1+$D$8))*$D$8)/3+(Investitionsplan!P23*$D$8)+(Investitionsplan!Q23*$D$8)+(Investitionsplan!S23*$D$8)/3</f>
        <v>3296.166666666667</v>
      </c>
      <c r="S29" s="78">
        <f>((SUM(R40:R43,R45:R48,R51,R53)/(1+$D$8))*$D$8)*(2/3)+((SUM(S40:S43,S45:S48,S51,S53)/(1+$D$8))*$D$8)/3+(Investitionsplan!S23*$D$8)*(2/3)+(Investitionsplan!T23*$D$8)/3</f>
        <v>3929.4999999999995</v>
      </c>
      <c r="T29" s="78">
        <f>((SUM(S40:S43,S45:S48,S51,S53)/(1+$D$8))*$D$8)*(2/3)+((SUM(T40:T43,T45:T48,T51,T53)/(1+$D$8))*$D$8)/3+(Investitionsplan!T23*$D$8)*(2/3)+(Investitionsplan!U23*$D$8)/3</f>
        <v>4496.166666666667</v>
      </c>
      <c r="U29" s="301">
        <f>((SUM(T40:T43,T45:T48,T51,T53)/(1+$D$8))*$D$8)*(2/3)+((SUM(U40:U43,U45:U48,U51,U53)/(1+$D$8))*$D$8)/3+(Investitionsplan!U23*$D$8)*(2/3)+(Investitionsplan!V23*$D$8)/3</f>
        <v>3107.2777777777778</v>
      </c>
      <c r="V29" s="12">
        <f>SUM(R29:U29)</f>
        <v>14829.111111111109</v>
      </c>
      <c r="W29" s="294">
        <f>((SUM(U40:U43,U45:U48,U51,U53)/(1+$D$8))*$D$8)*(2/3)+((SUM(W40:W43,W45:W48,W51,W53)/(1+$D$8))*$D$8)*(10/12)+(Investitionsplan!V23*$D$8)*(2/3)+(Investitionsplan!X23*$D$8)*(10/12)</f>
        <v>12151.333333333336</v>
      </c>
      <c r="X29" s="295">
        <f>((SUM(W40:W43,W45:W48,W51,W53)/(1+$D$8))*$D$8)*(2/12)+((SUM(X40:X43,X45:X48,X51,X53)/(1+$D$8))*$D$8)*(10/12)+(Investitionsplan!X23*$D$8)*(2/12)+(Investitionsplan!Y23*$D$8)*(10/12)</f>
        <v>11651.333333333336</v>
      </c>
    </row>
    <row r="30" spans="1:24" ht="18.75" customHeight="1" outlineLevel="1" x14ac:dyDescent="0.25">
      <c r="A30" s="827" t="s">
        <v>206</v>
      </c>
      <c r="B30" s="828"/>
      <c r="C30" s="828"/>
      <c r="D30" s="829"/>
      <c r="E30" s="409"/>
      <c r="F30" s="96"/>
      <c r="G30" s="96"/>
      <c r="H30" s="96"/>
      <c r="I30" s="96"/>
      <c r="J30" s="96"/>
      <c r="K30" s="96"/>
      <c r="L30" s="96"/>
      <c r="M30" s="96"/>
      <c r="N30" s="96"/>
      <c r="O30" s="96"/>
      <c r="P30" s="155"/>
      <c r="Q30" s="12">
        <f t="shared" ref="Q30:Q31" si="5">SUM(E30:P30)</f>
        <v>0</v>
      </c>
      <c r="R30" s="422"/>
      <c r="S30" s="96"/>
      <c r="T30" s="96"/>
      <c r="U30" s="155"/>
      <c r="V30" s="12">
        <f t="shared" ref="V30:V31" si="6">SUM(R30:U30)</f>
        <v>0</v>
      </c>
      <c r="W30" s="426"/>
      <c r="X30" s="418"/>
    </row>
    <row r="31" spans="1:24" ht="18.75" customHeight="1" outlineLevel="1" thickBot="1" x14ac:dyDescent="0.3">
      <c r="A31" s="809"/>
      <c r="B31" s="810"/>
      <c r="C31" s="810"/>
      <c r="D31" s="811"/>
      <c r="E31" s="314"/>
      <c r="F31" s="141"/>
      <c r="G31" s="141"/>
      <c r="H31" s="141"/>
      <c r="I31" s="141"/>
      <c r="J31" s="141"/>
      <c r="K31" s="141"/>
      <c r="L31" s="141"/>
      <c r="M31" s="141"/>
      <c r="N31" s="141"/>
      <c r="O31" s="141"/>
      <c r="P31" s="156"/>
      <c r="Q31" s="136">
        <f t="shared" si="5"/>
        <v>0</v>
      </c>
      <c r="R31" s="424" t="str">
        <f t="shared" ref="R31:U31" si="7">IF($D31="","",IF(AND($D31&lt;=15,$D31&gt;12),(15-$D31+1)*$B31*(1+$B$11)^1,IF(AND($D31&lt;=15,$D31&lt;=12),3*$B31*(1+$B$11)^1,"")))</f>
        <v/>
      </c>
      <c r="S31" s="141" t="str">
        <f t="shared" si="7"/>
        <v/>
      </c>
      <c r="T31" s="141" t="str">
        <f t="shared" si="7"/>
        <v/>
      </c>
      <c r="U31" s="156" t="str">
        <f t="shared" si="7"/>
        <v/>
      </c>
      <c r="V31" s="136">
        <f t="shared" si="6"/>
        <v>0</v>
      </c>
      <c r="W31" s="429"/>
      <c r="X31" s="419"/>
    </row>
    <row r="32" spans="1:24" ht="7.5" customHeight="1" outlineLevel="1" thickTop="1" thickBot="1" x14ac:dyDescent="0.3">
      <c r="A32" s="799"/>
      <c r="B32" s="800"/>
      <c r="C32" s="800"/>
      <c r="D32" s="801"/>
      <c r="E32" s="315"/>
      <c r="F32" s="110"/>
      <c r="G32" s="110"/>
      <c r="H32" s="110"/>
      <c r="I32" s="110"/>
      <c r="J32" s="110"/>
      <c r="K32" s="110"/>
      <c r="L32" s="110"/>
      <c r="M32" s="110"/>
      <c r="N32" s="110"/>
      <c r="O32" s="110"/>
      <c r="P32" s="316"/>
      <c r="Q32" s="330"/>
      <c r="R32" s="425"/>
      <c r="S32" s="413"/>
      <c r="T32" s="413"/>
      <c r="U32" s="414"/>
      <c r="V32" s="330"/>
      <c r="W32" s="430"/>
      <c r="X32" s="421"/>
    </row>
    <row r="33" spans="1:24" ht="18.75" customHeight="1" thickBot="1" x14ac:dyDescent="0.3">
      <c r="A33" s="802" t="s">
        <v>153</v>
      </c>
      <c r="B33" s="803"/>
      <c r="C33" s="803"/>
      <c r="D33" s="804"/>
      <c r="E33" s="632">
        <f>SUM(E28:E32)</f>
        <v>0</v>
      </c>
      <c r="F33" s="633">
        <f t="shared" ref="F33:X33" si="8">SUM(F28:F32)</f>
        <v>0</v>
      </c>
      <c r="G33" s="633">
        <f t="shared" si="8"/>
        <v>12731.8</v>
      </c>
      <c r="H33" s="633">
        <f t="shared" si="8"/>
        <v>943.16666666666686</v>
      </c>
      <c r="I33" s="633">
        <f t="shared" si="8"/>
        <v>3276.5</v>
      </c>
      <c r="J33" s="633">
        <f t="shared" si="8"/>
        <v>943.16666666666686</v>
      </c>
      <c r="K33" s="633">
        <f t="shared" si="8"/>
        <v>3443.1666666666674</v>
      </c>
      <c r="L33" s="633">
        <f t="shared" si="8"/>
        <v>2943.166666666667</v>
      </c>
      <c r="M33" s="633">
        <f t="shared" si="8"/>
        <v>943.16666666666686</v>
      </c>
      <c r="N33" s="633">
        <f t="shared" si="8"/>
        <v>943.16666666666686</v>
      </c>
      <c r="O33" s="633">
        <f t="shared" si="8"/>
        <v>943.16666666666686</v>
      </c>
      <c r="P33" s="634">
        <f t="shared" si="8"/>
        <v>5443.166666666667</v>
      </c>
      <c r="Q33" s="568">
        <f t="shared" si="8"/>
        <v>32553.633333333342</v>
      </c>
      <c r="R33" s="635">
        <f t="shared" si="8"/>
        <v>3296.166666666667</v>
      </c>
      <c r="S33" s="633">
        <f t="shared" si="8"/>
        <v>3929.4999999999995</v>
      </c>
      <c r="T33" s="633">
        <f t="shared" si="8"/>
        <v>4496.166666666667</v>
      </c>
      <c r="U33" s="634">
        <f t="shared" si="8"/>
        <v>3107.2777777777778</v>
      </c>
      <c r="V33" s="568">
        <f t="shared" si="8"/>
        <v>14829.111111111109</v>
      </c>
      <c r="W33" s="568">
        <f t="shared" si="8"/>
        <v>12151.333333333336</v>
      </c>
      <c r="X33" s="636">
        <f t="shared" si="8"/>
        <v>11651.333333333336</v>
      </c>
    </row>
    <row r="34" spans="1:24" ht="7.5" customHeight="1" thickBot="1" x14ac:dyDescent="0.3">
      <c r="A34" s="717"/>
      <c r="B34" s="718"/>
      <c r="C34" s="718"/>
      <c r="D34" s="718"/>
      <c r="E34" s="718"/>
      <c r="F34" s="718"/>
      <c r="G34" s="718"/>
      <c r="H34" s="718"/>
      <c r="I34" s="718"/>
      <c r="J34" s="718"/>
      <c r="K34" s="718"/>
      <c r="L34" s="718"/>
      <c r="M34" s="718"/>
      <c r="N34" s="718"/>
      <c r="O34" s="718"/>
      <c r="P34" s="718"/>
      <c r="Q34" s="718"/>
      <c r="R34" s="718"/>
      <c r="S34" s="718"/>
      <c r="T34" s="718"/>
      <c r="U34" s="718"/>
      <c r="V34" s="718"/>
      <c r="W34" s="718"/>
      <c r="X34" s="719"/>
    </row>
    <row r="35" spans="1:24" ht="18" customHeight="1" thickBot="1" x14ac:dyDescent="0.3">
      <c r="A35" s="818" t="s">
        <v>154</v>
      </c>
      <c r="B35" s="819"/>
      <c r="C35" s="819"/>
      <c r="D35" s="820"/>
      <c r="E35" s="459">
        <f>SUM(E25,E33)</f>
        <v>0</v>
      </c>
      <c r="F35" s="573">
        <f t="shared" ref="F35:X35" si="9">SUM(F25,F33)</f>
        <v>0</v>
      </c>
      <c r="G35" s="573">
        <f t="shared" si="9"/>
        <v>12731.8</v>
      </c>
      <c r="H35" s="573">
        <f t="shared" si="9"/>
        <v>943.16666666666686</v>
      </c>
      <c r="I35" s="573">
        <f t="shared" si="9"/>
        <v>3276.5</v>
      </c>
      <c r="J35" s="573">
        <f t="shared" si="9"/>
        <v>943.16666666666686</v>
      </c>
      <c r="K35" s="573">
        <f t="shared" si="9"/>
        <v>103443.16666666667</v>
      </c>
      <c r="L35" s="573">
        <f t="shared" si="9"/>
        <v>2943.166666666667</v>
      </c>
      <c r="M35" s="573">
        <f t="shared" si="9"/>
        <v>943.16666666666686</v>
      </c>
      <c r="N35" s="573">
        <f t="shared" si="9"/>
        <v>943.16666666666686</v>
      </c>
      <c r="O35" s="573">
        <f t="shared" si="9"/>
        <v>100943.16666666667</v>
      </c>
      <c r="P35" s="637">
        <f t="shared" si="9"/>
        <v>13443.166666666668</v>
      </c>
      <c r="Q35" s="336">
        <f t="shared" si="9"/>
        <v>240553.63333333333</v>
      </c>
      <c r="R35" s="460">
        <f t="shared" si="9"/>
        <v>36296.166666666664</v>
      </c>
      <c r="S35" s="573">
        <f t="shared" si="9"/>
        <v>136929.5</v>
      </c>
      <c r="T35" s="573">
        <f t="shared" si="9"/>
        <v>137496.16666666666</v>
      </c>
      <c r="U35" s="637">
        <f t="shared" si="9"/>
        <v>136107.27777777778</v>
      </c>
      <c r="V35" s="336">
        <f t="shared" si="9"/>
        <v>446829.11111111112</v>
      </c>
      <c r="W35" s="336">
        <f t="shared" si="9"/>
        <v>788151.33333333337</v>
      </c>
      <c r="X35" s="337">
        <f t="shared" si="9"/>
        <v>1835651.3333333333</v>
      </c>
    </row>
    <row r="36" spans="1:24" ht="15.75" thickBot="1" x14ac:dyDescent="0.3"/>
    <row r="37" spans="1:24" ht="22.5" customHeight="1" thickBot="1" x14ac:dyDescent="0.3">
      <c r="A37" s="815" t="s">
        <v>159</v>
      </c>
      <c r="B37" s="816"/>
      <c r="C37" s="817"/>
      <c r="D37" s="333"/>
      <c r="E37" s="691" t="s">
        <v>20</v>
      </c>
      <c r="F37" s="691"/>
      <c r="G37" s="691"/>
      <c r="H37" s="691"/>
      <c r="I37" s="691"/>
      <c r="J37" s="691"/>
      <c r="K37" s="691"/>
      <c r="L37" s="691"/>
      <c r="M37" s="691"/>
      <c r="N37" s="691"/>
      <c r="O37" s="691"/>
      <c r="P37" s="691"/>
      <c r="Q37" s="695" t="s">
        <v>20</v>
      </c>
      <c r="R37" s="691" t="s">
        <v>25</v>
      </c>
      <c r="S37" s="691"/>
      <c r="T37" s="691"/>
      <c r="U37" s="691"/>
      <c r="V37" s="695" t="s">
        <v>25</v>
      </c>
      <c r="W37" s="693" t="s">
        <v>26</v>
      </c>
      <c r="X37" s="697" t="s">
        <v>27</v>
      </c>
    </row>
    <row r="38" spans="1:24" ht="18.75" customHeight="1" thickBot="1" x14ac:dyDescent="0.3">
      <c r="A38" s="812" t="s">
        <v>160</v>
      </c>
      <c r="B38" s="813"/>
      <c r="C38" s="813"/>
      <c r="D38" s="814"/>
      <c r="E38" s="113">
        <v>1</v>
      </c>
      <c r="F38" s="2">
        <v>2</v>
      </c>
      <c r="G38" s="2">
        <v>3</v>
      </c>
      <c r="H38" s="2">
        <v>4</v>
      </c>
      <c r="I38" s="2">
        <v>5</v>
      </c>
      <c r="J38" s="2">
        <v>6</v>
      </c>
      <c r="K38" s="2">
        <v>7</v>
      </c>
      <c r="L38" s="2">
        <v>8</v>
      </c>
      <c r="M38" s="2">
        <v>9</v>
      </c>
      <c r="N38" s="2">
        <v>10</v>
      </c>
      <c r="O38" s="2">
        <v>11</v>
      </c>
      <c r="P38" s="3">
        <v>12</v>
      </c>
      <c r="Q38" s="696"/>
      <c r="R38" s="113" t="s">
        <v>21</v>
      </c>
      <c r="S38" s="2" t="s">
        <v>22</v>
      </c>
      <c r="T38" s="2" t="s">
        <v>23</v>
      </c>
      <c r="U38" s="3" t="s">
        <v>24</v>
      </c>
      <c r="V38" s="696"/>
      <c r="W38" s="694"/>
      <c r="X38" s="698"/>
    </row>
    <row r="39" spans="1:24" ht="18.75" customHeight="1" outlineLevel="1" thickTop="1" x14ac:dyDescent="0.25">
      <c r="A39" s="821" t="str">
        <f>Plankosten!A25</f>
        <v>Personalkosten</v>
      </c>
      <c r="B39" s="822"/>
      <c r="C39" s="822"/>
      <c r="D39" s="823"/>
      <c r="E39" s="6">
        <f>Plankosten!E31</f>
        <v>16200.000000000002</v>
      </c>
      <c r="F39" s="7">
        <f>Plankosten!F31</f>
        <v>18508</v>
      </c>
      <c r="G39" s="7">
        <f>Plankosten!G31</f>
        <v>22156</v>
      </c>
      <c r="H39" s="7">
        <f>Plankosten!H31</f>
        <v>25804</v>
      </c>
      <c r="I39" s="7">
        <f>Plankosten!I31</f>
        <v>49700.666666666672</v>
      </c>
      <c r="J39" s="7">
        <f>Plankosten!J31</f>
        <v>25804</v>
      </c>
      <c r="K39" s="7">
        <f>Plankosten!K31</f>
        <v>25804</v>
      </c>
      <c r="L39" s="7">
        <f>Plankosten!L31</f>
        <v>25804</v>
      </c>
      <c r="M39" s="7">
        <f>Plankosten!M31</f>
        <v>25804</v>
      </c>
      <c r="N39" s="7">
        <f>Plankosten!N31</f>
        <v>25804</v>
      </c>
      <c r="O39" s="7">
        <f>Plankosten!O31</f>
        <v>49700.666666666672</v>
      </c>
      <c r="P39" s="182">
        <f>Plankosten!P31</f>
        <v>25804</v>
      </c>
      <c r="Q39" s="8">
        <f>Plankosten!Q31</f>
        <v>336893.33333333331</v>
      </c>
      <c r="R39" s="181">
        <f>Plankosten!R31</f>
        <v>91893.6</v>
      </c>
      <c r="S39" s="7">
        <f>Plankosten!S31</f>
        <v>122284.8</v>
      </c>
      <c r="T39" s="7">
        <f>Plankosten!T31</f>
        <v>91893.6</v>
      </c>
      <c r="U39" s="182">
        <f>Plankosten!U31</f>
        <v>122284.8</v>
      </c>
      <c r="V39" s="8">
        <f>Plankosten!V31</f>
        <v>428356.80000000005</v>
      </c>
      <c r="W39" s="183">
        <f>Plankosten!W31</f>
        <v>449630.64</v>
      </c>
      <c r="X39" s="9">
        <f>Plankosten!X31</f>
        <v>471968.17200000008</v>
      </c>
    </row>
    <row r="40" spans="1:24" ht="18.75" customHeight="1" outlineLevel="1" x14ac:dyDescent="0.25">
      <c r="A40" s="827" t="str">
        <f>Plankosten!A33</f>
        <v>Materialeinsatz</v>
      </c>
      <c r="B40" s="828"/>
      <c r="C40" s="828"/>
      <c r="D40" s="829"/>
      <c r="E40" s="338">
        <f>Plankosten!E38*(1+$D$8)</f>
        <v>0</v>
      </c>
      <c r="F40" s="339">
        <f>Plankosten!F38</f>
        <v>0</v>
      </c>
      <c r="G40" s="339">
        <f>Plankosten!G38</f>
        <v>0</v>
      </c>
      <c r="H40" s="339">
        <f>Plankosten!H38</f>
        <v>0</v>
      </c>
      <c r="I40" s="339">
        <f>Plankosten!I38</f>
        <v>0</v>
      </c>
      <c r="J40" s="339">
        <f>Plankosten!J38</f>
        <v>0</v>
      </c>
      <c r="K40" s="339">
        <f>Plankosten!K38</f>
        <v>0</v>
      </c>
      <c r="L40" s="339">
        <f>Plankosten!L38</f>
        <v>0</v>
      </c>
      <c r="M40" s="339">
        <f>Plankosten!M38</f>
        <v>0</v>
      </c>
      <c r="N40" s="339">
        <f>Plankosten!N38</f>
        <v>0</v>
      </c>
      <c r="O40" s="339">
        <f>Plankosten!O38</f>
        <v>0</v>
      </c>
      <c r="P40" s="340">
        <f>Plankosten!P38</f>
        <v>0</v>
      </c>
      <c r="Q40" s="334">
        <f>Plankosten!Q38</f>
        <v>0</v>
      </c>
      <c r="R40" s="341">
        <f>Plankosten!R38</f>
        <v>0</v>
      </c>
      <c r="S40" s="339">
        <f>Plankosten!S38</f>
        <v>0</v>
      </c>
      <c r="T40" s="339">
        <f>Plankosten!T38</f>
        <v>0</v>
      </c>
      <c r="U40" s="340">
        <f>Plankosten!U38</f>
        <v>0</v>
      </c>
      <c r="V40" s="334">
        <f>Plankosten!V38</f>
        <v>0</v>
      </c>
      <c r="W40" s="342">
        <f>Plankosten!W38</f>
        <v>0</v>
      </c>
      <c r="X40" s="247">
        <f>Plankosten!X38</f>
        <v>0</v>
      </c>
    </row>
    <row r="41" spans="1:24" ht="18.75" customHeight="1" outlineLevel="1" x14ac:dyDescent="0.25">
      <c r="A41" s="827" t="str">
        <f>Plankosten!A40</f>
        <v>Roh-, Betriebs- uns Hilfsstoffe</v>
      </c>
      <c r="B41" s="828"/>
      <c r="C41" s="828"/>
      <c r="D41" s="829"/>
      <c r="E41" s="338">
        <f>Plankosten!E45*(1+$D$8)</f>
        <v>0</v>
      </c>
      <c r="F41" s="339">
        <f>Plankosten!F45</f>
        <v>0</v>
      </c>
      <c r="G41" s="339">
        <f>Plankosten!G45</f>
        <v>0</v>
      </c>
      <c r="H41" s="339">
        <f>Plankosten!H45</f>
        <v>0</v>
      </c>
      <c r="I41" s="339">
        <f>Plankosten!I45</f>
        <v>0</v>
      </c>
      <c r="J41" s="339">
        <f>Plankosten!J45</f>
        <v>0</v>
      </c>
      <c r="K41" s="339">
        <f>Plankosten!K45</f>
        <v>0</v>
      </c>
      <c r="L41" s="339">
        <f>Plankosten!L45</f>
        <v>0</v>
      </c>
      <c r="M41" s="339">
        <f>Plankosten!M45</f>
        <v>0</v>
      </c>
      <c r="N41" s="339">
        <f>Plankosten!N45</f>
        <v>0</v>
      </c>
      <c r="O41" s="339">
        <f>Plankosten!O45</f>
        <v>0</v>
      </c>
      <c r="P41" s="340">
        <f>Plankosten!P45</f>
        <v>0</v>
      </c>
      <c r="Q41" s="334">
        <f>Plankosten!Q45</f>
        <v>0</v>
      </c>
      <c r="R41" s="341">
        <f>Plankosten!R45</f>
        <v>0</v>
      </c>
      <c r="S41" s="339">
        <f>Plankosten!S45</f>
        <v>0</v>
      </c>
      <c r="T41" s="339">
        <f>Plankosten!T45</f>
        <v>0</v>
      </c>
      <c r="U41" s="340">
        <f>Plankosten!U45</f>
        <v>0</v>
      </c>
      <c r="V41" s="334">
        <f>Plankosten!V45</f>
        <v>0</v>
      </c>
      <c r="W41" s="342">
        <f>Plankosten!W45</f>
        <v>0</v>
      </c>
      <c r="X41" s="247">
        <f>Plankosten!X45</f>
        <v>0</v>
      </c>
    </row>
    <row r="42" spans="1:24" ht="30" customHeight="1" outlineLevel="1" x14ac:dyDescent="0.25">
      <c r="A42" s="839" t="str">
        <f>Plankosten!A47</f>
        <v>Sonstige betriebliche Aufwendungen
(Miete, Pacht, Betriebskosten)</v>
      </c>
      <c r="B42" s="840"/>
      <c r="C42" s="840"/>
      <c r="D42" s="841"/>
      <c r="E42" s="338">
        <f>Plankosten!E54*(1+$D$8)</f>
        <v>1525.2</v>
      </c>
      <c r="F42" s="339">
        <f>Plankosten!F54</f>
        <v>1271</v>
      </c>
      <c r="G42" s="339">
        <f>Plankosten!G54</f>
        <v>1271</v>
      </c>
      <c r="H42" s="339">
        <f>Plankosten!H54</f>
        <v>1271</v>
      </c>
      <c r="I42" s="339">
        <f>Plankosten!I54</f>
        <v>1271</v>
      </c>
      <c r="J42" s="339">
        <f>Plankosten!J54</f>
        <v>1271</v>
      </c>
      <c r="K42" s="339">
        <f>Plankosten!K54</f>
        <v>1271</v>
      </c>
      <c r="L42" s="339">
        <f>Plankosten!L54</f>
        <v>1271</v>
      </c>
      <c r="M42" s="339">
        <f>Plankosten!M54</f>
        <v>1271</v>
      </c>
      <c r="N42" s="339">
        <f>Plankosten!N54</f>
        <v>1271</v>
      </c>
      <c r="O42" s="339">
        <f>Plankosten!O54</f>
        <v>1271</v>
      </c>
      <c r="P42" s="340">
        <f>Plankosten!P54</f>
        <v>1271</v>
      </c>
      <c r="Q42" s="334">
        <f>Plankosten!Q54</f>
        <v>15252</v>
      </c>
      <c r="R42" s="341">
        <f>Plankosten!R54</f>
        <v>3813</v>
      </c>
      <c r="S42" s="339">
        <f>Plankosten!S54</f>
        <v>3813</v>
      </c>
      <c r="T42" s="339">
        <f>Plankosten!T54</f>
        <v>3813</v>
      </c>
      <c r="U42" s="340">
        <f>Plankosten!U54</f>
        <v>3813</v>
      </c>
      <c r="V42" s="334">
        <f>Plankosten!V54</f>
        <v>15252</v>
      </c>
      <c r="W42" s="342">
        <f>Plankosten!W54</f>
        <v>15252</v>
      </c>
      <c r="X42" s="247">
        <f>Plankosten!X54</f>
        <v>15252</v>
      </c>
    </row>
    <row r="43" spans="1:24" ht="18.75" customHeight="1" outlineLevel="1" x14ac:dyDescent="0.25">
      <c r="A43" s="839" t="str">
        <f>Plankosten!A56</f>
        <v>Instandhaltung</v>
      </c>
      <c r="B43" s="840"/>
      <c r="C43" s="840"/>
      <c r="D43" s="841"/>
      <c r="E43" s="338">
        <f>Plankosten!E61*(1+$D$8)</f>
        <v>0</v>
      </c>
      <c r="F43" s="339">
        <f>Plankosten!F61</f>
        <v>0</v>
      </c>
      <c r="G43" s="339">
        <f>Plankosten!G61</f>
        <v>0</v>
      </c>
      <c r="H43" s="339">
        <f>Plankosten!H61</f>
        <v>0</v>
      </c>
      <c r="I43" s="339">
        <f>Plankosten!I61</f>
        <v>0</v>
      </c>
      <c r="J43" s="339">
        <f>Plankosten!J61</f>
        <v>0</v>
      </c>
      <c r="K43" s="339">
        <f>Plankosten!K61</f>
        <v>0</v>
      </c>
      <c r="L43" s="339">
        <f>Plankosten!L61</f>
        <v>0</v>
      </c>
      <c r="M43" s="339">
        <f>Plankosten!M61</f>
        <v>0</v>
      </c>
      <c r="N43" s="339">
        <f>Plankosten!N61</f>
        <v>0</v>
      </c>
      <c r="O43" s="339">
        <f>Plankosten!O61</f>
        <v>0</v>
      </c>
      <c r="P43" s="340">
        <f>Plankosten!P61</f>
        <v>2000</v>
      </c>
      <c r="Q43" s="334">
        <f>Plankosten!Q61</f>
        <v>2000</v>
      </c>
      <c r="R43" s="341">
        <f>Plankosten!R61</f>
        <v>0</v>
      </c>
      <c r="S43" s="339">
        <f>Plankosten!S61</f>
        <v>0</v>
      </c>
      <c r="T43" s="339">
        <f>Plankosten!T61</f>
        <v>0</v>
      </c>
      <c r="U43" s="340">
        <f>Plankosten!U61</f>
        <v>2000</v>
      </c>
      <c r="V43" s="334">
        <f>Plankosten!V61</f>
        <v>2000</v>
      </c>
      <c r="W43" s="342">
        <f>Plankosten!W61</f>
        <v>2000</v>
      </c>
      <c r="X43" s="247">
        <f>Plankosten!X61</f>
        <v>2000</v>
      </c>
    </row>
    <row r="44" spans="1:24" ht="18.75" customHeight="1" outlineLevel="1" x14ac:dyDescent="0.25">
      <c r="A44" s="839" t="str">
        <f>Plankosten!A63</f>
        <v>Kfz-Kosten und Reisekosten</v>
      </c>
      <c r="B44" s="840"/>
      <c r="C44" s="840"/>
      <c r="D44" s="841"/>
      <c r="E44" s="338">
        <f>Plankosten!E69</f>
        <v>2000</v>
      </c>
      <c r="F44" s="339">
        <f>Plankosten!F69</f>
        <v>500</v>
      </c>
      <c r="G44" s="339">
        <f>Plankosten!G69</f>
        <v>500</v>
      </c>
      <c r="H44" s="339">
        <f>Plankosten!H69</f>
        <v>500</v>
      </c>
      <c r="I44" s="339">
        <f>Plankosten!I69</f>
        <v>500</v>
      </c>
      <c r="J44" s="339">
        <f>Plankosten!J69</f>
        <v>500</v>
      </c>
      <c r="K44" s="339">
        <f>Plankosten!K69</f>
        <v>500</v>
      </c>
      <c r="L44" s="339">
        <f>Plankosten!L69</f>
        <v>500</v>
      </c>
      <c r="M44" s="339">
        <f>Plankosten!M69</f>
        <v>500</v>
      </c>
      <c r="N44" s="339">
        <f>Plankosten!N69</f>
        <v>500</v>
      </c>
      <c r="O44" s="339">
        <f>Plankosten!O69</f>
        <v>500</v>
      </c>
      <c r="P44" s="340">
        <f>Plankosten!P69</f>
        <v>500</v>
      </c>
      <c r="Q44" s="334">
        <f>Plankosten!Q69</f>
        <v>7500</v>
      </c>
      <c r="R44" s="341">
        <f>Plankosten!R69</f>
        <v>3000</v>
      </c>
      <c r="S44" s="339">
        <f>Plankosten!S69</f>
        <v>1500</v>
      </c>
      <c r="T44" s="339">
        <f>Plankosten!T69</f>
        <v>1500</v>
      </c>
      <c r="U44" s="340">
        <f>Plankosten!U69</f>
        <v>1500</v>
      </c>
      <c r="V44" s="334">
        <f>Plankosten!V69</f>
        <v>7500</v>
      </c>
      <c r="W44" s="342">
        <f>Plankosten!W69</f>
        <v>7500</v>
      </c>
      <c r="X44" s="247">
        <f>Plankosten!X69</f>
        <v>7500</v>
      </c>
    </row>
    <row r="45" spans="1:24" ht="18.75" customHeight="1" outlineLevel="1" x14ac:dyDescent="0.25">
      <c r="A45" s="839" t="str">
        <f>Plankosten!A71</f>
        <v>Büromaterial</v>
      </c>
      <c r="B45" s="840"/>
      <c r="C45" s="840"/>
      <c r="D45" s="841"/>
      <c r="E45" s="338">
        <f>Plankosten!E77*(1+$D$8)</f>
        <v>2640</v>
      </c>
      <c r="F45" s="339">
        <f>Plankosten!F77</f>
        <v>2200</v>
      </c>
      <c r="G45" s="339">
        <f>Plankosten!G77</f>
        <v>2200</v>
      </c>
      <c r="H45" s="339">
        <f>Plankosten!H77</f>
        <v>2200</v>
      </c>
      <c r="I45" s="339">
        <f>Plankosten!I77</f>
        <v>2200</v>
      </c>
      <c r="J45" s="339">
        <f>Plankosten!J77</f>
        <v>2200</v>
      </c>
      <c r="K45" s="339">
        <f>Plankosten!K77</f>
        <v>2200</v>
      </c>
      <c r="L45" s="339">
        <f>Plankosten!L77</f>
        <v>2200</v>
      </c>
      <c r="M45" s="339">
        <f>Plankosten!M77</f>
        <v>2200</v>
      </c>
      <c r="N45" s="339">
        <f>Plankosten!N77</f>
        <v>2200</v>
      </c>
      <c r="O45" s="339">
        <f>Plankosten!O77</f>
        <v>2200</v>
      </c>
      <c r="P45" s="340">
        <f>Plankosten!P77</f>
        <v>2200</v>
      </c>
      <c r="Q45" s="334">
        <f>Plankosten!Q77</f>
        <v>26400</v>
      </c>
      <c r="R45" s="341">
        <f>Plankosten!R77</f>
        <v>6600</v>
      </c>
      <c r="S45" s="339">
        <f>Plankosten!S77</f>
        <v>6600</v>
      </c>
      <c r="T45" s="339">
        <f>Plankosten!T77</f>
        <v>6600</v>
      </c>
      <c r="U45" s="340">
        <f>Plankosten!U77</f>
        <v>6600</v>
      </c>
      <c r="V45" s="334">
        <f>Plankosten!V77</f>
        <v>26400</v>
      </c>
      <c r="W45" s="342">
        <f>Plankosten!W77</f>
        <v>26400</v>
      </c>
      <c r="X45" s="247">
        <f>Plankosten!X77</f>
        <v>26400</v>
      </c>
    </row>
    <row r="46" spans="1:24" ht="18.75" customHeight="1" outlineLevel="1" x14ac:dyDescent="0.25">
      <c r="A46" s="839" t="str">
        <f>Plankosten!A79</f>
        <v>Telefon / Fax / Internet</v>
      </c>
      <c r="B46" s="840"/>
      <c r="C46" s="840"/>
      <c r="D46" s="841"/>
      <c r="E46" s="338">
        <f>Plankosten!E85*(1+$D$8)</f>
        <v>465.59999999999997</v>
      </c>
      <c r="F46" s="339">
        <f>Plankosten!F85</f>
        <v>388</v>
      </c>
      <c r="G46" s="339">
        <f>Plankosten!G85</f>
        <v>388</v>
      </c>
      <c r="H46" s="339">
        <f>Plankosten!H85</f>
        <v>388</v>
      </c>
      <c r="I46" s="339">
        <f>Plankosten!I85</f>
        <v>388</v>
      </c>
      <c r="J46" s="339">
        <f>Plankosten!J85</f>
        <v>388</v>
      </c>
      <c r="K46" s="339">
        <f>Plankosten!K85</f>
        <v>388</v>
      </c>
      <c r="L46" s="339">
        <f>Plankosten!L85</f>
        <v>388</v>
      </c>
      <c r="M46" s="339">
        <f>Plankosten!M85</f>
        <v>388</v>
      </c>
      <c r="N46" s="339">
        <f>Plankosten!N85</f>
        <v>388</v>
      </c>
      <c r="O46" s="339">
        <f>Plankosten!O85</f>
        <v>388</v>
      </c>
      <c r="P46" s="340">
        <f>Plankosten!P85</f>
        <v>388</v>
      </c>
      <c r="Q46" s="334">
        <f>Plankosten!Q85</f>
        <v>4656</v>
      </c>
      <c r="R46" s="341">
        <f>Plankosten!R85</f>
        <v>1164</v>
      </c>
      <c r="S46" s="339">
        <f>Plankosten!S85</f>
        <v>1164</v>
      </c>
      <c r="T46" s="339">
        <f>Plankosten!T85</f>
        <v>1164</v>
      </c>
      <c r="U46" s="340">
        <f>Plankosten!U85</f>
        <v>1164</v>
      </c>
      <c r="V46" s="334">
        <f>Plankosten!V85</f>
        <v>4656</v>
      </c>
      <c r="W46" s="342">
        <f>Plankosten!W85</f>
        <v>4656</v>
      </c>
      <c r="X46" s="247">
        <f>Plankosten!X85</f>
        <v>4656</v>
      </c>
    </row>
    <row r="47" spans="1:24" ht="18.75" customHeight="1" outlineLevel="1" x14ac:dyDescent="0.25">
      <c r="A47" s="848" t="str">
        <f>Plankosten!A87</f>
        <v>Steuer- und Rechtsberatung</v>
      </c>
      <c r="B47" s="849"/>
      <c r="C47" s="849"/>
      <c r="D47" s="850"/>
      <c r="E47" s="338">
        <f>Plankosten!E94*(1+$D$8)</f>
        <v>360</v>
      </c>
      <c r="F47" s="339">
        <f>Plankosten!F94</f>
        <v>300</v>
      </c>
      <c r="G47" s="339">
        <f>Plankosten!G94</f>
        <v>2300</v>
      </c>
      <c r="H47" s="339">
        <f>Plankosten!H94</f>
        <v>300</v>
      </c>
      <c r="I47" s="339">
        <f>Plankosten!I94</f>
        <v>300</v>
      </c>
      <c r="J47" s="339">
        <f>Plankosten!J94</f>
        <v>300</v>
      </c>
      <c r="K47" s="339">
        <f>Plankosten!K94</f>
        <v>300</v>
      </c>
      <c r="L47" s="339">
        <f>Plankosten!L94</f>
        <v>300</v>
      </c>
      <c r="M47" s="339">
        <f>Plankosten!M94</f>
        <v>300</v>
      </c>
      <c r="N47" s="339">
        <f>Plankosten!N94</f>
        <v>3300</v>
      </c>
      <c r="O47" s="339">
        <f>Plankosten!O94</f>
        <v>300</v>
      </c>
      <c r="P47" s="340">
        <f>Plankosten!P94</f>
        <v>300</v>
      </c>
      <c r="Q47" s="334">
        <f>Plankosten!Q94</f>
        <v>8600</v>
      </c>
      <c r="R47" s="341">
        <f>Plankosten!R94</f>
        <v>900</v>
      </c>
      <c r="S47" s="339">
        <f>Plankosten!S94</f>
        <v>900</v>
      </c>
      <c r="T47" s="339">
        <f>Plankosten!T94</f>
        <v>900</v>
      </c>
      <c r="U47" s="340">
        <f>Plankosten!U94</f>
        <v>3900</v>
      </c>
      <c r="V47" s="334">
        <f>Plankosten!V94</f>
        <v>6600</v>
      </c>
      <c r="W47" s="342">
        <f>Plankosten!W94</f>
        <v>6600</v>
      </c>
      <c r="X47" s="247">
        <f>Plankosten!X94</f>
        <v>6600</v>
      </c>
    </row>
    <row r="48" spans="1:24" ht="18.75" customHeight="1" outlineLevel="1" x14ac:dyDescent="0.25">
      <c r="A48" s="842" t="str">
        <f>Plankosten!A96</f>
        <v>Werbungskosten</v>
      </c>
      <c r="B48" s="843"/>
      <c r="C48" s="843"/>
      <c r="D48" s="844"/>
      <c r="E48" s="338">
        <f>Plankosten!E101*(1+$D$8)</f>
        <v>0</v>
      </c>
      <c r="F48" s="339">
        <f>Plankosten!F101</f>
        <v>0</v>
      </c>
      <c r="G48" s="339">
        <f>Plankosten!G101</f>
        <v>0</v>
      </c>
      <c r="H48" s="339">
        <f>Plankosten!H101</f>
        <v>0</v>
      </c>
      <c r="I48" s="339">
        <f>Plankosten!I101</f>
        <v>0</v>
      </c>
      <c r="J48" s="339">
        <f>Plankosten!J101</f>
        <v>0</v>
      </c>
      <c r="K48" s="339">
        <f>Plankosten!K101</f>
        <v>0</v>
      </c>
      <c r="L48" s="339">
        <f>Plankosten!L101</f>
        <v>0</v>
      </c>
      <c r="M48" s="339">
        <f>Plankosten!M101</f>
        <v>0</v>
      </c>
      <c r="N48" s="339">
        <f>Plankosten!N101</f>
        <v>0</v>
      </c>
      <c r="O48" s="339">
        <f>Plankosten!O101</f>
        <v>0</v>
      </c>
      <c r="P48" s="340">
        <f>Plankosten!P101</f>
        <v>0</v>
      </c>
      <c r="Q48" s="334">
        <f>Plankosten!Q101</f>
        <v>0</v>
      </c>
      <c r="R48" s="341">
        <f>Plankosten!R101</f>
        <v>0</v>
      </c>
      <c r="S48" s="339">
        <f>Plankosten!S101</f>
        <v>0</v>
      </c>
      <c r="T48" s="339">
        <f>Plankosten!T101</f>
        <v>0</v>
      </c>
      <c r="U48" s="340">
        <f>Plankosten!U101</f>
        <v>0</v>
      </c>
      <c r="V48" s="334">
        <f>Plankosten!V101</f>
        <v>0</v>
      </c>
      <c r="W48" s="342">
        <f>Plankosten!W101</f>
        <v>0</v>
      </c>
      <c r="X48" s="247">
        <f>Plankosten!X101</f>
        <v>0</v>
      </c>
    </row>
    <row r="49" spans="1:24" ht="18.75" customHeight="1" outlineLevel="1" x14ac:dyDescent="0.25">
      <c r="A49" s="842" t="str">
        <f>Plankosten!A103</f>
        <v>Gebühren, Kammerbeiträge</v>
      </c>
      <c r="B49" s="843"/>
      <c r="C49" s="843"/>
      <c r="D49" s="844"/>
      <c r="E49" s="338">
        <f>Plankosten!E110</f>
        <v>120.60271160166667</v>
      </c>
      <c r="F49" s="339">
        <f>Plankosten!F110</f>
        <v>320.60271160166667</v>
      </c>
      <c r="G49" s="339">
        <f>Plankosten!G110</f>
        <v>120.60271160166667</v>
      </c>
      <c r="H49" s="339">
        <f>Plankosten!H110</f>
        <v>120.60271160166667</v>
      </c>
      <c r="I49" s="339">
        <f>Plankosten!I110</f>
        <v>320.60271160166667</v>
      </c>
      <c r="J49" s="339">
        <f>Plankosten!J110</f>
        <v>120.60271160166667</v>
      </c>
      <c r="K49" s="339">
        <f>Plankosten!K110</f>
        <v>120.60271160166667</v>
      </c>
      <c r="L49" s="339">
        <f>Plankosten!L110</f>
        <v>320.60271160166667</v>
      </c>
      <c r="M49" s="339">
        <f>Plankosten!M110</f>
        <v>120.60271160166667</v>
      </c>
      <c r="N49" s="339">
        <f>Plankosten!N110</f>
        <v>120.60271160166667</v>
      </c>
      <c r="O49" s="339">
        <f>Plankosten!O110</f>
        <v>320.60271160166667</v>
      </c>
      <c r="P49" s="340">
        <f>Plankosten!P110</f>
        <v>120.60271160166667</v>
      </c>
      <c r="Q49" s="334">
        <f>Plankosten!Q110</f>
        <v>2247.2325392199996</v>
      </c>
      <c r="R49" s="341">
        <f>Plankosten!R110</f>
        <v>561.8081348049999</v>
      </c>
      <c r="S49" s="339">
        <f>Plankosten!S110</f>
        <v>561.8081348049999</v>
      </c>
      <c r="T49" s="339">
        <f>Plankosten!T110</f>
        <v>561.8081348049999</v>
      </c>
      <c r="U49" s="340">
        <f>Plankosten!U110</f>
        <v>561.8081348049999</v>
      </c>
      <c r="V49" s="334">
        <f>Plankosten!V110</f>
        <v>2247.2325392199996</v>
      </c>
      <c r="W49" s="342">
        <f>Plankosten!W110</f>
        <v>2247.2325392199996</v>
      </c>
      <c r="X49" s="247">
        <f>Plankosten!X110</f>
        <v>2247.2325392199996</v>
      </c>
    </row>
    <row r="50" spans="1:24" ht="18.75" customHeight="1" outlineLevel="1" x14ac:dyDescent="0.25">
      <c r="A50" s="842" t="str">
        <f>Plankosten!A112</f>
        <v>Betriebsversicherung</v>
      </c>
      <c r="B50" s="843"/>
      <c r="C50" s="843"/>
      <c r="D50" s="844"/>
      <c r="E50" s="338">
        <f>Plankosten!E117</f>
        <v>0</v>
      </c>
      <c r="F50" s="339">
        <f>Plankosten!F117</f>
        <v>0</v>
      </c>
      <c r="G50" s="339">
        <f>Plankosten!G117</f>
        <v>0</v>
      </c>
      <c r="H50" s="339">
        <f>Plankosten!H117</f>
        <v>0</v>
      </c>
      <c r="I50" s="339">
        <f>Plankosten!I117</f>
        <v>0</v>
      </c>
      <c r="J50" s="339">
        <f>Plankosten!J117</f>
        <v>0</v>
      </c>
      <c r="K50" s="339">
        <f>Plankosten!K117</f>
        <v>0</v>
      </c>
      <c r="L50" s="339">
        <f>Plankosten!L117</f>
        <v>0</v>
      </c>
      <c r="M50" s="339">
        <f>Plankosten!M117</f>
        <v>0</v>
      </c>
      <c r="N50" s="339">
        <f>Plankosten!N117</f>
        <v>0</v>
      </c>
      <c r="O50" s="339">
        <f>Plankosten!O117</f>
        <v>0</v>
      </c>
      <c r="P50" s="340">
        <f>Plankosten!P117</f>
        <v>0</v>
      </c>
      <c r="Q50" s="334">
        <f>Plankosten!Q117</f>
        <v>0</v>
      </c>
      <c r="R50" s="341">
        <f>Plankosten!R117</f>
        <v>0</v>
      </c>
      <c r="S50" s="339">
        <f>Plankosten!S117</f>
        <v>0</v>
      </c>
      <c r="T50" s="339">
        <f>Plankosten!T117</f>
        <v>0</v>
      </c>
      <c r="U50" s="340">
        <f>Plankosten!U117</f>
        <v>0</v>
      </c>
      <c r="V50" s="334">
        <f>Plankosten!V117</f>
        <v>0</v>
      </c>
      <c r="W50" s="342">
        <f>Plankosten!W117</f>
        <v>0</v>
      </c>
      <c r="X50" s="247">
        <f>Plankosten!X117</f>
        <v>0</v>
      </c>
    </row>
    <row r="51" spans="1:24" ht="18.75" customHeight="1" outlineLevel="1" x14ac:dyDescent="0.25">
      <c r="A51" s="842" t="str">
        <f>Plankosten!A119</f>
        <v>Leasinggebühren</v>
      </c>
      <c r="B51" s="843"/>
      <c r="C51" s="843"/>
      <c r="D51" s="844"/>
      <c r="E51" s="338">
        <f>Plankosten!E124*(1+$D$8)</f>
        <v>1800</v>
      </c>
      <c r="F51" s="339">
        <f>Plankosten!F124</f>
        <v>1500</v>
      </c>
      <c r="G51" s="339">
        <f>Plankosten!G124</f>
        <v>1500</v>
      </c>
      <c r="H51" s="339">
        <f>Plankosten!H124</f>
        <v>1500</v>
      </c>
      <c r="I51" s="339">
        <f>Plankosten!I124</f>
        <v>1500</v>
      </c>
      <c r="J51" s="339">
        <f>Plankosten!J124</f>
        <v>1500</v>
      </c>
      <c r="K51" s="339">
        <f>Plankosten!K124</f>
        <v>1500</v>
      </c>
      <c r="L51" s="339">
        <f>Plankosten!L124</f>
        <v>1500</v>
      </c>
      <c r="M51" s="339">
        <f>Plankosten!M124</f>
        <v>1500</v>
      </c>
      <c r="N51" s="339">
        <f>Plankosten!N124</f>
        <v>1500</v>
      </c>
      <c r="O51" s="339">
        <f>Plankosten!O124</f>
        <v>1500</v>
      </c>
      <c r="P51" s="340">
        <f>Plankosten!P124</f>
        <v>1500</v>
      </c>
      <c r="Q51" s="334">
        <f>Plankosten!Q124</f>
        <v>18000</v>
      </c>
      <c r="R51" s="341">
        <f>Plankosten!R124</f>
        <v>4500</v>
      </c>
      <c r="S51" s="339">
        <f>Plankosten!S124</f>
        <v>4500</v>
      </c>
      <c r="T51" s="339">
        <f>Plankosten!T124</f>
        <v>4500</v>
      </c>
      <c r="U51" s="340">
        <f>Plankosten!U124</f>
        <v>4500</v>
      </c>
      <c r="V51" s="334">
        <f>Plankosten!V124</f>
        <v>0</v>
      </c>
      <c r="W51" s="342">
        <f>Plankosten!W124</f>
        <v>0</v>
      </c>
      <c r="X51" s="247">
        <f>Plankosten!X124</f>
        <v>0</v>
      </c>
    </row>
    <row r="52" spans="1:24" ht="18.75" customHeight="1" outlineLevel="1" x14ac:dyDescent="0.25">
      <c r="A52" s="842" t="str">
        <f>Plankosten!A126</f>
        <v>Spesen-, Bank-, Kreditgebühren</v>
      </c>
      <c r="B52" s="843"/>
      <c r="C52" s="843"/>
      <c r="D52" s="844"/>
      <c r="E52" s="338">
        <f>Plankosten!E131</f>
        <v>50</v>
      </c>
      <c r="F52" s="339">
        <f>Plankosten!F131</f>
        <v>0</v>
      </c>
      <c r="G52" s="339">
        <f>Plankosten!G131</f>
        <v>0</v>
      </c>
      <c r="H52" s="339">
        <f>Plankosten!H131</f>
        <v>50</v>
      </c>
      <c r="I52" s="339">
        <f>Plankosten!I131</f>
        <v>0</v>
      </c>
      <c r="J52" s="339">
        <f>Plankosten!J131</f>
        <v>0</v>
      </c>
      <c r="K52" s="339">
        <f>Plankosten!K131</f>
        <v>50</v>
      </c>
      <c r="L52" s="339">
        <f>Plankosten!L131</f>
        <v>0</v>
      </c>
      <c r="M52" s="339">
        <f>Plankosten!M131</f>
        <v>0</v>
      </c>
      <c r="N52" s="339">
        <f>Plankosten!N131</f>
        <v>50</v>
      </c>
      <c r="O52" s="339">
        <f>Plankosten!O131</f>
        <v>0</v>
      </c>
      <c r="P52" s="340">
        <f>Plankosten!P131</f>
        <v>0</v>
      </c>
      <c r="Q52" s="334">
        <f>Plankosten!Q131</f>
        <v>200</v>
      </c>
      <c r="R52" s="341">
        <f>Plankosten!R131</f>
        <v>50</v>
      </c>
      <c r="S52" s="339">
        <f>Plankosten!S131</f>
        <v>50</v>
      </c>
      <c r="T52" s="339">
        <f>Plankosten!T131</f>
        <v>50</v>
      </c>
      <c r="U52" s="340">
        <f>Plankosten!U131</f>
        <v>50</v>
      </c>
      <c r="V52" s="334">
        <f>Plankosten!V131</f>
        <v>200</v>
      </c>
      <c r="W52" s="342">
        <f>Plankosten!W131</f>
        <v>200</v>
      </c>
      <c r="X52" s="247">
        <f>Plankosten!X131</f>
        <v>200</v>
      </c>
    </row>
    <row r="53" spans="1:24" ht="18.75" customHeight="1" outlineLevel="1" thickBot="1" x14ac:dyDescent="0.3">
      <c r="A53" s="845" t="str">
        <f>Plankosten!A133</f>
        <v>Sonstige Kosten</v>
      </c>
      <c r="B53" s="846"/>
      <c r="C53" s="846"/>
      <c r="D53" s="847"/>
      <c r="E53" s="130">
        <f>Plankosten!E139*(1+$D$8)</f>
        <v>0</v>
      </c>
      <c r="F53" s="131">
        <f>Plankosten!F139</f>
        <v>0</v>
      </c>
      <c r="G53" s="131">
        <f>Plankosten!G139</f>
        <v>0</v>
      </c>
      <c r="H53" s="131">
        <f>Plankosten!H139</f>
        <v>0</v>
      </c>
      <c r="I53" s="131">
        <f>Plankosten!I139</f>
        <v>15000</v>
      </c>
      <c r="J53" s="131">
        <f>Plankosten!J139</f>
        <v>0</v>
      </c>
      <c r="K53" s="131">
        <f>Plankosten!K139</f>
        <v>0</v>
      </c>
      <c r="L53" s="131">
        <f>Plankosten!L139</f>
        <v>0</v>
      </c>
      <c r="M53" s="131">
        <f>Plankosten!M139</f>
        <v>0</v>
      </c>
      <c r="N53" s="131">
        <f>Plankosten!N139</f>
        <v>0</v>
      </c>
      <c r="O53" s="131">
        <f>Plankosten!O139</f>
        <v>0</v>
      </c>
      <c r="P53" s="161">
        <f>Plankosten!P139</f>
        <v>0</v>
      </c>
      <c r="Q53" s="136">
        <f>Plankosten!Q139</f>
        <v>15000</v>
      </c>
      <c r="R53" s="198">
        <f>Plankosten!R139</f>
        <v>0</v>
      </c>
      <c r="S53" s="131">
        <f>Plankosten!S139</f>
        <v>15000</v>
      </c>
      <c r="T53" s="131">
        <f>Plankosten!T139</f>
        <v>0</v>
      </c>
      <c r="U53" s="161">
        <f>Plankosten!U139</f>
        <v>0</v>
      </c>
      <c r="V53" s="136">
        <f>Plankosten!V139</f>
        <v>15000</v>
      </c>
      <c r="W53" s="199">
        <f>Plankosten!W139</f>
        <v>15000</v>
      </c>
      <c r="X53" s="137">
        <f>Plankosten!X139</f>
        <v>15000</v>
      </c>
    </row>
    <row r="54" spans="1:24" ht="7.5" customHeight="1" outlineLevel="1" thickTop="1" thickBot="1" x14ac:dyDescent="0.3">
      <c r="A54" s="836"/>
      <c r="B54" s="837"/>
      <c r="C54" s="837"/>
      <c r="D54" s="838"/>
      <c r="E54" s="343"/>
      <c r="F54" s="111"/>
      <c r="G54" s="111"/>
      <c r="H54" s="111"/>
      <c r="I54" s="111"/>
      <c r="J54" s="111"/>
      <c r="K54" s="111"/>
      <c r="L54" s="111"/>
      <c r="M54" s="111"/>
      <c r="N54" s="111"/>
      <c r="O54" s="111"/>
      <c r="P54" s="344"/>
      <c r="Q54" s="330" t="str">
        <f t="shared" ref="Q54" si="10">IF(SUM(E54:P54)=0,"",SUM(E54:P54))</f>
        <v/>
      </c>
      <c r="R54" s="345"/>
      <c r="S54" s="328"/>
      <c r="T54" s="328"/>
      <c r="U54" s="346"/>
      <c r="V54" s="330" t="str">
        <f t="shared" ref="V54" si="11">IF(SUM(R54:U54)=0,"",SUM(R54:U54))</f>
        <v/>
      </c>
      <c r="W54" s="347"/>
      <c r="X54" s="332"/>
    </row>
    <row r="55" spans="1:24" ht="18.75" customHeight="1" thickBot="1" x14ac:dyDescent="0.3">
      <c r="A55" s="802" t="s">
        <v>161</v>
      </c>
      <c r="B55" s="803"/>
      <c r="C55" s="803"/>
      <c r="D55" s="804"/>
      <c r="E55" s="631">
        <f t="shared" ref="E55:X55" si="12">SUM(E39:E54)</f>
        <v>25161.402711601666</v>
      </c>
      <c r="F55" s="565">
        <f t="shared" si="12"/>
        <v>24987.602711601667</v>
      </c>
      <c r="G55" s="565">
        <f t="shared" si="12"/>
        <v>30435.602711601667</v>
      </c>
      <c r="H55" s="565">
        <f t="shared" si="12"/>
        <v>32133.602711601667</v>
      </c>
      <c r="I55" s="565">
        <f t="shared" si="12"/>
        <v>71180.269378268335</v>
      </c>
      <c r="J55" s="565">
        <f t="shared" si="12"/>
        <v>32083.602711601667</v>
      </c>
      <c r="K55" s="565">
        <f t="shared" si="12"/>
        <v>32133.602711601667</v>
      </c>
      <c r="L55" s="565">
        <f t="shared" si="12"/>
        <v>32283.602711601667</v>
      </c>
      <c r="M55" s="565">
        <f t="shared" si="12"/>
        <v>32083.602711601667</v>
      </c>
      <c r="N55" s="565">
        <f t="shared" si="12"/>
        <v>35133.602711601663</v>
      </c>
      <c r="O55" s="565">
        <f t="shared" si="12"/>
        <v>56180.269378268335</v>
      </c>
      <c r="P55" s="562">
        <f t="shared" si="12"/>
        <v>34083.602711601663</v>
      </c>
      <c r="Q55" s="568">
        <f t="shared" si="12"/>
        <v>436748.56587255333</v>
      </c>
      <c r="R55" s="452">
        <f t="shared" si="12"/>
        <v>112482.40813480501</v>
      </c>
      <c r="S55" s="565">
        <f t="shared" si="12"/>
        <v>156373.60813480499</v>
      </c>
      <c r="T55" s="565">
        <f t="shared" si="12"/>
        <v>110982.40813480501</v>
      </c>
      <c r="U55" s="562">
        <f t="shared" si="12"/>
        <v>146373.60813480499</v>
      </c>
      <c r="V55" s="568">
        <f t="shared" si="12"/>
        <v>508212.03253922006</v>
      </c>
      <c r="W55" s="567">
        <f t="shared" si="12"/>
        <v>529485.87253922003</v>
      </c>
      <c r="X55" s="507">
        <f t="shared" si="12"/>
        <v>551823.40453922004</v>
      </c>
    </row>
    <row r="56" spans="1:24" ht="7.5" customHeight="1" thickBot="1" x14ac:dyDescent="0.3">
      <c r="A56" s="717"/>
      <c r="B56" s="718"/>
      <c r="C56" s="718"/>
      <c r="D56" s="718"/>
      <c r="E56" s="718"/>
      <c r="F56" s="718"/>
      <c r="G56" s="718"/>
      <c r="H56" s="718"/>
      <c r="I56" s="718"/>
      <c r="J56" s="718"/>
      <c r="K56" s="718"/>
      <c r="L56" s="718"/>
      <c r="M56" s="718"/>
      <c r="N56" s="718"/>
      <c r="O56" s="718"/>
      <c r="P56" s="718"/>
      <c r="Q56" s="718"/>
      <c r="R56" s="718"/>
      <c r="S56" s="718"/>
      <c r="T56" s="718"/>
      <c r="U56" s="718"/>
      <c r="V56" s="718"/>
      <c r="W56" s="718"/>
      <c r="X56" s="719"/>
    </row>
    <row r="57" spans="1:24" ht="18.75" customHeight="1" thickBot="1" x14ac:dyDescent="0.3">
      <c r="A57" s="824" t="s">
        <v>163</v>
      </c>
      <c r="B57" s="825"/>
      <c r="C57" s="825"/>
      <c r="D57" s="826"/>
      <c r="X57" s="335"/>
    </row>
    <row r="58" spans="1:24" ht="18.75" customHeight="1" outlineLevel="1" thickTop="1" x14ac:dyDescent="0.25">
      <c r="A58" s="821" t="s">
        <v>165</v>
      </c>
      <c r="B58" s="822"/>
      <c r="C58" s="822"/>
      <c r="D58" s="823"/>
      <c r="E58" s="6">
        <f>Investitionsplan!F23*(1+$D$8)</f>
        <v>69600</v>
      </c>
      <c r="F58" s="7">
        <f>Investitionsplan!G23*(1+$D$8)</f>
        <v>0</v>
      </c>
      <c r="G58" s="7">
        <f>Investitionsplan!H23*(1+$D$8)</f>
        <v>12000</v>
      </c>
      <c r="H58" s="7">
        <f>Investitionsplan!I23*(1+$D$8)</f>
        <v>0</v>
      </c>
      <c r="I58" s="7">
        <f>Investitionsplan!J23*(1+$D$8)</f>
        <v>0</v>
      </c>
      <c r="J58" s="7">
        <f>Investitionsplan!K23*(1+$D$8)</f>
        <v>12000</v>
      </c>
      <c r="K58" s="7">
        <f>Investitionsplan!L23*(1+$D$8)</f>
        <v>0</v>
      </c>
      <c r="L58" s="7">
        <f>Investitionsplan!M23*(1+$D$8)</f>
        <v>0</v>
      </c>
      <c r="M58" s="7">
        <f>Investitionsplan!N23*(1+$D$8)</f>
        <v>0</v>
      </c>
      <c r="N58" s="7">
        <f>Investitionsplan!O23*(1+$D$8)</f>
        <v>24000</v>
      </c>
      <c r="O58" s="7">
        <f>Investitionsplan!P23*(1+$D$8)</f>
        <v>0</v>
      </c>
      <c r="P58" s="182">
        <f>Investitionsplan!Q23*(1+$D$8)</f>
        <v>0</v>
      </c>
      <c r="Q58" s="8">
        <f>Investitionsplan!R23*(1+$D$8)</f>
        <v>117600</v>
      </c>
      <c r="R58" s="310">
        <f>Investitionsplan!S23*(1+$D$8)</f>
        <v>2400</v>
      </c>
      <c r="S58" s="7">
        <f>Investitionsplan!T23*(1+$D$8)</f>
        <v>0</v>
      </c>
      <c r="T58" s="7">
        <f>Investitionsplan!U23*(1+$D$8)</f>
        <v>0</v>
      </c>
      <c r="U58" s="182">
        <f>Investitionsplan!V23*(1+$D$8)</f>
        <v>0</v>
      </c>
      <c r="V58" s="8">
        <f>Investitionsplan!W23*(1+$D$8)</f>
        <v>2400</v>
      </c>
      <c r="W58" s="8">
        <f>Investitionsplan!X23*(1+$D$8)</f>
        <v>0</v>
      </c>
      <c r="X58" s="9">
        <f>Investitionsplan!Y23*(1+$D$8)</f>
        <v>0</v>
      </c>
    </row>
    <row r="59" spans="1:24" ht="18.75" customHeight="1" outlineLevel="1" thickBot="1" x14ac:dyDescent="0.3">
      <c r="A59" s="830" t="s">
        <v>166</v>
      </c>
      <c r="B59" s="831"/>
      <c r="C59" s="831"/>
      <c r="D59" s="832"/>
      <c r="E59" s="130">
        <f>Investitionsplan!F32</f>
        <v>0</v>
      </c>
      <c r="F59" s="131">
        <f>Investitionsplan!G32</f>
        <v>0</v>
      </c>
      <c r="G59" s="131">
        <f>Investitionsplan!H32</f>
        <v>35000</v>
      </c>
      <c r="H59" s="131">
        <f>Investitionsplan!I32</f>
        <v>0</v>
      </c>
      <c r="I59" s="131">
        <f>Investitionsplan!J32</f>
        <v>0</v>
      </c>
      <c r="J59" s="131">
        <f>Investitionsplan!K32</f>
        <v>0</v>
      </c>
      <c r="K59" s="131">
        <f>Investitionsplan!L32</f>
        <v>0</v>
      </c>
      <c r="L59" s="131">
        <f>Investitionsplan!M32</f>
        <v>0</v>
      </c>
      <c r="M59" s="131">
        <f>Investitionsplan!N32</f>
        <v>0</v>
      </c>
      <c r="N59" s="131">
        <f>Investitionsplan!O32</f>
        <v>0</v>
      </c>
      <c r="O59" s="131">
        <f>Investitionsplan!P32</f>
        <v>0</v>
      </c>
      <c r="P59" s="161">
        <f>Investitionsplan!Q32</f>
        <v>0</v>
      </c>
      <c r="Q59" s="136">
        <f>Investitionsplan!R32</f>
        <v>35000</v>
      </c>
      <c r="R59" s="162">
        <f>Investitionsplan!S32</f>
        <v>60000</v>
      </c>
      <c r="S59" s="131">
        <f>Investitionsplan!T32</f>
        <v>0</v>
      </c>
      <c r="T59" s="131">
        <f>Investitionsplan!U32</f>
        <v>0</v>
      </c>
      <c r="U59" s="161">
        <f>Investitionsplan!V32</f>
        <v>0</v>
      </c>
      <c r="V59" s="136">
        <f>Investitionsplan!W32</f>
        <v>60000</v>
      </c>
      <c r="W59" s="136">
        <f>Investitionsplan!X32</f>
        <v>0</v>
      </c>
      <c r="X59" s="137">
        <f>Investitionsplan!Y32</f>
        <v>0</v>
      </c>
    </row>
    <row r="60" spans="1:24" ht="7.5" customHeight="1" outlineLevel="1" thickTop="1" thickBot="1" x14ac:dyDescent="0.3">
      <c r="A60" s="833"/>
      <c r="B60" s="834"/>
      <c r="C60" s="834"/>
      <c r="D60" s="835"/>
      <c r="E60" s="343"/>
      <c r="F60" s="111"/>
      <c r="G60" s="111"/>
      <c r="H60" s="111"/>
      <c r="I60" s="111"/>
      <c r="J60" s="111"/>
      <c r="K60" s="111"/>
      <c r="L60" s="111"/>
      <c r="M60" s="111"/>
      <c r="N60" s="111"/>
      <c r="O60" s="111"/>
      <c r="P60" s="344"/>
      <c r="Q60" s="330" t="str">
        <f t="shared" ref="Q60" si="13">IF(SUM(E60:P60)=0,"",SUM(E60:P60))</f>
        <v/>
      </c>
      <c r="R60" s="331"/>
      <c r="S60" s="328"/>
      <c r="T60" s="328"/>
      <c r="U60" s="346"/>
      <c r="V60" s="330" t="str">
        <f t="shared" ref="V60" si="14">IF(SUM(R60:U60)=0,"",SUM(R60:U60))</f>
        <v/>
      </c>
      <c r="W60" s="330"/>
      <c r="X60" s="332"/>
    </row>
    <row r="61" spans="1:24" ht="18.75" customHeight="1" thickBot="1" x14ac:dyDescent="0.3">
      <c r="A61" s="802" t="s">
        <v>162</v>
      </c>
      <c r="B61" s="803"/>
      <c r="C61" s="803"/>
      <c r="D61" s="804"/>
      <c r="E61" s="632">
        <f>SUM(E58:E60)</f>
        <v>69600</v>
      </c>
      <c r="F61" s="633">
        <f t="shared" ref="F61:X61" si="15">SUM(F58:F60)</f>
        <v>0</v>
      </c>
      <c r="G61" s="633">
        <f t="shared" si="15"/>
        <v>47000</v>
      </c>
      <c r="H61" s="633">
        <f t="shared" si="15"/>
        <v>0</v>
      </c>
      <c r="I61" s="633">
        <f t="shared" si="15"/>
        <v>0</v>
      </c>
      <c r="J61" s="633">
        <f t="shared" si="15"/>
        <v>12000</v>
      </c>
      <c r="K61" s="633">
        <f t="shared" si="15"/>
        <v>0</v>
      </c>
      <c r="L61" s="633">
        <f t="shared" si="15"/>
        <v>0</v>
      </c>
      <c r="M61" s="633">
        <f t="shared" si="15"/>
        <v>0</v>
      </c>
      <c r="N61" s="633">
        <f t="shared" si="15"/>
        <v>24000</v>
      </c>
      <c r="O61" s="633">
        <f t="shared" si="15"/>
        <v>0</v>
      </c>
      <c r="P61" s="634">
        <f t="shared" si="15"/>
        <v>0</v>
      </c>
      <c r="Q61" s="568">
        <f t="shared" si="15"/>
        <v>152600</v>
      </c>
      <c r="R61" s="635">
        <f t="shared" si="15"/>
        <v>62400</v>
      </c>
      <c r="S61" s="633">
        <f t="shared" si="15"/>
        <v>0</v>
      </c>
      <c r="T61" s="633">
        <f t="shared" si="15"/>
        <v>0</v>
      </c>
      <c r="U61" s="634">
        <f t="shared" si="15"/>
        <v>0</v>
      </c>
      <c r="V61" s="568">
        <f t="shared" si="15"/>
        <v>62400</v>
      </c>
      <c r="W61" s="568">
        <f t="shared" si="15"/>
        <v>0</v>
      </c>
      <c r="X61" s="636">
        <f t="shared" si="15"/>
        <v>0</v>
      </c>
    </row>
    <row r="62" spans="1:24" ht="7.5" customHeight="1" thickBot="1" x14ac:dyDescent="0.3">
      <c r="A62" s="717"/>
      <c r="B62" s="718"/>
      <c r="C62" s="718"/>
      <c r="D62" s="718"/>
      <c r="E62" s="718"/>
      <c r="F62" s="718"/>
      <c r="G62" s="718"/>
      <c r="H62" s="718"/>
      <c r="I62" s="718"/>
      <c r="J62" s="718"/>
      <c r="K62" s="718"/>
      <c r="L62" s="718"/>
      <c r="M62" s="718"/>
      <c r="N62" s="718"/>
      <c r="O62" s="718"/>
      <c r="P62" s="718"/>
      <c r="Q62" s="718"/>
      <c r="R62" s="718"/>
      <c r="S62" s="718"/>
      <c r="T62" s="718"/>
      <c r="U62" s="718"/>
      <c r="V62" s="718"/>
      <c r="W62" s="718"/>
      <c r="X62" s="719"/>
    </row>
    <row r="63" spans="1:24" ht="18.75" customHeight="1" thickBot="1" x14ac:dyDescent="0.3">
      <c r="A63" s="824" t="s">
        <v>172</v>
      </c>
      <c r="B63" s="825"/>
      <c r="C63" s="825"/>
      <c r="D63" s="826"/>
      <c r="X63" s="335"/>
    </row>
    <row r="64" spans="1:24" ht="18.75" customHeight="1" outlineLevel="1" thickTop="1" x14ac:dyDescent="0.25">
      <c r="A64" s="869" t="str">
        <f>A83</f>
        <v>Sollzinsen Kontokorrentkredit</v>
      </c>
      <c r="B64" s="870"/>
      <c r="C64" s="870"/>
      <c r="D64" s="871"/>
      <c r="E64" s="278"/>
      <c r="F64" s="308"/>
      <c r="G64" s="308"/>
      <c r="H64" s="7">
        <f>E83</f>
        <v>971.11206101103744</v>
      </c>
      <c r="I64" s="308"/>
      <c r="J64" s="308"/>
      <c r="K64" s="7">
        <f>H83</f>
        <v>3274.6644437194868</v>
      </c>
      <c r="L64" s="308"/>
      <c r="M64" s="308"/>
      <c r="N64" s="7">
        <f>K83</f>
        <v>4023.815710962197</v>
      </c>
      <c r="O64" s="308"/>
      <c r="P64" s="309"/>
      <c r="Q64" s="8">
        <f>SUM(E64:P64)</f>
        <v>8269.5922156927209</v>
      </c>
      <c r="R64" s="310">
        <f>N83</f>
        <v>4968.1582513965441</v>
      </c>
      <c r="S64" s="7">
        <f>R83</f>
        <v>6233.3528692202017</v>
      </c>
      <c r="T64" s="7">
        <f>S83</f>
        <v>7644.2584913135679</v>
      </c>
      <c r="U64" s="182">
        <f>T83</f>
        <v>7944.4848652063147</v>
      </c>
      <c r="V64" s="8">
        <f>SUM(R64:U64)</f>
        <v>26790.25447713663</v>
      </c>
      <c r="W64" s="8">
        <f>U83</f>
        <v>8272.0447290689535</v>
      </c>
      <c r="X64" s="9">
        <f>W83</f>
        <v>34299.503372942825</v>
      </c>
    </row>
    <row r="65" spans="1:24" ht="18.75" customHeight="1" outlineLevel="1" x14ac:dyDescent="0.25">
      <c r="A65" s="842" t="str">
        <f>A85</f>
        <v>Zinsen Einmalkredit</v>
      </c>
      <c r="B65" s="843"/>
      <c r="C65" s="843"/>
      <c r="D65" s="844"/>
      <c r="E65" s="379"/>
      <c r="F65" s="380"/>
      <c r="G65" s="380"/>
      <c r="H65" s="11">
        <f>E85</f>
        <v>0</v>
      </c>
      <c r="I65" s="380"/>
      <c r="J65" s="380"/>
      <c r="K65" s="11">
        <f>H85</f>
        <v>0</v>
      </c>
      <c r="L65" s="380"/>
      <c r="M65" s="380"/>
      <c r="N65" s="11">
        <f>K85</f>
        <v>0</v>
      </c>
      <c r="O65" s="380"/>
      <c r="P65" s="381"/>
      <c r="Q65" s="12">
        <f>SUM(E65:P65)</f>
        <v>0</v>
      </c>
      <c r="R65" s="311">
        <f>N85</f>
        <v>0</v>
      </c>
      <c r="S65" s="11">
        <f>R85</f>
        <v>0</v>
      </c>
      <c r="T65" s="11">
        <f>S85</f>
        <v>0</v>
      </c>
      <c r="U65" s="187">
        <f>T85</f>
        <v>0</v>
      </c>
      <c r="V65" s="12">
        <f>SUM(R65:U65)</f>
        <v>0</v>
      </c>
      <c r="W65" s="12">
        <f>U85</f>
        <v>0</v>
      </c>
      <c r="X65" s="13">
        <f>W85</f>
        <v>0</v>
      </c>
    </row>
    <row r="66" spans="1:24" ht="18.75" customHeight="1" outlineLevel="1" x14ac:dyDescent="0.25">
      <c r="A66" s="827" t="s">
        <v>181</v>
      </c>
      <c r="B66" s="828"/>
      <c r="C66" s="828"/>
      <c r="D66" s="829"/>
      <c r="E66" s="409"/>
      <c r="F66" s="96"/>
      <c r="G66" s="96"/>
      <c r="H66" s="96"/>
      <c r="I66" s="96"/>
      <c r="J66" s="96"/>
      <c r="K66" s="96"/>
      <c r="L66" s="96"/>
      <c r="M66" s="96"/>
      <c r="N66" s="96"/>
      <c r="O66" s="96"/>
      <c r="P66" s="155"/>
      <c r="Q66" s="12">
        <f>SUM(E66:P66)</f>
        <v>0</v>
      </c>
      <c r="R66" s="422"/>
      <c r="S66" s="96"/>
      <c r="T66" s="96"/>
      <c r="U66" s="155"/>
      <c r="V66" s="12">
        <f>SUM(R66:U66)</f>
        <v>0</v>
      </c>
      <c r="W66" s="426"/>
      <c r="X66" s="418"/>
    </row>
    <row r="67" spans="1:24" ht="18.75" customHeight="1" outlineLevel="1" x14ac:dyDescent="0.25">
      <c r="A67" s="827" t="s">
        <v>175</v>
      </c>
      <c r="B67" s="828"/>
      <c r="C67" s="828"/>
      <c r="D67" s="829"/>
      <c r="E67" s="312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313"/>
      <c r="Q67" s="294">
        <f>SUM(E67:P67)</f>
        <v>0</v>
      </c>
      <c r="R67" s="423"/>
      <c r="S67" s="100"/>
      <c r="T67" s="100"/>
      <c r="U67" s="313"/>
      <c r="V67" s="294">
        <f>SUM(R67:U67)</f>
        <v>0</v>
      </c>
      <c r="W67" s="427"/>
      <c r="X67" s="428"/>
    </row>
    <row r="68" spans="1:24" ht="18.75" customHeight="1" outlineLevel="1" x14ac:dyDescent="0.25">
      <c r="A68" s="827" t="s">
        <v>101</v>
      </c>
      <c r="B68" s="828"/>
      <c r="C68" s="828"/>
      <c r="D68" s="829"/>
      <c r="E68" s="279"/>
      <c r="F68" s="382"/>
      <c r="G68" s="82">
        <f>E15*($D$7/(1+$D$7))</f>
        <v>0</v>
      </c>
      <c r="H68" s="82">
        <f>F15*($D$7/(1+$D$7))</f>
        <v>0</v>
      </c>
      <c r="I68" s="82">
        <f>G15*($D$7/(1+$D$7))</f>
        <v>0</v>
      </c>
      <c r="J68" s="82">
        <f>H15*($D$7/(1+$D$7))</f>
        <v>0</v>
      </c>
      <c r="K68" s="82">
        <f>I15*($D$7/(1+$D$7))</f>
        <v>0</v>
      </c>
      <c r="L68" s="82">
        <f>J15*($D$7/(1+$D$7))</f>
        <v>0</v>
      </c>
      <c r="M68" s="82">
        <f>K15*($D$7/(1+$D$7))</f>
        <v>16666.666666666668</v>
      </c>
      <c r="N68" s="82">
        <f>L15*($D$7/(1+$D$7))</f>
        <v>0</v>
      </c>
      <c r="O68" s="82">
        <f>M15*($D$7/(1+$D$7))</f>
        <v>0</v>
      </c>
      <c r="P68" s="385">
        <f>N15*($D$7/(1+$D$7))</f>
        <v>0</v>
      </c>
      <c r="Q68" s="348">
        <f t="shared" ref="Q68:Q69" si="16">SUM(E68:P68)</f>
        <v>16666.666666666668</v>
      </c>
      <c r="R68" s="81">
        <f>((O15+P15+R15)/3)*($D$7/(1+$D$7))</f>
        <v>7833.3333333333339</v>
      </c>
      <c r="S68" s="82">
        <f>((2*R15+S15)/3)*($D$7/(1+$D$7))</f>
        <v>11055.555555555557</v>
      </c>
      <c r="T68" s="82">
        <f>((2*S15+T15)/3)*($D$7/(1+$D$7))</f>
        <v>22166.666666666668</v>
      </c>
      <c r="U68" s="385">
        <f>((2*T15+U15)/3)*($D$7/(1+$D$7))</f>
        <v>22166.666666666668</v>
      </c>
      <c r="V68" s="348">
        <f t="shared" ref="V68:V69" si="17">SUM(R68:U68)</f>
        <v>63222.222222222234</v>
      </c>
      <c r="W68" s="348">
        <f>((8*U15+10*W15)/12)*($D$7/(1+$D$7))</f>
        <v>122555.55555555558</v>
      </c>
      <c r="X68" s="384">
        <f>((2*W15+10*X15)/12)*($D$7/(1+$D$7))</f>
        <v>274888.88888888893</v>
      </c>
    </row>
    <row r="69" spans="1:24" ht="18.75" customHeight="1" outlineLevel="1" thickBot="1" x14ac:dyDescent="0.3">
      <c r="A69" s="809"/>
      <c r="B69" s="810"/>
      <c r="C69" s="810"/>
      <c r="D69" s="811"/>
      <c r="E69" s="314"/>
      <c r="F69" s="141"/>
      <c r="G69" s="141"/>
      <c r="H69" s="141"/>
      <c r="I69" s="141"/>
      <c r="J69" s="141"/>
      <c r="K69" s="141"/>
      <c r="L69" s="141"/>
      <c r="M69" s="141"/>
      <c r="N69" s="141"/>
      <c r="O69" s="141"/>
      <c r="P69" s="156"/>
      <c r="Q69" s="349">
        <f t="shared" si="16"/>
        <v>0</v>
      </c>
      <c r="R69" s="424"/>
      <c r="S69" s="141"/>
      <c r="T69" s="141"/>
      <c r="U69" s="156"/>
      <c r="V69" s="349">
        <f t="shared" si="17"/>
        <v>0</v>
      </c>
      <c r="W69" s="429"/>
      <c r="X69" s="419"/>
    </row>
    <row r="70" spans="1:24" ht="7.5" customHeight="1" outlineLevel="1" thickTop="1" thickBot="1" x14ac:dyDescent="0.3">
      <c r="A70" s="799"/>
      <c r="B70" s="800"/>
      <c r="C70" s="800"/>
      <c r="D70" s="801"/>
      <c r="E70" s="315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316"/>
      <c r="Q70" s="350"/>
      <c r="R70" s="425"/>
      <c r="S70" s="413"/>
      <c r="T70" s="413"/>
      <c r="U70" s="414"/>
      <c r="V70" s="350"/>
      <c r="W70" s="430"/>
      <c r="X70" s="421"/>
    </row>
    <row r="71" spans="1:24" ht="18.75" customHeight="1" thickBot="1" x14ac:dyDescent="0.3">
      <c r="A71" s="802" t="s">
        <v>262</v>
      </c>
      <c r="B71" s="803"/>
      <c r="C71" s="803"/>
      <c r="D71" s="872"/>
      <c r="E71" s="638">
        <f>SUM(E64:E70)</f>
        <v>0</v>
      </c>
      <c r="F71" s="633">
        <f t="shared" ref="F71:X71" si="18">SUM(F64:F70)</f>
        <v>0</v>
      </c>
      <c r="G71" s="633">
        <f t="shared" si="18"/>
        <v>0</v>
      </c>
      <c r="H71" s="633">
        <f t="shared" si="18"/>
        <v>971.11206101103744</v>
      </c>
      <c r="I71" s="633">
        <f t="shared" si="18"/>
        <v>0</v>
      </c>
      <c r="J71" s="633">
        <f t="shared" si="18"/>
        <v>0</v>
      </c>
      <c r="K71" s="633">
        <f t="shared" si="18"/>
        <v>3274.6644437194868</v>
      </c>
      <c r="L71" s="633">
        <f t="shared" si="18"/>
        <v>0</v>
      </c>
      <c r="M71" s="633">
        <f t="shared" si="18"/>
        <v>16666.666666666668</v>
      </c>
      <c r="N71" s="633">
        <f t="shared" si="18"/>
        <v>4023.815710962197</v>
      </c>
      <c r="O71" s="633">
        <f t="shared" si="18"/>
        <v>0</v>
      </c>
      <c r="P71" s="634">
        <f t="shared" si="18"/>
        <v>0</v>
      </c>
      <c r="Q71" s="568">
        <f t="shared" si="18"/>
        <v>24936.258882359391</v>
      </c>
      <c r="R71" s="635">
        <f t="shared" si="18"/>
        <v>12801.491584729878</v>
      </c>
      <c r="S71" s="633">
        <f t="shared" si="18"/>
        <v>17288.908424775756</v>
      </c>
      <c r="T71" s="633">
        <f t="shared" si="18"/>
        <v>29810.925157980237</v>
      </c>
      <c r="U71" s="634">
        <f t="shared" si="18"/>
        <v>30111.151531872983</v>
      </c>
      <c r="V71" s="568">
        <f t="shared" si="18"/>
        <v>90012.476699358871</v>
      </c>
      <c r="W71" s="568">
        <f t="shared" si="18"/>
        <v>130827.60028462452</v>
      </c>
      <c r="X71" s="636">
        <f t="shared" si="18"/>
        <v>309188.39226183179</v>
      </c>
    </row>
    <row r="72" spans="1:24" ht="7.5" customHeight="1" thickBot="1" x14ac:dyDescent="0.3">
      <c r="A72" s="717"/>
      <c r="B72" s="718"/>
      <c r="C72" s="718"/>
      <c r="D72" s="718"/>
      <c r="E72" s="718"/>
      <c r="F72" s="718"/>
      <c r="G72" s="718"/>
      <c r="H72" s="718"/>
      <c r="I72" s="718"/>
      <c r="J72" s="718"/>
      <c r="K72" s="718"/>
      <c r="L72" s="718"/>
      <c r="M72" s="718"/>
      <c r="N72" s="718"/>
      <c r="O72" s="718"/>
      <c r="P72" s="718"/>
      <c r="Q72" s="718"/>
      <c r="R72" s="718"/>
      <c r="S72" s="718"/>
      <c r="T72" s="718"/>
      <c r="U72" s="718"/>
      <c r="V72" s="718"/>
      <c r="W72" s="718"/>
      <c r="X72" s="719"/>
    </row>
    <row r="73" spans="1:24" ht="18" customHeight="1" thickBot="1" x14ac:dyDescent="0.3">
      <c r="A73" s="818" t="s">
        <v>167</v>
      </c>
      <c r="B73" s="819"/>
      <c r="C73" s="819"/>
      <c r="D73" s="820"/>
      <c r="E73" s="459">
        <f t="shared" ref="E73:X73" si="19">SUM(E55,E61,E71)</f>
        <v>94761.402711601666</v>
      </c>
      <c r="F73" s="573">
        <f t="shared" si="19"/>
        <v>24987.602711601667</v>
      </c>
      <c r="G73" s="573">
        <f t="shared" si="19"/>
        <v>77435.602711601663</v>
      </c>
      <c r="H73" s="573">
        <f t="shared" si="19"/>
        <v>33104.7147726127</v>
      </c>
      <c r="I73" s="573">
        <f t="shared" si="19"/>
        <v>71180.269378268335</v>
      </c>
      <c r="J73" s="573">
        <f t="shared" si="19"/>
        <v>44083.602711601663</v>
      </c>
      <c r="K73" s="573">
        <f t="shared" si="19"/>
        <v>35408.267155321155</v>
      </c>
      <c r="L73" s="573">
        <f t="shared" si="19"/>
        <v>32283.602711601667</v>
      </c>
      <c r="M73" s="573">
        <f t="shared" si="19"/>
        <v>48750.269378268335</v>
      </c>
      <c r="N73" s="573">
        <f t="shared" si="19"/>
        <v>63157.41842256386</v>
      </c>
      <c r="O73" s="573">
        <f t="shared" si="19"/>
        <v>56180.269378268335</v>
      </c>
      <c r="P73" s="637">
        <f t="shared" si="19"/>
        <v>34083.602711601663</v>
      </c>
      <c r="Q73" s="336">
        <f t="shared" si="19"/>
        <v>614284.82475491264</v>
      </c>
      <c r="R73" s="460">
        <f t="shared" si="19"/>
        <v>187683.89971953488</v>
      </c>
      <c r="S73" s="573">
        <f t="shared" si="19"/>
        <v>173662.51655958075</v>
      </c>
      <c r="T73" s="573">
        <f t="shared" si="19"/>
        <v>140793.33329278525</v>
      </c>
      <c r="U73" s="637">
        <f t="shared" si="19"/>
        <v>176484.75966667797</v>
      </c>
      <c r="V73" s="336">
        <f t="shared" si="19"/>
        <v>660624.50923857896</v>
      </c>
      <c r="W73" s="336">
        <f t="shared" si="19"/>
        <v>660313.47282384452</v>
      </c>
      <c r="X73" s="337">
        <f t="shared" si="19"/>
        <v>861011.79680105182</v>
      </c>
    </row>
    <row r="74" spans="1:24" ht="7.5" customHeight="1" thickBot="1" x14ac:dyDescent="0.3"/>
    <row r="75" spans="1:24" ht="22.5" customHeight="1" thickBot="1" x14ac:dyDescent="0.3">
      <c r="A75" s="865" t="s">
        <v>177</v>
      </c>
      <c r="B75" s="866"/>
      <c r="C75" s="866"/>
      <c r="D75" s="866"/>
      <c r="E75" s="351">
        <f>E35-E73</f>
        <v>-94761.402711601666</v>
      </c>
      <c r="F75" s="352">
        <f t="shared" ref="F75:X75" si="20">F35-F73</f>
        <v>-24987.602711601667</v>
      </c>
      <c r="G75" s="352">
        <f t="shared" si="20"/>
        <v>-64703.80271160166</v>
      </c>
      <c r="H75" s="352">
        <f t="shared" si="20"/>
        <v>-32161.548105946033</v>
      </c>
      <c r="I75" s="352">
        <f t="shared" si="20"/>
        <v>-67903.769378268335</v>
      </c>
      <c r="J75" s="352">
        <f t="shared" si="20"/>
        <v>-43140.436044934999</v>
      </c>
      <c r="K75" s="352">
        <f t="shared" si="20"/>
        <v>68034.899511345517</v>
      </c>
      <c r="L75" s="352">
        <f t="shared" si="20"/>
        <v>-29340.436044934999</v>
      </c>
      <c r="M75" s="352">
        <f t="shared" si="20"/>
        <v>-47807.10271160167</v>
      </c>
      <c r="N75" s="352">
        <f t="shared" si="20"/>
        <v>-62214.251755897196</v>
      </c>
      <c r="O75" s="352">
        <f t="shared" si="20"/>
        <v>44762.897288398337</v>
      </c>
      <c r="P75" s="353">
        <f t="shared" si="20"/>
        <v>-20640.436044934995</v>
      </c>
      <c r="Q75" s="354">
        <f t="shared" si="20"/>
        <v>-373731.19142157934</v>
      </c>
      <c r="R75" s="355">
        <f t="shared" si="20"/>
        <v>-151387.73305286822</v>
      </c>
      <c r="S75" s="352">
        <f t="shared" si="20"/>
        <v>-36733.016559580748</v>
      </c>
      <c r="T75" s="352">
        <f t="shared" si="20"/>
        <v>-3297.1666261185892</v>
      </c>
      <c r="U75" s="353">
        <f t="shared" si="20"/>
        <v>-40377.481888900191</v>
      </c>
      <c r="V75" s="354">
        <f t="shared" si="20"/>
        <v>-213795.39812746784</v>
      </c>
      <c r="W75" s="356">
        <f t="shared" si="20"/>
        <v>127837.86050948885</v>
      </c>
      <c r="X75" s="357">
        <f t="shared" si="20"/>
        <v>974639.53653228143</v>
      </c>
    </row>
    <row r="76" spans="1:24" ht="7.5" customHeight="1" thickTop="1" thickBot="1" x14ac:dyDescent="0.3">
      <c r="A76" s="358"/>
      <c r="B76" s="359"/>
      <c r="C76" s="359"/>
      <c r="D76" s="359"/>
      <c r="E76" s="360"/>
      <c r="F76" s="361"/>
      <c r="G76" s="361"/>
      <c r="H76" s="361"/>
      <c r="I76" s="361"/>
      <c r="J76" s="361"/>
      <c r="K76" s="361"/>
      <c r="L76" s="361"/>
      <c r="M76" s="361"/>
      <c r="N76" s="361"/>
      <c r="O76" s="361"/>
      <c r="P76" s="362"/>
      <c r="Q76" s="363"/>
      <c r="R76" s="364"/>
      <c r="S76" s="361"/>
      <c r="T76" s="361"/>
      <c r="U76" s="362"/>
      <c r="V76" s="363"/>
      <c r="W76" s="365"/>
      <c r="X76" s="366"/>
    </row>
    <row r="77" spans="1:24" ht="22.5" customHeight="1" thickTop="1" thickBot="1" x14ac:dyDescent="0.3">
      <c r="A77" s="867" t="s">
        <v>178</v>
      </c>
      <c r="B77" s="868"/>
      <c r="C77" s="868"/>
      <c r="D77" s="868"/>
      <c r="E77" s="367">
        <f>$D$3+E75-E81</f>
        <v>-59761.402711601666</v>
      </c>
      <c r="F77" s="368">
        <f>IF(F81&lt;E81,((E77+F75)-(F81-E81)),(E77+F75))</f>
        <v>-84749.005423203329</v>
      </c>
      <c r="G77" s="368">
        <f t="shared" ref="G77:U77" si="21">IF(G81&lt;F81,((F77+G75)-(G81-F81)),(F77+G75))</f>
        <v>-149452.808134805</v>
      </c>
      <c r="H77" s="368">
        <f t="shared" si="21"/>
        <v>-181614.35624075105</v>
      </c>
      <c r="I77" s="368">
        <f t="shared" si="21"/>
        <v>-249518.12561901938</v>
      </c>
      <c r="J77" s="368">
        <f t="shared" si="21"/>
        <v>-292658.5616639544</v>
      </c>
      <c r="K77" s="368">
        <f t="shared" si="21"/>
        <v>-224623.66215260889</v>
      </c>
      <c r="L77" s="368">
        <f t="shared" si="21"/>
        <v>-253964.09819754388</v>
      </c>
      <c r="M77" s="368">
        <f t="shared" si="21"/>
        <v>-301771.20090914553</v>
      </c>
      <c r="N77" s="368">
        <f t="shared" si="21"/>
        <v>-363985.45266504271</v>
      </c>
      <c r="O77" s="368">
        <f t="shared" si="21"/>
        <v>-319222.55537664436</v>
      </c>
      <c r="P77" s="369">
        <f t="shared" si="21"/>
        <v>-339862.99142157938</v>
      </c>
      <c r="Q77" s="370">
        <f>P77</f>
        <v>-339862.99142157938</v>
      </c>
      <c r="R77" s="371">
        <f>IF(R81&lt;P81,((P77+R75)-(R81-P81)),(P77+R75))</f>
        <v>-491250.7244744476</v>
      </c>
      <c r="S77" s="368">
        <f t="shared" si="21"/>
        <v>-527983.74103402835</v>
      </c>
      <c r="T77" s="368">
        <f t="shared" si="21"/>
        <v>-531280.90766014694</v>
      </c>
      <c r="U77" s="369">
        <f t="shared" si="21"/>
        <v>-571658.3895490471</v>
      </c>
      <c r="V77" s="370">
        <f>U77</f>
        <v>-571658.3895490471</v>
      </c>
      <c r="W77" s="372">
        <f>IF(W81&lt;U81,((U77+W75)-(W81-U81)),(U77+W75))</f>
        <v>-443820.52903955826</v>
      </c>
      <c r="X77" s="373">
        <f t="shared" ref="X77" si="22">IF(X81&lt;W81,((W77+X75)-(X81-W81)),(W77+X75))</f>
        <v>530819.00749272318</v>
      </c>
    </row>
    <row r="78" spans="1:24" ht="30" customHeight="1" thickBot="1" x14ac:dyDescent="0.3"/>
    <row r="79" spans="1:24" ht="18.75" customHeight="1" x14ac:dyDescent="0.25">
      <c r="A79" s="788" t="s">
        <v>179</v>
      </c>
      <c r="B79" s="789"/>
      <c r="C79" s="789"/>
      <c r="D79" s="790"/>
      <c r="E79" s="691" t="s">
        <v>20</v>
      </c>
      <c r="F79" s="691"/>
      <c r="G79" s="691"/>
      <c r="H79" s="691"/>
      <c r="I79" s="691"/>
      <c r="J79" s="691"/>
      <c r="K79" s="691"/>
      <c r="L79" s="691"/>
      <c r="M79" s="691"/>
      <c r="N79" s="691"/>
      <c r="O79" s="691"/>
      <c r="P79" s="691"/>
      <c r="Q79" s="695" t="s">
        <v>20</v>
      </c>
      <c r="R79" s="691" t="s">
        <v>25</v>
      </c>
      <c r="S79" s="691"/>
      <c r="T79" s="691"/>
      <c r="U79" s="691"/>
      <c r="V79" s="695" t="s">
        <v>25</v>
      </c>
      <c r="W79" s="693" t="s">
        <v>26</v>
      </c>
      <c r="X79" s="697" t="s">
        <v>27</v>
      </c>
    </row>
    <row r="80" spans="1:24" ht="18.75" customHeight="1" thickBot="1" x14ac:dyDescent="0.3">
      <c r="A80" s="791"/>
      <c r="B80" s="792"/>
      <c r="C80" s="792"/>
      <c r="D80" s="873"/>
      <c r="E80" s="113">
        <v>1</v>
      </c>
      <c r="F80" s="2">
        <v>2</v>
      </c>
      <c r="G80" s="2">
        <v>3</v>
      </c>
      <c r="H80" s="2">
        <v>4</v>
      </c>
      <c r="I80" s="2">
        <v>5</v>
      </c>
      <c r="J80" s="2">
        <v>6</v>
      </c>
      <c r="K80" s="2">
        <v>7</v>
      </c>
      <c r="L80" s="2">
        <v>8</v>
      </c>
      <c r="M80" s="2">
        <v>9</v>
      </c>
      <c r="N80" s="2">
        <v>10</v>
      </c>
      <c r="O80" s="2">
        <v>11</v>
      </c>
      <c r="P80" s="3">
        <v>12</v>
      </c>
      <c r="Q80" s="696"/>
      <c r="R80" s="113" t="s">
        <v>21</v>
      </c>
      <c r="S80" s="2" t="s">
        <v>22</v>
      </c>
      <c r="T80" s="2" t="s">
        <v>23</v>
      </c>
      <c r="U80" s="3" t="s">
        <v>24</v>
      </c>
      <c r="V80" s="696"/>
      <c r="W80" s="694"/>
      <c r="X80" s="698"/>
    </row>
    <row r="81" spans="1:24" ht="18.75" customHeight="1" thickTop="1" x14ac:dyDescent="0.25">
      <c r="A81" s="821" t="s">
        <v>176</v>
      </c>
      <c r="B81" s="822"/>
      <c r="C81" s="822"/>
      <c r="D81" s="823"/>
      <c r="E81" s="149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431"/>
      <c r="Q81" s="293">
        <f>SUM(E81:P81)</f>
        <v>0</v>
      </c>
      <c r="R81" s="148"/>
      <c r="S81" s="18"/>
      <c r="T81" s="18"/>
      <c r="U81" s="431"/>
      <c r="V81" s="293">
        <f>SUM(R81:U81)</f>
        <v>0</v>
      </c>
      <c r="W81" s="146"/>
      <c r="X81" s="147"/>
    </row>
    <row r="82" spans="1:24" s="377" customFormat="1" ht="7.5" customHeight="1" x14ac:dyDescent="0.25">
      <c r="A82" s="374"/>
      <c r="B82" s="375"/>
      <c r="C82" s="375"/>
      <c r="D82" s="376"/>
      <c r="E82" s="302"/>
      <c r="F82" s="303"/>
      <c r="G82" s="303"/>
      <c r="H82" s="303"/>
      <c r="I82" s="303"/>
      <c r="J82" s="303"/>
      <c r="K82" s="303"/>
      <c r="L82" s="303"/>
      <c r="M82" s="303"/>
      <c r="N82" s="303"/>
      <c r="O82" s="303"/>
      <c r="P82" s="304"/>
      <c r="Q82" s="305"/>
      <c r="R82" s="306"/>
      <c r="S82" s="303"/>
      <c r="T82" s="303"/>
      <c r="U82" s="304"/>
      <c r="V82" s="305"/>
      <c r="W82" s="305"/>
      <c r="X82" s="307"/>
    </row>
    <row r="83" spans="1:24" ht="18.75" customHeight="1" x14ac:dyDescent="0.25">
      <c r="A83" s="784" t="s">
        <v>168</v>
      </c>
      <c r="B83" s="740"/>
      <c r="C83" s="740"/>
      <c r="D83" s="740"/>
      <c r="E83" s="853">
        <f>IF(SUM($D$3,E$77:G$77)&lt;0,IPMT($D$5,1,1,AVERAGE($D$3,E$77:G$77))/4,0)</f>
        <v>971.11206101103744</v>
      </c>
      <c r="F83" s="854"/>
      <c r="G83" s="854"/>
      <c r="H83" s="854">
        <f>IF(SUM(G$77:J$77)&lt;0,IPMT($D$5,1,1,AVERAGE(G$77:J$77))/4,0)</f>
        <v>3274.6644437194868</v>
      </c>
      <c r="I83" s="854"/>
      <c r="J83" s="854"/>
      <c r="K83" s="861">
        <f>IF(SUM(J$77:M$77)&lt;0,IPMT($D$5,1,1,AVERAGE(J$77:M$77))/4,0)</f>
        <v>4023.815710962197</v>
      </c>
      <c r="L83" s="856"/>
      <c r="M83" s="857"/>
      <c r="N83" s="861">
        <f>IF(SUM(M$77:P$77)&lt;0,IPMT($D$5,1,1,AVERAGE(M$77:P$77))/4,0)</f>
        <v>4968.1582513965441</v>
      </c>
      <c r="O83" s="856"/>
      <c r="P83" s="862"/>
      <c r="Q83" s="294">
        <f>SUM(B83:P83)</f>
        <v>13237.750467089265</v>
      </c>
      <c r="R83" s="77">
        <f>IF(SUM(R$77,P$77)&lt;0,IPMT($D$5,1,1,AVERAGE(R$77,P$77))/4,0)</f>
        <v>6233.3528692202017</v>
      </c>
      <c r="S83" s="78">
        <f>IF(SUM(S$77,R$77)&lt;0,IPMT($D$5,1,1,AVERAGE(S$77,R$77))/4,0)</f>
        <v>7644.2584913135679</v>
      </c>
      <c r="T83" s="78">
        <f>IF(SUM(T$77,S$77)&lt;0,IPMT($D$5,1,1,AVERAGE(T$77,S$77))/4,0)</f>
        <v>7944.4848652063147</v>
      </c>
      <c r="U83" s="301">
        <f>IF(SUM(U$77,T$77)&lt;0,IPMT($D$5,1,1,AVERAGE(U$77,T$77))/4,0)</f>
        <v>8272.0447290689535</v>
      </c>
      <c r="V83" s="294">
        <f>SUM(R83:U83)</f>
        <v>30094.140954809038</v>
      </c>
      <c r="W83" s="294">
        <f>IF(V$77&lt;0,IPMT($D$5,1,1,V$77),0)</f>
        <v>34299.503372942825</v>
      </c>
      <c r="X83" s="295">
        <f>IF(W$77&lt;0,IPMT($D$5,1,1,W$77),0)</f>
        <v>26629.231742373493</v>
      </c>
    </row>
    <row r="84" spans="1:24" ht="18.75" customHeight="1" x14ac:dyDescent="0.25">
      <c r="A84" s="784" t="s">
        <v>171</v>
      </c>
      <c r="B84" s="740"/>
      <c r="C84" s="740"/>
      <c r="D84" s="740"/>
      <c r="E84" s="855">
        <f>IF(SUM($D$3,E$77:G$77)&gt;0,IPMT($D$6,1,1,AVERAGE($D$3,E$77:G$77))/4,0)</f>
        <v>0</v>
      </c>
      <c r="F84" s="856"/>
      <c r="G84" s="857"/>
      <c r="H84" s="861">
        <f>IF(SUM(G$77:J$77)&gt;0,IPMT($D$6,1,1,AVERAGE(G$77:J$77))/4,0)</f>
        <v>0</v>
      </c>
      <c r="I84" s="856"/>
      <c r="J84" s="857"/>
      <c r="K84" s="861">
        <f>IF(SUM(J$77:M$77)&gt;0,IPMT($D$6,1,1,AVERAGE(J$77:M$77))/4,0)</f>
        <v>0</v>
      </c>
      <c r="L84" s="856"/>
      <c r="M84" s="857"/>
      <c r="N84" s="861">
        <f>IF(SUM(M$77:P$77)&gt;0,IPMT($D$6,1,1,AVERAGE(M$77:P$77))/4,0)</f>
        <v>0</v>
      </c>
      <c r="O84" s="856"/>
      <c r="P84" s="862"/>
      <c r="Q84" s="294">
        <f t="shared" ref="Q84:Q85" si="23">SUM(B84:P84)</f>
        <v>0</v>
      </c>
      <c r="R84" s="77">
        <f>IF(SUM(R$77,P$77)&gt;0,IPMT($D$6,1,1,AVERAGE(R$77,P$77))/4,0)</f>
        <v>0</v>
      </c>
      <c r="S84" s="78">
        <f>IF(SUM(S$77,R$77)&gt;0,IPMT($D$6,1,1,AVERAGE(S$77,R$77))/4,0)</f>
        <v>0</v>
      </c>
      <c r="T84" s="78">
        <f>IF(SUM(T$77,S$77)&gt;0,IPMT($D$6,1,1,AVERAGE(T$77,S$77))/4,0)</f>
        <v>0</v>
      </c>
      <c r="U84" s="78">
        <f>IF(SUM(U$77,T$77)&gt;0,IPMT($D$6,1,1,AVERAGE(U$77,T$77))/4,0)</f>
        <v>0</v>
      </c>
      <c r="V84" s="294">
        <f t="shared" ref="V84:V85" si="24">SUM(R84:U84)</f>
        <v>0</v>
      </c>
      <c r="W84" s="294">
        <f>IF(V$77&gt;0,IPMT($D$6,1,1,V$77),0)</f>
        <v>0</v>
      </c>
      <c r="X84" s="295">
        <f>IF(W$77&gt;0,IPMT($D$6,1,1,(W$77/4)),0)</f>
        <v>0</v>
      </c>
    </row>
    <row r="85" spans="1:24" ht="18.75" customHeight="1" thickBot="1" x14ac:dyDescent="0.3">
      <c r="A85" s="851" t="s">
        <v>173</v>
      </c>
      <c r="B85" s="852"/>
      <c r="C85" s="852"/>
      <c r="D85" s="852"/>
      <c r="E85" s="858">
        <f>IF(SUM(E$81:G$81)&lt;0,IPMT($D$4,1,1,AVERAGE(E$81:G$81))/4,0)</f>
        <v>0</v>
      </c>
      <c r="F85" s="859"/>
      <c r="G85" s="860"/>
      <c r="H85" s="863">
        <f>IF(SUM(G$81:J$81)&lt;0,IPMT($D$4,1,1,AVERAGE(G$81:J$81))/4,0)</f>
        <v>0</v>
      </c>
      <c r="I85" s="859"/>
      <c r="J85" s="860"/>
      <c r="K85" s="863">
        <f>IF(SUM(J$81:M$81)&lt;0,IPMT($D$4,1,1,AVERAGE(J$81:M$81))/4,0)</f>
        <v>0</v>
      </c>
      <c r="L85" s="859"/>
      <c r="M85" s="860"/>
      <c r="N85" s="863">
        <f>IF(SUM(M$81:P$81)&lt;0,IPMT($D$4,1,1,AVERAGE(M$81:P$81))/4,0)</f>
        <v>0</v>
      </c>
      <c r="O85" s="859"/>
      <c r="P85" s="864"/>
      <c r="Q85" s="298">
        <f t="shared" si="23"/>
        <v>0</v>
      </c>
      <c r="R85" s="299">
        <f>IF(SUM(R$81,P$81)&lt;0,IPMT($D$4,1,1,AVERAGE(R$81,P$81))/4,0)</f>
        <v>0</v>
      </c>
      <c r="S85" s="296">
        <f>IF(SUM(S$81,R$81)&lt;0,IPMT($D$4,1,1,AVERAGE(S$81,R$81))/4,0)</f>
        <v>0</v>
      </c>
      <c r="T85" s="296">
        <f>IF(SUM(T$81,S$81)&lt;0,IPMT($D$4,1,1,AVERAGE(T$81,S$81))/4,0)</f>
        <v>0</v>
      </c>
      <c r="U85" s="297">
        <f>IF(SUM(U$81,T$81)&lt;0,IPMT($D$4,1,1,AVERAGE(U$81,T$81))/4,0)</f>
        <v>0</v>
      </c>
      <c r="V85" s="298">
        <f t="shared" si="24"/>
        <v>0</v>
      </c>
      <c r="W85" s="298">
        <f>IF(V$81&lt;0,IPMT($D$4,1,1,V$81),0)</f>
        <v>0</v>
      </c>
      <c r="X85" s="300">
        <f>IF(W$81&lt;0,IPMT($D$4,1,1,W$81),0)</f>
        <v>0</v>
      </c>
    </row>
    <row r="87" spans="1:24" x14ac:dyDescent="0.25">
      <c r="F87" s="378"/>
    </row>
  </sheetData>
  <mergeCells count="111">
    <mergeCell ref="A66:D66"/>
    <mergeCell ref="A65:D65"/>
    <mergeCell ref="A67:D67"/>
    <mergeCell ref="A68:D68"/>
    <mergeCell ref="A75:D75"/>
    <mergeCell ref="A83:D83"/>
    <mergeCell ref="A77:D77"/>
    <mergeCell ref="A61:D61"/>
    <mergeCell ref="A72:X72"/>
    <mergeCell ref="A73:D73"/>
    <mergeCell ref="A62:X62"/>
    <mergeCell ref="A63:D63"/>
    <mergeCell ref="A64:D64"/>
    <mergeCell ref="A69:D69"/>
    <mergeCell ref="A70:D70"/>
    <mergeCell ref="A71:D71"/>
    <mergeCell ref="W79:W80"/>
    <mergeCell ref="X79:X80"/>
    <mergeCell ref="A81:D81"/>
    <mergeCell ref="A79:D80"/>
    <mergeCell ref="E79:P79"/>
    <mergeCell ref="Q79:Q80"/>
    <mergeCell ref="R79:U79"/>
    <mergeCell ref="V79:V80"/>
    <mergeCell ref="A84:D84"/>
    <mergeCell ref="A85:D85"/>
    <mergeCell ref="E83:G83"/>
    <mergeCell ref="E84:G84"/>
    <mergeCell ref="E85:G85"/>
    <mergeCell ref="H83:J83"/>
    <mergeCell ref="K83:M83"/>
    <mergeCell ref="N83:P83"/>
    <mergeCell ref="H84:J84"/>
    <mergeCell ref="K84:M84"/>
    <mergeCell ref="N84:P84"/>
    <mergeCell ref="H85:J85"/>
    <mergeCell ref="K85:M85"/>
    <mergeCell ref="N85:P85"/>
    <mergeCell ref="A57:D57"/>
    <mergeCell ref="A58:D58"/>
    <mergeCell ref="A59:D59"/>
    <mergeCell ref="A60:D60"/>
    <mergeCell ref="A54:D54"/>
    <mergeCell ref="A55:D55"/>
    <mergeCell ref="A41:D41"/>
    <mergeCell ref="A42:D42"/>
    <mergeCell ref="A48:D48"/>
    <mergeCell ref="A49:D49"/>
    <mergeCell ref="A53:D53"/>
    <mergeCell ref="A43:D43"/>
    <mergeCell ref="A44:D44"/>
    <mergeCell ref="A45:D45"/>
    <mergeCell ref="A46:D46"/>
    <mergeCell ref="A47:D47"/>
    <mergeCell ref="A50:D50"/>
    <mergeCell ref="A51:D51"/>
    <mergeCell ref="A52:D52"/>
    <mergeCell ref="A56:X56"/>
    <mergeCell ref="W37:W38"/>
    <mergeCell ref="X37:X38"/>
    <mergeCell ref="A38:D38"/>
    <mergeCell ref="A39:D39"/>
    <mergeCell ref="A40:D40"/>
    <mergeCell ref="A37:C37"/>
    <mergeCell ref="E37:P37"/>
    <mergeCell ref="Q37:Q38"/>
    <mergeCell ref="R37:U37"/>
    <mergeCell ref="V37:V38"/>
    <mergeCell ref="A33:D33"/>
    <mergeCell ref="A35:D35"/>
    <mergeCell ref="A21:D21"/>
    <mergeCell ref="A34:X34"/>
    <mergeCell ref="A26:X26"/>
    <mergeCell ref="A28:D28"/>
    <mergeCell ref="A31:D31"/>
    <mergeCell ref="A27:D27"/>
    <mergeCell ref="A30:D30"/>
    <mergeCell ref="A29:D29"/>
    <mergeCell ref="V18:V19"/>
    <mergeCell ref="W18:W19"/>
    <mergeCell ref="X18:X19"/>
    <mergeCell ref="A32:D32"/>
    <mergeCell ref="E18:P18"/>
    <mergeCell ref="Q18:Q19"/>
    <mergeCell ref="R18:U18"/>
    <mergeCell ref="A22:D22"/>
    <mergeCell ref="A24:D24"/>
    <mergeCell ref="A25:D25"/>
    <mergeCell ref="A20:D20"/>
    <mergeCell ref="A23:D23"/>
    <mergeCell ref="A19:D19"/>
    <mergeCell ref="A18:C18"/>
    <mergeCell ref="A16:D16"/>
    <mergeCell ref="W9:W10"/>
    <mergeCell ref="X9:X10"/>
    <mergeCell ref="A13:D13"/>
    <mergeCell ref="A12:D12"/>
    <mergeCell ref="A11:D11"/>
    <mergeCell ref="A15:D15"/>
    <mergeCell ref="A1:X1"/>
    <mergeCell ref="A9:D10"/>
    <mergeCell ref="E9:P9"/>
    <mergeCell ref="Q9:Q10"/>
    <mergeCell ref="R9:U9"/>
    <mergeCell ref="V9:V10"/>
    <mergeCell ref="A3:C3"/>
    <mergeCell ref="A4:C4"/>
    <mergeCell ref="A5:C5"/>
    <mergeCell ref="A6:C6"/>
    <mergeCell ref="A7:C7"/>
    <mergeCell ref="A8:C8"/>
  </mergeCells>
  <dataValidations count="3">
    <dataValidation type="decimal" allowBlank="1" showInputMessage="1" showErrorMessage="1" sqref="W12:X12 R12:U12 E12:P12">
      <formula1>0</formula1>
      <formula2>1-E11</formula2>
    </dataValidation>
    <dataValidation type="decimal" allowBlank="1" showInputMessage="1" showErrorMessage="1" sqref="W11:X11 R11:U11 E11:P11">
      <formula1>0</formula1>
      <formula2>1</formula2>
    </dataValidation>
    <dataValidation type="decimal" operator="lessThanOrEqual" allowBlank="1" showErrorMessage="1" errorTitle="Fehler" error="Wert muss kleiner oder gleich &quot;0&quot; sein!" sqref="E81:X82">
      <formula1>0</formula1>
    </dataValidation>
  </dataValidations>
  <pageMargins left="0.7" right="0.7" top="0.78740157499999996" bottom="0.78740157499999996" header="0.3" footer="0.3"/>
  <pageSetup paperSize="8" scale="58" fitToHeight="0" orientation="landscape" horizontalDpi="0" verticalDpi="0" r:id="rId1"/>
  <rowBreaks count="1" manualBreakCount="1">
    <brk id="62" max="23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>
    <pageSetUpPr fitToPage="1"/>
  </sheetPr>
  <dimension ref="A1:M42"/>
  <sheetViews>
    <sheetView showGridLines="0" view="pageBreakPreview" zoomScale="85" zoomScaleNormal="100" zoomScaleSheetLayoutView="85" workbookViewId="0">
      <pane xSplit="4" ySplit="1" topLeftCell="E20" activePane="bottomRight" state="frozen"/>
      <selection pane="topRight" activeCell="E1" sqref="E1"/>
      <selection pane="bottomLeft" activeCell="A2" sqref="A2"/>
      <selection pane="bottomRight" activeCell="I27" sqref="I27"/>
    </sheetView>
  </sheetViews>
  <sheetFormatPr baseColWidth="10" defaultRowHeight="15" outlineLevelRow="1" x14ac:dyDescent="0.25"/>
  <cols>
    <col min="1" max="1" width="17.7109375" style="41" bestFit="1" customWidth="1"/>
    <col min="2" max="3" width="12.5703125" style="41" customWidth="1"/>
    <col min="4" max="4" width="7.140625" style="41" bestFit="1" customWidth="1"/>
    <col min="5" max="5" width="15.5703125" style="41" bestFit="1" customWidth="1"/>
    <col min="6" max="6" width="11.28515625" style="41" bestFit="1" customWidth="1"/>
    <col min="7" max="7" width="17.7109375" style="41" bestFit="1" customWidth="1"/>
    <col min="8" max="8" width="11.28515625" style="41" bestFit="1" customWidth="1"/>
    <col min="9" max="9" width="17.28515625" style="41" bestFit="1" customWidth="1"/>
    <col min="10" max="10" width="11.28515625" style="41" bestFit="1" customWidth="1"/>
    <col min="11" max="11" width="18.28515625" style="41" bestFit="1" customWidth="1"/>
    <col min="12" max="12" width="11.28515625" style="41" bestFit="1" customWidth="1"/>
    <col min="13" max="16384" width="11.42578125" style="41"/>
  </cols>
  <sheetData>
    <row r="1" spans="1:12" ht="27" thickBot="1" x14ac:dyDescent="0.3">
      <c r="A1" s="714" t="s">
        <v>190</v>
      </c>
      <c r="B1" s="715"/>
      <c r="C1" s="715"/>
      <c r="D1" s="715"/>
      <c r="E1" s="715"/>
      <c r="F1" s="715"/>
      <c r="G1" s="715"/>
      <c r="H1" s="715"/>
      <c r="I1" s="715"/>
      <c r="J1" s="715"/>
      <c r="K1" s="715"/>
      <c r="L1" s="716"/>
    </row>
    <row r="2" spans="1:12" ht="7.5" customHeight="1" thickBot="1" x14ac:dyDescent="0.3"/>
    <row r="3" spans="1:12" ht="15" customHeight="1" thickBot="1" x14ac:dyDescent="0.3">
      <c r="A3" s="890" t="s">
        <v>164</v>
      </c>
      <c r="B3" s="891"/>
      <c r="C3" s="891"/>
      <c r="D3" s="484">
        <f>Liquiditätsplan!D8</f>
        <v>0.2</v>
      </c>
    </row>
    <row r="4" spans="1:12" ht="22.5" customHeight="1" thickBot="1" x14ac:dyDescent="0.3">
      <c r="A4" s="449" t="s">
        <v>193</v>
      </c>
      <c r="B4" s="441"/>
      <c r="C4" s="441"/>
      <c r="D4" s="442"/>
      <c r="E4" s="778" t="s">
        <v>20</v>
      </c>
      <c r="F4" s="779"/>
      <c r="G4" s="690" t="s">
        <v>25</v>
      </c>
      <c r="H4" s="693"/>
      <c r="I4" s="690" t="s">
        <v>26</v>
      </c>
      <c r="J4" s="693"/>
      <c r="K4" s="690" t="s">
        <v>27</v>
      </c>
      <c r="L4" s="780"/>
    </row>
    <row r="5" spans="1:12" s="5" customFormat="1" ht="18.75" customHeight="1" thickBot="1" x14ac:dyDescent="0.3">
      <c r="A5" s="445" t="s">
        <v>195</v>
      </c>
      <c r="B5" s="443"/>
      <c r="C5" s="443"/>
      <c r="D5" s="444"/>
      <c r="E5" s="262" t="s">
        <v>191</v>
      </c>
      <c r="F5" s="263" t="s">
        <v>192</v>
      </c>
      <c r="G5" s="264" t="s">
        <v>191</v>
      </c>
      <c r="H5" s="271" t="s">
        <v>192</v>
      </c>
      <c r="I5" s="264" t="s">
        <v>191</v>
      </c>
      <c r="J5" s="271" t="s">
        <v>192</v>
      </c>
      <c r="K5" s="264" t="s">
        <v>191</v>
      </c>
      <c r="L5" s="386" t="s">
        <v>192</v>
      </c>
    </row>
    <row r="6" spans="1:12" ht="18.75" customHeight="1" outlineLevel="1" thickTop="1" x14ac:dyDescent="0.25">
      <c r="A6" s="821" t="s">
        <v>218</v>
      </c>
      <c r="B6" s="822"/>
      <c r="C6" s="822"/>
      <c r="D6" s="823"/>
      <c r="E6" s="6">
        <f>Abschreibung!G18</f>
        <v>20000</v>
      </c>
      <c r="F6" s="432">
        <f>IF(E$22=0,0,E6/E$22)</f>
        <v>0.19521717911176184</v>
      </c>
      <c r="G6" s="73">
        <f>Abschreibung!I18</f>
        <v>20000</v>
      </c>
      <c r="H6" s="435">
        <f>IF(G$22=0,0,G6/G$22)</f>
        <v>0.15333503705596732</v>
      </c>
      <c r="I6" s="73">
        <f>Abschreibung!K18</f>
        <v>20000</v>
      </c>
      <c r="J6" s="435">
        <f>IF(I$22=0,0,I6/I$22)</f>
        <v>0.21743069396629816</v>
      </c>
      <c r="K6" s="73">
        <f>Abschreibung!M18</f>
        <v>20000</v>
      </c>
      <c r="L6" s="438">
        <f>IF(K$22=0,0,K6/K$22)</f>
        <v>3.3746597494449117E-2</v>
      </c>
    </row>
    <row r="7" spans="1:12" ht="18.75" customHeight="1" outlineLevel="1" x14ac:dyDescent="0.25">
      <c r="A7" s="827" t="s">
        <v>219</v>
      </c>
      <c r="B7" s="828"/>
      <c r="C7" s="828"/>
      <c r="D7" s="829"/>
      <c r="E7" s="10">
        <f>SUM(Abschreibung!G5:G6)</f>
        <v>24900</v>
      </c>
      <c r="F7" s="433">
        <f>IF(E$22=0,0,E7/E$22)</f>
        <v>0.24304538799414349</v>
      </c>
      <c r="G7" s="77">
        <f>SUM(Abschreibung!I5:I6)</f>
        <v>21800</v>
      </c>
      <c r="H7" s="436">
        <f>IF(G$22=0,0,G7/G$22)</f>
        <v>0.16713519039100436</v>
      </c>
      <c r="I7" s="77">
        <f>SUM(Abschreibung!K5:K6)</f>
        <v>18700</v>
      </c>
      <c r="J7" s="436">
        <f>IF(I$22=0,0,I7/I$22)</f>
        <v>0.20329769885848878</v>
      </c>
      <c r="K7" s="77">
        <f>SUM(Abschreibung!M5:M6)</f>
        <v>15600</v>
      </c>
      <c r="L7" s="439">
        <f>IF(K$22=0,0,K7/K$22)</f>
        <v>2.6322346045670311E-2</v>
      </c>
    </row>
    <row r="8" spans="1:12" ht="18.75" customHeight="1" outlineLevel="1" x14ac:dyDescent="0.25">
      <c r="A8" s="827" t="s">
        <v>220</v>
      </c>
      <c r="B8" s="828"/>
      <c r="C8" s="828"/>
      <c r="D8" s="829"/>
      <c r="E8" s="10">
        <f>SUM(Abschreibung!G11:G12)</f>
        <v>15500</v>
      </c>
      <c r="F8" s="433">
        <f>IF(E$22=0,0,E8/E$22)</f>
        <v>0.15129331381161543</v>
      </c>
      <c r="G8" s="77">
        <f>SUM(Abschreibung!I11:I12)</f>
        <v>11000</v>
      </c>
      <c r="H8" s="436">
        <f>IF(G$22=0,0,G8/G$22)</f>
        <v>8.433427038078202E-2</v>
      </c>
      <c r="I8" s="77">
        <f>SUM(Abschreibung!K11:K12)</f>
        <v>6500</v>
      </c>
      <c r="J8" s="436">
        <f>IF(I$22=0,0,I8/I$22)</f>
        <v>7.0664975539046895E-2</v>
      </c>
      <c r="K8" s="77">
        <f>SUM(Abschreibung!M11:M12)</f>
        <v>2000</v>
      </c>
      <c r="L8" s="439">
        <f>IF(K$22=0,0,K8/K$22)</f>
        <v>3.3746597494449119E-3</v>
      </c>
    </row>
    <row r="9" spans="1:12" ht="18.75" customHeight="1" outlineLevel="1" x14ac:dyDescent="0.25">
      <c r="A9" s="827" t="s">
        <v>216</v>
      </c>
      <c r="B9" s="828"/>
      <c r="C9" s="828"/>
      <c r="D9" s="829"/>
      <c r="E9" s="10">
        <f>Abschreibung!G32</f>
        <v>26250</v>
      </c>
      <c r="F9" s="433">
        <f>IF(E$22=0,0,E9/E$22)</f>
        <v>0.25622254758418739</v>
      </c>
      <c r="G9" s="77">
        <f>Abschreibung!I32</f>
        <v>62500</v>
      </c>
      <c r="H9" s="436">
        <f>IF(G$22=0,0,G9/G$22)</f>
        <v>0.47917199079989786</v>
      </c>
      <c r="I9" s="77">
        <f>Abschreibung!K32</f>
        <v>38750</v>
      </c>
      <c r="J9" s="436">
        <f>IF(I$22=0,0,I9/I$22)</f>
        <v>0.42127196955970264</v>
      </c>
      <c r="K9" s="77">
        <f>Abschreibung!M32</f>
        <v>15000</v>
      </c>
      <c r="L9" s="439">
        <f>IF(K$22=0,0,K9/K$22)</f>
        <v>2.5309948120836839E-2</v>
      </c>
    </row>
    <row r="10" spans="1:12" ht="18.75" customHeight="1" outlineLevel="1" thickBot="1" x14ac:dyDescent="0.3">
      <c r="A10" s="827" t="s">
        <v>217</v>
      </c>
      <c r="B10" s="828"/>
      <c r="C10" s="828"/>
      <c r="D10" s="829"/>
      <c r="E10" s="10">
        <f>SUM(Abschreibung!G8:G10)</f>
        <v>15000</v>
      </c>
      <c r="F10" s="433">
        <f>IF(E$22=0,0,E10/E$22)</f>
        <v>0.14641288433382138</v>
      </c>
      <c r="G10" s="77">
        <f>SUM(Abschreibung!I8:I10)</f>
        <v>11500</v>
      </c>
      <c r="H10" s="436">
        <f>IF(G$22=0,0,G10/G$22)</f>
        <v>8.8167646307181199E-2</v>
      </c>
      <c r="I10" s="77">
        <f>SUM(Abschreibung!K8:K10)</f>
        <v>6000</v>
      </c>
      <c r="J10" s="436">
        <f>IF(I$22=0,0,I10/I$22)</f>
        <v>6.5229208189889448E-2</v>
      </c>
      <c r="K10" s="77">
        <f>SUM(Abschreibung!M8:M10)</f>
        <v>500</v>
      </c>
      <c r="L10" s="439">
        <f>IF(K$22=0,0,K10/K$22)</f>
        <v>8.4366493736122796E-4</v>
      </c>
    </row>
    <row r="11" spans="1:12" ht="7.5" customHeight="1" outlineLevel="1" thickTop="1" thickBot="1" x14ac:dyDescent="0.3">
      <c r="A11" s="887"/>
      <c r="B11" s="888"/>
      <c r="C11" s="888"/>
      <c r="D11" s="889"/>
      <c r="E11" s="27"/>
      <c r="F11" s="434"/>
      <c r="G11" s="31"/>
      <c r="H11" s="437"/>
      <c r="I11" s="31"/>
      <c r="J11" s="437"/>
      <c r="K11" s="31"/>
      <c r="L11" s="440"/>
    </row>
    <row r="12" spans="1:12" ht="18.75" customHeight="1" thickBot="1" x14ac:dyDescent="0.3">
      <c r="A12" s="802" t="s">
        <v>194</v>
      </c>
      <c r="B12" s="803"/>
      <c r="C12" s="803"/>
      <c r="D12" s="872"/>
      <c r="E12" s="452">
        <f t="shared" ref="E12:L12" si="0">SUM(E6:E11)</f>
        <v>101650</v>
      </c>
      <c r="F12" s="453">
        <f t="shared" si="0"/>
        <v>0.99219131283552953</v>
      </c>
      <c r="G12" s="454">
        <f t="shared" si="0"/>
        <v>126800</v>
      </c>
      <c r="H12" s="455">
        <f t="shared" si="0"/>
        <v>0.97214413493483276</v>
      </c>
      <c r="I12" s="454">
        <f t="shared" si="0"/>
        <v>89950</v>
      </c>
      <c r="J12" s="453">
        <f t="shared" si="0"/>
        <v>0.97789454611342586</v>
      </c>
      <c r="K12" s="454">
        <f t="shared" si="0"/>
        <v>53100</v>
      </c>
      <c r="L12" s="456">
        <f t="shared" si="0"/>
        <v>8.959721634776241E-2</v>
      </c>
    </row>
    <row r="13" spans="1:12" ht="7.5" customHeight="1" thickBot="1" x14ac:dyDescent="0.3">
      <c r="A13" s="701"/>
      <c r="B13" s="702"/>
      <c r="C13" s="702"/>
      <c r="D13" s="702"/>
      <c r="E13" s="702"/>
      <c r="F13" s="702"/>
      <c r="G13" s="702"/>
      <c r="H13" s="702"/>
      <c r="I13" s="702"/>
      <c r="J13" s="702"/>
      <c r="K13" s="702"/>
      <c r="L13" s="703"/>
    </row>
    <row r="14" spans="1:12" ht="18.75" customHeight="1" thickBot="1" x14ac:dyDescent="0.3">
      <c r="A14" s="446" t="s">
        <v>196</v>
      </c>
      <c r="B14" s="447"/>
      <c r="C14" s="447"/>
      <c r="D14" s="448"/>
      <c r="E14" s="470"/>
      <c r="F14" s="471"/>
      <c r="G14" s="471"/>
      <c r="H14" s="471"/>
      <c r="I14" s="471"/>
      <c r="J14" s="471"/>
      <c r="K14" s="471"/>
      <c r="L14" s="472"/>
    </row>
    <row r="15" spans="1:12" ht="18.75" customHeight="1" outlineLevel="1" thickTop="1" x14ac:dyDescent="0.25">
      <c r="A15" s="821" t="s">
        <v>211</v>
      </c>
      <c r="B15" s="822" t="s">
        <v>211</v>
      </c>
      <c r="C15" s="822" t="s">
        <v>211</v>
      </c>
      <c r="D15" s="823" t="s">
        <v>211</v>
      </c>
      <c r="E15" s="406">
        <v>0</v>
      </c>
      <c r="F15" s="485">
        <f>IF(E$22=0,0,E15/E$22)</f>
        <v>0</v>
      </c>
      <c r="G15" s="639">
        <v>0</v>
      </c>
      <c r="H15" s="486">
        <f>IF(G$22=0,0,G15/G$22)</f>
        <v>0</v>
      </c>
      <c r="I15" s="639">
        <v>0</v>
      </c>
      <c r="J15" s="485">
        <f>IF(I$22=0,0,I15/I$22)</f>
        <v>0</v>
      </c>
      <c r="K15" s="639">
        <v>0</v>
      </c>
      <c r="L15" s="487">
        <f>IF(K$22=0,0,K15/K$22)</f>
        <v>0</v>
      </c>
    </row>
    <row r="16" spans="1:12" ht="18.75" customHeight="1" outlineLevel="1" x14ac:dyDescent="0.25">
      <c r="A16" s="827" t="s">
        <v>212</v>
      </c>
      <c r="B16" s="828" t="s">
        <v>212</v>
      </c>
      <c r="C16" s="828" t="s">
        <v>212</v>
      </c>
      <c r="D16" s="829" t="s">
        <v>212</v>
      </c>
      <c r="E16" s="468">
        <f>Liquiditätsplan!Q15-Liquiditätsplan!Q16</f>
        <v>800</v>
      </c>
      <c r="F16" s="433">
        <f t="shared" ref="F16:H18" si="1">IF(E$22=0,0,E16/E$22)</f>
        <v>7.8086871644704736E-3</v>
      </c>
      <c r="G16" s="77">
        <f>Liquiditätsplan!V15-Liquiditätsplan!V16</f>
        <v>3633.3333333333139</v>
      </c>
      <c r="H16" s="436">
        <f t="shared" si="1"/>
        <v>2.7855865065167247E-2</v>
      </c>
      <c r="I16" s="77">
        <f>Liquiditätsplan!W15-Liquiditätsplan!W16</f>
        <v>2033.3333333333721</v>
      </c>
      <c r="J16" s="433">
        <f t="shared" ref="J16" si="2">IF(I$22=0,0,I16/I$22)</f>
        <v>2.2105453886574068E-2</v>
      </c>
      <c r="K16" s="77">
        <f>Liquiditätsplan!X15-Liquiditätsplan!X16</f>
        <v>8733.3333333332557</v>
      </c>
      <c r="L16" s="478">
        <f t="shared" ref="L16" si="3">IF(K$22=0,0,K16/K$22)</f>
        <v>1.473601423924265E-2</v>
      </c>
    </row>
    <row r="17" spans="1:12" ht="18.75" customHeight="1" outlineLevel="1" x14ac:dyDescent="0.25">
      <c r="A17" s="827" t="s">
        <v>213</v>
      </c>
      <c r="B17" s="828" t="s">
        <v>213</v>
      </c>
      <c r="C17" s="828" t="s">
        <v>213</v>
      </c>
      <c r="D17" s="829" t="s">
        <v>213</v>
      </c>
      <c r="E17" s="468">
        <f>MAX(0,SUM(-E12,-E15,-E16,-E18,E30,E33,E34,E36))</f>
        <v>0</v>
      </c>
      <c r="F17" s="433">
        <f t="shared" si="1"/>
        <v>0</v>
      </c>
      <c r="G17" s="77">
        <f>MAX(0,SUM(-G12,-G15,-G16,-G18,G30,G33,G34,G36))</f>
        <v>0</v>
      </c>
      <c r="H17" s="436">
        <f t="shared" si="1"/>
        <v>0</v>
      </c>
      <c r="I17" s="77">
        <f>MAX(0,SUM(-I12,-I15,-I16,-I18,I30,I33,I34,I36))</f>
        <v>0</v>
      </c>
      <c r="J17" s="433">
        <f t="shared" ref="J17" si="4">IF(I$22=0,0,I17/I$22)</f>
        <v>0</v>
      </c>
      <c r="K17" s="77">
        <f>MAX(0,SUM(-K12,-K15,-K16,-K18,K30,K33,K34,K36))</f>
        <v>0</v>
      </c>
      <c r="L17" s="478">
        <f t="shared" ref="L17" si="5">IF(K$22=0,0,K17/K$22)</f>
        <v>0</v>
      </c>
    </row>
    <row r="18" spans="1:12" ht="18.75" customHeight="1" outlineLevel="1" thickBot="1" x14ac:dyDescent="0.3">
      <c r="A18" s="830" t="s">
        <v>214</v>
      </c>
      <c r="B18" s="831" t="s">
        <v>214</v>
      </c>
      <c r="C18" s="831" t="s">
        <v>214</v>
      </c>
      <c r="D18" s="832" t="s">
        <v>214</v>
      </c>
      <c r="E18" s="469">
        <f>IF(Liquiditätsplan!Q77&gt;0,Liquiditätsplan!Q77,0)</f>
        <v>0</v>
      </c>
      <c r="F18" s="473">
        <f t="shared" si="1"/>
        <v>0</v>
      </c>
      <c r="G18" s="133">
        <f>IF(Liquiditätsplan!V77&gt;0,Liquiditätsplan!V77,0)</f>
        <v>0</v>
      </c>
      <c r="H18" s="475">
        <f t="shared" si="1"/>
        <v>0</v>
      </c>
      <c r="I18" s="133">
        <f>IF(Liquiditätsplan!W77&gt;0,Liquiditätsplan!W77,0)</f>
        <v>0</v>
      </c>
      <c r="J18" s="473">
        <f t="shared" ref="J18" si="6">IF(I$22=0,0,I18/I$22)</f>
        <v>0</v>
      </c>
      <c r="K18" s="133">
        <f>IF(Liquiditätsplan!X77&gt;0,Liquiditätsplan!X77,0)</f>
        <v>530819.00749272318</v>
      </c>
      <c r="L18" s="479">
        <f t="shared" ref="L18" si="7">IF(K$22=0,0,K18/K$22)</f>
        <v>0.89566676941299495</v>
      </c>
    </row>
    <row r="19" spans="1:12" ht="7.5" customHeight="1" outlineLevel="1" thickTop="1" thickBot="1" x14ac:dyDescent="0.3">
      <c r="A19" s="884"/>
      <c r="B19" s="885"/>
      <c r="C19" s="885"/>
      <c r="D19" s="886"/>
      <c r="E19" s="457"/>
      <c r="F19" s="474"/>
      <c r="G19" s="458"/>
      <c r="H19" s="476"/>
      <c r="I19" s="458"/>
      <c r="J19" s="474"/>
      <c r="K19" s="458"/>
      <c r="L19" s="480"/>
    </row>
    <row r="20" spans="1:12" ht="18.75" customHeight="1" thickBot="1" x14ac:dyDescent="0.3">
      <c r="A20" s="802" t="s">
        <v>197</v>
      </c>
      <c r="B20" s="803"/>
      <c r="C20" s="803"/>
      <c r="D20" s="872"/>
      <c r="E20" s="452">
        <f t="shared" ref="E20:L20" si="8">SUM(E13:E19)</f>
        <v>800</v>
      </c>
      <c r="F20" s="453">
        <f t="shared" si="8"/>
        <v>7.8086871644704736E-3</v>
      </c>
      <c r="G20" s="454">
        <f t="shared" si="8"/>
        <v>3633.3333333333139</v>
      </c>
      <c r="H20" s="455">
        <f t="shared" si="8"/>
        <v>2.7855865065167247E-2</v>
      </c>
      <c r="I20" s="454">
        <f t="shared" si="8"/>
        <v>2033.3333333333721</v>
      </c>
      <c r="J20" s="453">
        <f t="shared" si="8"/>
        <v>2.2105453886574068E-2</v>
      </c>
      <c r="K20" s="454">
        <f t="shared" si="8"/>
        <v>539552.34082605643</v>
      </c>
      <c r="L20" s="456">
        <f t="shared" si="8"/>
        <v>0.91040278365223759</v>
      </c>
    </row>
    <row r="21" spans="1:12" ht="7.5" customHeight="1" thickBot="1" x14ac:dyDescent="0.3">
      <c r="A21" s="48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7"/>
    </row>
    <row r="22" spans="1:12" s="49" customFormat="1" ht="18.75" customHeight="1" thickBot="1" x14ac:dyDescent="0.3">
      <c r="A22" s="775" t="s">
        <v>198</v>
      </c>
      <c r="B22" s="776"/>
      <c r="C22" s="776"/>
      <c r="D22" s="874"/>
      <c r="E22" s="459">
        <f t="shared" ref="E22:L22" si="9">E20+E12</f>
        <v>102450</v>
      </c>
      <c r="F22" s="481">
        <f t="shared" si="9"/>
        <v>1</v>
      </c>
      <c r="G22" s="460">
        <f t="shared" si="9"/>
        <v>130433.33333333331</v>
      </c>
      <c r="H22" s="481">
        <f t="shared" si="9"/>
        <v>1</v>
      </c>
      <c r="I22" s="461">
        <f t="shared" si="9"/>
        <v>91983.333333333372</v>
      </c>
      <c r="J22" s="482">
        <f t="shared" si="9"/>
        <v>0.99999999999999989</v>
      </c>
      <c r="K22" s="462">
        <f t="shared" si="9"/>
        <v>592652.34082605643</v>
      </c>
      <c r="L22" s="483">
        <f t="shared" si="9"/>
        <v>1</v>
      </c>
    </row>
    <row r="23" spans="1:12" ht="15.75" thickBot="1" x14ac:dyDescent="0.3"/>
    <row r="24" spans="1:12" ht="22.5" customHeight="1" thickBot="1" x14ac:dyDescent="0.3">
      <c r="A24" s="449" t="s">
        <v>199</v>
      </c>
      <c r="B24" s="441"/>
      <c r="C24" s="441"/>
      <c r="D24" s="442"/>
      <c r="E24" s="778" t="s">
        <v>20</v>
      </c>
      <c r="F24" s="779"/>
      <c r="G24" s="690" t="s">
        <v>25</v>
      </c>
      <c r="H24" s="693"/>
      <c r="I24" s="690" t="s">
        <v>26</v>
      </c>
      <c r="J24" s="693"/>
      <c r="K24" s="690" t="s">
        <v>27</v>
      </c>
      <c r="L24" s="780"/>
    </row>
    <row r="25" spans="1:12" s="5" customFormat="1" ht="18.75" customHeight="1" thickBot="1" x14ac:dyDescent="0.3">
      <c r="A25" s="445" t="s">
        <v>200</v>
      </c>
      <c r="B25" s="443"/>
      <c r="C25" s="443"/>
      <c r="D25" s="444"/>
      <c r="E25" s="262" t="s">
        <v>191</v>
      </c>
      <c r="F25" s="263" t="s">
        <v>192</v>
      </c>
      <c r="G25" s="264" t="s">
        <v>191</v>
      </c>
      <c r="H25" s="271" t="s">
        <v>192</v>
      </c>
      <c r="I25" s="264" t="s">
        <v>191</v>
      </c>
      <c r="J25" s="271" t="s">
        <v>192</v>
      </c>
      <c r="K25" s="264" t="s">
        <v>191</v>
      </c>
      <c r="L25" s="386" t="s">
        <v>192</v>
      </c>
    </row>
    <row r="26" spans="1:12" ht="18.75" customHeight="1" outlineLevel="1" thickTop="1" x14ac:dyDescent="0.25">
      <c r="A26" s="881" t="s">
        <v>204</v>
      </c>
      <c r="B26" s="882"/>
      <c r="C26" s="882"/>
      <c r="D26" s="883"/>
      <c r="E26" s="450">
        <f>Liquiditätsplan!D3+Liquiditätsplan!Q30</f>
        <v>35000</v>
      </c>
      <c r="F26" s="432">
        <f>IF(E$40=0,0,E26/E$40)</f>
        <v>0.34163006344558322</v>
      </c>
      <c r="G26" s="73">
        <f>E26+Liquiditätsplan!V30</f>
        <v>35000</v>
      </c>
      <c r="H26" s="435">
        <f>IF(G$40=0,0,G26/G$40)</f>
        <v>0.2683363148479429</v>
      </c>
      <c r="I26" s="73">
        <f>G26+Liquiditätsplan!W30</f>
        <v>35000</v>
      </c>
      <c r="J26" s="435">
        <f>IF(I$40=0,0,I26/I$40)</f>
        <v>0.38050371444102177</v>
      </c>
      <c r="K26" s="73">
        <f>I26+Liquiditätsplan!X30</f>
        <v>35000</v>
      </c>
      <c r="L26" s="438">
        <f>IF(K$40=0,0,K26/K$40)</f>
        <v>5.9056545615285956E-2</v>
      </c>
    </row>
    <row r="27" spans="1:12" ht="18.75" customHeight="1" outlineLevel="1" x14ac:dyDescent="0.25">
      <c r="A27" s="878" t="s">
        <v>205</v>
      </c>
      <c r="B27" s="879"/>
      <c r="C27" s="879"/>
      <c r="D27" s="880"/>
      <c r="E27" s="379"/>
      <c r="F27" s="451"/>
      <c r="G27" s="77">
        <f>SUM(E27:E28)</f>
        <v>-304178.31633964262</v>
      </c>
      <c r="H27" s="436">
        <f>IF(G$40=0,0,G27/G$40)</f>
        <v>-2.3320596703780434</v>
      </c>
      <c r="I27" s="77">
        <f>SUM(G27:G28)</f>
        <v>-541352.4898336716</v>
      </c>
      <c r="J27" s="436">
        <f t="shared" ref="J27" si="10">IF(I$40=0,0,I27/I$40)</f>
        <v>-5.8853323772459287</v>
      </c>
      <c r="K27" s="77">
        <f>SUM(I27:I28)</f>
        <v>-552761.86574583442</v>
      </c>
      <c r="L27" s="439">
        <f t="shared" ref="L27" si="11">IF(K$40=0,0,K27/K$40)</f>
        <v>-0.93269160968026976</v>
      </c>
    </row>
    <row r="28" spans="1:12" ht="18.75" customHeight="1" outlineLevel="1" thickBot="1" x14ac:dyDescent="0.3">
      <c r="A28" s="878" t="s">
        <v>126</v>
      </c>
      <c r="B28" s="879"/>
      <c r="C28" s="879"/>
      <c r="D28" s="880"/>
      <c r="E28" s="10">
        <f>'Plan G&amp;V'!Q47</f>
        <v>-304178.31633964262</v>
      </c>
      <c r="F28" s="433">
        <f>IF(E$40=0,0,E28/E$40)</f>
        <v>-2.9690416431395081</v>
      </c>
      <c r="G28" s="77">
        <f>'Plan G&amp;V'!V47</f>
        <v>-237174.173494029</v>
      </c>
      <c r="H28" s="436">
        <f>IF(G$40=0,0,G28/G$40)</f>
        <v>-1.8183555340712687</v>
      </c>
      <c r="I28" s="77">
        <f>'Plan G&amp;V'!W47</f>
        <v>-11409.375912162839</v>
      </c>
      <c r="J28" s="436">
        <f t="shared" ref="J28" si="12">IF(I$40=0,0,I28/I$40)</f>
        <v>-0.12403742611519661</v>
      </c>
      <c r="K28" s="77">
        <f>'Plan G&amp;V'!X47</f>
        <v>740268.98922526347</v>
      </c>
      <c r="L28" s="439">
        <f t="shared" ref="L28" si="13">IF(K$40=0,0,K28/K$40)</f>
        <v>1.2490779808503829</v>
      </c>
    </row>
    <row r="29" spans="1:12" ht="7.5" customHeight="1" outlineLevel="1" thickTop="1" thickBot="1" x14ac:dyDescent="0.3">
      <c r="A29" s="887"/>
      <c r="B29" s="888"/>
      <c r="C29" s="888"/>
      <c r="D29" s="889"/>
      <c r="E29" s="27"/>
      <c r="F29" s="434"/>
      <c r="G29" s="31"/>
      <c r="H29" s="437"/>
      <c r="I29" s="31"/>
      <c r="J29" s="437"/>
      <c r="K29" s="31"/>
      <c r="L29" s="440"/>
    </row>
    <row r="30" spans="1:12" ht="18.75" customHeight="1" thickBot="1" x14ac:dyDescent="0.3">
      <c r="A30" s="802" t="s">
        <v>201</v>
      </c>
      <c r="B30" s="803"/>
      <c r="C30" s="803"/>
      <c r="D30" s="872"/>
      <c r="E30" s="463">
        <f>SUM(E26:E29)</f>
        <v>-269178.31633964262</v>
      </c>
      <c r="F30" s="464">
        <f t="shared" ref="F30:L30" si="14">SUM(F26:F29)</f>
        <v>-2.6274115796939248</v>
      </c>
      <c r="G30" s="465">
        <f t="shared" si="14"/>
        <v>-506352.4898336716</v>
      </c>
      <c r="H30" s="466">
        <f t="shared" si="14"/>
        <v>-3.8820788896013694</v>
      </c>
      <c r="I30" s="465">
        <f t="shared" si="14"/>
        <v>-517761.86574583442</v>
      </c>
      <c r="J30" s="464">
        <f t="shared" si="14"/>
        <v>-5.6288660889201036</v>
      </c>
      <c r="K30" s="465">
        <f t="shared" si="14"/>
        <v>222507.12347942905</v>
      </c>
      <c r="L30" s="467">
        <f t="shared" si="14"/>
        <v>0.37544291678539909</v>
      </c>
    </row>
    <row r="31" spans="1:12" ht="7.5" customHeight="1" thickBot="1" x14ac:dyDescent="0.3">
      <c r="A31" s="701"/>
      <c r="B31" s="702"/>
      <c r="C31" s="702"/>
      <c r="D31" s="702"/>
      <c r="E31" s="702"/>
      <c r="F31" s="702"/>
      <c r="G31" s="702"/>
      <c r="H31" s="702"/>
      <c r="I31" s="702"/>
      <c r="J31" s="702"/>
      <c r="K31" s="702"/>
      <c r="L31" s="703"/>
    </row>
    <row r="32" spans="1:12" ht="18.75" customHeight="1" thickBot="1" x14ac:dyDescent="0.3">
      <c r="A32" s="446" t="s">
        <v>203</v>
      </c>
      <c r="B32" s="447"/>
      <c r="C32" s="447"/>
      <c r="D32" s="448"/>
      <c r="E32" s="46"/>
      <c r="F32" s="46"/>
      <c r="G32" s="46"/>
      <c r="H32" s="46"/>
      <c r="I32" s="46"/>
      <c r="J32" s="46"/>
      <c r="K32" s="46"/>
      <c r="L32" s="47"/>
    </row>
    <row r="33" spans="1:13" ht="18.75" customHeight="1" outlineLevel="1" thickTop="1" x14ac:dyDescent="0.25">
      <c r="A33" s="881" t="s">
        <v>207</v>
      </c>
      <c r="B33" s="882"/>
      <c r="C33" s="882"/>
      <c r="D33" s="883"/>
      <c r="E33" s="450">
        <f>'Plan G&amp;V'!Q56</f>
        <v>500</v>
      </c>
      <c r="F33" s="432">
        <f>IF(E$40=0,0,E33/E$40)</f>
        <v>4.880429477794046E-3</v>
      </c>
      <c r="G33" s="73">
        <f>'Plan G&amp;V'!V56</f>
        <v>500</v>
      </c>
      <c r="H33" s="435">
        <f>IF(G$40=0,0,G33/G$40)</f>
        <v>3.8333759263991843E-3</v>
      </c>
      <c r="I33" s="73">
        <f>'Plan G&amp;V'!W56</f>
        <v>500</v>
      </c>
      <c r="J33" s="432">
        <f>IF(I$40=0,0,I33/I$40)</f>
        <v>5.435767349157454E-3</v>
      </c>
      <c r="K33" s="73">
        <f>'Plan G&amp;V'!X56</f>
        <v>63002.374493143041</v>
      </c>
      <c r="L33" s="477">
        <f>IF(K$40=0,0,K33/K$40)</f>
        <v>0.1063057886607323</v>
      </c>
    </row>
    <row r="34" spans="1:13" ht="18.75" customHeight="1" outlineLevel="1" x14ac:dyDescent="0.25">
      <c r="A34" s="878" t="s">
        <v>208</v>
      </c>
      <c r="B34" s="879"/>
      <c r="C34" s="879"/>
      <c r="D34" s="880"/>
      <c r="E34" s="468">
        <f>(SUM((-SUM('Plan G&amp;V'!Q19,'Plan G&amp;V'!Q20,'Plan G&amp;V'!Q24:Q30,'Plan G&amp;V'!Q35)+Investitionsplan!R34)*(1+$D$3),-'Plan G&amp;V'!Q31,-'Plan G&amp;V'!Q32))-(SUM(Liquiditätsplan!Q40:Q53,Liquiditätsplan!Q61))</f>
        <v>4681.5999999999767</v>
      </c>
      <c r="F34" s="433">
        <f t="shared" ref="F34:H36" si="15">IF(E$40=0,0,E34/E$40)</f>
        <v>4.5696437286480984E-2</v>
      </c>
      <c r="G34" s="77">
        <f>(SUM((-SUM('Plan G&amp;V'!V19,'Plan G&amp;V'!V20,'Plan G&amp;V'!V24:V30,'Plan G&amp;V'!V35)+Investitionsplan!W34)*(1+$D$3),-'Plan G&amp;V'!V31,-'Plan G&amp;V'!V32))-(SUM(Liquiditätsplan!V40:V53,Liquiditätsplan!V61))</f>
        <v>27281.599999999977</v>
      </c>
      <c r="H34" s="436">
        <f t="shared" si="15"/>
        <v>0.20916125734730381</v>
      </c>
      <c r="I34" s="77">
        <f>(SUM((-SUM('Plan G&amp;V'!W19,'Plan G&amp;V'!W20,'Plan G&amp;V'!W24:W30,'Plan G&amp;V'!W35)+Investitionsplan!X34)*(1+$D$3),-'Plan G&amp;V'!W31,-'Plan G&amp;V'!W32))-(SUM(Liquiditätsplan!W40:W53,Liquiditätsplan!W61))</f>
        <v>15281.599999999991</v>
      </c>
      <c r="J34" s="433">
        <f t="shared" ref="J34" si="16">IF(I$40=0,0,I34/I$40)</f>
        <v>0.16613444464576899</v>
      </c>
      <c r="K34" s="77">
        <f>(SUM((-SUM('Plan G&amp;V'!X19,'Plan G&amp;V'!X20,'Plan G&amp;V'!X24:X30,'Plan G&amp;V'!X35)+Investitionsplan!Y34)*(1+$D$3),-'Plan G&amp;V'!X31,-'Plan G&amp;V'!X32))-(SUM(Liquiditätsplan!X40:X53,Liquiditätsplan!X61))</f>
        <v>15281.599999999991</v>
      </c>
      <c r="L34" s="478">
        <f t="shared" ref="L34" si="17">IF(K$40=0,0,K34/K$40)</f>
        <v>2.5785100213558666E-2</v>
      </c>
    </row>
    <row r="35" spans="1:13" ht="18.75" customHeight="1" outlineLevel="1" x14ac:dyDescent="0.25">
      <c r="A35" s="878" t="s">
        <v>209</v>
      </c>
      <c r="B35" s="879"/>
      <c r="C35" s="879"/>
      <c r="D35" s="880"/>
      <c r="E35" s="468">
        <f>MAX(0,SUM(E12,E15,E16,E18,-E30,-E33,-E34,-E36))</f>
        <v>26583.724918063264</v>
      </c>
      <c r="F35" s="433">
        <f t="shared" si="15"/>
        <v>0.25947998943936812</v>
      </c>
      <c r="G35" s="77">
        <f>MAX(0,SUM(G12,G15,G16,G18,-G30,-G33,-G34,-G36))</f>
        <v>37345.833617957775</v>
      </c>
      <c r="H35" s="436">
        <f t="shared" si="15"/>
        <v>0.28632123908477736</v>
      </c>
      <c r="I35" s="77">
        <f>MAX(0,SUM(I12,I15,I16,I18,-I30,-I33,-I34,-I36))</f>
        <v>150143.07003960956</v>
      </c>
      <c r="J35" s="433">
        <f t="shared" ref="J35" si="18">IF(I$40=0,0,I35/I$40)</f>
        <v>1.6322855956471407</v>
      </c>
      <c r="K35" s="77">
        <f>MAX(0,SUM(K12,K15,K16,K18,-K30,-K33,-K34,-K36))</f>
        <v>291861.24285348435</v>
      </c>
      <c r="L35" s="478">
        <f t="shared" ref="L35" si="19">IF(K$40=0,0,K35/K$40)</f>
        <v>0.49246619434031003</v>
      </c>
    </row>
    <row r="36" spans="1:13" ht="18.75" customHeight="1" outlineLevel="1" thickBot="1" x14ac:dyDescent="0.3">
      <c r="A36" s="875" t="s">
        <v>210</v>
      </c>
      <c r="B36" s="876"/>
      <c r="C36" s="876"/>
      <c r="D36" s="877"/>
      <c r="E36" s="469">
        <f>IF(Liquiditätsplan!Q77&lt;=0,((-Liquiditätsplan!Q77)-Liquiditätsplan!Q81),-Liquiditätsplan!Q81)</f>
        <v>339862.99142157938</v>
      </c>
      <c r="F36" s="473">
        <f t="shared" si="15"/>
        <v>3.3173547234902818</v>
      </c>
      <c r="G36" s="133">
        <f>IF(Liquiditätsplan!V77&lt;=0,((-Liquiditätsplan!V77)-Liquiditätsplan!V81),-Liquiditätsplan!V81)</f>
        <v>571658.3895490471</v>
      </c>
      <c r="H36" s="475">
        <f t="shared" si="15"/>
        <v>4.3827630172428886</v>
      </c>
      <c r="I36" s="133">
        <f>IF(Liquiditätsplan!W77&lt;=0,((-Liquiditätsplan!W77)-Liquiditätsplan!W81),-Liquiditätsplan!W81)</f>
        <v>443820.52903955826</v>
      </c>
      <c r="J36" s="473">
        <f t="shared" ref="J36" si="20">IF(I$40=0,0,I36/I$40)</f>
        <v>4.8250102812780362</v>
      </c>
      <c r="K36" s="133">
        <f>IF(Liquiditätsplan!X77&lt;=0,((-Liquiditätsplan!X77)-Liquiditätsplan!X81),-Liquiditätsplan!X81)</f>
        <v>0</v>
      </c>
      <c r="L36" s="479">
        <f t="shared" ref="L36" si="21">IF(K$40=0,0,K36/K$40)</f>
        <v>0</v>
      </c>
    </row>
    <row r="37" spans="1:13" ht="7.5" customHeight="1" outlineLevel="1" thickTop="1" thickBot="1" x14ac:dyDescent="0.3">
      <c r="A37" s="884"/>
      <c r="B37" s="885"/>
      <c r="C37" s="885"/>
      <c r="D37" s="886"/>
      <c r="E37" s="457"/>
      <c r="F37" s="474"/>
      <c r="G37" s="458"/>
      <c r="H37" s="476"/>
      <c r="I37" s="458"/>
      <c r="J37" s="474"/>
      <c r="K37" s="458"/>
      <c r="L37" s="480"/>
    </row>
    <row r="38" spans="1:13" ht="18.75" customHeight="1" thickBot="1" x14ac:dyDescent="0.3">
      <c r="A38" s="802" t="s">
        <v>202</v>
      </c>
      <c r="B38" s="803"/>
      <c r="C38" s="803"/>
      <c r="D38" s="872"/>
      <c r="E38" s="463">
        <f>SUM(E33:E37)</f>
        <v>371628.31633964262</v>
      </c>
      <c r="F38" s="464">
        <f t="shared" ref="F38:L38" si="22">SUM(F33:F37)</f>
        <v>3.6274115796939248</v>
      </c>
      <c r="G38" s="465">
        <f t="shared" si="22"/>
        <v>636785.82316700486</v>
      </c>
      <c r="H38" s="466">
        <f t="shared" si="22"/>
        <v>4.8820788896013694</v>
      </c>
      <c r="I38" s="465">
        <f t="shared" si="22"/>
        <v>609745.1990791678</v>
      </c>
      <c r="J38" s="464">
        <f t="shared" si="22"/>
        <v>6.6288660889201036</v>
      </c>
      <c r="K38" s="465">
        <f t="shared" si="22"/>
        <v>370145.21734662738</v>
      </c>
      <c r="L38" s="467">
        <f t="shared" si="22"/>
        <v>0.62455708321460102</v>
      </c>
    </row>
    <row r="39" spans="1:13" ht="7.5" customHeight="1" thickBot="1" x14ac:dyDescent="0.3">
      <c r="A39" s="48"/>
      <c r="B39" s="46"/>
      <c r="C39" s="46"/>
      <c r="D39" s="46"/>
      <c r="E39" s="46"/>
      <c r="F39" s="46"/>
      <c r="G39" s="46"/>
      <c r="H39" s="46"/>
      <c r="I39" s="46"/>
      <c r="J39" s="46"/>
      <c r="K39" s="46"/>
      <c r="L39" s="47"/>
    </row>
    <row r="40" spans="1:13" s="49" customFormat="1" ht="18.75" customHeight="1" thickBot="1" x14ac:dyDescent="0.3">
      <c r="A40" s="775" t="s">
        <v>215</v>
      </c>
      <c r="B40" s="776"/>
      <c r="C40" s="776"/>
      <c r="D40" s="874"/>
      <c r="E40" s="459">
        <f t="shared" ref="E40:L40" si="23">E38+E30</f>
        <v>102450</v>
      </c>
      <c r="F40" s="481">
        <f t="shared" si="23"/>
        <v>1</v>
      </c>
      <c r="G40" s="460">
        <f t="shared" si="23"/>
        <v>130433.33333333326</v>
      </c>
      <c r="H40" s="481">
        <f t="shared" si="23"/>
        <v>1</v>
      </c>
      <c r="I40" s="461">
        <f t="shared" si="23"/>
        <v>91983.333333333372</v>
      </c>
      <c r="J40" s="482">
        <f t="shared" si="23"/>
        <v>1</v>
      </c>
      <c r="K40" s="462">
        <f t="shared" si="23"/>
        <v>592652.34082605643</v>
      </c>
      <c r="L40" s="483">
        <f t="shared" si="23"/>
        <v>1</v>
      </c>
      <c r="M40" s="49" t="str">
        <f>IF(OR(ROUND(E40-E22,2)&lt;&gt;0,ROUND(G40-G22,2)&lt;&gt;0,ROUND(I40-I22,2)&lt;&gt;0,ROUND(K40-K22,2)&lt;&gt;0),"Fehler in der Bilanz","")</f>
        <v/>
      </c>
    </row>
    <row r="41" spans="1:13" x14ac:dyDescent="0.25">
      <c r="E41" s="378"/>
      <c r="F41" s="378"/>
      <c r="G41" s="378"/>
      <c r="H41" s="378"/>
      <c r="I41" s="378"/>
      <c r="J41" s="378"/>
      <c r="K41" s="378"/>
      <c r="L41" s="378"/>
    </row>
    <row r="42" spans="1:13" x14ac:dyDescent="0.25">
      <c r="K42" s="378"/>
    </row>
  </sheetData>
  <sheetProtection selectLockedCells="1"/>
  <mergeCells count="38">
    <mergeCell ref="A1:L1"/>
    <mergeCell ref="E4:F4"/>
    <mergeCell ref="G4:H4"/>
    <mergeCell ref="I4:J4"/>
    <mergeCell ref="K4:L4"/>
    <mergeCell ref="A3:C3"/>
    <mergeCell ref="I24:J24"/>
    <mergeCell ref="K24:L24"/>
    <mergeCell ref="A19:D19"/>
    <mergeCell ref="A6:D6"/>
    <mergeCell ref="A7:D7"/>
    <mergeCell ref="A8:D8"/>
    <mergeCell ref="A9:D9"/>
    <mergeCell ref="A10:D10"/>
    <mergeCell ref="A11:D11"/>
    <mergeCell ref="A12:D12"/>
    <mergeCell ref="A20:D20"/>
    <mergeCell ref="A22:D22"/>
    <mergeCell ref="A18:D18"/>
    <mergeCell ref="A17:D17"/>
    <mergeCell ref="A16:D16"/>
    <mergeCell ref="A15:D15"/>
    <mergeCell ref="A13:L13"/>
    <mergeCell ref="A31:L31"/>
    <mergeCell ref="A38:D38"/>
    <mergeCell ref="A40:D40"/>
    <mergeCell ref="A36:D36"/>
    <mergeCell ref="A35:D35"/>
    <mergeCell ref="A33:D33"/>
    <mergeCell ref="A37:D37"/>
    <mergeCell ref="A34:D34"/>
    <mergeCell ref="A28:D28"/>
    <mergeCell ref="A29:D29"/>
    <mergeCell ref="A30:D30"/>
    <mergeCell ref="E24:F24"/>
    <mergeCell ref="G24:H24"/>
    <mergeCell ref="A26:D26"/>
    <mergeCell ref="A27:D27"/>
  </mergeCells>
  <dataValidations disablePrompts="1" count="1">
    <dataValidation type="whole" allowBlank="1" showInputMessage="1" showErrorMessage="1" sqref="D8:D10">
      <formula1>1</formula1>
      <formula2>48</formula2>
    </dataValidation>
  </dataValidations>
  <printOptions horizontalCentered="1"/>
  <pageMargins left="0.59055118110236227" right="0.59055118110236227" top="0.78740157480314965" bottom="0.59055118110236227" header="0.31496062992125984" footer="0.31496062992125984"/>
  <pageSetup paperSize="8" scale="83" fitToHeight="0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>
    <pageSetUpPr fitToPage="1"/>
  </sheetPr>
  <dimension ref="A1:H20"/>
  <sheetViews>
    <sheetView view="pageBreakPreview" zoomScaleNormal="100" zoomScaleSheetLayoutView="100" workbookViewId="0">
      <selection activeCell="K6" sqref="K6"/>
    </sheetView>
  </sheetViews>
  <sheetFormatPr baseColWidth="10" defaultRowHeight="15" x14ac:dyDescent="0.25"/>
  <cols>
    <col min="1" max="2" width="3.5703125" style="41" customWidth="1"/>
    <col min="3" max="4" width="23.28515625" style="41" customWidth="1"/>
    <col min="5" max="6" width="12.85546875" style="41" bestFit="1" customWidth="1"/>
    <col min="7" max="7" width="12.28515625" style="41" bestFit="1" customWidth="1"/>
    <col min="8" max="8" width="12.140625" style="41" bestFit="1" customWidth="1"/>
    <col min="9" max="16384" width="11.42578125" style="41"/>
  </cols>
  <sheetData>
    <row r="1" spans="1:8" ht="27" thickBot="1" x14ac:dyDescent="0.3">
      <c r="A1" s="714" t="s">
        <v>223</v>
      </c>
      <c r="B1" s="715"/>
      <c r="C1" s="715"/>
      <c r="D1" s="715"/>
      <c r="E1" s="715"/>
      <c r="F1" s="715"/>
      <c r="G1" s="715"/>
      <c r="H1" s="715"/>
    </row>
    <row r="2" spans="1:8" ht="7.5" customHeight="1" thickBot="1" x14ac:dyDescent="0.3"/>
    <row r="3" spans="1:8" ht="22.5" customHeight="1" thickBot="1" x14ac:dyDescent="0.3">
      <c r="A3" s="497"/>
      <c r="B3" s="498"/>
      <c r="C3" s="498"/>
      <c r="D3" s="499"/>
      <c r="E3" s="496" t="s">
        <v>20</v>
      </c>
      <c r="F3" s="489" t="s">
        <v>25</v>
      </c>
      <c r="G3" s="489" t="s">
        <v>26</v>
      </c>
      <c r="H3" s="488" t="s">
        <v>27</v>
      </c>
    </row>
    <row r="4" spans="1:8" ht="18.75" customHeight="1" thickTop="1" x14ac:dyDescent="0.25">
      <c r="A4" s="500" t="s">
        <v>113</v>
      </c>
      <c r="B4" s="892" t="s">
        <v>126</v>
      </c>
      <c r="C4" s="892"/>
      <c r="D4" s="893"/>
      <c r="E4" s="6">
        <f>'Plan G&amp;V'!Q47</f>
        <v>-304178.31633964262</v>
      </c>
      <c r="F4" s="73">
        <f>'Plan G&amp;V'!V47</f>
        <v>-237174.173494029</v>
      </c>
      <c r="G4" s="73">
        <f>'Plan G&amp;V'!W47</f>
        <v>-11409.375912162839</v>
      </c>
      <c r="H4" s="506">
        <f>'Plan G&amp;V'!X47</f>
        <v>740268.98922526347</v>
      </c>
    </row>
    <row r="5" spans="1:8" ht="18.75" customHeight="1" x14ac:dyDescent="0.25">
      <c r="A5" s="501" t="s">
        <v>113</v>
      </c>
      <c r="B5" s="828" t="s">
        <v>137</v>
      </c>
      <c r="C5" s="828"/>
      <c r="D5" s="829"/>
      <c r="E5" s="10">
        <f>-'Plan G&amp;V'!Q36</f>
        <v>15100.000000000002</v>
      </c>
      <c r="F5" s="77">
        <f>-'Plan G&amp;V'!V36</f>
        <v>15600</v>
      </c>
      <c r="G5" s="77">
        <f>-'Plan G&amp;V'!W36</f>
        <v>49300</v>
      </c>
      <c r="H5" s="295">
        <f>-'Plan G&amp;V'!X36</f>
        <v>33700</v>
      </c>
    </row>
    <row r="6" spans="1:8" ht="18.75" customHeight="1" thickBot="1" x14ac:dyDescent="0.3">
      <c r="A6" s="501" t="s">
        <v>113</v>
      </c>
      <c r="B6" s="828" t="s">
        <v>221</v>
      </c>
      <c r="C6" s="828"/>
      <c r="D6" s="829"/>
      <c r="E6" s="10">
        <f>Planbilanz!E33</f>
        <v>500</v>
      </c>
      <c r="F6" s="77">
        <f>Planbilanz!G33-Planbilanz!E33</f>
        <v>0</v>
      </c>
      <c r="G6" s="77">
        <f>Planbilanz!I33-Planbilanz!G33</f>
        <v>0</v>
      </c>
      <c r="H6" s="295">
        <f>Planbilanz!K33-Planbilanz!I33</f>
        <v>62502.374493143041</v>
      </c>
    </row>
    <row r="7" spans="1:8" ht="7.5" customHeight="1" thickTop="1" thickBot="1" x14ac:dyDescent="0.3">
      <c r="A7" s="887"/>
      <c r="B7" s="888"/>
      <c r="C7" s="888"/>
      <c r="D7" s="889"/>
      <c r="E7" s="27"/>
      <c r="F7" s="31"/>
      <c r="G7" s="31"/>
      <c r="H7" s="34"/>
    </row>
    <row r="8" spans="1:8" ht="18.75" customHeight="1" thickBot="1" x14ac:dyDescent="0.3">
      <c r="A8" s="802" t="s">
        <v>222</v>
      </c>
      <c r="B8" s="803"/>
      <c r="C8" s="803"/>
      <c r="D8" s="872"/>
      <c r="E8" s="452">
        <f>SUM(E4:E7)</f>
        <v>-288578.31633964262</v>
      </c>
      <c r="F8" s="454">
        <f>SUM(F4:F7)</f>
        <v>-221574.173494029</v>
      </c>
      <c r="G8" s="454">
        <f>SUM(G4:G7)</f>
        <v>37890.624087837161</v>
      </c>
      <c r="H8" s="507">
        <f>SUM(H4:H7)</f>
        <v>836471.36371840653</v>
      </c>
    </row>
    <row r="9" spans="1:8" ht="7.5" customHeight="1" thickBot="1" x14ac:dyDescent="0.3">
      <c r="A9" s="701"/>
      <c r="B9" s="702"/>
      <c r="C9" s="702"/>
      <c r="D9" s="702"/>
      <c r="E9" s="702"/>
      <c r="F9" s="702"/>
      <c r="G9" s="702"/>
      <c r="H9" s="703"/>
    </row>
    <row r="10" spans="1:8" ht="18.75" customHeight="1" x14ac:dyDescent="0.25">
      <c r="A10" s="500" t="s">
        <v>112</v>
      </c>
      <c r="B10" s="892" t="s">
        <v>229</v>
      </c>
      <c r="C10" s="892" t="s">
        <v>224</v>
      </c>
      <c r="D10" s="893" t="s">
        <v>224</v>
      </c>
      <c r="E10" s="510">
        <f>-(Planbilanz!E15)</f>
        <v>0</v>
      </c>
      <c r="F10" s="511">
        <f>-(Planbilanz!G15-Planbilanz!E15)</f>
        <v>0</v>
      </c>
      <c r="G10" s="511">
        <f>-(Planbilanz!I15-Planbilanz!G15)</f>
        <v>0</v>
      </c>
      <c r="H10" s="512">
        <f>-(Planbilanz!K15-Planbilanz!I15)</f>
        <v>0</v>
      </c>
    </row>
    <row r="11" spans="1:8" ht="18.75" customHeight="1" x14ac:dyDescent="0.25">
      <c r="A11" s="501" t="s">
        <v>112</v>
      </c>
      <c r="B11" s="828" t="s">
        <v>230</v>
      </c>
      <c r="C11" s="828" t="s">
        <v>225</v>
      </c>
      <c r="D11" s="829" t="s">
        <v>225</v>
      </c>
      <c r="E11" s="468">
        <f>0-Planbilanz!E16</f>
        <v>-800</v>
      </c>
      <c r="F11" s="77">
        <f>Planbilanz!E16-Planbilanz!G16</f>
        <v>-2833.3333333333139</v>
      </c>
      <c r="G11" s="77">
        <f>Planbilanz!G16-Planbilanz!I16</f>
        <v>1599.9999999999418</v>
      </c>
      <c r="H11" s="295">
        <f>Planbilanz!I16-Planbilanz!K16</f>
        <v>-6699.9999999998836</v>
      </c>
    </row>
    <row r="12" spans="1:8" ht="18.75" customHeight="1" x14ac:dyDescent="0.25">
      <c r="A12" s="501" t="s">
        <v>113</v>
      </c>
      <c r="B12" s="828" t="s">
        <v>231</v>
      </c>
      <c r="C12" s="828" t="s">
        <v>226</v>
      </c>
      <c r="D12" s="829" t="s">
        <v>226</v>
      </c>
      <c r="E12" s="468">
        <f>Planbilanz!E34</f>
        <v>4681.5999999999767</v>
      </c>
      <c r="F12" s="77">
        <f>Planbilanz!G34-Planbilanz!E34</f>
        <v>22600</v>
      </c>
      <c r="G12" s="77">
        <f>Planbilanz!I34-Planbilanz!G34</f>
        <v>-11999.999999999985</v>
      </c>
      <c r="H12" s="295">
        <f>Planbilanz!K34-Planbilanz!I34</f>
        <v>0</v>
      </c>
    </row>
    <row r="13" spans="1:8" ht="18.75" customHeight="1" x14ac:dyDescent="0.25">
      <c r="A13" s="504" t="s">
        <v>112</v>
      </c>
      <c r="B13" s="828" t="s">
        <v>232</v>
      </c>
      <c r="C13" s="828" t="s">
        <v>227</v>
      </c>
      <c r="D13" s="829" t="s">
        <v>227</v>
      </c>
      <c r="E13" s="502">
        <f>-Planbilanz!E17</f>
        <v>0</v>
      </c>
      <c r="F13" s="81">
        <f>Planbilanz!E17-Planbilanz!G17</f>
        <v>0</v>
      </c>
      <c r="G13" s="81">
        <f>Planbilanz!G17-Planbilanz!I17</f>
        <v>0</v>
      </c>
      <c r="H13" s="384">
        <f>Planbilanz!I17-Planbilanz!K17</f>
        <v>0</v>
      </c>
    </row>
    <row r="14" spans="1:8" ht="18.75" customHeight="1" thickBot="1" x14ac:dyDescent="0.3">
      <c r="A14" s="505" t="s">
        <v>113</v>
      </c>
      <c r="B14" s="831" t="s">
        <v>233</v>
      </c>
      <c r="C14" s="831" t="s">
        <v>228</v>
      </c>
      <c r="D14" s="832" t="s">
        <v>228</v>
      </c>
      <c r="E14" s="469">
        <f>Planbilanz!E35</f>
        <v>26583.724918063264</v>
      </c>
      <c r="F14" s="133">
        <f>Planbilanz!G35-Planbilanz!E35</f>
        <v>10762.10869989451</v>
      </c>
      <c r="G14" s="133">
        <f>Planbilanz!I35-Planbilanz!G35</f>
        <v>112797.23642165179</v>
      </c>
      <c r="H14" s="508">
        <f>Planbilanz!K35-Planbilanz!I35</f>
        <v>141718.17281387479</v>
      </c>
    </row>
    <row r="15" spans="1:8" ht="7.5" customHeight="1" thickTop="1" thickBot="1" x14ac:dyDescent="0.3">
      <c r="A15" s="884"/>
      <c r="B15" s="885"/>
      <c r="C15" s="885"/>
      <c r="D15" s="886"/>
      <c r="E15" s="457"/>
      <c r="F15" s="458"/>
      <c r="G15" s="458"/>
      <c r="H15" s="509"/>
    </row>
    <row r="16" spans="1:8" ht="18.75" customHeight="1" thickBot="1" x14ac:dyDescent="0.3">
      <c r="A16" s="802" t="s">
        <v>234</v>
      </c>
      <c r="B16" s="803"/>
      <c r="C16" s="803"/>
      <c r="D16" s="872"/>
      <c r="E16" s="452">
        <f>SUM(E10:E15)</f>
        <v>30465.324918063241</v>
      </c>
      <c r="F16" s="454">
        <f>SUM(F9:F15)</f>
        <v>30528.775366561196</v>
      </c>
      <c r="G16" s="454">
        <f>SUM(G9:G15)</f>
        <v>102397.23642165175</v>
      </c>
      <c r="H16" s="507">
        <f>SUM(H9:H15)</f>
        <v>135018.1728138749</v>
      </c>
    </row>
    <row r="17" spans="1:8" ht="7.5" customHeight="1" thickBot="1" x14ac:dyDescent="0.3">
      <c r="A17" s="48"/>
      <c r="B17" s="46"/>
      <c r="C17" s="46"/>
      <c r="D17" s="46"/>
      <c r="E17" s="46"/>
      <c r="F17" s="46"/>
      <c r="G17" s="46"/>
      <c r="H17" s="47"/>
    </row>
    <row r="18" spans="1:8" s="49" customFormat="1" ht="18.75" customHeight="1" thickBot="1" x14ac:dyDescent="0.3">
      <c r="A18" s="775" t="s">
        <v>235</v>
      </c>
      <c r="B18" s="776"/>
      <c r="C18" s="776"/>
      <c r="D18" s="874"/>
      <c r="E18" s="459">
        <f>E16+E8</f>
        <v>-258112.99142157938</v>
      </c>
      <c r="F18" s="460">
        <f>F16+F8</f>
        <v>-191045.39812746781</v>
      </c>
      <c r="G18" s="461">
        <f>G16+G8</f>
        <v>140287.86050948891</v>
      </c>
      <c r="H18" s="337">
        <f>H16+H8</f>
        <v>971489.53653228143</v>
      </c>
    </row>
    <row r="19" spans="1:8" x14ac:dyDescent="0.25">
      <c r="E19" s="378"/>
      <c r="F19" s="378"/>
      <c r="G19" s="378"/>
      <c r="H19" s="378"/>
    </row>
    <row r="20" spans="1:8" x14ac:dyDescent="0.25">
      <c r="H20" s="378"/>
    </row>
  </sheetData>
  <sheetProtection selectLockedCells="1"/>
  <mergeCells count="15">
    <mergeCell ref="A1:H1"/>
    <mergeCell ref="A16:D16"/>
    <mergeCell ref="A18:D18"/>
    <mergeCell ref="A8:D8"/>
    <mergeCell ref="A9:H9"/>
    <mergeCell ref="A7:D7"/>
    <mergeCell ref="B4:D4"/>
    <mergeCell ref="B5:D5"/>
    <mergeCell ref="B6:D6"/>
    <mergeCell ref="A15:D15"/>
    <mergeCell ref="B13:D13"/>
    <mergeCell ref="B12:D12"/>
    <mergeCell ref="B11:D11"/>
    <mergeCell ref="B10:D10"/>
    <mergeCell ref="B14:D14"/>
  </mergeCells>
  <printOptions horizontalCentered="1"/>
  <pageMargins left="0.59055118110236227" right="0.59055118110236227" top="0.78740157480314965" bottom="0.59055118110236227" header="0.31496062992125984" footer="0.31496062992125984"/>
  <pageSetup paperSize="9" scale="86" fitToHeight="0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>
    <pageSetUpPr fitToPage="1"/>
  </sheetPr>
  <dimension ref="A1:H20"/>
  <sheetViews>
    <sheetView view="pageBreakPreview" zoomScale="115" zoomScaleNormal="100" zoomScaleSheetLayoutView="115" workbookViewId="0">
      <selection activeCell="G6" sqref="G6"/>
    </sheetView>
  </sheetViews>
  <sheetFormatPr baseColWidth="10" defaultRowHeight="15" x14ac:dyDescent="0.25"/>
  <cols>
    <col min="1" max="4" width="10.140625" style="41" customWidth="1"/>
    <col min="5" max="5" width="12.85546875" style="41" customWidth="1"/>
    <col min="6" max="7" width="13.140625" style="41" customWidth="1"/>
    <col min="8" max="8" width="13.85546875" style="41" customWidth="1"/>
    <col min="9" max="16384" width="11.42578125" style="41"/>
  </cols>
  <sheetData>
    <row r="1" spans="1:8" ht="27" thickBot="1" x14ac:dyDescent="0.3">
      <c r="A1" s="714" t="s">
        <v>236</v>
      </c>
      <c r="B1" s="715"/>
      <c r="C1" s="715"/>
      <c r="D1" s="715"/>
      <c r="E1" s="715"/>
      <c r="F1" s="715"/>
      <c r="G1" s="715"/>
      <c r="H1" s="716"/>
    </row>
    <row r="2" spans="1:8" ht="7.5" customHeight="1" thickBot="1" x14ac:dyDescent="0.3"/>
    <row r="3" spans="1:8" ht="22.5" customHeight="1" thickBot="1" x14ac:dyDescent="0.3">
      <c r="A3" s="497"/>
      <c r="B3" s="498"/>
      <c r="C3" s="498"/>
      <c r="D3" s="499"/>
      <c r="E3" s="496" t="s">
        <v>20</v>
      </c>
      <c r="F3" s="489" t="s">
        <v>25</v>
      </c>
      <c r="G3" s="489" t="s">
        <v>26</v>
      </c>
      <c r="H3" s="488" t="s">
        <v>27</v>
      </c>
    </row>
    <row r="4" spans="1:8" ht="18.75" customHeight="1" thickTop="1" x14ac:dyDescent="0.25">
      <c r="A4" s="897" t="s">
        <v>237</v>
      </c>
      <c r="B4" s="892"/>
      <c r="C4" s="892"/>
      <c r="D4" s="893"/>
      <c r="E4" s="525">
        <f>-'Plan G&amp;V'!Q23/'Plan G&amp;V'!Q18</f>
        <v>2.0872158339941849</v>
      </c>
      <c r="F4" s="526">
        <f>-'Plan G&amp;V'!V23/'Plan G&amp;V'!V18</f>
        <v>1.2777920962199312</v>
      </c>
      <c r="G4" s="526">
        <f>-'Plan G&amp;V'!W23/'Plan G&amp;V'!W18</f>
        <v>0.746676453395685</v>
      </c>
      <c r="H4" s="527">
        <f>-'Plan G&amp;V'!X23/'Plan G&amp;V'!X18</f>
        <v>0.33344649518448188</v>
      </c>
    </row>
    <row r="5" spans="1:8" ht="7.5" customHeight="1" x14ac:dyDescent="0.25">
      <c r="A5" s="374"/>
      <c r="B5" s="375"/>
      <c r="C5" s="375"/>
      <c r="D5" s="376"/>
      <c r="E5" s="302"/>
      <c r="F5" s="306"/>
      <c r="G5" s="306"/>
      <c r="H5" s="307"/>
    </row>
    <row r="6" spans="1:8" ht="18.75" customHeight="1" x14ac:dyDescent="0.25">
      <c r="A6" s="827" t="s">
        <v>238</v>
      </c>
      <c r="B6" s="828"/>
      <c r="C6" s="828"/>
      <c r="D6" s="829"/>
      <c r="E6" s="528">
        <f>Planbilanz!E30/Planbilanz!E40</f>
        <v>-2.6274115796939252</v>
      </c>
      <c r="F6" s="529">
        <f>Planbilanz!G30/Planbilanz!G40</f>
        <v>-3.8820788896013689</v>
      </c>
      <c r="G6" s="529">
        <f>Planbilanz!I30/Planbilanz!I40</f>
        <v>-5.6288660889201036</v>
      </c>
      <c r="H6" s="530">
        <f>Planbilanz!K30/Planbilanz!K40</f>
        <v>0.37544291678539904</v>
      </c>
    </row>
    <row r="7" spans="1:8" ht="7.5" customHeight="1" x14ac:dyDescent="0.25">
      <c r="A7" s="513"/>
      <c r="B7" s="514"/>
      <c r="C7" s="514"/>
      <c r="D7" s="515"/>
      <c r="E7" s="516"/>
      <c r="F7" s="517"/>
      <c r="G7" s="517"/>
      <c r="H7" s="518"/>
    </row>
    <row r="8" spans="1:8" ht="18.75" customHeight="1" x14ac:dyDescent="0.25">
      <c r="A8" s="827" t="s">
        <v>239</v>
      </c>
      <c r="B8" s="828"/>
      <c r="C8" s="828"/>
      <c r="D8" s="829"/>
      <c r="E8" s="528">
        <f>Planbilanz!E38/Planbilanz!E40</f>
        <v>3.6274115796939252</v>
      </c>
      <c r="F8" s="529">
        <f>Planbilanz!G38/Planbilanz!G40</f>
        <v>4.8820788896013694</v>
      </c>
      <c r="G8" s="529">
        <f>Planbilanz!I38/Planbilanz!I40</f>
        <v>6.6288660889201036</v>
      </c>
      <c r="H8" s="530">
        <f>Planbilanz!K38/Planbilanz!K40</f>
        <v>0.62455708321460102</v>
      </c>
    </row>
    <row r="9" spans="1:8" ht="7.5" customHeight="1" x14ac:dyDescent="0.25">
      <c r="A9" s="513"/>
      <c r="B9" s="514"/>
      <c r="C9" s="514"/>
      <c r="D9" s="515"/>
      <c r="E9" s="302"/>
      <c r="F9" s="306"/>
      <c r="G9" s="306"/>
      <c r="H9" s="307"/>
    </row>
    <row r="10" spans="1:8" ht="18.75" customHeight="1" x14ac:dyDescent="0.25">
      <c r="A10" s="827" t="s">
        <v>240</v>
      </c>
      <c r="B10" s="828"/>
      <c r="C10" s="828"/>
      <c r="D10" s="829"/>
      <c r="E10" s="531">
        <f>('Plan G&amp;V'!Q38+'Plan G&amp;V'!Q40)/'Plan G&amp;V'!Q18</f>
        <v>-1.7994186525609226</v>
      </c>
      <c r="F10" s="532">
        <f>('Plan G&amp;V'!V38+'Plan G&amp;V'!V40)/'Plan G&amp;V'!V18</f>
        <v>-0.61623005124576402</v>
      </c>
      <c r="G10" s="532">
        <f>('Plan G&amp;V'!W38+'Plan G&amp;V'!W40)/'Plan G&amp;V'!W18</f>
        <v>3.8842676328482012E-2</v>
      </c>
      <c r="H10" s="533">
        <f>('Plan G&amp;V'!X38+'Plan G&amp;V'!X40)/'Plan G&amp;V'!X18</f>
        <v>0.58632649683824778</v>
      </c>
    </row>
    <row r="11" spans="1:8" ht="7.5" customHeight="1" x14ac:dyDescent="0.25">
      <c r="A11" s="513"/>
      <c r="B11" s="514"/>
      <c r="C11" s="514"/>
      <c r="D11" s="515"/>
      <c r="E11" s="302"/>
      <c r="F11" s="306"/>
      <c r="G11" s="306"/>
      <c r="H11" s="307"/>
    </row>
    <row r="12" spans="1:8" ht="18.75" customHeight="1" x14ac:dyDescent="0.25">
      <c r="A12" s="827" t="s">
        <v>241</v>
      </c>
      <c r="B12" s="828"/>
      <c r="C12" s="828"/>
      <c r="D12" s="829"/>
      <c r="E12" s="534">
        <f>360/(('Plan G&amp;V'!Q18+(-'Plan G&amp;V'!Q10))/(Planbilanz!E16/2))</f>
        <v>0.70933165195460279</v>
      </c>
      <c r="F12" s="535">
        <f>360/(('Plan G&amp;V'!V18+(-'Plan G&amp;V'!V10))/((Planbilanz!E16+Planbilanz!G16)/2))</f>
        <v>1.8926457194899733</v>
      </c>
      <c r="G12" s="535">
        <f>360/(('Plan G&amp;V'!W18+(-'Plan G&amp;V'!W10))/((Planbilanz!G16+Planbilanz!I16)/2))</f>
        <v>1.346755112388039</v>
      </c>
      <c r="H12" s="536">
        <f>360/(('Plan G&amp;V'!T18+(-'Plan G&amp;V'!T10))/((Planbilanz!I16+Planbilanz!K16)/2))</f>
        <v>14.929742388758729</v>
      </c>
    </row>
    <row r="13" spans="1:8" ht="7.5" customHeight="1" x14ac:dyDescent="0.25">
      <c r="A13" s="513"/>
      <c r="B13" s="514"/>
      <c r="C13" s="514"/>
      <c r="D13" s="515"/>
      <c r="E13" s="516"/>
      <c r="F13" s="517"/>
      <c r="G13" s="517"/>
      <c r="H13" s="518"/>
    </row>
    <row r="14" spans="1:8" ht="18.75" customHeight="1" x14ac:dyDescent="0.25">
      <c r="A14" s="827" t="s">
        <v>242</v>
      </c>
      <c r="B14" s="828"/>
      <c r="C14" s="828"/>
      <c r="D14" s="829"/>
      <c r="E14" s="534">
        <f>360/(('Plan G&amp;V'!Q19+'Plan G&amp;V'!Q20+(-'Plan G&amp;V'!Q10))/(Planbilanz!E34))</f>
        <v>40.513846153845954</v>
      </c>
      <c r="F14" s="535">
        <f>360/(('Plan G&amp;V'!V19+'Plan G&amp;V'!V20+(-'Plan G&amp;V'!V10))/((Planbilanz!E34+Planbilanz!G34)/2))</f>
        <v>66.589999999999904</v>
      </c>
      <c r="G14" s="535">
        <f>360/(('Plan G&amp;V'!W19+'Plan G&amp;V'!W20+(-'Plan G&amp;V'!W10))/((Planbilanz!G34+Planbilanz!I34)/2))</f>
        <v>49.364536082474189</v>
      </c>
      <c r="H14" s="536">
        <f>360/(('Plan G&amp;V'!T19+'Plan G&amp;V'!T20+(-'Plan G&amp;V'!T10))/((Planbilanz!I34+Planbilanz!K34)/2))</f>
        <v>206.81864661654123</v>
      </c>
    </row>
    <row r="15" spans="1:8" ht="7.5" customHeight="1" x14ac:dyDescent="0.25">
      <c r="A15" s="513"/>
      <c r="B15" s="514"/>
      <c r="C15" s="514"/>
      <c r="D15" s="515"/>
      <c r="E15" s="519"/>
      <c r="F15" s="520"/>
      <c r="G15" s="520"/>
      <c r="H15" s="521"/>
    </row>
    <row r="16" spans="1:8" ht="18.75" customHeight="1" x14ac:dyDescent="0.25">
      <c r="A16" s="827" t="s">
        <v>243</v>
      </c>
      <c r="B16" s="828"/>
      <c r="C16" s="828"/>
      <c r="D16" s="829"/>
      <c r="E16" s="537" t="str">
        <f>IF(OR('Plan G&amp;V'!Q19=0,Planbilanz!E15=0),"",'Plan G&amp;V'!Q19/Planbilanz!E15)</f>
        <v/>
      </c>
      <c r="F16" s="538" t="str">
        <f>IF(OR('Plan G&amp;V'!V19=0,Planbilanz!G15=0),"",'Plan G&amp;V'!V19/Planbilanz!G15)</f>
        <v/>
      </c>
      <c r="G16" s="538" t="str">
        <f>IF(OR('Plan G&amp;V'!W19=0,Planbilanz!I15=0),"",'Plan G&amp;V'!W19/Planbilanz!I15)</f>
        <v/>
      </c>
      <c r="H16" s="539" t="str">
        <f>IF(OR('Plan G&amp;V'!X19=0,Planbilanz!K15=0),"",'Plan G&amp;V'!X19/Planbilanz!K15)</f>
        <v/>
      </c>
    </row>
    <row r="17" spans="1:8" ht="7.5" customHeight="1" x14ac:dyDescent="0.25">
      <c r="A17" s="522"/>
      <c r="B17" s="523"/>
      <c r="C17" s="523"/>
      <c r="D17" s="524"/>
      <c r="E17" s="519"/>
      <c r="F17" s="520"/>
      <c r="G17" s="520"/>
      <c r="H17" s="521"/>
    </row>
    <row r="18" spans="1:8" ht="18.75" customHeight="1" thickBot="1" x14ac:dyDescent="0.3">
      <c r="A18" s="894" t="s">
        <v>244</v>
      </c>
      <c r="B18" s="895"/>
      <c r="C18" s="895"/>
      <c r="D18" s="896"/>
      <c r="E18" s="540" t="str">
        <f>IF(E16="","",360/E16)</f>
        <v/>
      </c>
      <c r="F18" s="541" t="str">
        <f t="shared" ref="F18:H18" si="0">IF(F16="","",360/F16)</f>
        <v/>
      </c>
      <c r="G18" s="541" t="str">
        <f t="shared" si="0"/>
        <v/>
      </c>
      <c r="H18" s="542" t="str">
        <f t="shared" si="0"/>
        <v/>
      </c>
    </row>
    <row r="19" spans="1:8" x14ac:dyDescent="0.25">
      <c r="E19" s="378"/>
      <c r="F19" s="378"/>
      <c r="G19" s="378"/>
      <c r="H19" s="378"/>
    </row>
    <row r="20" spans="1:8" x14ac:dyDescent="0.25">
      <c r="E20" s="915"/>
      <c r="H20" s="378"/>
    </row>
  </sheetData>
  <sheetProtection selectLockedCells="1"/>
  <mergeCells count="9">
    <mergeCell ref="A14:D14"/>
    <mergeCell ref="A16:D16"/>
    <mergeCell ref="A18:D18"/>
    <mergeCell ref="A1:H1"/>
    <mergeCell ref="A4:D4"/>
    <mergeCell ref="A6:D6"/>
    <mergeCell ref="A8:D8"/>
    <mergeCell ref="A10:D10"/>
    <mergeCell ref="A12:D12"/>
  </mergeCells>
  <printOptions horizontalCentered="1"/>
  <pageMargins left="0.59055118110236227" right="0.59055118110236227" top="0.78740157480314965" bottom="0.59055118110236227" header="0.31496062992125984" footer="0.31496062992125984"/>
  <pageSetup paperSize="9" scale="96" fitToHeight="0"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7"/>
  <sheetViews>
    <sheetView view="pageBreakPreview" zoomScaleNormal="100" zoomScaleSheetLayoutView="100" workbookViewId="0">
      <selection sqref="A1:XFD1"/>
    </sheetView>
  </sheetViews>
  <sheetFormatPr baseColWidth="10" defaultRowHeight="15" x14ac:dyDescent="0.25"/>
  <cols>
    <col min="1" max="2" width="10" style="173" customWidth="1"/>
    <col min="3" max="16384" width="11.42578125" style="173"/>
  </cols>
  <sheetData>
    <row r="1" spans="1:13" s="41" customFormat="1" ht="27" thickBot="1" x14ac:dyDescent="0.3">
      <c r="A1" s="714" t="s">
        <v>157</v>
      </c>
      <c r="B1" s="715"/>
      <c r="C1" s="715"/>
      <c r="D1" s="715"/>
      <c r="E1" s="715"/>
      <c r="F1" s="715"/>
      <c r="G1" s="715"/>
      <c r="H1" s="715"/>
      <c r="I1" s="715"/>
      <c r="J1" s="715"/>
      <c r="K1" s="716"/>
      <c r="L1" s="291"/>
      <c r="M1" s="291"/>
    </row>
    <row r="2" spans="1:13" ht="15.75" thickBot="1" x14ac:dyDescent="0.3"/>
    <row r="3" spans="1:13" ht="30.75" thickBot="1" x14ac:dyDescent="0.3">
      <c r="A3" s="640" t="s">
        <v>158</v>
      </c>
      <c r="B3" s="641" t="s">
        <v>156</v>
      </c>
    </row>
    <row r="4" spans="1:13" ht="18.75" customHeight="1" thickTop="1" x14ac:dyDescent="0.25">
      <c r="A4" s="642">
        <v>0.05</v>
      </c>
      <c r="B4" s="643">
        <v>500</v>
      </c>
    </row>
    <row r="5" spans="1:13" ht="18.75" customHeight="1" thickBot="1" x14ac:dyDescent="0.3">
      <c r="A5" s="644">
        <v>0.3</v>
      </c>
      <c r="B5" s="645">
        <v>2000</v>
      </c>
    </row>
    <row r="6" spans="1:13" ht="7.5" customHeight="1" thickTop="1" x14ac:dyDescent="0.25">
      <c r="A6" s="646"/>
      <c r="B6" s="647"/>
    </row>
    <row r="7" spans="1:13" ht="18.75" customHeight="1" thickBot="1" x14ac:dyDescent="0.3">
      <c r="A7" s="292">
        <v>0.55000000000000004</v>
      </c>
      <c r="B7" s="648">
        <f>SLOPE(B4:B5,A4:A5)*A7+INTERCEPT(B4:B5,A4:A5)</f>
        <v>3500.0000000000009</v>
      </c>
    </row>
  </sheetData>
  <mergeCells count="1">
    <mergeCell ref="A1:K1"/>
  </mergeCells>
  <pageMargins left="0.59055118110236227" right="0.59055118110236227" top="0.78740157480314965" bottom="0.78740157480314965" header="0.31496062992125984" footer="0.31496062992125984"/>
  <pageSetup paperSize="9" orientation="landscape" horizontalDpi="0" verticalDpi="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5"/>
  <sheetViews>
    <sheetView tabSelected="1" workbookViewId="0">
      <selection activeCell="A2" sqref="A2"/>
    </sheetView>
  </sheetViews>
  <sheetFormatPr baseColWidth="10" defaultRowHeight="15" x14ac:dyDescent="0.25"/>
  <cols>
    <col min="3" max="5" width="11.5703125" bestFit="1" customWidth="1"/>
    <col min="6" max="7" width="13.140625" bestFit="1" customWidth="1"/>
  </cols>
  <sheetData>
    <row r="1" spans="1:13" s="41" customFormat="1" ht="27" thickBot="1" x14ac:dyDescent="0.3">
      <c r="A1" s="920" t="s">
        <v>269</v>
      </c>
      <c r="B1" s="921"/>
      <c r="C1" s="921"/>
      <c r="D1" s="921"/>
      <c r="E1" s="921"/>
      <c r="F1" s="921"/>
      <c r="G1" s="921"/>
      <c r="H1" s="921"/>
      <c r="I1" s="921"/>
      <c r="J1" s="921"/>
      <c r="K1" s="922"/>
      <c r="L1" s="291"/>
      <c r="M1" s="291"/>
    </row>
    <row r="3" spans="1:13" x14ac:dyDescent="0.25">
      <c r="B3">
        <v>2017</v>
      </c>
      <c r="C3">
        <v>2018</v>
      </c>
      <c r="D3">
        <v>2019</v>
      </c>
      <c r="E3">
        <v>2020</v>
      </c>
      <c r="F3">
        <v>2021</v>
      </c>
    </row>
    <row r="4" spans="1:13" x14ac:dyDescent="0.25">
      <c r="A4" t="s">
        <v>267</v>
      </c>
      <c r="B4" s="919">
        <v>0</v>
      </c>
      <c r="C4" s="919">
        <f>Liquiditätsplan!Q35</f>
        <v>240553.63333333333</v>
      </c>
      <c r="D4" s="919">
        <f>Liquiditätsplan!V35</f>
        <v>446829.11111111112</v>
      </c>
      <c r="E4" s="919">
        <f>Liquiditätsplan!W35</f>
        <v>788151.33333333337</v>
      </c>
      <c r="F4" s="919">
        <f>Liquiditätsplan!X35</f>
        <v>1835651.3333333333</v>
      </c>
    </row>
    <row r="5" spans="1:13" x14ac:dyDescent="0.25">
      <c r="A5" t="s">
        <v>268</v>
      </c>
      <c r="B5" s="919">
        <v>0</v>
      </c>
      <c r="C5" s="919">
        <f>Liquiditätsplan!Q73</f>
        <v>614284.82475491264</v>
      </c>
      <c r="D5" s="919">
        <f>Liquiditätsplan!V73</f>
        <v>660624.50923857896</v>
      </c>
      <c r="E5" s="919">
        <f>Liquiditätsplan!W73</f>
        <v>660313.47282384452</v>
      </c>
      <c r="F5" s="919">
        <f>Liquiditätsplan!X73</f>
        <v>861011.79680105182</v>
      </c>
    </row>
  </sheetData>
  <pageMargins left="0.7" right="0.7" top="0.78740157499999996" bottom="0.78740157499999996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B2:F13"/>
  <sheetViews>
    <sheetView workbookViewId="0">
      <selection activeCell="F2" sqref="F2"/>
    </sheetView>
  </sheetViews>
  <sheetFormatPr baseColWidth="10" defaultRowHeight="15" x14ac:dyDescent="0.25"/>
  <sheetData>
    <row r="2" spans="2:6" x14ac:dyDescent="0.25">
      <c r="B2">
        <v>1</v>
      </c>
      <c r="C2">
        <v>1</v>
      </c>
      <c r="D2">
        <v>1</v>
      </c>
      <c r="E2">
        <v>1</v>
      </c>
      <c r="F2" t="s">
        <v>49</v>
      </c>
    </row>
    <row r="3" spans="2:6" x14ac:dyDescent="0.25">
      <c r="B3">
        <v>2</v>
      </c>
      <c r="C3">
        <v>2</v>
      </c>
      <c r="D3">
        <v>2</v>
      </c>
      <c r="E3">
        <v>2</v>
      </c>
    </row>
    <row r="4" spans="2:6" x14ac:dyDescent="0.25">
      <c r="B4">
        <v>3</v>
      </c>
      <c r="C4">
        <v>3</v>
      </c>
      <c r="D4">
        <v>3</v>
      </c>
    </row>
    <row r="5" spans="2:6" x14ac:dyDescent="0.25">
      <c r="B5">
        <v>4</v>
      </c>
      <c r="C5">
        <v>4</v>
      </c>
    </row>
    <row r="6" spans="2:6" x14ac:dyDescent="0.25">
      <c r="B6">
        <v>5</v>
      </c>
      <c r="C6">
        <v>5</v>
      </c>
    </row>
    <row r="7" spans="2:6" x14ac:dyDescent="0.25">
      <c r="B7">
        <v>6</v>
      </c>
      <c r="C7">
        <v>6</v>
      </c>
    </row>
    <row r="8" spans="2:6" x14ac:dyDescent="0.25">
      <c r="B8">
        <v>7</v>
      </c>
    </row>
    <row r="9" spans="2:6" x14ac:dyDescent="0.25">
      <c r="B9">
        <v>8</v>
      </c>
    </row>
    <row r="10" spans="2:6" x14ac:dyDescent="0.25">
      <c r="B10">
        <v>9</v>
      </c>
    </row>
    <row r="11" spans="2:6" x14ac:dyDescent="0.25">
      <c r="B11">
        <v>10</v>
      </c>
    </row>
    <row r="12" spans="2:6" x14ac:dyDescent="0.25">
      <c r="B12">
        <v>11</v>
      </c>
    </row>
    <row r="13" spans="2:6" x14ac:dyDescent="0.25">
      <c r="B13">
        <v>12</v>
      </c>
    </row>
  </sheetData>
  <sheetProtection algorithmName="SHA-512" hashValue="LVqvTfoYBOVuw1NEKLLtWyoFehgzzjNx4yrRD61fJScZacP3Q3Rzr6ZnDXFa19mSVymtcPNEiZUwIUeR5cY33w==" saltValue="NT6FO5v/5G7vp32IsFprOQ==" spinCount="100000" sheet="1" objects="1" scenarios="1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15</vt:i4>
      </vt:variant>
    </vt:vector>
  </HeadingPairs>
  <TitlesOfParts>
    <vt:vector size="27" baseType="lpstr">
      <vt:lpstr>Stammdaten</vt:lpstr>
      <vt:lpstr>Investitionsplan</vt:lpstr>
      <vt:lpstr>Plankosten</vt:lpstr>
      <vt:lpstr>Abschreibung</vt:lpstr>
      <vt:lpstr>Plan G&amp;V</vt:lpstr>
      <vt:lpstr>Liquiditätsplan</vt:lpstr>
      <vt:lpstr>Planbilanz</vt:lpstr>
      <vt:lpstr>Cash Flow</vt:lpstr>
      <vt:lpstr>Kennzahlen</vt:lpstr>
      <vt:lpstr>Lizenzgebühr</vt:lpstr>
      <vt:lpstr>Break-Even-Point</vt:lpstr>
      <vt:lpstr>Auswahltabellen</vt:lpstr>
      <vt:lpstr>Anually</vt:lpstr>
      <vt:lpstr>Bimonthly</vt:lpstr>
      <vt:lpstr>Abschreibung!Druckbereich</vt:lpstr>
      <vt:lpstr>'Cash Flow'!Druckbereich</vt:lpstr>
      <vt:lpstr>Investitionsplan!Druckbereich</vt:lpstr>
      <vt:lpstr>Kennzahlen!Druckbereich</vt:lpstr>
      <vt:lpstr>Liquiditätsplan!Druckbereich</vt:lpstr>
      <vt:lpstr>Lizenzgebühr!Druckbereich</vt:lpstr>
      <vt:lpstr>'Plan G&amp;V'!Druckbereich</vt:lpstr>
      <vt:lpstr>Planbilanz!Druckbereich</vt:lpstr>
      <vt:lpstr>Plankosten!Druckbereich</vt:lpstr>
      <vt:lpstr>Stammdaten!Druckbereich</vt:lpstr>
      <vt:lpstr>Monthly</vt:lpstr>
      <vt:lpstr>Quaterly</vt:lpstr>
      <vt:lpstr>SemiAnually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Dominik</dc:creator>
  <cp:lastModifiedBy>Dominik</cp:lastModifiedBy>
  <cp:lastPrinted>2018-01-05T17:32:15Z</cp:lastPrinted>
  <dcterms:created xsi:type="dcterms:W3CDTF">2017-11-17T17:38:13Z</dcterms:created>
  <dcterms:modified xsi:type="dcterms:W3CDTF">2018-01-05T19:45:19Z</dcterms:modified>
</cp:coreProperties>
</file>