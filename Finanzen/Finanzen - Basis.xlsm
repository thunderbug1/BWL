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Dominik\GitHub\BWL-project\Finanzen\"/>
    </mc:Choice>
  </mc:AlternateContent>
  <bookViews>
    <workbookView xWindow="38130" yWindow="0" windowWidth="19560" windowHeight="8115" tabRatio="828" activeTab="6"/>
  </bookViews>
  <sheets>
    <sheet name="Stammdaten" sheetId="1" r:id="rId1"/>
    <sheet name="Investitionsplan" sheetId="2" r:id="rId2"/>
    <sheet name="Plankosten" sheetId="3" r:id="rId3"/>
    <sheet name="Abschreibung" sheetId="8" r:id="rId4"/>
    <sheet name="Plan G&amp;V" sheetId="6" r:id="rId5"/>
    <sheet name="Liquiditätsplan" sheetId="9" r:id="rId6"/>
    <sheet name="Planbilanz" sheetId="11" r:id="rId7"/>
    <sheet name="Cash Flow" sheetId="12" r:id="rId8"/>
    <sheet name="Kennzahlen" sheetId="13" r:id="rId9"/>
    <sheet name="Break-Even-Point" sheetId="14" r:id="rId10"/>
    <sheet name="Break-Even-Point(Netto)" sheetId="19" r:id="rId11"/>
    <sheet name="Aufteilung Aufwände" sheetId="15" r:id="rId12"/>
    <sheet name="Lizenzgebühr" sheetId="16" r:id="rId13"/>
    <sheet name="Präsentation" sheetId="18" r:id="rId14"/>
    <sheet name="Auswahltabellen" sheetId="4" state="hidden" r:id="rId15"/>
  </sheets>
  <definedNames>
    <definedName name="Anually">Auswahltabellen!$B$2:$B$13</definedName>
    <definedName name="Bimonthly">Auswahltabellen!$E$2:$E$3</definedName>
    <definedName name="_xlnm.Print_Area" localSheetId="3">Abschreibung!$A$1:$M$34</definedName>
    <definedName name="_xlnm.Print_Area" localSheetId="11">'Aufteilung Aufwände'!$A$1:$G$53</definedName>
    <definedName name="_xlnm.Print_Area" localSheetId="9">'Break-Even-Point'!$A$1:$F$27</definedName>
    <definedName name="_xlnm.Print_Area" localSheetId="10">'Break-Even-Point(Netto)'!$A$1:$F$27</definedName>
    <definedName name="_xlnm.Print_Area" localSheetId="7">'Cash Flow'!$A$1:$H$18</definedName>
    <definedName name="_xlnm.Print_Area" localSheetId="1">Investitionsplan!$A$1:$Y$34</definedName>
    <definedName name="_xlnm.Print_Area" localSheetId="8">Kennzahlen!$A$1:$H$14</definedName>
    <definedName name="_xlnm.Print_Area" localSheetId="5">Liquiditätsplan!$A$1:$X$86</definedName>
    <definedName name="_xlnm.Print_Area" localSheetId="12">Lizenzgebühr!$A$1:$Q$83</definedName>
    <definedName name="_xlnm.Print_Area" localSheetId="4">'Plan G&amp;V'!$A$1:$X$56</definedName>
    <definedName name="_xlnm.Print_Area" localSheetId="6">Planbilanz!$A$1:$L$40</definedName>
    <definedName name="_xlnm.Print_Area" localSheetId="2">Plankosten!$A$1:$X$141</definedName>
    <definedName name="_xlnm.Print_Area" localSheetId="13">Präsentation!$A$1:$H$72</definedName>
    <definedName name="_xlnm.Print_Area" localSheetId="0">Stammdaten!$A$1:$D$43</definedName>
    <definedName name="Monthly">Auswahltabellen!$F$2</definedName>
    <definedName name="Quaterly">Auswahltabellen!$D$2:$D$4</definedName>
    <definedName name="SemiAnually">Auswahltabellen!$C$2:$C$7</definedName>
    <definedName name="x">Lizenzgebühr!A$9</definedName>
    <definedName name="y">Lizenzgebühr!$B1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14" l="1"/>
  <c r="F6" i="14"/>
  <c r="D6" i="14"/>
  <c r="E7" i="14"/>
  <c r="F7" i="14"/>
  <c r="D7" i="14"/>
  <c r="C7" i="14"/>
  <c r="C6" i="14"/>
  <c r="C5" i="14"/>
  <c r="C4" i="14"/>
  <c r="D4" i="14"/>
  <c r="E4" i="14"/>
  <c r="F4" i="14"/>
  <c r="D5" i="14"/>
  <c r="E5" i="14"/>
  <c r="F5" i="14"/>
  <c r="E7" i="19"/>
  <c r="F7" i="19"/>
  <c r="D7" i="19"/>
  <c r="E6" i="19"/>
  <c r="F6" i="19"/>
  <c r="D6" i="19"/>
  <c r="C7" i="19"/>
  <c r="C6" i="19"/>
  <c r="F4" i="19"/>
  <c r="E4" i="19"/>
  <c r="D4" i="19"/>
  <c r="F5" i="19"/>
  <c r="E5" i="19"/>
  <c r="D5" i="19"/>
  <c r="C5" i="19"/>
  <c r="C4" i="19"/>
  <c r="C26" i="19"/>
  <c r="C25" i="19"/>
  <c r="H8" i="18"/>
  <c r="H7" i="18"/>
  <c r="H6" i="18"/>
  <c r="H5" i="18"/>
  <c r="H4" i="18"/>
  <c r="E7" i="18"/>
  <c r="E6" i="18"/>
  <c r="E5" i="18"/>
  <c r="E4" i="18"/>
  <c r="B6" i="18"/>
  <c r="B5" i="18"/>
  <c r="B4" i="18"/>
  <c r="H12" i="13"/>
  <c r="G12" i="13"/>
  <c r="F12" i="13"/>
  <c r="E12" i="13"/>
  <c r="C26" i="14"/>
  <c r="X10" i="6"/>
  <c r="W10" i="6"/>
  <c r="S10" i="6"/>
  <c r="T10" i="6"/>
  <c r="U10" i="6"/>
  <c r="R10" i="6"/>
  <c r="E10" i="6"/>
  <c r="F10" i="6"/>
  <c r="G10" i="6"/>
  <c r="H10" i="6"/>
  <c r="I10" i="6"/>
  <c r="J10" i="6"/>
  <c r="L10" i="6"/>
  <c r="M10" i="6"/>
  <c r="N10" i="6"/>
  <c r="O10" i="6"/>
  <c r="P10" i="6"/>
  <c r="K10" i="6"/>
  <c r="X23" i="9"/>
  <c r="X22" i="9"/>
  <c r="X21" i="9"/>
  <c r="X20" i="9"/>
  <c r="W23" i="9"/>
  <c r="W22" i="9"/>
  <c r="W21" i="9"/>
  <c r="W20" i="9"/>
  <c r="T23" i="9"/>
  <c r="S22" i="9"/>
  <c r="T22" i="9"/>
  <c r="U22" i="9"/>
  <c r="R22" i="9"/>
  <c r="R21" i="9"/>
  <c r="P22" i="9"/>
  <c r="K26" i="9"/>
  <c r="E8" i="3"/>
  <c r="E9" i="3"/>
  <c r="E10" i="3"/>
  <c r="E11" i="3"/>
  <c r="E13" i="3"/>
  <c r="E23" i="3"/>
  <c r="E27" i="3"/>
  <c r="F8" i="3"/>
  <c r="F9" i="3"/>
  <c r="F10" i="3"/>
  <c r="F11" i="3"/>
  <c r="F13" i="3"/>
  <c r="F23" i="3"/>
  <c r="F27" i="3"/>
  <c r="G8" i="3"/>
  <c r="G9" i="3"/>
  <c r="G10" i="3"/>
  <c r="G11" i="3"/>
  <c r="G13" i="3"/>
  <c r="G23" i="3"/>
  <c r="G27" i="3"/>
  <c r="H8" i="3"/>
  <c r="H9" i="3"/>
  <c r="H10" i="3"/>
  <c r="H11" i="3"/>
  <c r="H13" i="3"/>
  <c r="H23" i="3"/>
  <c r="H27" i="3"/>
  <c r="I8" i="3"/>
  <c r="I9" i="3"/>
  <c r="I10" i="3"/>
  <c r="I11" i="3"/>
  <c r="I13" i="3"/>
  <c r="I23" i="3"/>
  <c r="I27" i="3"/>
  <c r="J8" i="3"/>
  <c r="J9" i="3"/>
  <c r="J10" i="3"/>
  <c r="J11" i="3"/>
  <c r="J13" i="3"/>
  <c r="J23" i="3"/>
  <c r="J27" i="3"/>
  <c r="K8" i="3"/>
  <c r="K9" i="3"/>
  <c r="K10" i="3"/>
  <c r="K11" i="3"/>
  <c r="K13" i="3"/>
  <c r="K23" i="3"/>
  <c r="K27" i="3"/>
  <c r="L8" i="3"/>
  <c r="L9" i="3"/>
  <c r="L10" i="3"/>
  <c r="L11" i="3"/>
  <c r="L13" i="3"/>
  <c r="L23" i="3"/>
  <c r="L27" i="3"/>
  <c r="M8" i="3"/>
  <c r="M9" i="3"/>
  <c r="M10" i="3"/>
  <c r="M11" i="3"/>
  <c r="M13" i="3"/>
  <c r="M23" i="3"/>
  <c r="M27" i="3"/>
  <c r="N8" i="3"/>
  <c r="N9" i="3"/>
  <c r="N10" i="3"/>
  <c r="N11" i="3"/>
  <c r="N13" i="3"/>
  <c r="N23" i="3"/>
  <c r="N27" i="3"/>
  <c r="O8" i="3"/>
  <c r="O9" i="3"/>
  <c r="O10" i="3"/>
  <c r="O11" i="3"/>
  <c r="O13" i="3"/>
  <c r="O23" i="3"/>
  <c r="O27" i="3"/>
  <c r="P8" i="3"/>
  <c r="P9" i="3"/>
  <c r="P10" i="3"/>
  <c r="P11" i="3"/>
  <c r="P13" i="3"/>
  <c r="P23" i="3"/>
  <c r="P27" i="3"/>
  <c r="Q27" i="3"/>
  <c r="E28" i="3"/>
  <c r="E29" i="3"/>
  <c r="E31" i="3"/>
  <c r="E40" i="9"/>
  <c r="R8" i="3"/>
  <c r="R9" i="3"/>
  <c r="R10" i="3"/>
  <c r="R11" i="3"/>
  <c r="R13" i="3"/>
  <c r="R23" i="3"/>
  <c r="R27" i="3"/>
  <c r="S8" i="3"/>
  <c r="S9" i="3"/>
  <c r="S10" i="3"/>
  <c r="S11" i="3"/>
  <c r="S13" i="3"/>
  <c r="S23" i="3"/>
  <c r="S27" i="3"/>
  <c r="T8" i="3"/>
  <c r="T9" i="3"/>
  <c r="T10" i="3"/>
  <c r="T11" i="3"/>
  <c r="T13" i="3"/>
  <c r="T23" i="3"/>
  <c r="T27" i="3"/>
  <c r="U8" i="3"/>
  <c r="U9" i="3"/>
  <c r="U10" i="3"/>
  <c r="U11" i="3"/>
  <c r="U13" i="3"/>
  <c r="U23" i="3"/>
  <c r="U27" i="3"/>
  <c r="V27" i="3"/>
  <c r="W8" i="3"/>
  <c r="W9" i="3"/>
  <c r="W10" i="3"/>
  <c r="W11" i="3"/>
  <c r="W13" i="3"/>
  <c r="W23" i="3"/>
  <c r="W27" i="3"/>
  <c r="X8" i="3"/>
  <c r="X9" i="3"/>
  <c r="X10" i="3"/>
  <c r="X11" i="3"/>
  <c r="X13" i="3"/>
  <c r="X23" i="3"/>
  <c r="X27" i="3"/>
  <c r="Z27" i="3"/>
  <c r="B27" i="3"/>
  <c r="B108" i="3"/>
  <c r="E108" i="3"/>
  <c r="B109" i="3"/>
  <c r="E109" i="3"/>
  <c r="E112" i="3"/>
  <c r="E50" i="9"/>
  <c r="E56" i="9"/>
  <c r="E74" i="9"/>
  <c r="E76" i="9"/>
  <c r="E78" i="9"/>
  <c r="F28" i="3"/>
  <c r="F29" i="3"/>
  <c r="F31" i="3"/>
  <c r="F40" i="9"/>
  <c r="F108" i="3"/>
  <c r="F109" i="3"/>
  <c r="F112" i="3"/>
  <c r="F50" i="9"/>
  <c r="F56" i="9"/>
  <c r="F74" i="9"/>
  <c r="F76" i="9"/>
  <c r="F78" i="9"/>
  <c r="G28" i="3"/>
  <c r="G29" i="3"/>
  <c r="G31" i="3"/>
  <c r="G40" i="9"/>
  <c r="G108" i="3"/>
  <c r="G109" i="3"/>
  <c r="G112" i="3"/>
  <c r="G50" i="9"/>
  <c r="G56" i="9"/>
  <c r="G74" i="9"/>
  <c r="G76" i="9"/>
  <c r="G78" i="9"/>
  <c r="E85" i="9"/>
  <c r="H29" i="9"/>
  <c r="H34" i="9"/>
  <c r="H36" i="9"/>
  <c r="H28" i="3"/>
  <c r="H29" i="3"/>
  <c r="H31" i="3"/>
  <c r="H40" i="9"/>
  <c r="H108" i="3"/>
  <c r="H109" i="3"/>
  <c r="H112" i="3"/>
  <c r="H50" i="9"/>
  <c r="H56" i="9"/>
  <c r="E84" i="9"/>
  <c r="H65" i="9"/>
  <c r="H72" i="9"/>
  <c r="H74" i="9"/>
  <c r="H76" i="9"/>
  <c r="H78" i="9"/>
  <c r="I28" i="3"/>
  <c r="I29" i="3"/>
  <c r="I31" i="3"/>
  <c r="I40" i="9"/>
  <c r="I108" i="3"/>
  <c r="I109" i="3"/>
  <c r="I112" i="3"/>
  <c r="I50" i="9"/>
  <c r="I56" i="9"/>
  <c r="I74" i="9"/>
  <c r="I76" i="9"/>
  <c r="I78" i="9"/>
  <c r="J28" i="3"/>
  <c r="J29" i="3"/>
  <c r="J31" i="3"/>
  <c r="J40" i="9"/>
  <c r="J108" i="3"/>
  <c r="J109" i="3"/>
  <c r="J112" i="3"/>
  <c r="J50" i="9"/>
  <c r="J56" i="9"/>
  <c r="J74" i="9"/>
  <c r="J76" i="9"/>
  <c r="J78" i="9"/>
  <c r="H85" i="9"/>
  <c r="K29" i="9"/>
  <c r="K34" i="9"/>
  <c r="K36" i="9"/>
  <c r="K28" i="3"/>
  <c r="K29" i="3"/>
  <c r="K31" i="3"/>
  <c r="K40" i="9"/>
  <c r="K108" i="3"/>
  <c r="K109" i="3"/>
  <c r="K112" i="3"/>
  <c r="K50" i="9"/>
  <c r="K56" i="9"/>
  <c r="H84" i="9"/>
  <c r="K65" i="9"/>
  <c r="K72" i="9"/>
  <c r="K74" i="9"/>
  <c r="K76" i="9"/>
  <c r="K78" i="9"/>
  <c r="L28" i="3"/>
  <c r="L29" i="3"/>
  <c r="L31" i="3"/>
  <c r="L40" i="9"/>
  <c r="L108" i="3"/>
  <c r="L109" i="3"/>
  <c r="L112" i="3"/>
  <c r="L50" i="9"/>
  <c r="L56" i="9"/>
  <c r="L74" i="9"/>
  <c r="L76" i="9"/>
  <c r="L78" i="9"/>
  <c r="M26" i="9"/>
  <c r="M36" i="9"/>
  <c r="K15" i="9"/>
  <c r="M69" i="9"/>
  <c r="M72" i="9"/>
  <c r="M28" i="3"/>
  <c r="M29" i="3"/>
  <c r="M31" i="3"/>
  <c r="M40" i="9"/>
  <c r="M108" i="3"/>
  <c r="M109" i="3"/>
  <c r="M112" i="3"/>
  <c r="M50" i="9"/>
  <c r="M56" i="9"/>
  <c r="M74" i="9"/>
  <c r="M76" i="9"/>
  <c r="M78" i="9"/>
  <c r="K84" i="9"/>
  <c r="K39" i="6"/>
  <c r="L39" i="6"/>
  <c r="M39" i="6"/>
  <c r="K85" i="9"/>
  <c r="N29" i="9"/>
  <c r="N34" i="9"/>
  <c r="N36" i="9"/>
  <c r="N65" i="9"/>
  <c r="N72" i="9"/>
  <c r="N28" i="3"/>
  <c r="N29" i="3"/>
  <c r="N31" i="3"/>
  <c r="N40" i="9"/>
  <c r="N108" i="3"/>
  <c r="N109" i="3"/>
  <c r="N112" i="3"/>
  <c r="N50" i="9"/>
  <c r="N56" i="9"/>
  <c r="N74" i="9"/>
  <c r="N76" i="9"/>
  <c r="N78" i="9"/>
  <c r="O26" i="9"/>
  <c r="O36" i="9"/>
  <c r="M15" i="9"/>
  <c r="O69" i="9"/>
  <c r="O72" i="9"/>
  <c r="O28" i="3"/>
  <c r="O29" i="3"/>
  <c r="O31" i="3"/>
  <c r="O40" i="9"/>
  <c r="O108" i="3"/>
  <c r="O109" i="3"/>
  <c r="O112" i="3"/>
  <c r="O50" i="9"/>
  <c r="O56" i="9"/>
  <c r="O74" i="9"/>
  <c r="O76" i="9"/>
  <c r="O78" i="9"/>
  <c r="P26" i="9"/>
  <c r="P36" i="9"/>
  <c r="P28" i="3"/>
  <c r="P29" i="3"/>
  <c r="P31" i="3"/>
  <c r="P40" i="9"/>
  <c r="P108" i="3"/>
  <c r="P109" i="3"/>
  <c r="P112" i="3"/>
  <c r="P50" i="9"/>
  <c r="P56" i="9"/>
  <c r="P74" i="9"/>
  <c r="P76" i="9"/>
  <c r="P78" i="9"/>
  <c r="N84" i="9"/>
  <c r="N39" i="6"/>
  <c r="O39" i="6"/>
  <c r="P39" i="6"/>
  <c r="E39" i="6"/>
  <c r="F39" i="6"/>
  <c r="G39" i="6"/>
  <c r="H39" i="6"/>
  <c r="I39" i="6"/>
  <c r="J39" i="6"/>
  <c r="Q39" i="6"/>
  <c r="K40" i="6"/>
  <c r="L40" i="6"/>
  <c r="M40" i="6"/>
  <c r="N85" i="9"/>
  <c r="N40" i="6"/>
  <c r="O40" i="6"/>
  <c r="P40" i="6"/>
  <c r="E40" i="6"/>
  <c r="F40" i="6"/>
  <c r="G40" i="6"/>
  <c r="H40" i="6"/>
  <c r="I40" i="6"/>
  <c r="J40" i="6"/>
  <c r="Q40" i="6"/>
  <c r="Q42" i="6"/>
  <c r="K12" i="6"/>
  <c r="K13" i="6"/>
  <c r="K14" i="6"/>
  <c r="K18" i="6"/>
  <c r="K22" i="6"/>
  <c r="M12" i="6"/>
  <c r="M13" i="6"/>
  <c r="M14" i="6"/>
  <c r="M18" i="6"/>
  <c r="M22" i="6"/>
  <c r="O12" i="6"/>
  <c r="O13" i="6"/>
  <c r="O14" i="6"/>
  <c r="O18" i="6"/>
  <c r="O22" i="6"/>
  <c r="P12" i="6"/>
  <c r="P13" i="6"/>
  <c r="P14" i="6"/>
  <c r="P18" i="6"/>
  <c r="P22" i="6"/>
  <c r="L12" i="6"/>
  <c r="L13" i="6"/>
  <c r="L14" i="6"/>
  <c r="L18" i="6"/>
  <c r="L22" i="6"/>
  <c r="N12" i="6"/>
  <c r="N13" i="6"/>
  <c r="N14" i="6"/>
  <c r="N18" i="6"/>
  <c r="N22" i="6"/>
  <c r="E12" i="6"/>
  <c r="E13" i="6"/>
  <c r="E14" i="6"/>
  <c r="E18" i="6"/>
  <c r="E22" i="6"/>
  <c r="F12" i="6"/>
  <c r="F13" i="6"/>
  <c r="F14" i="6"/>
  <c r="F18" i="6"/>
  <c r="F22" i="6"/>
  <c r="G12" i="6"/>
  <c r="G13" i="6"/>
  <c r="G14" i="6"/>
  <c r="G18" i="6"/>
  <c r="G22" i="6"/>
  <c r="H12" i="6"/>
  <c r="H13" i="6"/>
  <c r="H14" i="6"/>
  <c r="H18" i="6"/>
  <c r="H22" i="6"/>
  <c r="I12" i="6"/>
  <c r="I13" i="6"/>
  <c r="I14" i="6"/>
  <c r="I18" i="6"/>
  <c r="I22" i="6"/>
  <c r="J12" i="6"/>
  <c r="J13" i="6"/>
  <c r="J14" i="6"/>
  <c r="J18" i="6"/>
  <c r="J22" i="6"/>
  <c r="Q22" i="6"/>
  <c r="E23" i="6"/>
  <c r="F23" i="6"/>
  <c r="G23" i="6"/>
  <c r="H23" i="6"/>
  <c r="I23" i="6"/>
  <c r="J23" i="6"/>
  <c r="K23" i="6"/>
  <c r="L23" i="6"/>
  <c r="M23" i="6"/>
  <c r="N23" i="6"/>
  <c r="O23" i="6"/>
  <c r="P23" i="6"/>
  <c r="Q23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Q38" i="6"/>
  <c r="Q44" i="6"/>
  <c r="Q49" i="6"/>
  <c r="Q50" i="6"/>
  <c r="Q54" i="6"/>
  <c r="Q55" i="6"/>
  <c r="Q56" i="6"/>
  <c r="E33" i="11"/>
  <c r="Q45" i="6"/>
  <c r="Q47" i="6"/>
  <c r="E28" i="11"/>
  <c r="E30" i="11"/>
  <c r="Q78" i="9"/>
  <c r="E36" i="11"/>
  <c r="K16" i="9"/>
  <c r="L16" i="9"/>
  <c r="M16" i="9"/>
  <c r="N16" i="9"/>
  <c r="O16" i="9"/>
  <c r="P16" i="9"/>
  <c r="Q16" i="9"/>
  <c r="Q9" i="6"/>
  <c r="Q15" i="9"/>
  <c r="E16" i="11"/>
  <c r="E18" i="11"/>
  <c r="Q108" i="3"/>
  <c r="Q109" i="3"/>
  <c r="Q112" i="3"/>
  <c r="Q50" i="9"/>
  <c r="E34" i="11"/>
  <c r="E35" i="11"/>
  <c r="E38" i="11"/>
  <c r="E40" i="11"/>
  <c r="F26" i="11"/>
  <c r="F28" i="11"/>
  <c r="F30" i="11"/>
  <c r="F33" i="11"/>
  <c r="F34" i="11"/>
  <c r="F36" i="11"/>
  <c r="E17" i="11"/>
  <c r="E20" i="11"/>
  <c r="E22" i="11"/>
  <c r="F6" i="11"/>
  <c r="F7" i="11"/>
  <c r="F8" i="11"/>
  <c r="F9" i="11"/>
  <c r="F10" i="11"/>
  <c r="F12" i="11"/>
  <c r="F15" i="11"/>
  <c r="F16" i="11"/>
  <c r="F18" i="11"/>
  <c r="F35" i="11"/>
  <c r="G27" i="11"/>
  <c r="R29" i="9"/>
  <c r="R34" i="9"/>
  <c r="R26" i="9"/>
  <c r="R36" i="9"/>
  <c r="R65" i="9"/>
  <c r="O15" i="9"/>
  <c r="P15" i="9"/>
  <c r="R15" i="9"/>
  <c r="R69" i="9"/>
  <c r="R72" i="9"/>
  <c r="R28" i="3"/>
  <c r="R29" i="3"/>
  <c r="R31" i="3"/>
  <c r="R40" i="9"/>
  <c r="R108" i="3"/>
  <c r="R109" i="3"/>
  <c r="R112" i="3"/>
  <c r="R50" i="9"/>
  <c r="R56" i="9"/>
  <c r="R74" i="9"/>
  <c r="R76" i="9"/>
  <c r="R78" i="9"/>
  <c r="R84" i="9"/>
  <c r="R39" i="6"/>
  <c r="R85" i="9"/>
  <c r="S29" i="9"/>
  <c r="S34" i="9"/>
  <c r="S21" i="9"/>
  <c r="S26" i="9"/>
  <c r="S36" i="9"/>
  <c r="S65" i="9"/>
  <c r="S15" i="9"/>
  <c r="S69" i="9"/>
  <c r="S72" i="9"/>
  <c r="S28" i="3"/>
  <c r="S29" i="3"/>
  <c r="S31" i="3"/>
  <c r="S40" i="9"/>
  <c r="S108" i="3"/>
  <c r="S109" i="3"/>
  <c r="S112" i="3"/>
  <c r="S50" i="9"/>
  <c r="S56" i="9"/>
  <c r="S74" i="9"/>
  <c r="S76" i="9"/>
  <c r="S78" i="9"/>
  <c r="S84" i="9"/>
  <c r="S39" i="6"/>
  <c r="S85" i="9"/>
  <c r="T29" i="9"/>
  <c r="T34" i="9"/>
  <c r="T21" i="9"/>
  <c r="T26" i="9"/>
  <c r="T36" i="9"/>
  <c r="T65" i="9"/>
  <c r="T15" i="9"/>
  <c r="T69" i="9"/>
  <c r="T72" i="9"/>
  <c r="T28" i="3"/>
  <c r="T29" i="3"/>
  <c r="T31" i="3"/>
  <c r="T40" i="9"/>
  <c r="T108" i="3"/>
  <c r="T109" i="3"/>
  <c r="T112" i="3"/>
  <c r="T50" i="9"/>
  <c r="T56" i="9"/>
  <c r="T74" i="9"/>
  <c r="T76" i="9"/>
  <c r="T78" i="9"/>
  <c r="T84" i="9"/>
  <c r="T39" i="6"/>
  <c r="T85" i="9"/>
  <c r="U29" i="9"/>
  <c r="U34" i="9"/>
  <c r="U21" i="9"/>
  <c r="U26" i="9"/>
  <c r="U36" i="9"/>
  <c r="U65" i="9"/>
  <c r="U15" i="9"/>
  <c r="U69" i="9"/>
  <c r="U72" i="9"/>
  <c r="U28" i="3"/>
  <c r="U29" i="3"/>
  <c r="U31" i="3"/>
  <c r="U40" i="9"/>
  <c r="U108" i="3"/>
  <c r="U109" i="3"/>
  <c r="U112" i="3"/>
  <c r="U50" i="9"/>
  <c r="U56" i="9"/>
  <c r="U74" i="9"/>
  <c r="U76" i="9"/>
  <c r="U78" i="9"/>
  <c r="U84" i="9"/>
  <c r="U39" i="6"/>
  <c r="V39" i="6"/>
  <c r="R40" i="6"/>
  <c r="S40" i="6"/>
  <c r="T40" i="6"/>
  <c r="U85" i="9"/>
  <c r="U40" i="6"/>
  <c r="V40" i="6"/>
  <c r="V42" i="6"/>
  <c r="V10" i="6"/>
  <c r="V9" i="6"/>
  <c r="V12" i="6"/>
  <c r="R12" i="6"/>
  <c r="R13" i="6"/>
  <c r="S12" i="6"/>
  <c r="S13" i="6"/>
  <c r="T12" i="6"/>
  <c r="T13" i="6"/>
  <c r="U12" i="6"/>
  <c r="U13" i="6"/>
  <c r="V13" i="6"/>
  <c r="R14" i="6"/>
  <c r="S14" i="6"/>
  <c r="T14" i="6"/>
  <c r="U14" i="6"/>
  <c r="V14" i="6"/>
  <c r="V18" i="6"/>
  <c r="V22" i="6"/>
  <c r="R23" i="6"/>
  <c r="S23" i="6"/>
  <c r="T23" i="6"/>
  <c r="U23" i="6"/>
  <c r="V23" i="6"/>
  <c r="R31" i="6"/>
  <c r="S31" i="6"/>
  <c r="T31" i="6"/>
  <c r="U31" i="6"/>
  <c r="V31" i="6"/>
  <c r="V38" i="6"/>
  <c r="V44" i="6"/>
  <c r="V49" i="6"/>
  <c r="V50" i="6"/>
  <c r="Q52" i="6"/>
  <c r="V51" i="6"/>
  <c r="V54" i="6"/>
  <c r="V55" i="6"/>
  <c r="V56" i="6"/>
  <c r="V45" i="6"/>
  <c r="V47" i="6"/>
  <c r="G28" i="11"/>
  <c r="G30" i="11"/>
  <c r="G33" i="11"/>
  <c r="V78" i="9"/>
  <c r="G36" i="11"/>
  <c r="G18" i="11"/>
  <c r="R16" i="9"/>
  <c r="S16" i="9"/>
  <c r="T16" i="9"/>
  <c r="U16" i="9"/>
  <c r="V16" i="9"/>
  <c r="V15" i="9"/>
  <c r="G16" i="11"/>
  <c r="V108" i="3"/>
  <c r="V109" i="3"/>
  <c r="V112" i="3"/>
  <c r="V50" i="9"/>
  <c r="G34" i="11"/>
  <c r="G35" i="11"/>
  <c r="G38" i="11"/>
  <c r="G40" i="11"/>
  <c r="H26" i="11"/>
  <c r="H27" i="11"/>
  <c r="H28" i="11"/>
  <c r="H30" i="11"/>
  <c r="H33" i="11"/>
  <c r="H34" i="11"/>
  <c r="H36" i="11"/>
  <c r="G17" i="11"/>
  <c r="G20" i="11"/>
  <c r="G22" i="11"/>
  <c r="H6" i="11"/>
  <c r="H7" i="11"/>
  <c r="H8" i="11"/>
  <c r="H9" i="11"/>
  <c r="H10" i="11"/>
  <c r="H12" i="11"/>
  <c r="H15" i="11"/>
  <c r="H16" i="11"/>
  <c r="H18" i="11"/>
  <c r="H35" i="11"/>
  <c r="I27" i="11"/>
  <c r="W84" i="9"/>
  <c r="W39" i="6"/>
  <c r="W85" i="9"/>
  <c r="W40" i="6"/>
  <c r="W42" i="6"/>
  <c r="W12" i="6"/>
  <c r="W13" i="6"/>
  <c r="W14" i="6"/>
  <c r="W18" i="6"/>
  <c r="W22" i="6"/>
  <c r="W28" i="3"/>
  <c r="W29" i="3"/>
  <c r="W31" i="3"/>
  <c r="W23" i="6"/>
  <c r="W108" i="3"/>
  <c r="W109" i="3"/>
  <c r="W112" i="3"/>
  <c r="W31" i="6"/>
  <c r="W38" i="6"/>
  <c r="W44" i="6"/>
  <c r="W49" i="6"/>
  <c r="W50" i="6"/>
  <c r="V52" i="6"/>
  <c r="W51" i="6"/>
  <c r="W54" i="6"/>
  <c r="W55" i="6"/>
  <c r="W56" i="6"/>
  <c r="W45" i="6"/>
  <c r="W47" i="6"/>
  <c r="I28" i="11"/>
  <c r="I30" i="11"/>
  <c r="I33" i="11"/>
  <c r="W29" i="9"/>
  <c r="W34" i="9"/>
  <c r="W26" i="9"/>
  <c r="W36" i="9"/>
  <c r="W65" i="9"/>
  <c r="W67" i="9"/>
  <c r="W15" i="9"/>
  <c r="W69" i="9"/>
  <c r="W72" i="9"/>
  <c r="W40" i="9"/>
  <c r="W50" i="9"/>
  <c r="W56" i="9"/>
  <c r="W74" i="9"/>
  <c r="W76" i="9"/>
  <c r="W78" i="9"/>
  <c r="I36" i="11"/>
  <c r="I18" i="11"/>
  <c r="W16" i="9"/>
  <c r="I16" i="11"/>
  <c r="I34" i="11"/>
  <c r="I35" i="11"/>
  <c r="I38" i="11"/>
  <c r="I40" i="11"/>
  <c r="J26" i="11"/>
  <c r="J27" i="11"/>
  <c r="J28" i="11"/>
  <c r="J30" i="11"/>
  <c r="J33" i="11"/>
  <c r="J34" i="11"/>
  <c r="J36" i="11"/>
  <c r="I17" i="11"/>
  <c r="I20" i="11"/>
  <c r="I22" i="11"/>
  <c r="J6" i="11"/>
  <c r="J7" i="11"/>
  <c r="J8" i="11"/>
  <c r="J9" i="11"/>
  <c r="J10" i="11"/>
  <c r="J12" i="11"/>
  <c r="J15" i="11"/>
  <c r="J16" i="11"/>
  <c r="J18" i="11"/>
  <c r="J35" i="11"/>
  <c r="K27" i="11"/>
  <c r="X84" i="9"/>
  <c r="X39" i="6"/>
  <c r="X85" i="9"/>
  <c r="X40" i="6"/>
  <c r="X42" i="6"/>
  <c r="X12" i="6"/>
  <c r="X13" i="6"/>
  <c r="X14" i="6"/>
  <c r="X18" i="6"/>
  <c r="X22" i="6"/>
  <c r="X28" i="3"/>
  <c r="X29" i="3"/>
  <c r="X31" i="3"/>
  <c r="X23" i="6"/>
  <c r="X108" i="3"/>
  <c r="X109" i="3"/>
  <c r="X112" i="3"/>
  <c r="X31" i="6"/>
  <c r="X38" i="6"/>
  <c r="X44" i="6"/>
  <c r="X49" i="6"/>
  <c r="X50" i="6"/>
  <c r="W52" i="6"/>
  <c r="X51" i="6"/>
  <c r="X54" i="6"/>
  <c r="X55" i="6"/>
  <c r="X56" i="6"/>
  <c r="X45" i="6"/>
  <c r="X47" i="6"/>
  <c r="K28" i="11"/>
  <c r="K30" i="11"/>
  <c r="K33" i="11"/>
  <c r="X29" i="9"/>
  <c r="X34" i="9"/>
  <c r="X26" i="9"/>
  <c r="X36" i="9"/>
  <c r="X65" i="9"/>
  <c r="X67" i="9"/>
  <c r="X15" i="9"/>
  <c r="X69" i="9"/>
  <c r="X72" i="9"/>
  <c r="X40" i="9"/>
  <c r="X50" i="9"/>
  <c r="X56" i="9"/>
  <c r="X74" i="9"/>
  <c r="X76" i="9"/>
  <c r="X78" i="9"/>
  <c r="K36" i="11"/>
  <c r="K18" i="11"/>
  <c r="X16" i="9"/>
  <c r="K16" i="11"/>
  <c r="K34" i="11"/>
  <c r="K35" i="11"/>
  <c r="K38" i="11"/>
  <c r="K40" i="11"/>
  <c r="L26" i="11"/>
  <c r="L27" i="11"/>
  <c r="L28" i="11"/>
  <c r="L30" i="11"/>
  <c r="L33" i="11"/>
  <c r="L34" i="11"/>
  <c r="L36" i="11"/>
  <c r="K17" i="11"/>
  <c r="K20" i="11"/>
  <c r="K22" i="11"/>
  <c r="L6" i="11"/>
  <c r="L7" i="11"/>
  <c r="L8" i="11"/>
  <c r="L9" i="11"/>
  <c r="L10" i="11"/>
  <c r="L12" i="11"/>
  <c r="L15" i="11"/>
  <c r="L16" i="11"/>
  <c r="L18" i="11"/>
  <c r="L35" i="11"/>
  <c r="Q18" i="6"/>
  <c r="S67" i="9"/>
  <c r="T67" i="9"/>
  <c r="U67" i="9"/>
  <c r="R67" i="9"/>
  <c r="F67" i="9"/>
  <c r="G67" i="9"/>
  <c r="H67" i="9"/>
  <c r="I67" i="9"/>
  <c r="J67" i="9"/>
  <c r="K67" i="9"/>
  <c r="L67" i="9"/>
  <c r="M67" i="9"/>
  <c r="N67" i="9"/>
  <c r="O67" i="9"/>
  <c r="P67" i="9"/>
  <c r="E67" i="9"/>
  <c r="Z139" i="3"/>
  <c r="Z138" i="3"/>
  <c r="Z137" i="3"/>
  <c r="Z131" i="3"/>
  <c r="Z130" i="3"/>
  <c r="Z124" i="3"/>
  <c r="Z123" i="3"/>
  <c r="Z117" i="3"/>
  <c r="Z116" i="3"/>
  <c r="Z110" i="3"/>
  <c r="Z109" i="3"/>
  <c r="Z108" i="3"/>
  <c r="Z107" i="3"/>
  <c r="Z101" i="3"/>
  <c r="Z100" i="3"/>
  <c r="Z99" i="3"/>
  <c r="Z91" i="3"/>
  <c r="Z92" i="3"/>
  <c r="Z93" i="3"/>
  <c r="Z90" i="3"/>
  <c r="Z84" i="3"/>
  <c r="Z83" i="3"/>
  <c r="Z82" i="3"/>
  <c r="Z75" i="3"/>
  <c r="Z76" i="3"/>
  <c r="Z74" i="3"/>
  <c r="Z66" i="3"/>
  <c r="Z67" i="3"/>
  <c r="Z68" i="3"/>
  <c r="Z65" i="3"/>
  <c r="Z59" i="3"/>
  <c r="Z58" i="3"/>
  <c r="Z50" i="3"/>
  <c r="Z51" i="3"/>
  <c r="Z52" i="3"/>
  <c r="Z49" i="3"/>
  <c r="Z43" i="3"/>
  <c r="Z42" i="3"/>
  <c r="Z36" i="3"/>
  <c r="Z35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C11" i="16"/>
  <c r="D11" i="16"/>
  <c r="E11" i="16"/>
  <c r="F11" i="16"/>
  <c r="G11" i="16"/>
  <c r="H11" i="16"/>
  <c r="I11" i="16"/>
  <c r="J11" i="16"/>
  <c r="K11" i="16"/>
  <c r="L11" i="16"/>
  <c r="M11" i="16"/>
  <c r="N11" i="16"/>
  <c r="O11" i="16"/>
  <c r="C12" i="16"/>
  <c r="D12" i="16"/>
  <c r="E12" i="16"/>
  <c r="F12" i="16"/>
  <c r="G12" i="16"/>
  <c r="H12" i="16"/>
  <c r="I12" i="16"/>
  <c r="J12" i="16"/>
  <c r="K12" i="16"/>
  <c r="L12" i="16"/>
  <c r="M12" i="16"/>
  <c r="N12" i="16"/>
  <c r="O12" i="16"/>
  <c r="C13" i="16"/>
  <c r="D13" i="16"/>
  <c r="E13" i="16"/>
  <c r="F13" i="16"/>
  <c r="G13" i="16"/>
  <c r="H13" i="16"/>
  <c r="I13" i="16"/>
  <c r="J13" i="16"/>
  <c r="K13" i="16"/>
  <c r="L13" i="16"/>
  <c r="M13" i="16"/>
  <c r="N13" i="16"/>
  <c r="O13" i="16"/>
  <c r="C14" i="16"/>
  <c r="D14" i="16"/>
  <c r="E14" i="16"/>
  <c r="F14" i="16"/>
  <c r="G14" i="16"/>
  <c r="H14" i="16"/>
  <c r="I14" i="16"/>
  <c r="J14" i="16"/>
  <c r="K14" i="16"/>
  <c r="L14" i="16"/>
  <c r="M14" i="16"/>
  <c r="N14" i="16"/>
  <c r="O14" i="16"/>
  <c r="C15" i="16"/>
  <c r="D15" i="16"/>
  <c r="E15" i="16"/>
  <c r="F15" i="16"/>
  <c r="G15" i="16"/>
  <c r="H15" i="16"/>
  <c r="I15" i="16"/>
  <c r="J15" i="16"/>
  <c r="K15" i="16"/>
  <c r="L15" i="16"/>
  <c r="M15" i="16"/>
  <c r="N15" i="16"/>
  <c r="O15" i="16"/>
  <c r="C16" i="16"/>
  <c r="D16" i="16"/>
  <c r="E16" i="16"/>
  <c r="F16" i="16"/>
  <c r="G16" i="16"/>
  <c r="H16" i="16"/>
  <c r="I16" i="16"/>
  <c r="J16" i="16"/>
  <c r="K16" i="16"/>
  <c r="L16" i="16"/>
  <c r="M16" i="16"/>
  <c r="N16" i="16"/>
  <c r="O16" i="16"/>
  <c r="C17" i="16"/>
  <c r="D17" i="16"/>
  <c r="E17" i="16"/>
  <c r="F17" i="16"/>
  <c r="G17" i="16"/>
  <c r="H17" i="16"/>
  <c r="I17" i="16"/>
  <c r="J17" i="16"/>
  <c r="K17" i="16"/>
  <c r="L17" i="16"/>
  <c r="M17" i="16"/>
  <c r="N17" i="16"/>
  <c r="O17" i="16"/>
  <c r="C18" i="16"/>
  <c r="D18" i="16"/>
  <c r="E18" i="16"/>
  <c r="F18" i="16"/>
  <c r="G18" i="16"/>
  <c r="H18" i="16"/>
  <c r="I18" i="16"/>
  <c r="J18" i="16"/>
  <c r="K18" i="16"/>
  <c r="L18" i="16"/>
  <c r="M18" i="16"/>
  <c r="N18" i="16"/>
  <c r="O18" i="16"/>
  <c r="C19" i="16"/>
  <c r="D19" i="16"/>
  <c r="E19" i="16"/>
  <c r="F19" i="16"/>
  <c r="G19" i="16"/>
  <c r="H19" i="16"/>
  <c r="I19" i="16"/>
  <c r="J19" i="16"/>
  <c r="K19" i="16"/>
  <c r="L19" i="16"/>
  <c r="M19" i="16"/>
  <c r="N19" i="16"/>
  <c r="O19" i="16"/>
  <c r="C20" i="16"/>
  <c r="D20" i="16"/>
  <c r="E20" i="16"/>
  <c r="F20" i="16"/>
  <c r="G20" i="16"/>
  <c r="H20" i="16"/>
  <c r="I20" i="16"/>
  <c r="J20" i="16"/>
  <c r="K20" i="16"/>
  <c r="L20" i="16"/>
  <c r="M20" i="16"/>
  <c r="N20" i="16"/>
  <c r="O20" i="16"/>
  <c r="C21" i="16"/>
  <c r="D21" i="16"/>
  <c r="E21" i="16"/>
  <c r="F21" i="16"/>
  <c r="G21" i="16"/>
  <c r="H21" i="16"/>
  <c r="I21" i="16"/>
  <c r="J21" i="16"/>
  <c r="K21" i="16"/>
  <c r="L21" i="16"/>
  <c r="M21" i="16"/>
  <c r="N21" i="16"/>
  <c r="O21" i="16"/>
  <c r="C22" i="16"/>
  <c r="D22" i="16"/>
  <c r="E22" i="16"/>
  <c r="F22" i="16"/>
  <c r="G22" i="16"/>
  <c r="H22" i="16"/>
  <c r="I22" i="16"/>
  <c r="J22" i="16"/>
  <c r="K22" i="16"/>
  <c r="L22" i="16"/>
  <c r="M22" i="16"/>
  <c r="N22" i="16"/>
  <c r="O22" i="16"/>
  <c r="C23" i="16"/>
  <c r="D23" i="16"/>
  <c r="E23" i="16"/>
  <c r="F23" i="16"/>
  <c r="G23" i="16"/>
  <c r="H23" i="16"/>
  <c r="I23" i="16"/>
  <c r="J23" i="16"/>
  <c r="K23" i="16"/>
  <c r="L23" i="16"/>
  <c r="M23" i="16"/>
  <c r="N23" i="16"/>
  <c r="O23" i="16"/>
  <c r="C24" i="16"/>
  <c r="D24" i="16"/>
  <c r="E24" i="16"/>
  <c r="F24" i="16"/>
  <c r="G24" i="16"/>
  <c r="H24" i="16"/>
  <c r="I24" i="16"/>
  <c r="J24" i="16"/>
  <c r="K24" i="16"/>
  <c r="L24" i="16"/>
  <c r="M24" i="16"/>
  <c r="N24" i="16"/>
  <c r="O24" i="16"/>
  <c r="C25" i="16"/>
  <c r="D25" i="16"/>
  <c r="E25" i="16"/>
  <c r="F25" i="16"/>
  <c r="G25" i="16"/>
  <c r="H25" i="16"/>
  <c r="I25" i="16"/>
  <c r="J25" i="16"/>
  <c r="K25" i="16"/>
  <c r="L25" i="16"/>
  <c r="M25" i="16"/>
  <c r="N25" i="16"/>
  <c r="O25" i="16"/>
  <c r="C26" i="16"/>
  <c r="D26" i="16"/>
  <c r="E26" i="16"/>
  <c r="F26" i="16"/>
  <c r="G26" i="16"/>
  <c r="H26" i="16"/>
  <c r="I26" i="16"/>
  <c r="J26" i="16"/>
  <c r="K26" i="16"/>
  <c r="L26" i="16"/>
  <c r="M26" i="16"/>
  <c r="N26" i="16"/>
  <c r="O26" i="16"/>
  <c r="C27" i="16"/>
  <c r="D27" i="16"/>
  <c r="E27" i="16"/>
  <c r="F27" i="16"/>
  <c r="G27" i="16"/>
  <c r="H27" i="16"/>
  <c r="I27" i="16"/>
  <c r="J27" i="16"/>
  <c r="K27" i="16"/>
  <c r="L27" i="16"/>
  <c r="M27" i="16"/>
  <c r="N27" i="16"/>
  <c r="O27" i="16"/>
  <c r="C28" i="16"/>
  <c r="D28" i="16"/>
  <c r="E28" i="16"/>
  <c r="F28" i="16"/>
  <c r="G28" i="16"/>
  <c r="H28" i="16"/>
  <c r="I28" i="16"/>
  <c r="J28" i="16"/>
  <c r="K28" i="16"/>
  <c r="L28" i="16"/>
  <c r="M28" i="16"/>
  <c r="N28" i="16"/>
  <c r="O28" i="16"/>
  <c r="C29" i="16"/>
  <c r="D29" i="16"/>
  <c r="E29" i="16"/>
  <c r="F29" i="16"/>
  <c r="G29" i="16"/>
  <c r="H29" i="16"/>
  <c r="I29" i="16"/>
  <c r="J29" i="16"/>
  <c r="K29" i="16"/>
  <c r="L29" i="16"/>
  <c r="M29" i="16"/>
  <c r="N29" i="16"/>
  <c r="O29" i="16"/>
  <c r="C30" i="16"/>
  <c r="D30" i="16"/>
  <c r="E30" i="16"/>
  <c r="F30" i="16"/>
  <c r="G30" i="16"/>
  <c r="H30" i="16"/>
  <c r="I30" i="16"/>
  <c r="J30" i="16"/>
  <c r="K30" i="16"/>
  <c r="L30" i="16"/>
  <c r="M30" i="16"/>
  <c r="N30" i="16"/>
  <c r="O30" i="16"/>
  <c r="C31" i="16"/>
  <c r="D31" i="16"/>
  <c r="E31" i="16"/>
  <c r="F31" i="16"/>
  <c r="G31" i="16"/>
  <c r="H31" i="16"/>
  <c r="I31" i="16"/>
  <c r="J31" i="16"/>
  <c r="K31" i="16"/>
  <c r="L31" i="16"/>
  <c r="M31" i="16"/>
  <c r="N31" i="16"/>
  <c r="O31" i="16"/>
  <c r="C32" i="16"/>
  <c r="D32" i="16"/>
  <c r="E32" i="16"/>
  <c r="F32" i="16"/>
  <c r="G32" i="16"/>
  <c r="H32" i="16"/>
  <c r="I32" i="16"/>
  <c r="J32" i="16"/>
  <c r="K32" i="16"/>
  <c r="L32" i="16"/>
  <c r="M32" i="16"/>
  <c r="N32" i="16"/>
  <c r="O32" i="16"/>
  <c r="C33" i="16"/>
  <c r="D33" i="16"/>
  <c r="E33" i="16"/>
  <c r="F33" i="16"/>
  <c r="G33" i="16"/>
  <c r="H33" i="16"/>
  <c r="I33" i="16"/>
  <c r="J33" i="16"/>
  <c r="K33" i="16"/>
  <c r="L33" i="16"/>
  <c r="M33" i="16"/>
  <c r="N33" i="16"/>
  <c r="O33" i="16"/>
  <c r="C34" i="16"/>
  <c r="D34" i="16"/>
  <c r="E34" i="16"/>
  <c r="F34" i="16"/>
  <c r="G34" i="16"/>
  <c r="H34" i="16"/>
  <c r="I34" i="16"/>
  <c r="J34" i="16"/>
  <c r="K34" i="16"/>
  <c r="L34" i="16"/>
  <c r="M34" i="16"/>
  <c r="N34" i="16"/>
  <c r="O34" i="16"/>
  <c r="C35" i="16"/>
  <c r="D35" i="16"/>
  <c r="E35" i="16"/>
  <c r="F35" i="16"/>
  <c r="G35" i="16"/>
  <c r="H35" i="16"/>
  <c r="I35" i="16"/>
  <c r="J35" i="16"/>
  <c r="K35" i="16"/>
  <c r="L35" i="16"/>
  <c r="M35" i="16"/>
  <c r="N35" i="16"/>
  <c r="O35" i="16"/>
  <c r="C36" i="16"/>
  <c r="D36" i="16"/>
  <c r="E36" i="16"/>
  <c r="F36" i="16"/>
  <c r="G36" i="16"/>
  <c r="H36" i="16"/>
  <c r="I36" i="16"/>
  <c r="J36" i="16"/>
  <c r="K36" i="16"/>
  <c r="L36" i="16"/>
  <c r="M36" i="16"/>
  <c r="N36" i="16"/>
  <c r="O36" i="16"/>
  <c r="C37" i="16"/>
  <c r="D37" i="16"/>
  <c r="E37" i="16"/>
  <c r="F37" i="16"/>
  <c r="G37" i="16"/>
  <c r="H37" i="16"/>
  <c r="I37" i="16"/>
  <c r="J37" i="16"/>
  <c r="K37" i="16"/>
  <c r="L37" i="16"/>
  <c r="M37" i="16"/>
  <c r="N37" i="16"/>
  <c r="O37" i="16"/>
  <c r="C38" i="16"/>
  <c r="D38" i="16"/>
  <c r="E38" i="16"/>
  <c r="F38" i="16"/>
  <c r="G38" i="16"/>
  <c r="H38" i="16"/>
  <c r="I38" i="16"/>
  <c r="J38" i="16"/>
  <c r="K38" i="16"/>
  <c r="L38" i="16"/>
  <c r="M38" i="16"/>
  <c r="N38" i="16"/>
  <c r="O38" i="16"/>
  <c r="C39" i="16"/>
  <c r="D39" i="16"/>
  <c r="E39" i="16"/>
  <c r="F39" i="16"/>
  <c r="G39" i="16"/>
  <c r="H39" i="16"/>
  <c r="I39" i="16"/>
  <c r="J39" i="16"/>
  <c r="K39" i="16"/>
  <c r="L39" i="16"/>
  <c r="M39" i="16"/>
  <c r="N39" i="16"/>
  <c r="O39" i="16"/>
  <c r="C40" i="16"/>
  <c r="D40" i="16"/>
  <c r="E40" i="16"/>
  <c r="F40" i="16"/>
  <c r="G40" i="16"/>
  <c r="H40" i="16"/>
  <c r="I40" i="16"/>
  <c r="J40" i="16"/>
  <c r="K40" i="16"/>
  <c r="L40" i="16"/>
  <c r="M40" i="16"/>
  <c r="N40" i="16"/>
  <c r="O40" i="16"/>
  <c r="C41" i="16"/>
  <c r="D41" i="16"/>
  <c r="E41" i="16"/>
  <c r="F41" i="16"/>
  <c r="G41" i="16"/>
  <c r="H41" i="16"/>
  <c r="I41" i="16"/>
  <c r="J41" i="16"/>
  <c r="K41" i="16"/>
  <c r="L41" i="16"/>
  <c r="M41" i="16"/>
  <c r="N41" i="16"/>
  <c r="O41" i="16"/>
  <c r="C42" i="16"/>
  <c r="D42" i="16"/>
  <c r="E42" i="16"/>
  <c r="F42" i="16"/>
  <c r="G42" i="16"/>
  <c r="H42" i="16"/>
  <c r="I42" i="16"/>
  <c r="J42" i="16"/>
  <c r="K42" i="16"/>
  <c r="L42" i="16"/>
  <c r="M42" i="16"/>
  <c r="N42" i="16"/>
  <c r="O42" i="16"/>
  <c r="C43" i="16"/>
  <c r="D43" i="16"/>
  <c r="E43" i="16"/>
  <c r="F43" i="16"/>
  <c r="G43" i="16"/>
  <c r="H43" i="16"/>
  <c r="I43" i="16"/>
  <c r="J43" i="16"/>
  <c r="K43" i="16"/>
  <c r="L43" i="16"/>
  <c r="M43" i="16"/>
  <c r="N43" i="16"/>
  <c r="O43" i="16"/>
  <c r="C44" i="16"/>
  <c r="D44" i="16"/>
  <c r="E44" i="16"/>
  <c r="F44" i="16"/>
  <c r="G44" i="16"/>
  <c r="H44" i="16"/>
  <c r="I44" i="16"/>
  <c r="J44" i="16"/>
  <c r="K44" i="16"/>
  <c r="L44" i="16"/>
  <c r="M44" i="16"/>
  <c r="N44" i="16"/>
  <c r="O44" i="16"/>
  <c r="C45" i="16"/>
  <c r="D45" i="16"/>
  <c r="E45" i="16"/>
  <c r="F45" i="16"/>
  <c r="G45" i="16"/>
  <c r="H45" i="16"/>
  <c r="I45" i="16"/>
  <c r="J45" i="16"/>
  <c r="K45" i="16"/>
  <c r="L45" i="16"/>
  <c r="M45" i="16"/>
  <c r="N45" i="16"/>
  <c r="O45" i="16"/>
  <c r="C46" i="16"/>
  <c r="D46" i="16"/>
  <c r="E46" i="16"/>
  <c r="F46" i="16"/>
  <c r="G46" i="16"/>
  <c r="H46" i="16"/>
  <c r="I46" i="16"/>
  <c r="J46" i="16"/>
  <c r="K46" i="16"/>
  <c r="L46" i="16"/>
  <c r="M46" i="16"/>
  <c r="N46" i="16"/>
  <c r="O46" i="16"/>
  <c r="C47" i="16"/>
  <c r="D47" i="16"/>
  <c r="E47" i="16"/>
  <c r="F47" i="16"/>
  <c r="G47" i="16"/>
  <c r="H47" i="16"/>
  <c r="I47" i="16"/>
  <c r="J47" i="16"/>
  <c r="K47" i="16"/>
  <c r="L47" i="16"/>
  <c r="M47" i="16"/>
  <c r="N47" i="16"/>
  <c r="O47" i="16"/>
  <c r="C48" i="16"/>
  <c r="D48" i="16"/>
  <c r="E48" i="16"/>
  <c r="F48" i="16"/>
  <c r="G48" i="16"/>
  <c r="H48" i="16"/>
  <c r="I48" i="16"/>
  <c r="J48" i="16"/>
  <c r="K48" i="16"/>
  <c r="L48" i="16"/>
  <c r="M48" i="16"/>
  <c r="N48" i="16"/>
  <c r="O48" i="16"/>
  <c r="C49" i="16"/>
  <c r="D49" i="16"/>
  <c r="E49" i="16"/>
  <c r="F49" i="16"/>
  <c r="G49" i="16"/>
  <c r="H49" i="16"/>
  <c r="I49" i="16"/>
  <c r="J49" i="16"/>
  <c r="K49" i="16"/>
  <c r="L49" i="16"/>
  <c r="M49" i="16"/>
  <c r="N49" i="16"/>
  <c r="O49" i="16"/>
  <c r="C50" i="16"/>
  <c r="D50" i="16"/>
  <c r="E50" i="16"/>
  <c r="F50" i="16"/>
  <c r="G50" i="16"/>
  <c r="H50" i="16"/>
  <c r="I50" i="16"/>
  <c r="J50" i="16"/>
  <c r="K50" i="16"/>
  <c r="L50" i="16"/>
  <c r="M50" i="16"/>
  <c r="N50" i="16"/>
  <c r="O50" i="16"/>
  <c r="C51" i="16"/>
  <c r="D51" i="16"/>
  <c r="E51" i="16"/>
  <c r="F51" i="16"/>
  <c r="G51" i="16"/>
  <c r="H51" i="16"/>
  <c r="I51" i="16"/>
  <c r="J51" i="16"/>
  <c r="K51" i="16"/>
  <c r="L51" i="16"/>
  <c r="M51" i="16"/>
  <c r="N51" i="16"/>
  <c r="O51" i="16"/>
  <c r="C52" i="16"/>
  <c r="D52" i="16"/>
  <c r="E52" i="16"/>
  <c r="F52" i="16"/>
  <c r="G52" i="16"/>
  <c r="H52" i="16"/>
  <c r="I52" i="16"/>
  <c r="J52" i="16"/>
  <c r="K52" i="16"/>
  <c r="L52" i="16"/>
  <c r="M52" i="16"/>
  <c r="N52" i="16"/>
  <c r="O52" i="16"/>
  <c r="C53" i="16"/>
  <c r="D53" i="16"/>
  <c r="E53" i="16"/>
  <c r="F53" i="16"/>
  <c r="G53" i="16"/>
  <c r="H53" i="16"/>
  <c r="I53" i="16"/>
  <c r="J53" i="16"/>
  <c r="K53" i="16"/>
  <c r="L53" i="16"/>
  <c r="M53" i="16"/>
  <c r="N53" i="16"/>
  <c r="O53" i="16"/>
  <c r="C54" i="16"/>
  <c r="D54" i="16"/>
  <c r="E54" i="16"/>
  <c r="F54" i="16"/>
  <c r="G54" i="16"/>
  <c r="H54" i="16"/>
  <c r="I54" i="16"/>
  <c r="J54" i="16"/>
  <c r="K54" i="16"/>
  <c r="L54" i="16"/>
  <c r="M54" i="16"/>
  <c r="N54" i="16"/>
  <c r="O54" i="16"/>
  <c r="C55" i="16"/>
  <c r="D55" i="16"/>
  <c r="E55" i="16"/>
  <c r="F55" i="16"/>
  <c r="G55" i="16"/>
  <c r="H55" i="16"/>
  <c r="I55" i="16"/>
  <c r="J55" i="16"/>
  <c r="K55" i="16"/>
  <c r="L55" i="16"/>
  <c r="M55" i="16"/>
  <c r="N55" i="16"/>
  <c r="O55" i="16"/>
  <c r="D10" i="16"/>
  <c r="E10" i="16"/>
  <c r="F10" i="16"/>
  <c r="G10" i="16"/>
  <c r="H10" i="16"/>
  <c r="I10" i="16"/>
  <c r="J10" i="16"/>
  <c r="K10" i="16"/>
  <c r="L10" i="16"/>
  <c r="M10" i="16"/>
  <c r="N10" i="16"/>
  <c r="O10" i="16"/>
  <c r="C10" i="16"/>
  <c r="C57" i="16"/>
  <c r="Q10" i="16"/>
  <c r="D57" i="16"/>
  <c r="E57" i="16"/>
  <c r="F57" i="16"/>
  <c r="G57" i="16"/>
  <c r="H57" i="16"/>
  <c r="I57" i="16"/>
  <c r="J57" i="16"/>
  <c r="K57" i="16"/>
  <c r="L57" i="16"/>
  <c r="M57" i="16"/>
  <c r="N57" i="16"/>
  <c r="O57" i="16"/>
  <c r="Q11" i="16"/>
  <c r="Q12" i="16"/>
  <c r="Q13" i="16"/>
  <c r="Q14" i="16"/>
  <c r="Q15" i="16"/>
  <c r="Q16" i="16"/>
  <c r="Q17" i="16"/>
  <c r="Q18" i="16"/>
  <c r="Q19" i="16"/>
  <c r="Q20" i="16"/>
  <c r="Q21" i="16"/>
  <c r="Q22" i="16"/>
  <c r="Q23" i="16"/>
  <c r="Q24" i="16"/>
  <c r="Q25" i="16"/>
  <c r="Q26" i="16"/>
  <c r="Q27" i="16"/>
  <c r="Q28" i="16"/>
  <c r="Q29" i="16"/>
  <c r="Q30" i="16"/>
  <c r="Q31" i="16"/>
  <c r="Q32" i="16"/>
  <c r="Q33" i="16"/>
  <c r="Q34" i="16"/>
  <c r="Q35" i="16"/>
  <c r="Q36" i="16"/>
  <c r="Q37" i="16"/>
  <c r="Q38" i="16"/>
  <c r="Q39" i="16"/>
  <c r="Q40" i="16"/>
  <c r="Q41" i="16"/>
  <c r="Q42" i="16"/>
  <c r="Q43" i="16"/>
  <c r="Q44" i="16"/>
  <c r="Q45" i="16"/>
  <c r="Q46" i="16"/>
  <c r="Q47" i="16"/>
  <c r="Q48" i="16"/>
  <c r="Q49" i="16"/>
  <c r="Q50" i="16"/>
  <c r="Q51" i="16"/>
  <c r="Q52" i="16"/>
  <c r="Q53" i="16"/>
  <c r="Q54" i="16"/>
  <c r="Q55" i="16"/>
  <c r="P56" i="16"/>
  <c r="R19" i="3"/>
  <c r="R16" i="3"/>
  <c r="S16" i="3"/>
  <c r="T16" i="3"/>
  <c r="U16" i="3"/>
  <c r="R17" i="3"/>
  <c r="S17" i="3"/>
  <c r="T17" i="3"/>
  <c r="U17" i="3"/>
  <c r="R18" i="3"/>
  <c r="S18" i="3"/>
  <c r="T18" i="3"/>
  <c r="U18" i="3"/>
  <c r="U19" i="3"/>
  <c r="T19" i="3"/>
  <c r="S19" i="3"/>
  <c r="R92" i="3"/>
  <c r="S92" i="3"/>
  <c r="T92" i="3"/>
  <c r="U92" i="3"/>
  <c r="V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W19" i="3"/>
  <c r="W17" i="3"/>
  <c r="W18" i="3"/>
  <c r="W21" i="3"/>
  <c r="D4" i="15"/>
  <c r="X19" i="3"/>
  <c r="X17" i="3"/>
  <c r="X18" i="3"/>
  <c r="X21" i="3"/>
  <c r="E4" i="15"/>
  <c r="W41" i="9"/>
  <c r="D5" i="15"/>
  <c r="X41" i="9"/>
  <c r="E5" i="15"/>
  <c r="W42" i="9"/>
  <c r="D6" i="15"/>
  <c r="X42" i="9"/>
  <c r="E6" i="15"/>
  <c r="W50" i="3"/>
  <c r="W51" i="3"/>
  <c r="W52" i="3"/>
  <c r="W54" i="3"/>
  <c r="W43" i="9"/>
  <c r="D7" i="15"/>
  <c r="X50" i="3"/>
  <c r="X51" i="3"/>
  <c r="X52" i="3"/>
  <c r="X54" i="3"/>
  <c r="X43" i="9"/>
  <c r="E7" i="15"/>
  <c r="W44" i="9"/>
  <c r="D8" i="15"/>
  <c r="X44" i="9"/>
  <c r="E8" i="15"/>
  <c r="W67" i="3"/>
  <c r="W68" i="3"/>
  <c r="W70" i="3"/>
  <c r="W45" i="9"/>
  <c r="D9" i="15"/>
  <c r="X67" i="3"/>
  <c r="X68" i="3"/>
  <c r="X70" i="3"/>
  <c r="X45" i="9"/>
  <c r="E9" i="15"/>
  <c r="W75" i="3"/>
  <c r="W76" i="3"/>
  <c r="W78" i="3"/>
  <c r="W46" i="9"/>
  <c r="D10" i="15"/>
  <c r="X75" i="3"/>
  <c r="X76" i="3"/>
  <c r="X78" i="3"/>
  <c r="X46" i="9"/>
  <c r="E10" i="15"/>
  <c r="W83" i="3"/>
  <c r="W84" i="3"/>
  <c r="W86" i="3"/>
  <c r="W47" i="9"/>
  <c r="D11" i="15"/>
  <c r="X83" i="3"/>
  <c r="X84" i="3"/>
  <c r="X86" i="3"/>
  <c r="X47" i="9"/>
  <c r="E11" i="15"/>
  <c r="W91" i="3"/>
  <c r="W92" i="3"/>
  <c r="W93" i="3"/>
  <c r="W95" i="3"/>
  <c r="W48" i="9"/>
  <c r="D12" i="15"/>
  <c r="X91" i="3"/>
  <c r="X92" i="3"/>
  <c r="X93" i="3"/>
  <c r="X95" i="3"/>
  <c r="X48" i="9"/>
  <c r="E12" i="15"/>
  <c r="W99" i="3"/>
  <c r="W103" i="3"/>
  <c r="W49" i="9"/>
  <c r="D13" i="15"/>
  <c r="X99" i="3"/>
  <c r="X103" i="3"/>
  <c r="X49" i="9"/>
  <c r="E13" i="15"/>
  <c r="E19" i="3"/>
  <c r="E17" i="3"/>
  <c r="E18" i="3"/>
  <c r="E21" i="3"/>
  <c r="F19" i="3"/>
  <c r="F17" i="3"/>
  <c r="F18" i="3"/>
  <c r="F21" i="3"/>
  <c r="G19" i="3"/>
  <c r="G17" i="3"/>
  <c r="G18" i="3"/>
  <c r="G21" i="3"/>
  <c r="H19" i="3"/>
  <c r="H17" i="3"/>
  <c r="H18" i="3"/>
  <c r="H21" i="3"/>
  <c r="I19" i="3"/>
  <c r="I17" i="3"/>
  <c r="I18" i="3"/>
  <c r="I21" i="3"/>
  <c r="J19" i="3"/>
  <c r="J17" i="3"/>
  <c r="J18" i="3"/>
  <c r="J21" i="3"/>
  <c r="K19" i="3"/>
  <c r="K17" i="3"/>
  <c r="K18" i="3"/>
  <c r="K21" i="3"/>
  <c r="L19" i="3"/>
  <c r="L17" i="3"/>
  <c r="L18" i="3"/>
  <c r="L21" i="3"/>
  <c r="M19" i="3"/>
  <c r="M17" i="3"/>
  <c r="M18" i="3"/>
  <c r="M21" i="3"/>
  <c r="N19" i="3"/>
  <c r="N17" i="3"/>
  <c r="N18" i="3"/>
  <c r="N21" i="3"/>
  <c r="O19" i="3"/>
  <c r="O17" i="3"/>
  <c r="O18" i="3"/>
  <c r="O21" i="3"/>
  <c r="P19" i="3"/>
  <c r="P17" i="3"/>
  <c r="P18" i="3"/>
  <c r="P21" i="3"/>
  <c r="R21" i="3"/>
  <c r="S21" i="3"/>
  <c r="T21" i="3"/>
  <c r="U21" i="3"/>
  <c r="D14" i="15"/>
  <c r="E14" i="15"/>
  <c r="W51" i="9"/>
  <c r="D15" i="15"/>
  <c r="X51" i="9"/>
  <c r="E15" i="15"/>
  <c r="W52" i="9"/>
  <c r="D16" i="15"/>
  <c r="X52" i="9"/>
  <c r="E16" i="15"/>
  <c r="W53" i="9"/>
  <c r="D17" i="15"/>
  <c r="X53" i="9"/>
  <c r="E17" i="15"/>
  <c r="W54" i="9"/>
  <c r="D18" i="15"/>
  <c r="X54" i="9"/>
  <c r="E18" i="15"/>
  <c r="D19" i="15"/>
  <c r="E19" i="15"/>
  <c r="D20" i="15"/>
  <c r="E20" i="15"/>
  <c r="E110" i="3"/>
  <c r="E99" i="3"/>
  <c r="E101" i="3"/>
  <c r="E103" i="3"/>
  <c r="E49" i="9"/>
  <c r="E41" i="9"/>
  <c r="E42" i="9"/>
  <c r="E50" i="3"/>
  <c r="E51" i="3"/>
  <c r="E52" i="3"/>
  <c r="E54" i="3"/>
  <c r="E43" i="9"/>
  <c r="E44" i="9"/>
  <c r="E65" i="3"/>
  <c r="E67" i="3"/>
  <c r="E68" i="3"/>
  <c r="E70" i="3"/>
  <c r="E45" i="9"/>
  <c r="E74" i="3"/>
  <c r="E75" i="3"/>
  <c r="E76" i="3"/>
  <c r="E78" i="3"/>
  <c r="E46" i="9"/>
  <c r="E82" i="3"/>
  <c r="E83" i="3"/>
  <c r="E84" i="3"/>
  <c r="E86" i="3"/>
  <c r="E47" i="9"/>
  <c r="E91" i="3"/>
  <c r="E93" i="3"/>
  <c r="E95" i="3"/>
  <c r="E48" i="9"/>
  <c r="E116" i="3"/>
  <c r="E117" i="3"/>
  <c r="E119" i="3"/>
  <c r="E51" i="9"/>
  <c r="E123" i="3"/>
  <c r="E124" i="3"/>
  <c r="E126" i="3"/>
  <c r="E52" i="9"/>
  <c r="E53" i="9"/>
  <c r="E138" i="3"/>
  <c r="E139" i="3"/>
  <c r="E141" i="3"/>
  <c r="E54" i="9"/>
  <c r="F107" i="3"/>
  <c r="F110" i="3"/>
  <c r="F99" i="3"/>
  <c r="F101" i="3"/>
  <c r="F103" i="3"/>
  <c r="F49" i="9"/>
  <c r="F35" i="3"/>
  <c r="F36" i="3"/>
  <c r="F38" i="3"/>
  <c r="F41" i="9"/>
  <c r="F42" i="3"/>
  <c r="F43" i="3"/>
  <c r="F45" i="3"/>
  <c r="F42" i="9"/>
  <c r="F49" i="3"/>
  <c r="F50" i="3"/>
  <c r="F51" i="3"/>
  <c r="F52" i="3"/>
  <c r="F54" i="3"/>
  <c r="F43" i="9"/>
  <c r="F58" i="3"/>
  <c r="F59" i="3"/>
  <c r="F61" i="3"/>
  <c r="F44" i="9"/>
  <c r="F65" i="3"/>
  <c r="F67" i="3"/>
  <c r="F68" i="3"/>
  <c r="F70" i="3"/>
  <c r="F45" i="9"/>
  <c r="F74" i="3"/>
  <c r="F75" i="3"/>
  <c r="F76" i="3"/>
  <c r="F78" i="3"/>
  <c r="F46" i="9"/>
  <c r="F82" i="3"/>
  <c r="F83" i="3"/>
  <c r="F84" i="3"/>
  <c r="F86" i="3"/>
  <c r="F47" i="9"/>
  <c r="F90" i="3"/>
  <c r="F91" i="3"/>
  <c r="F93" i="3"/>
  <c r="F95" i="3"/>
  <c r="F48" i="9"/>
  <c r="F116" i="3"/>
  <c r="F117" i="3"/>
  <c r="F119" i="3"/>
  <c r="F51" i="9"/>
  <c r="F123" i="3"/>
  <c r="F124" i="3"/>
  <c r="F126" i="3"/>
  <c r="F52" i="9"/>
  <c r="F130" i="3"/>
  <c r="F131" i="3"/>
  <c r="F133" i="3"/>
  <c r="F53" i="9"/>
  <c r="F137" i="3"/>
  <c r="F138" i="3"/>
  <c r="F139" i="3"/>
  <c r="F141" i="3"/>
  <c r="F54" i="9"/>
  <c r="G107" i="3"/>
  <c r="G110" i="3"/>
  <c r="G99" i="3"/>
  <c r="G101" i="3"/>
  <c r="G103" i="3"/>
  <c r="G49" i="9"/>
  <c r="G35" i="3"/>
  <c r="G36" i="3"/>
  <c r="G38" i="3"/>
  <c r="G41" i="9"/>
  <c r="G42" i="3"/>
  <c r="G43" i="3"/>
  <c r="G45" i="3"/>
  <c r="G42" i="9"/>
  <c r="G49" i="3"/>
  <c r="G50" i="3"/>
  <c r="G51" i="3"/>
  <c r="G52" i="3"/>
  <c r="G54" i="3"/>
  <c r="G43" i="9"/>
  <c r="G58" i="3"/>
  <c r="G59" i="3"/>
  <c r="G61" i="3"/>
  <c r="G44" i="9"/>
  <c r="G65" i="3"/>
  <c r="G67" i="3"/>
  <c r="G68" i="3"/>
  <c r="G70" i="3"/>
  <c r="G45" i="9"/>
  <c r="G74" i="3"/>
  <c r="G75" i="3"/>
  <c r="G76" i="3"/>
  <c r="G78" i="3"/>
  <c r="G46" i="9"/>
  <c r="G82" i="3"/>
  <c r="G83" i="3"/>
  <c r="G84" i="3"/>
  <c r="G86" i="3"/>
  <c r="G47" i="9"/>
  <c r="G90" i="3"/>
  <c r="G91" i="3"/>
  <c r="G93" i="3"/>
  <c r="G95" i="3"/>
  <c r="G48" i="9"/>
  <c r="G116" i="3"/>
  <c r="G117" i="3"/>
  <c r="G119" i="3"/>
  <c r="G51" i="9"/>
  <c r="G123" i="3"/>
  <c r="G124" i="3"/>
  <c r="G126" i="3"/>
  <c r="G52" i="9"/>
  <c r="G130" i="3"/>
  <c r="G131" i="3"/>
  <c r="G133" i="3"/>
  <c r="G53" i="9"/>
  <c r="G137" i="3"/>
  <c r="G138" i="3"/>
  <c r="G139" i="3"/>
  <c r="G141" i="3"/>
  <c r="G54" i="9"/>
  <c r="G30" i="9"/>
  <c r="G34" i="9"/>
  <c r="G36" i="9"/>
  <c r="H30" i="9"/>
  <c r="H107" i="3"/>
  <c r="H110" i="3"/>
  <c r="H99" i="3"/>
  <c r="H101" i="3"/>
  <c r="H103" i="3"/>
  <c r="H49" i="9"/>
  <c r="H35" i="3"/>
  <c r="H36" i="3"/>
  <c r="H38" i="3"/>
  <c r="H41" i="9"/>
  <c r="H42" i="3"/>
  <c r="H43" i="3"/>
  <c r="H45" i="3"/>
  <c r="H42" i="9"/>
  <c r="H49" i="3"/>
  <c r="H50" i="3"/>
  <c r="H51" i="3"/>
  <c r="H52" i="3"/>
  <c r="H54" i="3"/>
  <c r="H43" i="9"/>
  <c r="H58" i="3"/>
  <c r="H59" i="3"/>
  <c r="H61" i="3"/>
  <c r="H44" i="9"/>
  <c r="H65" i="3"/>
  <c r="H67" i="3"/>
  <c r="H68" i="3"/>
  <c r="H70" i="3"/>
  <c r="H45" i="9"/>
  <c r="H74" i="3"/>
  <c r="H75" i="3"/>
  <c r="H76" i="3"/>
  <c r="H78" i="3"/>
  <c r="H46" i="9"/>
  <c r="H82" i="3"/>
  <c r="H83" i="3"/>
  <c r="H84" i="3"/>
  <c r="H86" i="3"/>
  <c r="H47" i="9"/>
  <c r="H90" i="3"/>
  <c r="H91" i="3"/>
  <c r="H93" i="3"/>
  <c r="H95" i="3"/>
  <c r="H48" i="9"/>
  <c r="H116" i="3"/>
  <c r="H117" i="3"/>
  <c r="H119" i="3"/>
  <c r="H51" i="9"/>
  <c r="H123" i="3"/>
  <c r="H124" i="3"/>
  <c r="H126" i="3"/>
  <c r="H52" i="9"/>
  <c r="H130" i="3"/>
  <c r="H131" i="3"/>
  <c r="H133" i="3"/>
  <c r="H53" i="9"/>
  <c r="H137" i="3"/>
  <c r="H138" i="3"/>
  <c r="H139" i="3"/>
  <c r="H141" i="3"/>
  <c r="H54" i="9"/>
  <c r="I107" i="3"/>
  <c r="I110" i="3"/>
  <c r="I99" i="3"/>
  <c r="I101" i="3"/>
  <c r="I103" i="3"/>
  <c r="I49" i="9"/>
  <c r="I35" i="3"/>
  <c r="I36" i="3"/>
  <c r="I38" i="3"/>
  <c r="I41" i="9"/>
  <c r="I42" i="3"/>
  <c r="I43" i="3"/>
  <c r="I45" i="3"/>
  <c r="I42" i="9"/>
  <c r="I49" i="3"/>
  <c r="I50" i="3"/>
  <c r="I51" i="3"/>
  <c r="I52" i="3"/>
  <c r="I54" i="3"/>
  <c r="I43" i="9"/>
  <c r="I58" i="3"/>
  <c r="I59" i="3"/>
  <c r="I61" i="3"/>
  <c r="I44" i="9"/>
  <c r="I65" i="3"/>
  <c r="I67" i="3"/>
  <c r="I68" i="3"/>
  <c r="I70" i="3"/>
  <c r="I45" i="9"/>
  <c r="I74" i="3"/>
  <c r="I75" i="3"/>
  <c r="I76" i="3"/>
  <c r="I78" i="3"/>
  <c r="I46" i="9"/>
  <c r="I82" i="3"/>
  <c r="I83" i="3"/>
  <c r="I84" i="3"/>
  <c r="I86" i="3"/>
  <c r="I47" i="9"/>
  <c r="I90" i="3"/>
  <c r="I91" i="3"/>
  <c r="I93" i="3"/>
  <c r="I95" i="3"/>
  <c r="I48" i="9"/>
  <c r="I116" i="3"/>
  <c r="I117" i="3"/>
  <c r="I119" i="3"/>
  <c r="I51" i="9"/>
  <c r="I123" i="3"/>
  <c r="I124" i="3"/>
  <c r="I126" i="3"/>
  <c r="I52" i="9"/>
  <c r="I130" i="3"/>
  <c r="I131" i="3"/>
  <c r="I133" i="3"/>
  <c r="I53" i="9"/>
  <c r="I137" i="3"/>
  <c r="I138" i="3"/>
  <c r="I139" i="3"/>
  <c r="I141" i="3"/>
  <c r="I54" i="9"/>
  <c r="I30" i="9"/>
  <c r="I34" i="9"/>
  <c r="I36" i="9"/>
  <c r="J107" i="3"/>
  <c r="J110" i="3"/>
  <c r="J99" i="3"/>
  <c r="J101" i="3"/>
  <c r="J103" i="3"/>
  <c r="J49" i="9"/>
  <c r="J35" i="3"/>
  <c r="J36" i="3"/>
  <c r="J38" i="3"/>
  <c r="J41" i="9"/>
  <c r="J42" i="3"/>
  <c r="J43" i="3"/>
  <c r="J45" i="3"/>
  <c r="J42" i="9"/>
  <c r="J49" i="3"/>
  <c r="J50" i="3"/>
  <c r="J51" i="3"/>
  <c r="J52" i="3"/>
  <c r="J54" i="3"/>
  <c r="J43" i="9"/>
  <c r="J58" i="3"/>
  <c r="J59" i="3"/>
  <c r="J61" i="3"/>
  <c r="J44" i="9"/>
  <c r="J65" i="3"/>
  <c r="J67" i="3"/>
  <c r="J68" i="3"/>
  <c r="J70" i="3"/>
  <c r="J45" i="9"/>
  <c r="J74" i="3"/>
  <c r="J75" i="3"/>
  <c r="J76" i="3"/>
  <c r="J78" i="3"/>
  <c r="J46" i="9"/>
  <c r="J82" i="3"/>
  <c r="J83" i="3"/>
  <c r="J84" i="3"/>
  <c r="J86" i="3"/>
  <c r="J47" i="9"/>
  <c r="J90" i="3"/>
  <c r="J91" i="3"/>
  <c r="J93" i="3"/>
  <c r="J95" i="3"/>
  <c r="J48" i="9"/>
  <c r="J116" i="3"/>
  <c r="J117" i="3"/>
  <c r="J119" i="3"/>
  <c r="J51" i="9"/>
  <c r="J123" i="3"/>
  <c r="J124" i="3"/>
  <c r="J126" i="3"/>
  <c r="J52" i="9"/>
  <c r="J130" i="3"/>
  <c r="J131" i="3"/>
  <c r="J133" i="3"/>
  <c r="J53" i="9"/>
  <c r="J137" i="3"/>
  <c r="J138" i="3"/>
  <c r="J139" i="3"/>
  <c r="J141" i="3"/>
  <c r="J54" i="9"/>
  <c r="J30" i="9"/>
  <c r="J34" i="9"/>
  <c r="J36" i="9"/>
  <c r="K30" i="9"/>
  <c r="K107" i="3"/>
  <c r="K110" i="3"/>
  <c r="K99" i="3"/>
  <c r="K101" i="3"/>
  <c r="K103" i="3"/>
  <c r="K49" i="9"/>
  <c r="K35" i="3"/>
  <c r="K36" i="3"/>
  <c r="K38" i="3"/>
  <c r="K41" i="9"/>
  <c r="K42" i="3"/>
  <c r="K43" i="3"/>
  <c r="K45" i="3"/>
  <c r="K42" i="9"/>
  <c r="K49" i="3"/>
  <c r="K50" i="3"/>
  <c r="K51" i="3"/>
  <c r="K52" i="3"/>
  <c r="K54" i="3"/>
  <c r="K43" i="9"/>
  <c r="K58" i="3"/>
  <c r="K59" i="3"/>
  <c r="K61" i="3"/>
  <c r="K44" i="9"/>
  <c r="K65" i="3"/>
  <c r="K67" i="3"/>
  <c r="K68" i="3"/>
  <c r="K70" i="3"/>
  <c r="K45" i="9"/>
  <c r="K74" i="3"/>
  <c r="K75" i="3"/>
  <c r="K76" i="3"/>
  <c r="K78" i="3"/>
  <c r="K46" i="9"/>
  <c r="K82" i="3"/>
  <c r="K83" i="3"/>
  <c r="K84" i="3"/>
  <c r="K86" i="3"/>
  <c r="K47" i="9"/>
  <c r="K90" i="3"/>
  <c r="K91" i="3"/>
  <c r="K93" i="3"/>
  <c r="K95" i="3"/>
  <c r="K48" i="9"/>
  <c r="K116" i="3"/>
  <c r="K117" i="3"/>
  <c r="K119" i="3"/>
  <c r="K51" i="9"/>
  <c r="K123" i="3"/>
  <c r="K124" i="3"/>
  <c r="K126" i="3"/>
  <c r="K52" i="9"/>
  <c r="K130" i="3"/>
  <c r="K131" i="3"/>
  <c r="K133" i="3"/>
  <c r="K53" i="9"/>
  <c r="K137" i="3"/>
  <c r="K138" i="3"/>
  <c r="K139" i="3"/>
  <c r="K141" i="3"/>
  <c r="K54" i="9"/>
  <c r="L107" i="3"/>
  <c r="L110" i="3"/>
  <c r="L99" i="3"/>
  <c r="L101" i="3"/>
  <c r="L103" i="3"/>
  <c r="L49" i="9"/>
  <c r="L35" i="3"/>
  <c r="L36" i="3"/>
  <c r="L38" i="3"/>
  <c r="L41" i="9"/>
  <c r="L42" i="3"/>
  <c r="L43" i="3"/>
  <c r="L45" i="3"/>
  <c r="L42" i="9"/>
  <c r="L49" i="3"/>
  <c r="L50" i="3"/>
  <c r="L51" i="3"/>
  <c r="L52" i="3"/>
  <c r="L54" i="3"/>
  <c r="L43" i="9"/>
  <c r="L58" i="3"/>
  <c r="L59" i="3"/>
  <c r="L61" i="3"/>
  <c r="L44" i="9"/>
  <c r="L65" i="3"/>
  <c r="L67" i="3"/>
  <c r="L68" i="3"/>
  <c r="L70" i="3"/>
  <c r="L45" i="9"/>
  <c r="L74" i="3"/>
  <c r="L75" i="3"/>
  <c r="L76" i="3"/>
  <c r="L78" i="3"/>
  <c r="L46" i="9"/>
  <c r="L82" i="3"/>
  <c r="L83" i="3"/>
  <c r="L84" i="3"/>
  <c r="L86" i="3"/>
  <c r="L47" i="9"/>
  <c r="L90" i="3"/>
  <c r="L91" i="3"/>
  <c r="L93" i="3"/>
  <c r="L95" i="3"/>
  <c r="L48" i="9"/>
  <c r="L116" i="3"/>
  <c r="L117" i="3"/>
  <c r="L119" i="3"/>
  <c r="L51" i="9"/>
  <c r="L123" i="3"/>
  <c r="L124" i="3"/>
  <c r="L126" i="3"/>
  <c r="L52" i="9"/>
  <c r="L130" i="3"/>
  <c r="L131" i="3"/>
  <c r="L133" i="3"/>
  <c r="L53" i="9"/>
  <c r="L137" i="3"/>
  <c r="L138" i="3"/>
  <c r="L139" i="3"/>
  <c r="L141" i="3"/>
  <c r="L54" i="9"/>
  <c r="L30" i="9"/>
  <c r="L34" i="9"/>
  <c r="L36" i="9"/>
  <c r="M107" i="3"/>
  <c r="M110" i="3"/>
  <c r="M99" i="3"/>
  <c r="M101" i="3"/>
  <c r="M103" i="3"/>
  <c r="M49" i="9"/>
  <c r="M35" i="3"/>
  <c r="M36" i="3"/>
  <c r="M38" i="3"/>
  <c r="M41" i="9"/>
  <c r="M42" i="3"/>
  <c r="M43" i="3"/>
  <c r="M45" i="3"/>
  <c r="M42" i="9"/>
  <c r="M49" i="3"/>
  <c r="M50" i="3"/>
  <c r="M51" i="3"/>
  <c r="M52" i="3"/>
  <c r="M54" i="3"/>
  <c r="M43" i="9"/>
  <c r="M58" i="3"/>
  <c r="M59" i="3"/>
  <c r="M61" i="3"/>
  <c r="M44" i="9"/>
  <c r="M65" i="3"/>
  <c r="M67" i="3"/>
  <c r="M68" i="3"/>
  <c r="M70" i="3"/>
  <c r="M45" i="9"/>
  <c r="M74" i="3"/>
  <c r="M75" i="3"/>
  <c r="M76" i="3"/>
  <c r="M78" i="3"/>
  <c r="M46" i="9"/>
  <c r="M82" i="3"/>
  <c r="M83" i="3"/>
  <c r="M84" i="3"/>
  <c r="M86" i="3"/>
  <c r="M47" i="9"/>
  <c r="M90" i="3"/>
  <c r="M91" i="3"/>
  <c r="M93" i="3"/>
  <c r="M95" i="3"/>
  <c r="M48" i="9"/>
  <c r="M116" i="3"/>
  <c r="M117" i="3"/>
  <c r="M119" i="3"/>
  <c r="M51" i="9"/>
  <c r="M123" i="3"/>
  <c r="M124" i="3"/>
  <c r="M126" i="3"/>
  <c r="M52" i="9"/>
  <c r="M130" i="3"/>
  <c r="M131" i="3"/>
  <c r="M133" i="3"/>
  <c r="M53" i="9"/>
  <c r="M137" i="3"/>
  <c r="M138" i="3"/>
  <c r="M139" i="3"/>
  <c r="M141" i="3"/>
  <c r="M54" i="9"/>
  <c r="M30" i="9"/>
  <c r="M34" i="9"/>
  <c r="N30" i="9"/>
  <c r="N107" i="3"/>
  <c r="N110" i="3"/>
  <c r="N99" i="3"/>
  <c r="N101" i="3"/>
  <c r="N103" i="3"/>
  <c r="N49" i="9"/>
  <c r="N35" i="3"/>
  <c r="N36" i="3"/>
  <c r="N38" i="3"/>
  <c r="N41" i="9"/>
  <c r="N42" i="3"/>
  <c r="N43" i="3"/>
  <c r="N45" i="3"/>
  <c r="N42" i="9"/>
  <c r="N49" i="3"/>
  <c r="N50" i="3"/>
  <c r="N51" i="3"/>
  <c r="N52" i="3"/>
  <c r="N54" i="3"/>
  <c r="N43" i="9"/>
  <c r="N58" i="3"/>
  <c r="N59" i="3"/>
  <c r="N61" i="3"/>
  <c r="N44" i="9"/>
  <c r="N65" i="3"/>
  <c r="N67" i="3"/>
  <c r="N68" i="3"/>
  <c r="N70" i="3"/>
  <c r="N45" i="9"/>
  <c r="N74" i="3"/>
  <c r="N75" i="3"/>
  <c r="N76" i="3"/>
  <c r="N78" i="3"/>
  <c r="N46" i="9"/>
  <c r="N82" i="3"/>
  <c r="N83" i="3"/>
  <c r="N84" i="3"/>
  <c r="N86" i="3"/>
  <c r="N47" i="9"/>
  <c r="N90" i="3"/>
  <c r="N91" i="3"/>
  <c r="N93" i="3"/>
  <c r="N95" i="3"/>
  <c r="N48" i="9"/>
  <c r="N116" i="3"/>
  <c r="N117" i="3"/>
  <c r="N119" i="3"/>
  <c r="N51" i="9"/>
  <c r="N123" i="3"/>
  <c r="N124" i="3"/>
  <c r="N126" i="3"/>
  <c r="N52" i="9"/>
  <c r="N130" i="3"/>
  <c r="N131" i="3"/>
  <c r="N133" i="3"/>
  <c r="N53" i="9"/>
  <c r="N137" i="3"/>
  <c r="N138" i="3"/>
  <c r="N139" i="3"/>
  <c r="N141" i="3"/>
  <c r="N54" i="9"/>
  <c r="O107" i="3"/>
  <c r="O110" i="3"/>
  <c r="O99" i="3"/>
  <c r="O101" i="3"/>
  <c r="O103" i="3"/>
  <c r="O49" i="9"/>
  <c r="O35" i="3"/>
  <c r="O36" i="3"/>
  <c r="O38" i="3"/>
  <c r="O41" i="9"/>
  <c r="O42" i="3"/>
  <c r="O43" i="3"/>
  <c r="O45" i="3"/>
  <c r="O42" i="9"/>
  <c r="O49" i="3"/>
  <c r="O50" i="3"/>
  <c r="O51" i="3"/>
  <c r="O52" i="3"/>
  <c r="O54" i="3"/>
  <c r="O43" i="9"/>
  <c r="O58" i="3"/>
  <c r="O59" i="3"/>
  <c r="O61" i="3"/>
  <c r="O44" i="9"/>
  <c r="O65" i="3"/>
  <c r="O67" i="3"/>
  <c r="O68" i="3"/>
  <c r="O70" i="3"/>
  <c r="O45" i="9"/>
  <c r="O74" i="3"/>
  <c r="O75" i="3"/>
  <c r="O76" i="3"/>
  <c r="O78" i="3"/>
  <c r="O46" i="9"/>
  <c r="O82" i="3"/>
  <c r="O83" i="3"/>
  <c r="O84" i="3"/>
  <c r="O86" i="3"/>
  <c r="O47" i="9"/>
  <c r="O90" i="3"/>
  <c r="O91" i="3"/>
  <c r="O93" i="3"/>
  <c r="O95" i="3"/>
  <c r="O48" i="9"/>
  <c r="O116" i="3"/>
  <c r="O117" i="3"/>
  <c r="O119" i="3"/>
  <c r="O51" i="9"/>
  <c r="O123" i="3"/>
  <c r="O124" i="3"/>
  <c r="O126" i="3"/>
  <c r="O52" i="9"/>
  <c r="O130" i="3"/>
  <c r="O131" i="3"/>
  <c r="O133" i="3"/>
  <c r="O53" i="9"/>
  <c r="O137" i="3"/>
  <c r="O138" i="3"/>
  <c r="O139" i="3"/>
  <c r="O141" i="3"/>
  <c r="O54" i="9"/>
  <c r="O30" i="9"/>
  <c r="O34" i="9"/>
  <c r="P107" i="3"/>
  <c r="P110" i="3"/>
  <c r="P99" i="3"/>
  <c r="P101" i="3"/>
  <c r="P103" i="3"/>
  <c r="P49" i="9"/>
  <c r="P35" i="3"/>
  <c r="P36" i="3"/>
  <c r="P38" i="3"/>
  <c r="P41" i="9"/>
  <c r="P42" i="3"/>
  <c r="P43" i="3"/>
  <c r="P45" i="3"/>
  <c r="P42" i="9"/>
  <c r="P49" i="3"/>
  <c r="P50" i="3"/>
  <c r="P51" i="3"/>
  <c r="P52" i="3"/>
  <c r="P54" i="3"/>
  <c r="P43" i="9"/>
  <c r="P58" i="3"/>
  <c r="P59" i="3"/>
  <c r="P61" i="3"/>
  <c r="P44" i="9"/>
  <c r="P65" i="3"/>
  <c r="P67" i="3"/>
  <c r="P68" i="3"/>
  <c r="P70" i="3"/>
  <c r="P45" i="9"/>
  <c r="P74" i="3"/>
  <c r="P75" i="3"/>
  <c r="P76" i="3"/>
  <c r="P78" i="3"/>
  <c r="P46" i="9"/>
  <c r="P82" i="3"/>
  <c r="P83" i="3"/>
  <c r="P84" i="3"/>
  <c r="P86" i="3"/>
  <c r="P47" i="9"/>
  <c r="P90" i="3"/>
  <c r="P91" i="3"/>
  <c r="P93" i="3"/>
  <c r="P95" i="3"/>
  <c r="P48" i="9"/>
  <c r="P116" i="3"/>
  <c r="P117" i="3"/>
  <c r="P119" i="3"/>
  <c r="P51" i="9"/>
  <c r="P123" i="3"/>
  <c r="P124" i="3"/>
  <c r="P126" i="3"/>
  <c r="P52" i="9"/>
  <c r="P130" i="3"/>
  <c r="P131" i="3"/>
  <c r="P133" i="3"/>
  <c r="P53" i="9"/>
  <c r="P137" i="3"/>
  <c r="P138" i="3"/>
  <c r="P139" i="3"/>
  <c r="P141" i="3"/>
  <c r="P54" i="9"/>
  <c r="P30" i="9"/>
  <c r="P34" i="9"/>
  <c r="R99" i="3"/>
  <c r="R103" i="3"/>
  <c r="R49" i="9"/>
  <c r="R41" i="9"/>
  <c r="R42" i="9"/>
  <c r="R50" i="3"/>
  <c r="R51" i="3"/>
  <c r="R52" i="3"/>
  <c r="R54" i="3"/>
  <c r="R43" i="9"/>
  <c r="R44" i="9"/>
  <c r="R75" i="3"/>
  <c r="R76" i="3"/>
  <c r="R78" i="3"/>
  <c r="R46" i="9"/>
  <c r="R83" i="3"/>
  <c r="R84" i="3"/>
  <c r="R86" i="3"/>
  <c r="R47" i="9"/>
  <c r="R91" i="3"/>
  <c r="R93" i="3"/>
  <c r="R95" i="3"/>
  <c r="R48" i="9"/>
  <c r="R52" i="9"/>
  <c r="R54" i="9"/>
  <c r="R30" i="9"/>
  <c r="R67" i="3"/>
  <c r="R68" i="3"/>
  <c r="R70" i="3"/>
  <c r="R45" i="9"/>
  <c r="R51" i="9"/>
  <c r="R53" i="9"/>
  <c r="S99" i="3"/>
  <c r="S103" i="3"/>
  <c r="S49" i="9"/>
  <c r="S41" i="9"/>
  <c r="S42" i="9"/>
  <c r="S50" i="3"/>
  <c r="S51" i="3"/>
  <c r="S52" i="3"/>
  <c r="S54" i="3"/>
  <c r="S43" i="9"/>
  <c r="S44" i="9"/>
  <c r="S75" i="3"/>
  <c r="S76" i="3"/>
  <c r="S78" i="3"/>
  <c r="S46" i="9"/>
  <c r="S83" i="3"/>
  <c r="S84" i="3"/>
  <c r="S86" i="3"/>
  <c r="S47" i="9"/>
  <c r="S91" i="3"/>
  <c r="S93" i="3"/>
  <c r="S95" i="3"/>
  <c r="S48" i="9"/>
  <c r="S52" i="9"/>
  <c r="S54" i="9"/>
  <c r="S30" i="9"/>
  <c r="S67" i="3"/>
  <c r="S68" i="3"/>
  <c r="S70" i="3"/>
  <c r="S45" i="9"/>
  <c r="S51" i="9"/>
  <c r="S53" i="9"/>
  <c r="T99" i="3"/>
  <c r="T103" i="3"/>
  <c r="T49" i="9"/>
  <c r="T41" i="9"/>
  <c r="T42" i="9"/>
  <c r="T50" i="3"/>
  <c r="T51" i="3"/>
  <c r="T52" i="3"/>
  <c r="T54" i="3"/>
  <c r="T43" i="9"/>
  <c r="T44" i="9"/>
  <c r="T75" i="3"/>
  <c r="T76" i="3"/>
  <c r="T78" i="3"/>
  <c r="T46" i="9"/>
  <c r="T83" i="3"/>
  <c r="T84" i="3"/>
  <c r="T86" i="3"/>
  <c r="T47" i="9"/>
  <c r="T91" i="3"/>
  <c r="T93" i="3"/>
  <c r="T95" i="3"/>
  <c r="T48" i="9"/>
  <c r="T52" i="9"/>
  <c r="T54" i="9"/>
  <c r="T30" i="9"/>
  <c r="T67" i="3"/>
  <c r="T68" i="3"/>
  <c r="T70" i="3"/>
  <c r="T45" i="9"/>
  <c r="T51" i="9"/>
  <c r="T53" i="9"/>
  <c r="U99" i="3"/>
  <c r="U103" i="3"/>
  <c r="U49" i="9"/>
  <c r="U41" i="9"/>
  <c r="U42" i="9"/>
  <c r="U50" i="3"/>
  <c r="U51" i="3"/>
  <c r="U52" i="3"/>
  <c r="U54" i="3"/>
  <c r="U43" i="9"/>
  <c r="U44" i="9"/>
  <c r="U75" i="3"/>
  <c r="U76" i="3"/>
  <c r="U78" i="3"/>
  <c r="U46" i="9"/>
  <c r="U83" i="3"/>
  <c r="U84" i="3"/>
  <c r="U86" i="3"/>
  <c r="U47" i="9"/>
  <c r="U91" i="3"/>
  <c r="U93" i="3"/>
  <c r="U95" i="3"/>
  <c r="U48" i="9"/>
  <c r="U52" i="9"/>
  <c r="U54" i="9"/>
  <c r="U30" i="9"/>
  <c r="U67" i="3"/>
  <c r="U68" i="3"/>
  <c r="U70" i="3"/>
  <c r="U45" i="9"/>
  <c r="U51" i="9"/>
  <c r="U53" i="9"/>
  <c r="D22" i="15"/>
  <c r="E22" i="15"/>
  <c r="D24" i="15"/>
  <c r="E24" i="15"/>
  <c r="D25" i="15"/>
  <c r="E25" i="15"/>
  <c r="C22" i="15"/>
  <c r="C24" i="15"/>
  <c r="V69" i="9"/>
  <c r="C25" i="15"/>
  <c r="C20" i="15"/>
  <c r="C19" i="15"/>
  <c r="V41" i="9"/>
  <c r="C5" i="15"/>
  <c r="V42" i="9"/>
  <c r="C6" i="15"/>
  <c r="V50" i="3"/>
  <c r="V51" i="3"/>
  <c r="V52" i="3"/>
  <c r="V54" i="3"/>
  <c r="V43" i="9"/>
  <c r="C7" i="15"/>
  <c r="V44" i="9"/>
  <c r="C8" i="15"/>
  <c r="V67" i="3"/>
  <c r="V68" i="3"/>
  <c r="V70" i="3"/>
  <c r="V45" i="9"/>
  <c r="C9" i="15"/>
  <c r="V75" i="3"/>
  <c r="V76" i="3"/>
  <c r="V78" i="3"/>
  <c r="V46" i="9"/>
  <c r="C10" i="15"/>
  <c r="V83" i="3"/>
  <c r="V84" i="3"/>
  <c r="V86" i="3"/>
  <c r="V47" i="9"/>
  <c r="C11" i="15"/>
  <c r="V91" i="3"/>
  <c r="V93" i="3"/>
  <c r="V95" i="3"/>
  <c r="V48" i="9"/>
  <c r="C12" i="15"/>
  <c r="V99" i="3"/>
  <c r="V103" i="3"/>
  <c r="V49" i="9"/>
  <c r="C13" i="15"/>
  <c r="C14" i="15"/>
  <c r="V51" i="9"/>
  <c r="C15" i="15"/>
  <c r="V52" i="9"/>
  <c r="C16" i="15"/>
  <c r="V53" i="9"/>
  <c r="C17" i="15"/>
  <c r="V54" i="9"/>
  <c r="C18" i="15"/>
  <c r="V28" i="3"/>
  <c r="V29" i="3"/>
  <c r="V31" i="3"/>
  <c r="V40" i="9"/>
  <c r="C4" i="15"/>
  <c r="B22" i="15"/>
  <c r="B24" i="15"/>
  <c r="Q69" i="9"/>
  <c r="B25" i="15"/>
  <c r="B20" i="15"/>
  <c r="B19" i="15"/>
  <c r="Q35" i="3"/>
  <c r="Q36" i="3"/>
  <c r="Q38" i="3"/>
  <c r="Q41" i="9"/>
  <c r="B5" i="15"/>
  <c r="Q42" i="3"/>
  <c r="Q43" i="3"/>
  <c r="Q45" i="3"/>
  <c r="Q42" i="9"/>
  <c r="B6" i="15"/>
  <c r="Q49" i="3"/>
  <c r="Q50" i="3"/>
  <c r="Q51" i="3"/>
  <c r="Q52" i="3"/>
  <c r="Q54" i="3"/>
  <c r="Q43" i="9"/>
  <c r="B7" i="15"/>
  <c r="Q58" i="3"/>
  <c r="Q59" i="3"/>
  <c r="Q61" i="3"/>
  <c r="Q44" i="9"/>
  <c r="B8" i="15"/>
  <c r="Q65" i="3"/>
  <c r="Q67" i="3"/>
  <c r="Q68" i="3"/>
  <c r="Q70" i="3"/>
  <c r="Q45" i="9"/>
  <c r="B9" i="15"/>
  <c r="Q74" i="3"/>
  <c r="Q75" i="3"/>
  <c r="Q76" i="3"/>
  <c r="Q78" i="3"/>
  <c r="Q46" i="9"/>
  <c r="B10" i="15"/>
  <c r="Q82" i="3"/>
  <c r="Q83" i="3"/>
  <c r="Q84" i="3"/>
  <c r="Q86" i="3"/>
  <c r="Q47" i="9"/>
  <c r="B11" i="15"/>
  <c r="Q90" i="3"/>
  <c r="Q91" i="3"/>
  <c r="Q93" i="3"/>
  <c r="Q95" i="3"/>
  <c r="Q48" i="9"/>
  <c r="B12" i="15"/>
  <c r="Q99" i="3"/>
  <c r="Q101" i="3"/>
  <c r="Q103" i="3"/>
  <c r="Q49" i="9"/>
  <c r="B13" i="15"/>
  <c r="Q107" i="3"/>
  <c r="Q110" i="3"/>
  <c r="B14" i="15"/>
  <c r="Q116" i="3"/>
  <c r="Q117" i="3"/>
  <c r="Q119" i="3"/>
  <c r="Q51" i="9"/>
  <c r="B15" i="15"/>
  <c r="Q123" i="3"/>
  <c r="Q124" i="3"/>
  <c r="Q126" i="3"/>
  <c r="Q52" i="9"/>
  <c r="B16" i="15"/>
  <c r="Q130" i="3"/>
  <c r="Q131" i="3"/>
  <c r="Q133" i="3"/>
  <c r="Q53" i="9"/>
  <c r="B17" i="15"/>
  <c r="Q137" i="3"/>
  <c r="Q138" i="3"/>
  <c r="Q139" i="3"/>
  <c r="Q141" i="3"/>
  <c r="Q54" i="9"/>
  <c r="B18" i="15"/>
  <c r="Q28" i="3"/>
  <c r="Q29" i="3"/>
  <c r="Q31" i="3"/>
  <c r="Q40" i="9"/>
  <c r="B4" i="15"/>
  <c r="A22" i="15"/>
  <c r="A23" i="15"/>
  <c r="A24" i="15"/>
  <c r="A25" i="15"/>
  <c r="A21" i="15"/>
  <c r="A20" i="15"/>
  <c r="A19" i="15"/>
  <c r="A41" i="9"/>
  <c r="A5" i="15"/>
  <c r="A42" i="9"/>
  <c r="A6" i="15"/>
  <c r="A43" i="9"/>
  <c r="A7" i="15"/>
  <c r="A44" i="9"/>
  <c r="A8" i="15"/>
  <c r="A45" i="9"/>
  <c r="A9" i="15"/>
  <c r="A46" i="9"/>
  <c r="A10" i="15"/>
  <c r="A47" i="9"/>
  <c r="A11" i="15"/>
  <c r="A48" i="9"/>
  <c r="A12" i="15"/>
  <c r="A49" i="9"/>
  <c r="A13" i="15"/>
  <c r="A50" i="9"/>
  <c r="A14" i="15"/>
  <c r="A51" i="9"/>
  <c r="A15" i="15"/>
  <c r="A52" i="9"/>
  <c r="A16" i="15"/>
  <c r="A53" i="9"/>
  <c r="A17" i="15"/>
  <c r="A54" i="9"/>
  <c r="A18" i="15"/>
  <c r="A40" i="9"/>
  <c r="A4" i="15"/>
  <c r="W30" i="9"/>
  <c r="R30" i="6"/>
  <c r="S30" i="6"/>
  <c r="T30" i="6"/>
  <c r="U30" i="6"/>
  <c r="V30" i="6"/>
  <c r="R19" i="6"/>
  <c r="S19" i="6"/>
  <c r="T19" i="6"/>
  <c r="U19" i="6"/>
  <c r="V19" i="6"/>
  <c r="R20" i="6"/>
  <c r="S20" i="6"/>
  <c r="T20" i="6"/>
  <c r="U20" i="6"/>
  <c r="V20" i="6"/>
  <c r="R24" i="6"/>
  <c r="S24" i="6"/>
  <c r="T24" i="6"/>
  <c r="U24" i="6"/>
  <c r="V24" i="6"/>
  <c r="R25" i="6"/>
  <c r="S25" i="6"/>
  <c r="T25" i="6"/>
  <c r="U25" i="6"/>
  <c r="V25" i="6"/>
  <c r="R26" i="6"/>
  <c r="S26" i="6"/>
  <c r="T26" i="6"/>
  <c r="U26" i="6"/>
  <c r="V26" i="6"/>
  <c r="R27" i="6"/>
  <c r="S27" i="6"/>
  <c r="T27" i="6"/>
  <c r="U27" i="6"/>
  <c r="V27" i="6"/>
  <c r="R28" i="6"/>
  <c r="S28" i="6"/>
  <c r="T28" i="6"/>
  <c r="U28" i="6"/>
  <c r="V28" i="6"/>
  <c r="R29" i="6"/>
  <c r="S29" i="6"/>
  <c r="T29" i="6"/>
  <c r="U29" i="6"/>
  <c r="V29" i="6"/>
  <c r="R32" i="6"/>
  <c r="S32" i="6"/>
  <c r="T32" i="6"/>
  <c r="U32" i="6"/>
  <c r="V32" i="6"/>
  <c r="R33" i="6"/>
  <c r="S33" i="6"/>
  <c r="T33" i="6"/>
  <c r="U33" i="6"/>
  <c r="V33" i="6"/>
  <c r="R34" i="6"/>
  <c r="S34" i="6"/>
  <c r="T34" i="6"/>
  <c r="U34" i="6"/>
  <c r="V34" i="6"/>
  <c r="R35" i="6"/>
  <c r="S35" i="6"/>
  <c r="T35" i="6"/>
  <c r="U35" i="6"/>
  <c r="V35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E19" i="6"/>
  <c r="E20" i="6"/>
  <c r="F19" i="6"/>
  <c r="F20" i="6"/>
  <c r="G19" i="6"/>
  <c r="G20" i="6"/>
  <c r="H19" i="6"/>
  <c r="H20" i="6"/>
  <c r="I19" i="6"/>
  <c r="I20" i="6"/>
  <c r="J19" i="6"/>
  <c r="J20" i="6"/>
  <c r="K19" i="6"/>
  <c r="K20" i="6"/>
  <c r="L19" i="6"/>
  <c r="L20" i="6"/>
  <c r="M19" i="6"/>
  <c r="M20" i="6"/>
  <c r="N19" i="6"/>
  <c r="N20" i="6"/>
  <c r="O19" i="6"/>
  <c r="O20" i="6"/>
  <c r="P19" i="6"/>
  <c r="P20" i="6"/>
  <c r="E24" i="6"/>
  <c r="F24" i="6"/>
  <c r="G24" i="6"/>
  <c r="H24" i="6"/>
  <c r="I24" i="6"/>
  <c r="J24" i="6"/>
  <c r="K24" i="6"/>
  <c r="L24" i="6"/>
  <c r="M24" i="6"/>
  <c r="N24" i="6"/>
  <c r="O24" i="6"/>
  <c r="P24" i="6"/>
  <c r="Q24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Q19" i="6"/>
  <c r="Q20" i="6"/>
  <c r="F12" i="12"/>
  <c r="W30" i="6"/>
  <c r="W19" i="6"/>
  <c r="W20" i="6"/>
  <c r="W24" i="6"/>
  <c r="W25" i="6"/>
  <c r="W26" i="6"/>
  <c r="W27" i="6"/>
  <c r="W28" i="6"/>
  <c r="W29" i="6"/>
  <c r="W32" i="6"/>
  <c r="W33" i="6"/>
  <c r="W34" i="6"/>
  <c r="W35" i="6"/>
  <c r="G12" i="12"/>
  <c r="X30" i="6"/>
  <c r="X19" i="6"/>
  <c r="X20" i="6"/>
  <c r="X24" i="6"/>
  <c r="X25" i="6"/>
  <c r="X26" i="6"/>
  <c r="X27" i="6"/>
  <c r="X28" i="6"/>
  <c r="X29" i="6"/>
  <c r="X32" i="6"/>
  <c r="X33" i="6"/>
  <c r="X34" i="6"/>
  <c r="X35" i="6"/>
  <c r="X30" i="9"/>
  <c r="H12" i="12"/>
  <c r="E12" i="12"/>
  <c r="X28" i="2"/>
  <c r="Y28" i="2"/>
  <c r="X29" i="2"/>
  <c r="Y29" i="2"/>
  <c r="X30" i="2"/>
  <c r="Y30" i="2"/>
  <c r="Y27" i="2"/>
  <c r="X27" i="2"/>
  <c r="Y19" i="2"/>
  <c r="Y18" i="2"/>
  <c r="X19" i="2"/>
  <c r="X18" i="2"/>
  <c r="Y6" i="2"/>
  <c r="Y7" i="2"/>
  <c r="Y8" i="2"/>
  <c r="Y9" i="2"/>
  <c r="Y10" i="2"/>
  <c r="Y11" i="2"/>
  <c r="Y12" i="2"/>
  <c r="Y13" i="2"/>
  <c r="Y5" i="2"/>
  <c r="X6" i="2"/>
  <c r="X7" i="2"/>
  <c r="X8" i="2"/>
  <c r="X9" i="2"/>
  <c r="X10" i="2"/>
  <c r="X11" i="2"/>
  <c r="X12" i="2"/>
  <c r="X13" i="2"/>
  <c r="X5" i="2"/>
  <c r="Q23" i="9"/>
  <c r="V23" i="9"/>
  <c r="Q22" i="9"/>
  <c r="V22" i="9"/>
  <c r="A27" i="8" a="1"/>
  <c r="A27" i="8"/>
  <c r="A18" i="8" a="1"/>
  <c r="A18" i="8"/>
  <c r="F19" i="2"/>
  <c r="G19" i="2"/>
  <c r="H19" i="2"/>
  <c r="I19" i="2"/>
  <c r="R19" i="2"/>
  <c r="J19" i="2"/>
  <c r="K19" i="2"/>
  <c r="L19" i="2"/>
  <c r="M19" i="2"/>
  <c r="N19" i="2"/>
  <c r="O19" i="2"/>
  <c r="P19" i="2"/>
  <c r="Q19" i="2"/>
  <c r="S19" i="2"/>
  <c r="T19" i="2"/>
  <c r="U19" i="2"/>
  <c r="W19" i="2"/>
  <c r="V19" i="2"/>
  <c r="A5" i="8" a="1"/>
  <c r="D5" i="8"/>
  <c r="B21" i="2"/>
  <c r="C31" i="8"/>
  <c r="C30" i="8"/>
  <c r="C29" i="8"/>
  <c r="C28" i="8"/>
  <c r="C27" i="8"/>
  <c r="D31" i="8"/>
  <c r="D30" i="8"/>
  <c r="D29" i="8"/>
  <c r="D28" i="8"/>
  <c r="D27" i="8"/>
  <c r="B31" i="8"/>
  <c r="B30" i="8"/>
  <c r="B29" i="8"/>
  <c r="B28" i="8"/>
  <c r="B27" i="8"/>
  <c r="A31" i="8"/>
  <c r="A30" i="8"/>
  <c r="A29" i="8"/>
  <c r="A28" i="8"/>
  <c r="C20" i="8"/>
  <c r="C19" i="8"/>
  <c r="C18" i="8"/>
  <c r="D20" i="8"/>
  <c r="D19" i="8"/>
  <c r="D18" i="8"/>
  <c r="B20" i="8"/>
  <c r="B19" i="8"/>
  <c r="B18" i="8"/>
  <c r="A20" i="8"/>
  <c r="A19" i="8"/>
  <c r="C14" i="8"/>
  <c r="C13" i="8"/>
  <c r="C12" i="8"/>
  <c r="C11" i="8"/>
  <c r="C10" i="8"/>
  <c r="C9" i="8"/>
  <c r="C8" i="8"/>
  <c r="C7" i="8"/>
  <c r="C6" i="8"/>
  <c r="C5" i="8"/>
  <c r="B14" i="8"/>
  <c r="B13" i="8"/>
  <c r="B12" i="8"/>
  <c r="B11" i="8"/>
  <c r="B10" i="8"/>
  <c r="B9" i="8"/>
  <c r="B8" i="8"/>
  <c r="B7" i="8"/>
  <c r="B6" i="8"/>
  <c r="B5" i="8"/>
  <c r="A14" i="8"/>
  <c r="A13" i="8"/>
  <c r="A12" i="8"/>
  <c r="A11" i="8"/>
  <c r="A10" i="8"/>
  <c r="A9" i="8"/>
  <c r="A8" i="8"/>
  <c r="A7" i="8"/>
  <c r="A6" i="8"/>
  <c r="A5" i="8"/>
  <c r="D14" i="8"/>
  <c r="E14" i="8"/>
  <c r="D13" i="8"/>
  <c r="D12" i="8"/>
  <c r="E12" i="8"/>
  <c r="D11" i="8"/>
  <c r="D10" i="8"/>
  <c r="D9" i="8"/>
  <c r="E9" i="8"/>
  <c r="D8" i="8"/>
  <c r="E8" i="8"/>
  <c r="D7" i="8"/>
  <c r="E7" i="8"/>
  <c r="D6" i="8"/>
  <c r="E13" i="8"/>
  <c r="E5" i="8"/>
  <c r="E11" i="8"/>
  <c r="E10" i="8"/>
  <c r="E6" i="8"/>
  <c r="F28" i="2"/>
  <c r="G28" i="2"/>
  <c r="H28" i="2"/>
  <c r="I28" i="2"/>
  <c r="J28" i="2"/>
  <c r="K28" i="2"/>
  <c r="L28" i="2"/>
  <c r="M28" i="2"/>
  <c r="N28" i="2"/>
  <c r="O28" i="2"/>
  <c r="P28" i="2"/>
  <c r="Q28" i="2"/>
  <c r="F29" i="2"/>
  <c r="G29" i="2"/>
  <c r="H29" i="2"/>
  <c r="I29" i="2"/>
  <c r="J29" i="2"/>
  <c r="K29" i="2"/>
  <c r="L29" i="2"/>
  <c r="M29" i="2"/>
  <c r="N29" i="2"/>
  <c r="O29" i="2"/>
  <c r="P29" i="2"/>
  <c r="Q29" i="2"/>
  <c r="F30" i="2"/>
  <c r="G30" i="2"/>
  <c r="H30" i="2"/>
  <c r="I30" i="2"/>
  <c r="J30" i="2"/>
  <c r="K30" i="2"/>
  <c r="L30" i="2"/>
  <c r="M30" i="2"/>
  <c r="N30" i="2"/>
  <c r="O30" i="2"/>
  <c r="P30" i="2"/>
  <c r="Q30" i="2"/>
  <c r="G27" i="2"/>
  <c r="H27" i="2"/>
  <c r="I27" i="2"/>
  <c r="J27" i="2"/>
  <c r="K27" i="2"/>
  <c r="L27" i="2"/>
  <c r="M27" i="2"/>
  <c r="N27" i="2"/>
  <c r="O27" i="2"/>
  <c r="P27" i="2"/>
  <c r="Q27" i="2"/>
  <c r="F27" i="2"/>
  <c r="S27" i="2"/>
  <c r="T27" i="2"/>
  <c r="U27" i="2"/>
  <c r="V27" i="2"/>
  <c r="H10" i="12"/>
  <c r="G10" i="12"/>
  <c r="F10" i="12"/>
  <c r="E10" i="12"/>
  <c r="W27" i="2"/>
  <c r="R27" i="2"/>
  <c r="D3" i="11"/>
  <c r="V31" i="9"/>
  <c r="Q31" i="9"/>
  <c r="E26" i="11"/>
  <c r="G26" i="11"/>
  <c r="I26" i="11"/>
  <c r="K26" i="11"/>
  <c r="Q32" i="9"/>
  <c r="V21" i="9"/>
  <c r="V24" i="9"/>
  <c r="V20" i="9"/>
  <c r="Q21" i="9"/>
  <c r="Q24" i="9"/>
  <c r="Q20" i="9"/>
  <c r="D7" i="9"/>
  <c r="V68" i="9"/>
  <c r="Q70" i="9"/>
  <c r="Q68" i="9"/>
  <c r="A66" i="9"/>
  <c r="A65" i="9"/>
  <c r="X86" i="9"/>
  <c r="T86" i="9"/>
  <c r="U66" i="9"/>
  <c r="U86" i="9"/>
  <c r="W66" i="9"/>
  <c r="S86" i="9"/>
  <c r="T66" i="9"/>
  <c r="R86" i="9"/>
  <c r="S66" i="9"/>
  <c r="K86" i="9"/>
  <c r="N66" i="9"/>
  <c r="N86" i="9"/>
  <c r="R66" i="9"/>
  <c r="H86" i="9"/>
  <c r="K66" i="9"/>
  <c r="E86" i="9"/>
  <c r="H66" i="9"/>
  <c r="V82" i="9"/>
  <c r="W86" i="9"/>
  <c r="X66" i="9"/>
  <c r="Q82" i="9"/>
  <c r="Q66" i="9"/>
  <c r="V66" i="9"/>
  <c r="V86" i="9"/>
  <c r="Q86" i="9"/>
  <c r="V61" i="9"/>
  <c r="Q61" i="9"/>
  <c r="V55" i="9"/>
  <c r="Q55" i="9"/>
  <c r="F15" i="9"/>
  <c r="H69" i="9"/>
  <c r="G15" i="9"/>
  <c r="I69" i="9"/>
  <c r="H15" i="9"/>
  <c r="J69" i="9"/>
  <c r="I15" i="9"/>
  <c r="K69" i="9"/>
  <c r="J15" i="9"/>
  <c r="L69" i="9"/>
  <c r="L15" i="9"/>
  <c r="N69" i="9"/>
  <c r="N15" i="9"/>
  <c r="P69" i="9"/>
  <c r="V12" i="9"/>
  <c r="V11" i="9"/>
  <c r="Q11" i="9"/>
  <c r="V70" i="9"/>
  <c r="Q12" i="9"/>
  <c r="E15" i="9"/>
  <c r="G69" i="9"/>
  <c r="U32" i="9"/>
  <c r="T32" i="9"/>
  <c r="S32" i="9"/>
  <c r="R32" i="9"/>
  <c r="V32" i="9"/>
  <c r="X13" i="9"/>
  <c r="W13" i="9"/>
  <c r="U13" i="9"/>
  <c r="T13" i="9"/>
  <c r="S13" i="9"/>
  <c r="R13" i="9"/>
  <c r="F13" i="9"/>
  <c r="G13" i="9"/>
  <c r="H13" i="9"/>
  <c r="I13" i="9"/>
  <c r="J13" i="9"/>
  <c r="K13" i="9"/>
  <c r="L13" i="9"/>
  <c r="M13" i="9"/>
  <c r="N13" i="9"/>
  <c r="O13" i="9"/>
  <c r="P13" i="9"/>
  <c r="E13" i="9"/>
  <c r="V13" i="9"/>
  <c r="Q13" i="9"/>
  <c r="F34" i="9"/>
  <c r="V26" i="9"/>
  <c r="J26" i="9"/>
  <c r="I26" i="9"/>
  <c r="G26" i="9"/>
  <c r="F26" i="9"/>
  <c r="L26" i="9"/>
  <c r="E34" i="9"/>
  <c r="H26" i="9"/>
  <c r="N26" i="9"/>
  <c r="E26" i="9"/>
  <c r="H11" i="12"/>
  <c r="E36" i="9"/>
  <c r="E16" i="9"/>
  <c r="I16" i="9"/>
  <c r="J16" i="9"/>
  <c r="H16" i="9"/>
  <c r="F36" i="9"/>
  <c r="F16" i="9"/>
  <c r="G16" i="9"/>
  <c r="Q26" i="9"/>
  <c r="B21" i="8"/>
  <c r="L30" i="8"/>
  <c r="J28" i="8"/>
  <c r="E28" i="8"/>
  <c r="H28" i="8"/>
  <c r="J27" i="8"/>
  <c r="H27" i="8"/>
  <c r="E27" i="8"/>
  <c r="F27" i="8"/>
  <c r="G27" i="8"/>
  <c r="E29" i="8"/>
  <c r="H29" i="8"/>
  <c r="F29" i="8"/>
  <c r="G29" i="8"/>
  <c r="J29" i="8"/>
  <c r="B32" i="8"/>
  <c r="J30" i="8"/>
  <c r="H30" i="8"/>
  <c r="E30" i="8"/>
  <c r="F30" i="8"/>
  <c r="G30" i="8"/>
  <c r="L13" i="8"/>
  <c r="K19" i="8"/>
  <c r="M19" i="8"/>
  <c r="I19" i="8"/>
  <c r="G19" i="8"/>
  <c r="G18" i="8"/>
  <c r="E6" i="11"/>
  <c r="K18" i="8"/>
  <c r="I6" i="11"/>
  <c r="M18" i="8"/>
  <c r="I18" i="8"/>
  <c r="G6" i="11"/>
  <c r="F7" i="8"/>
  <c r="G7" i="8"/>
  <c r="H7" i="8"/>
  <c r="J7" i="8"/>
  <c r="F11" i="8"/>
  <c r="G11" i="8"/>
  <c r="H11" i="8"/>
  <c r="J11" i="8"/>
  <c r="F8" i="8"/>
  <c r="G8" i="8"/>
  <c r="J8" i="8"/>
  <c r="H8" i="8"/>
  <c r="H12" i="8"/>
  <c r="F12" i="8"/>
  <c r="G12" i="8"/>
  <c r="J12" i="8"/>
  <c r="J5" i="8"/>
  <c r="H5" i="8"/>
  <c r="F9" i="8"/>
  <c r="G9" i="8"/>
  <c r="H9" i="8"/>
  <c r="J9" i="8"/>
  <c r="J13" i="8"/>
  <c r="G13" i="8"/>
  <c r="F13" i="8"/>
  <c r="H13" i="8"/>
  <c r="F6" i="8"/>
  <c r="G6" i="8"/>
  <c r="H6" i="8"/>
  <c r="J6" i="8"/>
  <c r="F10" i="8"/>
  <c r="G10" i="8"/>
  <c r="J10" i="8"/>
  <c r="F5" i="8"/>
  <c r="G5" i="8"/>
  <c r="B15" i="8"/>
  <c r="B23" i="8"/>
  <c r="V15" i="6"/>
  <c r="V16" i="6"/>
  <c r="Q15" i="6"/>
  <c r="Q1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0" i="6"/>
  <c r="B19" i="6"/>
  <c r="G11" i="12"/>
  <c r="I30" i="8"/>
  <c r="K30" i="8"/>
  <c r="M30" i="8"/>
  <c r="I29" i="8"/>
  <c r="K29" i="8"/>
  <c r="L29" i="8"/>
  <c r="M29" i="8"/>
  <c r="F28" i="8"/>
  <c r="G28" i="8"/>
  <c r="I28" i="8"/>
  <c r="K28" i="8"/>
  <c r="L28" i="8"/>
  <c r="M28" i="8"/>
  <c r="I13" i="8"/>
  <c r="K13" i="8"/>
  <c r="M13" i="8"/>
  <c r="I12" i="8"/>
  <c r="K12" i="8"/>
  <c r="I7" i="8"/>
  <c r="K7" i="8"/>
  <c r="L7" i="8"/>
  <c r="H10" i="8"/>
  <c r="H15" i="8"/>
  <c r="F11" i="12"/>
  <c r="E7" i="11"/>
  <c r="I27" i="8"/>
  <c r="J32" i="8"/>
  <c r="H32" i="8"/>
  <c r="I11" i="8"/>
  <c r="E8" i="11"/>
  <c r="M21" i="8"/>
  <c r="K6" i="11"/>
  <c r="I21" i="8"/>
  <c r="K21" i="8"/>
  <c r="G21" i="8"/>
  <c r="I8" i="8"/>
  <c r="I6" i="8"/>
  <c r="K6" i="8"/>
  <c r="L6" i="8"/>
  <c r="I9" i="8"/>
  <c r="K9" i="8"/>
  <c r="L9" i="8"/>
  <c r="J15" i="8"/>
  <c r="I5" i="8"/>
  <c r="U18" i="6"/>
  <c r="Q10" i="6"/>
  <c r="Q12" i="6"/>
  <c r="S28" i="2"/>
  <c r="T28" i="2"/>
  <c r="U28" i="2"/>
  <c r="V28" i="2"/>
  <c r="S29" i="2"/>
  <c r="T29" i="2"/>
  <c r="U29" i="2"/>
  <c r="V29" i="2"/>
  <c r="S30" i="2"/>
  <c r="T30" i="2"/>
  <c r="U30" i="2"/>
  <c r="V30" i="2"/>
  <c r="B32" i="2"/>
  <c r="F10" i="2"/>
  <c r="G10" i="2"/>
  <c r="H10" i="2"/>
  <c r="I10" i="2"/>
  <c r="J10" i="2"/>
  <c r="K10" i="2"/>
  <c r="L10" i="2"/>
  <c r="M10" i="2"/>
  <c r="N10" i="2"/>
  <c r="O10" i="2"/>
  <c r="P10" i="2"/>
  <c r="Q10" i="2"/>
  <c r="S10" i="2"/>
  <c r="T10" i="2"/>
  <c r="U10" i="2"/>
  <c r="V10" i="2"/>
  <c r="E11" i="12"/>
  <c r="G32" i="8"/>
  <c r="E9" i="11"/>
  <c r="F32" i="8"/>
  <c r="L12" i="8"/>
  <c r="M12" i="8"/>
  <c r="I10" i="8"/>
  <c r="K10" i="8"/>
  <c r="L10" i="8"/>
  <c r="M10" i="8"/>
  <c r="E10" i="11"/>
  <c r="M7" i="8"/>
  <c r="F15" i="8"/>
  <c r="N36" i="6"/>
  <c r="G15" i="8"/>
  <c r="G23" i="8"/>
  <c r="G7" i="11"/>
  <c r="J34" i="8"/>
  <c r="R29" i="2"/>
  <c r="R30" i="2"/>
  <c r="W30" i="2"/>
  <c r="W29" i="2"/>
  <c r="K27" i="8"/>
  <c r="I32" i="8"/>
  <c r="G9" i="11"/>
  <c r="R28" i="2"/>
  <c r="W28" i="2"/>
  <c r="K36" i="6"/>
  <c r="K11" i="8"/>
  <c r="G8" i="11"/>
  <c r="W10" i="2"/>
  <c r="S36" i="6"/>
  <c r="T36" i="6"/>
  <c r="U36" i="6"/>
  <c r="H34" i="8"/>
  <c r="R36" i="6"/>
  <c r="K8" i="8"/>
  <c r="M9" i="8"/>
  <c r="K5" i="8"/>
  <c r="T18" i="6"/>
  <c r="S18" i="6"/>
  <c r="R18" i="6"/>
  <c r="Q14" i="6"/>
  <c r="Q13" i="6"/>
  <c r="R10" i="2"/>
  <c r="X16" i="3"/>
  <c r="W16" i="3"/>
  <c r="P16" i="3"/>
  <c r="O16" i="3"/>
  <c r="N16" i="3"/>
  <c r="M16" i="3"/>
  <c r="L16" i="3"/>
  <c r="K16" i="3"/>
  <c r="J16" i="3"/>
  <c r="I16" i="3"/>
  <c r="H16" i="3"/>
  <c r="G16" i="3"/>
  <c r="F16" i="3"/>
  <c r="E16" i="3"/>
  <c r="E12" i="11"/>
  <c r="G34" i="8"/>
  <c r="I15" i="8"/>
  <c r="G10" i="11"/>
  <c r="F34" i="8"/>
  <c r="J36" i="6"/>
  <c r="I36" i="6"/>
  <c r="P36" i="6"/>
  <c r="F36" i="6"/>
  <c r="O36" i="6"/>
  <c r="E36" i="6"/>
  <c r="L36" i="6"/>
  <c r="G36" i="6"/>
  <c r="M36" i="6"/>
  <c r="H36" i="6"/>
  <c r="G12" i="11"/>
  <c r="K32" i="8"/>
  <c r="I9" i="11"/>
  <c r="L27" i="8"/>
  <c r="W36" i="6"/>
  <c r="G5" i="12"/>
  <c r="I10" i="11"/>
  <c r="L8" i="8"/>
  <c r="M8" i="8"/>
  <c r="K10" i="11"/>
  <c r="V36" i="6"/>
  <c r="F5" i="12"/>
  <c r="I8" i="11"/>
  <c r="L11" i="8"/>
  <c r="M11" i="8"/>
  <c r="K8" i="11"/>
  <c r="I7" i="11"/>
  <c r="L5" i="8"/>
  <c r="I23" i="8"/>
  <c r="I34" i="8"/>
  <c r="M6" i="8"/>
  <c r="K15" i="8"/>
  <c r="V17" i="3"/>
  <c r="V19" i="3"/>
  <c r="V18" i="3"/>
  <c r="Q17" i="3"/>
  <c r="Q19" i="3"/>
  <c r="Q18" i="3"/>
  <c r="V11" i="3"/>
  <c r="V10" i="3"/>
  <c r="Q16" i="3"/>
  <c r="V16" i="3"/>
  <c r="V9" i="3"/>
  <c r="Q8" i="3"/>
  <c r="V8" i="3"/>
  <c r="Q11" i="3"/>
  <c r="Q10" i="3"/>
  <c r="Q9" i="3"/>
  <c r="X139" i="3"/>
  <c r="W139" i="3"/>
  <c r="U139" i="3"/>
  <c r="T139" i="3"/>
  <c r="S139" i="3"/>
  <c r="R139" i="3"/>
  <c r="X138" i="3"/>
  <c r="W138" i="3"/>
  <c r="U138" i="3"/>
  <c r="T138" i="3"/>
  <c r="S138" i="3"/>
  <c r="R138" i="3"/>
  <c r="X137" i="3"/>
  <c r="W137" i="3"/>
  <c r="U137" i="3"/>
  <c r="T137" i="3"/>
  <c r="S137" i="3"/>
  <c r="R137" i="3"/>
  <c r="E137" i="3"/>
  <c r="X131" i="3"/>
  <c r="W131" i="3"/>
  <c r="U131" i="3"/>
  <c r="T131" i="3"/>
  <c r="S131" i="3"/>
  <c r="R131" i="3"/>
  <c r="E131" i="3"/>
  <c r="X130" i="3"/>
  <c r="W130" i="3"/>
  <c r="W133" i="3"/>
  <c r="U130" i="3"/>
  <c r="T130" i="3"/>
  <c r="S130" i="3"/>
  <c r="R130" i="3"/>
  <c r="R133" i="3"/>
  <c r="E130" i="3"/>
  <c r="E133" i="3"/>
  <c r="X124" i="3"/>
  <c r="X126" i="3"/>
  <c r="W124" i="3"/>
  <c r="W126" i="3"/>
  <c r="U124" i="3"/>
  <c r="T124" i="3"/>
  <c r="S124" i="3"/>
  <c r="R124" i="3"/>
  <c r="U123" i="3"/>
  <c r="U126" i="3"/>
  <c r="T123" i="3"/>
  <c r="T126" i="3"/>
  <c r="S123" i="3"/>
  <c r="S126" i="3"/>
  <c r="R123" i="3"/>
  <c r="R126" i="3"/>
  <c r="X117" i="3"/>
  <c r="W117" i="3"/>
  <c r="U117" i="3"/>
  <c r="T117" i="3"/>
  <c r="S117" i="3"/>
  <c r="R117" i="3"/>
  <c r="X116" i="3"/>
  <c r="W116" i="3"/>
  <c r="U116" i="3"/>
  <c r="T116" i="3"/>
  <c r="S116" i="3"/>
  <c r="R116" i="3"/>
  <c r="X110" i="3"/>
  <c r="W110" i="3"/>
  <c r="U110" i="3"/>
  <c r="T110" i="3"/>
  <c r="S110" i="3"/>
  <c r="R110" i="3"/>
  <c r="X107" i="3"/>
  <c r="W107" i="3"/>
  <c r="U107" i="3"/>
  <c r="T107" i="3"/>
  <c r="S107" i="3"/>
  <c r="R107" i="3"/>
  <c r="E107" i="3"/>
  <c r="X101" i="3"/>
  <c r="W101" i="3"/>
  <c r="U101" i="3"/>
  <c r="T101" i="3"/>
  <c r="S101" i="3"/>
  <c r="R101" i="3"/>
  <c r="E90" i="3"/>
  <c r="X82" i="3"/>
  <c r="W82" i="3"/>
  <c r="U82" i="3"/>
  <c r="T82" i="3"/>
  <c r="S82" i="3"/>
  <c r="R82" i="3"/>
  <c r="X74" i="3"/>
  <c r="W74" i="3"/>
  <c r="U74" i="3"/>
  <c r="T74" i="3"/>
  <c r="S74" i="3"/>
  <c r="R74" i="3"/>
  <c r="X65" i="3"/>
  <c r="W65" i="3"/>
  <c r="U65" i="3"/>
  <c r="T65" i="3"/>
  <c r="S65" i="3"/>
  <c r="R65" i="3"/>
  <c r="X59" i="3"/>
  <c r="W59" i="3"/>
  <c r="U59" i="3"/>
  <c r="T59" i="3"/>
  <c r="S59" i="3"/>
  <c r="R59" i="3"/>
  <c r="E59" i="3"/>
  <c r="X58" i="3"/>
  <c r="W58" i="3"/>
  <c r="U58" i="3"/>
  <c r="T58" i="3"/>
  <c r="S58" i="3"/>
  <c r="R58" i="3"/>
  <c r="E58" i="3"/>
  <c r="F12" i="2"/>
  <c r="G12" i="2"/>
  <c r="H12" i="2"/>
  <c r="I12" i="2"/>
  <c r="J12" i="2"/>
  <c r="K12" i="2"/>
  <c r="L12" i="2"/>
  <c r="M12" i="2"/>
  <c r="N12" i="2"/>
  <c r="O12" i="2"/>
  <c r="P12" i="2"/>
  <c r="Q12" i="2"/>
  <c r="S12" i="2"/>
  <c r="T12" i="2"/>
  <c r="U12" i="2"/>
  <c r="V12" i="2"/>
  <c r="F9" i="2"/>
  <c r="G9" i="2"/>
  <c r="H9" i="2"/>
  <c r="I9" i="2"/>
  <c r="J9" i="2"/>
  <c r="K9" i="2"/>
  <c r="L9" i="2"/>
  <c r="M9" i="2"/>
  <c r="N9" i="2"/>
  <c r="O9" i="2"/>
  <c r="P9" i="2"/>
  <c r="Q9" i="2"/>
  <c r="S9" i="2"/>
  <c r="T9" i="2"/>
  <c r="U9" i="2"/>
  <c r="V9" i="2"/>
  <c r="F7" i="2"/>
  <c r="G7" i="2"/>
  <c r="H7" i="2"/>
  <c r="I7" i="2"/>
  <c r="J7" i="2"/>
  <c r="K7" i="2"/>
  <c r="L7" i="2"/>
  <c r="M7" i="2"/>
  <c r="N7" i="2"/>
  <c r="O7" i="2"/>
  <c r="P7" i="2"/>
  <c r="Q7" i="2"/>
  <c r="S7" i="2"/>
  <c r="T7" i="2"/>
  <c r="U7" i="2"/>
  <c r="V7" i="2"/>
  <c r="F8" i="2"/>
  <c r="G8" i="2"/>
  <c r="H8" i="2"/>
  <c r="I8" i="2"/>
  <c r="J8" i="2"/>
  <c r="K8" i="2"/>
  <c r="L8" i="2"/>
  <c r="M8" i="2"/>
  <c r="N8" i="2"/>
  <c r="O8" i="2"/>
  <c r="P8" i="2"/>
  <c r="Q8" i="2"/>
  <c r="S8" i="2"/>
  <c r="T8" i="2"/>
  <c r="U8" i="2"/>
  <c r="V8" i="2"/>
  <c r="F11" i="2"/>
  <c r="G11" i="2"/>
  <c r="H11" i="2"/>
  <c r="I11" i="2"/>
  <c r="J11" i="2"/>
  <c r="K11" i="2"/>
  <c r="L11" i="2"/>
  <c r="M11" i="2"/>
  <c r="N11" i="2"/>
  <c r="O11" i="2"/>
  <c r="P11" i="2"/>
  <c r="Q11" i="2"/>
  <c r="S11" i="2"/>
  <c r="T11" i="2"/>
  <c r="U11" i="2"/>
  <c r="V11" i="2"/>
  <c r="F6" i="2"/>
  <c r="G6" i="2"/>
  <c r="H6" i="2"/>
  <c r="I6" i="2"/>
  <c r="J6" i="2"/>
  <c r="K6" i="2"/>
  <c r="L6" i="2"/>
  <c r="M6" i="2"/>
  <c r="N6" i="2"/>
  <c r="O6" i="2"/>
  <c r="P6" i="2"/>
  <c r="Q6" i="2"/>
  <c r="S6" i="2"/>
  <c r="T6" i="2"/>
  <c r="U6" i="2"/>
  <c r="V6" i="2"/>
  <c r="F13" i="2"/>
  <c r="G13" i="2"/>
  <c r="H13" i="2"/>
  <c r="I13" i="2"/>
  <c r="J13" i="2"/>
  <c r="K13" i="2"/>
  <c r="L13" i="2"/>
  <c r="M13" i="2"/>
  <c r="N13" i="2"/>
  <c r="O13" i="2"/>
  <c r="P13" i="2"/>
  <c r="Q13" i="2"/>
  <c r="S13" i="2"/>
  <c r="T13" i="2"/>
  <c r="U13" i="2"/>
  <c r="V13" i="2"/>
  <c r="X49" i="3"/>
  <c r="W49" i="3"/>
  <c r="U49" i="3"/>
  <c r="T49" i="3"/>
  <c r="S49" i="3"/>
  <c r="R49" i="3"/>
  <c r="E49" i="3"/>
  <c r="X43" i="3"/>
  <c r="W43" i="3"/>
  <c r="U43" i="3"/>
  <c r="T43" i="3"/>
  <c r="S43" i="3"/>
  <c r="R43" i="3"/>
  <c r="E43" i="3"/>
  <c r="X42" i="3"/>
  <c r="W42" i="3"/>
  <c r="U42" i="3"/>
  <c r="T42" i="3"/>
  <c r="S42" i="3"/>
  <c r="R42" i="3"/>
  <c r="E42" i="3"/>
  <c r="E36" i="3"/>
  <c r="R36" i="3"/>
  <c r="S36" i="3"/>
  <c r="T36" i="3"/>
  <c r="U36" i="3"/>
  <c r="W36" i="3"/>
  <c r="X36" i="3"/>
  <c r="X35" i="3"/>
  <c r="W35" i="3"/>
  <c r="U35" i="3"/>
  <c r="S35" i="3"/>
  <c r="S38" i="3"/>
  <c r="T35" i="3"/>
  <c r="T38" i="3"/>
  <c r="R35" i="3"/>
  <c r="E35" i="3"/>
  <c r="U38" i="3"/>
  <c r="Q36" i="6"/>
  <c r="E5" i="12"/>
  <c r="T133" i="3"/>
  <c r="U133" i="3"/>
  <c r="S133" i="3"/>
  <c r="X133" i="3"/>
  <c r="U61" i="3"/>
  <c r="U119" i="3"/>
  <c r="E61" i="3"/>
  <c r="R61" i="3"/>
  <c r="W61" i="3"/>
  <c r="R119" i="3"/>
  <c r="W119" i="3"/>
  <c r="T141" i="3"/>
  <c r="S61" i="3"/>
  <c r="X61" i="3"/>
  <c r="S119" i="3"/>
  <c r="X119" i="3"/>
  <c r="U141" i="3"/>
  <c r="T61" i="3"/>
  <c r="T119" i="3"/>
  <c r="V21" i="3"/>
  <c r="X38" i="3"/>
  <c r="V13" i="3"/>
  <c r="Q21" i="3"/>
  <c r="Q13" i="3"/>
  <c r="E38" i="3"/>
  <c r="R38" i="3"/>
  <c r="W38" i="3"/>
  <c r="R141" i="3"/>
  <c r="W141" i="3"/>
  <c r="S141" i="3"/>
  <c r="X141" i="3"/>
  <c r="E45" i="3"/>
  <c r="L15" i="8"/>
  <c r="M27" i="8"/>
  <c r="M32" i="8"/>
  <c r="K9" i="11"/>
  <c r="L32" i="8"/>
  <c r="M5" i="8"/>
  <c r="I12" i="11"/>
  <c r="X36" i="6"/>
  <c r="H5" i="12"/>
  <c r="K23" i="8"/>
  <c r="K34" i="8"/>
  <c r="W12" i="2"/>
  <c r="R12" i="2"/>
  <c r="T45" i="3"/>
  <c r="U45" i="3"/>
  <c r="V59" i="3"/>
  <c r="V101" i="3"/>
  <c r="V110" i="3"/>
  <c r="V117" i="3"/>
  <c r="V124" i="3"/>
  <c r="V126" i="3"/>
  <c r="V131" i="3"/>
  <c r="V139" i="3"/>
  <c r="V42" i="3"/>
  <c r="W45" i="3"/>
  <c r="S45" i="3"/>
  <c r="X45" i="3"/>
  <c r="V58" i="3"/>
  <c r="V74" i="3"/>
  <c r="V107" i="3"/>
  <c r="V116" i="3"/>
  <c r="V130" i="3"/>
  <c r="V137" i="3"/>
  <c r="V43" i="3"/>
  <c r="V138" i="3"/>
  <c r="V65" i="3"/>
  <c r="V90" i="3"/>
  <c r="V82" i="3"/>
  <c r="V49" i="3"/>
  <c r="W9" i="2"/>
  <c r="R9" i="2"/>
  <c r="R6" i="2"/>
  <c r="R8" i="2"/>
  <c r="W8" i="2"/>
  <c r="W11" i="2"/>
  <c r="R11" i="2"/>
  <c r="R7" i="2"/>
  <c r="W7" i="2"/>
  <c r="R13" i="2"/>
  <c r="W6" i="2"/>
  <c r="W13" i="2"/>
  <c r="R45" i="3"/>
  <c r="V36" i="3"/>
  <c r="V35" i="3"/>
  <c r="V133" i="3"/>
  <c r="V61" i="3"/>
  <c r="V119" i="3"/>
  <c r="V38" i="3"/>
  <c r="V141" i="3"/>
  <c r="R22" i="6"/>
  <c r="L34" i="8"/>
  <c r="M15" i="8"/>
  <c r="M23" i="8"/>
  <c r="M34" i="8"/>
  <c r="K7" i="11"/>
  <c r="K12" i="11"/>
  <c r="B13" i="3"/>
  <c r="B21" i="3"/>
  <c r="Z29" i="3"/>
  <c r="B29" i="3"/>
  <c r="Q23" i="3"/>
  <c r="V23" i="3"/>
  <c r="V45" i="3"/>
  <c r="Z141" i="3"/>
  <c r="B141" i="3"/>
  <c r="Z133" i="3"/>
  <c r="B133" i="3"/>
  <c r="Z126" i="3"/>
  <c r="B126" i="3"/>
  <c r="Z119" i="3"/>
  <c r="B119" i="3"/>
  <c r="Z103" i="3"/>
  <c r="B103" i="3"/>
  <c r="Z95" i="3"/>
  <c r="B95" i="3"/>
  <c r="Z86" i="3"/>
  <c r="B86" i="3"/>
  <c r="Z78" i="3"/>
  <c r="B78" i="3"/>
  <c r="Z70" i="3"/>
  <c r="B70" i="3"/>
  <c r="Z61" i="3"/>
  <c r="B61" i="3"/>
  <c r="Z45" i="3"/>
  <c r="B45" i="3"/>
  <c r="Z38" i="3"/>
  <c r="B38" i="3"/>
  <c r="Y32" i="2"/>
  <c r="X60" i="9"/>
  <c r="X32" i="2"/>
  <c r="W60" i="9"/>
  <c r="V32" i="2"/>
  <c r="U60" i="9"/>
  <c r="U32" i="2"/>
  <c r="T60" i="9"/>
  <c r="T32" i="2"/>
  <c r="S60" i="9"/>
  <c r="S32" i="2"/>
  <c r="R60" i="9"/>
  <c r="Q32" i="2"/>
  <c r="P60" i="9"/>
  <c r="P32" i="2"/>
  <c r="O60" i="9"/>
  <c r="O32" i="2"/>
  <c r="N60" i="9"/>
  <c r="N32" i="2"/>
  <c r="M60" i="9"/>
  <c r="M32" i="2"/>
  <c r="L60" i="9"/>
  <c r="L32" i="2"/>
  <c r="K60" i="9"/>
  <c r="K32" i="2"/>
  <c r="J60" i="9"/>
  <c r="J32" i="2"/>
  <c r="I60" i="9"/>
  <c r="I32" i="2"/>
  <c r="H60" i="9"/>
  <c r="H32" i="2"/>
  <c r="G60" i="9"/>
  <c r="G32" i="2"/>
  <c r="F60" i="9"/>
  <c r="F32" i="2"/>
  <c r="E60" i="9"/>
  <c r="S22" i="6"/>
  <c r="T22" i="6"/>
  <c r="U22" i="6"/>
  <c r="Z54" i="3"/>
  <c r="B54" i="3"/>
  <c r="B23" i="3"/>
  <c r="R32" i="2"/>
  <c r="Q60" i="9"/>
  <c r="W32" i="2"/>
  <c r="V60" i="9"/>
  <c r="Y21" i="2"/>
  <c r="X21" i="2"/>
  <c r="V18" i="2"/>
  <c r="V21" i="2"/>
  <c r="U18" i="2"/>
  <c r="U21" i="2"/>
  <c r="T18" i="2"/>
  <c r="T21" i="2"/>
  <c r="S18" i="2"/>
  <c r="S21" i="2"/>
  <c r="Q18" i="2"/>
  <c r="Q21" i="2"/>
  <c r="P18" i="2"/>
  <c r="P21" i="2"/>
  <c r="O18" i="2"/>
  <c r="O21" i="2"/>
  <c r="N18" i="2"/>
  <c r="N21" i="2"/>
  <c r="M18" i="2"/>
  <c r="M21" i="2"/>
  <c r="L18" i="2"/>
  <c r="L21" i="2"/>
  <c r="K18" i="2"/>
  <c r="K21" i="2"/>
  <c r="J18" i="2"/>
  <c r="J21" i="2"/>
  <c r="I18" i="2"/>
  <c r="I21" i="2"/>
  <c r="H18" i="2"/>
  <c r="H21" i="2"/>
  <c r="G18" i="2"/>
  <c r="G21" i="2"/>
  <c r="F18" i="2"/>
  <c r="F21" i="2"/>
  <c r="V5" i="2"/>
  <c r="U5" i="2"/>
  <c r="T5" i="2"/>
  <c r="Q5" i="2"/>
  <c r="Q15" i="2"/>
  <c r="B15" i="2"/>
  <c r="B23" i="2"/>
  <c r="B34" i="2"/>
  <c r="Q23" i="2"/>
  <c r="R18" i="2"/>
  <c r="R21" i="2"/>
  <c r="W18" i="2"/>
  <c r="W21" i="2"/>
  <c r="V15" i="2"/>
  <c r="Y15" i="2"/>
  <c r="Y23" i="2"/>
  <c r="X15" i="2"/>
  <c r="X23" i="2"/>
  <c r="U15" i="2"/>
  <c r="T15" i="2"/>
  <c r="S5" i="2"/>
  <c r="S15" i="2"/>
  <c r="G5" i="2"/>
  <c r="H5" i="2"/>
  <c r="H15" i="2"/>
  <c r="H23" i="2"/>
  <c r="I5" i="2"/>
  <c r="I15" i="2"/>
  <c r="I23" i="2"/>
  <c r="J5" i="2"/>
  <c r="J15" i="2"/>
  <c r="J23" i="2"/>
  <c r="K5" i="2"/>
  <c r="K15" i="2"/>
  <c r="K23" i="2"/>
  <c r="L5" i="2"/>
  <c r="L15" i="2"/>
  <c r="L23" i="2"/>
  <c r="M5" i="2"/>
  <c r="M15" i="2"/>
  <c r="M23" i="2"/>
  <c r="N5" i="2"/>
  <c r="N15" i="2"/>
  <c r="N23" i="2"/>
  <c r="O5" i="2"/>
  <c r="O15" i="2"/>
  <c r="O23" i="2"/>
  <c r="P5" i="2"/>
  <c r="P15" i="2"/>
  <c r="P23" i="2"/>
  <c r="F5" i="2"/>
  <c r="F15" i="2"/>
  <c r="F23" i="2"/>
  <c r="T23" i="2"/>
  <c r="L34" i="2"/>
  <c r="K59" i="9"/>
  <c r="K62" i="9"/>
  <c r="X34" i="2"/>
  <c r="W59" i="9"/>
  <c r="W62" i="9"/>
  <c r="P34" i="2"/>
  <c r="O59" i="9"/>
  <c r="O62" i="9"/>
  <c r="H34" i="2"/>
  <c r="G59" i="9"/>
  <c r="G62" i="9"/>
  <c r="Q34" i="2"/>
  <c r="P59" i="9"/>
  <c r="P62" i="9"/>
  <c r="O34" i="2"/>
  <c r="N59" i="9"/>
  <c r="N62" i="9"/>
  <c r="K34" i="2"/>
  <c r="J59" i="9"/>
  <c r="J62" i="9"/>
  <c r="N34" i="2"/>
  <c r="M59" i="9"/>
  <c r="M62" i="9"/>
  <c r="J34" i="2"/>
  <c r="I59" i="9"/>
  <c r="I62" i="9"/>
  <c r="Y34" i="2"/>
  <c r="X59" i="9"/>
  <c r="X62" i="9"/>
  <c r="F34" i="2"/>
  <c r="E59" i="9"/>
  <c r="E62" i="9"/>
  <c r="M34" i="2"/>
  <c r="L59" i="9"/>
  <c r="L62" i="9"/>
  <c r="I34" i="2"/>
  <c r="H59" i="9"/>
  <c r="H62" i="9"/>
  <c r="T34" i="2"/>
  <c r="S59" i="9"/>
  <c r="S62" i="9"/>
  <c r="V23" i="2"/>
  <c r="U23" i="2"/>
  <c r="W5" i="2"/>
  <c r="W15" i="2"/>
  <c r="S23" i="2"/>
  <c r="R5" i="2"/>
  <c r="R15" i="2"/>
  <c r="R23" i="2"/>
  <c r="G15" i="2"/>
  <c r="G23" i="2"/>
  <c r="E4" i="13"/>
  <c r="F4" i="13"/>
  <c r="R34" i="2"/>
  <c r="Q59" i="9"/>
  <c r="Q62" i="9"/>
  <c r="U34" i="2"/>
  <c r="T59" i="9"/>
  <c r="T62" i="9"/>
  <c r="G34" i="2"/>
  <c r="F59" i="9"/>
  <c r="F62" i="9"/>
  <c r="Q30" i="9"/>
  <c r="V34" i="2"/>
  <c r="U59" i="9"/>
  <c r="U62" i="9"/>
  <c r="S34" i="2"/>
  <c r="R59" i="9"/>
  <c r="R62" i="9"/>
  <c r="W23" i="2"/>
  <c r="W34" i="2"/>
  <c r="V59" i="9"/>
  <c r="V62" i="9"/>
  <c r="V30" i="9"/>
  <c r="S38" i="6"/>
  <c r="V56" i="9"/>
  <c r="J38" i="6"/>
  <c r="L38" i="6"/>
  <c r="M38" i="6"/>
  <c r="F38" i="6"/>
  <c r="P38" i="6"/>
  <c r="K38" i="6"/>
  <c r="H38" i="6"/>
  <c r="U38" i="6"/>
  <c r="I38" i="6"/>
  <c r="O38" i="6"/>
  <c r="Z112" i="3"/>
  <c r="B112" i="3"/>
  <c r="Q56" i="9"/>
  <c r="N38" i="6"/>
  <c r="G38" i="6"/>
  <c r="T38" i="6"/>
  <c r="Z28" i="3"/>
  <c r="Z31" i="3"/>
  <c r="B31" i="3"/>
  <c r="B28" i="3"/>
  <c r="E38" i="6"/>
  <c r="R38" i="6"/>
  <c r="G4" i="13"/>
  <c r="H4" i="13"/>
  <c r="E72" i="9"/>
  <c r="F72" i="9"/>
  <c r="G72" i="9"/>
  <c r="I72" i="9"/>
  <c r="J72" i="9"/>
  <c r="L72" i="9"/>
  <c r="Q65" i="9"/>
  <c r="B21" i="15"/>
  <c r="P72" i="9"/>
  <c r="Q67" i="9"/>
  <c r="B23" i="15"/>
  <c r="Q29" i="9"/>
  <c r="Q34" i="9"/>
  <c r="Q36" i="9"/>
  <c r="Q72" i="9"/>
  <c r="Q74" i="9"/>
  <c r="E4" i="12"/>
  <c r="E6" i="12"/>
  <c r="E8" i="12"/>
  <c r="E13" i="12"/>
  <c r="E14" i="12"/>
  <c r="E16" i="12"/>
  <c r="E18" i="12"/>
  <c r="E6" i="13"/>
  <c r="E8" i="13"/>
  <c r="E10" i="13"/>
  <c r="E14" i="13"/>
  <c r="Q76" i="9"/>
  <c r="Q84" i="9"/>
  <c r="Q85" i="9"/>
  <c r="E42" i="6"/>
  <c r="F42" i="6"/>
  <c r="G42" i="6"/>
  <c r="H42" i="6"/>
  <c r="I42" i="6"/>
  <c r="J42" i="6"/>
  <c r="K42" i="6"/>
  <c r="L42" i="6"/>
  <c r="M42" i="6"/>
  <c r="N42" i="6"/>
  <c r="O42" i="6"/>
  <c r="P42" i="6"/>
  <c r="E44" i="6"/>
  <c r="F44" i="6"/>
  <c r="G44" i="6"/>
  <c r="H44" i="6"/>
  <c r="I44" i="6"/>
  <c r="J44" i="6"/>
  <c r="K44" i="6"/>
  <c r="L44" i="6"/>
  <c r="M44" i="6"/>
  <c r="N44" i="6"/>
  <c r="O44" i="6"/>
  <c r="P44" i="6"/>
  <c r="E45" i="6"/>
  <c r="F45" i="6"/>
  <c r="G45" i="6"/>
  <c r="H45" i="6"/>
  <c r="I45" i="6"/>
  <c r="J45" i="6"/>
  <c r="K45" i="6"/>
  <c r="L45" i="6"/>
  <c r="M45" i="6"/>
  <c r="N45" i="6"/>
  <c r="O45" i="6"/>
  <c r="P45" i="6"/>
  <c r="E47" i="6"/>
  <c r="F47" i="6"/>
  <c r="G47" i="6"/>
  <c r="H47" i="6"/>
  <c r="I47" i="6"/>
  <c r="J47" i="6"/>
  <c r="K47" i="6"/>
  <c r="L47" i="6"/>
  <c r="M47" i="6"/>
  <c r="N47" i="6"/>
  <c r="O47" i="6"/>
  <c r="P47" i="6"/>
  <c r="F17" i="11"/>
  <c r="F20" i="11"/>
  <c r="F22" i="11"/>
  <c r="F38" i="11"/>
  <c r="F40" i="11"/>
  <c r="R42" i="6"/>
  <c r="R44" i="6"/>
  <c r="V65" i="9"/>
  <c r="C21" i="15"/>
  <c r="D21" i="15"/>
  <c r="E21" i="15"/>
  <c r="V67" i="9"/>
  <c r="C23" i="15"/>
  <c r="D23" i="15"/>
  <c r="E23" i="15"/>
  <c r="V29" i="9"/>
  <c r="V34" i="9"/>
  <c r="V36" i="9"/>
  <c r="V72" i="9"/>
  <c r="V74" i="9"/>
  <c r="C25" i="14"/>
  <c r="V84" i="9"/>
  <c r="F4" i="12"/>
  <c r="G4" i="12"/>
  <c r="H4" i="12"/>
  <c r="F6" i="12"/>
  <c r="G6" i="12"/>
  <c r="H6" i="12"/>
  <c r="F8" i="12"/>
  <c r="G8" i="12"/>
  <c r="H8" i="12"/>
  <c r="F13" i="12"/>
  <c r="G13" i="12"/>
  <c r="H13" i="12"/>
  <c r="F14" i="12"/>
  <c r="G14" i="12"/>
  <c r="H14" i="12"/>
  <c r="F16" i="12"/>
  <c r="G16" i="12"/>
  <c r="H16" i="12"/>
  <c r="F18" i="12"/>
  <c r="G18" i="12"/>
  <c r="H18" i="12"/>
  <c r="F6" i="13"/>
  <c r="G6" i="13"/>
  <c r="H6" i="13"/>
  <c r="F8" i="13"/>
  <c r="G8" i="13"/>
  <c r="H8" i="13"/>
  <c r="F10" i="13"/>
  <c r="G10" i="13"/>
  <c r="H10" i="13"/>
  <c r="F14" i="13"/>
  <c r="G14" i="13"/>
  <c r="H14" i="13"/>
  <c r="V76" i="9"/>
  <c r="V85" i="9"/>
  <c r="S42" i="6"/>
  <c r="T42" i="6"/>
  <c r="U42" i="6"/>
  <c r="S44" i="6"/>
  <c r="T44" i="6"/>
  <c r="U44" i="6"/>
  <c r="R45" i="6"/>
  <c r="S45" i="6"/>
  <c r="T45" i="6"/>
  <c r="U45" i="6"/>
  <c r="R47" i="6"/>
  <c r="S47" i="6"/>
  <c r="T47" i="6"/>
  <c r="U47" i="6"/>
  <c r="X52" i="6"/>
  <c r="H17" i="11"/>
  <c r="J17" i="11"/>
  <c r="L17" i="11"/>
  <c r="H20" i="11"/>
  <c r="J20" i="11"/>
  <c r="L20" i="11"/>
  <c r="H22" i="11"/>
  <c r="J22" i="11"/>
  <c r="L22" i="11"/>
  <c r="H38" i="11"/>
  <c r="J38" i="11"/>
  <c r="L38" i="11"/>
  <c r="H40" i="11"/>
  <c r="J40" i="11"/>
  <c r="L40" i="11"/>
  <c r="M40" i="11"/>
</calcChain>
</file>

<file path=xl/sharedStrings.xml><?xml version="1.0" encoding="utf-8"?>
<sst xmlns="http://schemas.openxmlformats.org/spreadsheetml/2006/main" count="778" uniqueCount="293">
  <si>
    <t>Gründer</t>
  </si>
  <si>
    <t>Alexander Balasch, BSc</t>
  </si>
  <si>
    <t>Christine Bräuer, BSc</t>
  </si>
  <si>
    <t>Christopher Neuwirt, BSc</t>
  </si>
  <si>
    <t>Ing. Dominik Schönberger, BSc</t>
  </si>
  <si>
    <t>Stammdaten</t>
  </si>
  <si>
    <t>RTI - Robot Technology and Innovation</t>
  </si>
  <si>
    <t>Gesellschaft mit beschränkter Haftung</t>
  </si>
  <si>
    <t>Franzosenhausweg 49a/EG
4030 Linz, Österreich</t>
  </si>
  <si>
    <t>Rechtsform:</t>
  </si>
  <si>
    <t>Name</t>
  </si>
  <si>
    <t>Name:</t>
  </si>
  <si>
    <t>Wohnadresse</t>
  </si>
  <si>
    <t>Kontaktdaten</t>
  </si>
  <si>
    <t>Firma</t>
  </si>
  <si>
    <t>Mail: do.schoenberger@gmail.com
Mobil: +43 (0)660 165 99 77</t>
  </si>
  <si>
    <t>Anschrift:</t>
  </si>
  <si>
    <t>Gründung:</t>
  </si>
  <si>
    <t>Investionsplan</t>
  </si>
  <si>
    <t>Betrag netto [€]</t>
  </si>
  <si>
    <t>1. Jahr</t>
  </si>
  <si>
    <t>1. Qua.</t>
  </si>
  <si>
    <t>2. Qua.</t>
  </si>
  <si>
    <t>3. Qua.</t>
  </si>
  <si>
    <t>4. Qua.</t>
  </si>
  <si>
    <t>2. Jahr</t>
  </si>
  <si>
    <t>3. Jahr</t>
  </si>
  <si>
    <t>4. Jahr</t>
  </si>
  <si>
    <t>Zwischensummen:</t>
  </si>
  <si>
    <t>Nicht abzuschreibende Investitionen</t>
  </si>
  <si>
    <t>Monat der
IBN</t>
  </si>
  <si>
    <t>ND
[Jahre]</t>
  </si>
  <si>
    <t>Gesamtsumme (vorsteuerfrei):</t>
  </si>
  <si>
    <t>Gesamtsumme (nicht vorsteuerfrei):</t>
  </si>
  <si>
    <t>Gesamtsumme Investitionen:</t>
  </si>
  <si>
    <t>Billundstraße 66, 
A-4600 Wels</t>
  </si>
  <si>
    <t>Gollensdorf 13,
4300 St. Valentin</t>
  </si>
  <si>
    <t>Kremsmünstererstraße 175,
4030 Linz</t>
  </si>
  <si>
    <t>Hauptstraße 7,
4133 Niederkappel</t>
  </si>
  <si>
    <t>Information:</t>
  </si>
  <si>
    <t>Diese Berechnungen und Prognosen wurden aus heutiger Sicht erstellt und können naturgemäß von den tatsächlichen Werten abweichen.</t>
  </si>
  <si>
    <t>Die Ersteller dieses Finanzplanes haben nach bestem Wissen alle Informationen, die zum Zeitpunkt der Erstellung bekannt waren, berücksichtigt.</t>
  </si>
  <si>
    <t>Plankosten</t>
  </si>
  <si>
    <t>Materialeinsatz</t>
  </si>
  <si>
    <t>Zahlweise
[j,h,q,z,m]</t>
  </si>
  <si>
    <t>m</t>
  </si>
  <si>
    <t>h</t>
  </si>
  <si>
    <t>j</t>
  </si>
  <si>
    <t>X</t>
  </si>
  <si>
    <t>Durchschnittliche
Kosten / Monat</t>
  </si>
  <si>
    <t>Durchschnittliche Kosten / Monat</t>
  </si>
  <si>
    <t>Geschäftsführer</t>
  </si>
  <si>
    <t>Mitarbeiter</t>
  </si>
  <si>
    <t>Monatliches
Bruttogehalt</t>
  </si>
  <si>
    <t>Grundgehälter</t>
  </si>
  <si>
    <t>Sonderzahlungen</t>
  </si>
  <si>
    <t>Durchschnittliche Kosten / Monat (in 4 Jahren)</t>
  </si>
  <si>
    <t>Roh-, Betriebs- uns Hilfsstoffe</t>
  </si>
  <si>
    <t>Sonstige betriebliche Aufwendungen
(Miete, Pacht, Betriebskosten)</t>
  </si>
  <si>
    <t>Büroeinrichtung</t>
  </si>
  <si>
    <t>Küchenausstattung</t>
  </si>
  <si>
    <t>EDV - Ausstattung (allgemein)</t>
  </si>
  <si>
    <t>EDV - Ausstattung (Mitarbeiter)</t>
  </si>
  <si>
    <t>Server</t>
  </si>
  <si>
    <t>Sekretariat</t>
  </si>
  <si>
    <t>EDV - Ausstattung (Gründer)</t>
  </si>
  <si>
    <t>Messaufbau</t>
  </si>
  <si>
    <t>Miete</t>
  </si>
  <si>
    <t>Heizkosten</t>
  </si>
  <si>
    <t>Instandhaltung</t>
  </si>
  <si>
    <t>Kfz-Kosten und Reisekosten</t>
  </si>
  <si>
    <t>Betrag brutto [€]</t>
  </si>
  <si>
    <t>Büromaterial</t>
  </si>
  <si>
    <t>Programmierung</t>
  </si>
  <si>
    <t>Robotik</t>
  </si>
  <si>
    <t>Telefon / Fax / Internet</t>
  </si>
  <si>
    <t>Internet</t>
  </si>
  <si>
    <t>Telefon (Mobil)</t>
  </si>
  <si>
    <t>Steuer- und Rechtsberatung</t>
  </si>
  <si>
    <t>Reisekosten</t>
  </si>
  <si>
    <t>Werbungskosten</t>
  </si>
  <si>
    <t>Gebühren, Kammerbeiträge</t>
  </si>
  <si>
    <t>Betriebsversicherung</t>
  </si>
  <si>
    <t>Leasinggebühren</t>
  </si>
  <si>
    <t>Spesen-, Bank-, Kreditgebühren</t>
  </si>
  <si>
    <t>Sonstige Kosten</t>
  </si>
  <si>
    <t>Gründungsberatung</t>
  </si>
  <si>
    <t>Jahresabschluss</t>
  </si>
  <si>
    <t>Jährlicher Gehaltsanpassung:</t>
  </si>
  <si>
    <t>Gehaltstabelle</t>
  </si>
  <si>
    <t>Durchschnittliche Gehälter / Monat (in 4 Jahren):</t>
  </si>
  <si>
    <t>Kundendienst</t>
  </si>
  <si>
    <t>Anpasssungsfaktor Personalkosten Arbeitgeber:</t>
  </si>
  <si>
    <t>Buchhaltung</t>
  </si>
  <si>
    <t>Buchhaltungssatz / Mitarbeiter / Monat:</t>
  </si>
  <si>
    <t>Vertriebsauto</t>
  </si>
  <si>
    <t>Kundendienstauto</t>
  </si>
  <si>
    <t>Plan Gewinn- &amp; Verlustrechnung</t>
  </si>
  <si>
    <t>Beschreibung</t>
  </si>
  <si>
    <t>Umsatzerlöse (brutto)</t>
  </si>
  <si>
    <t>Umsatzsteuer</t>
  </si>
  <si>
    <t>Umsatzerlöse (netto)</t>
  </si>
  <si>
    <t>Skonti</t>
  </si>
  <si>
    <t>Rabatt</t>
  </si>
  <si>
    <t>Umsatzsteuer:</t>
  </si>
  <si>
    <t>Sonstige Erlöse</t>
  </si>
  <si>
    <t>Bestandsveränderungen</t>
  </si>
  <si>
    <t>Skonti:</t>
  </si>
  <si>
    <t>Rabatt:</t>
  </si>
  <si>
    <t>Betriebsleistung</t>
  </si>
  <si>
    <t>Rohertrag</t>
  </si>
  <si>
    <t>-</t>
  </si>
  <si>
    <t>+</t>
  </si>
  <si>
    <t>Personalkosten</t>
  </si>
  <si>
    <r>
      <rPr>
        <b/>
        <sz val="9"/>
        <color theme="1"/>
        <rFont val="Calibri"/>
        <family val="2"/>
      </rPr>
      <t>Ø-</t>
    </r>
    <r>
      <rPr>
        <b/>
        <sz val="9"/>
        <color theme="1"/>
        <rFont val="Calibri"/>
        <family val="2"/>
        <scheme val="minor"/>
      </rPr>
      <t>Betrag netto [€]</t>
    </r>
  </si>
  <si>
    <t>Stromkosten</t>
  </si>
  <si>
    <t>Allgemein</t>
  </si>
  <si>
    <t>Betriebserfolg (EBIT)</t>
  </si>
  <si>
    <t>WKO Kammerumlage 1 (0,3% vom Jahresumsatz)</t>
  </si>
  <si>
    <t>WKO Kammerumlage 2 (0,36% von den Bruttogehältern)</t>
  </si>
  <si>
    <t>WKO Grundumlage (FV Autoindustrie, 0,043% der BG)</t>
  </si>
  <si>
    <t>q</t>
  </si>
  <si>
    <t>Finanzergebnis</t>
  </si>
  <si>
    <t>Ergebnis vor Steuern</t>
  </si>
  <si>
    <t>Jahresergebnis</t>
  </si>
  <si>
    <t xml:space="preserve">Ergebnis vor Steuern </t>
  </si>
  <si>
    <t>Verlustvortrag Vorjahr</t>
  </si>
  <si>
    <t>Verlustvortragsrest</t>
  </si>
  <si>
    <t>BMG Rest bei VV-Verbrauch</t>
  </si>
  <si>
    <t>Steuerbemessungsgrundlage</t>
  </si>
  <si>
    <t>Körperschaftssteuer:</t>
  </si>
  <si>
    <t>Bemessungsgrundlage für KöSt.</t>
  </si>
  <si>
    <t>KöSt.</t>
  </si>
  <si>
    <t>Lizenzgebühren Software</t>
  </si>
  <si>
    <t>Roboter (FH Wels)</t>
  </si>
  <si>
    <t>Abschreibung</t>
  </si>
  <si>
    <t>AfA</t>
  </si>
  <si>
    <t>Buchwert</t>
  </si>
  <si>
    <t>AfA / Buchwert gesamt:</t>
  </si>
  <si>
    <t>Patentkosten Europa</t>
  </si>
  <si>
    <t>Patentkosten Weltweit</t>
  </si>
  <si>
    <t>Patentanträge</t>
  </si>
  <si>
    <t>Eingang im 1. Monat nach Fakturierung</t>
  </si>
  <si>
    <t>Eingang im 2. Monat nach Fakturierung</t>
  </si>
  <si>
    <t>Eingang im 3. Monat nach Fakturierung</t>
  </si>
  <si>
    <t>Plan Umsatz lt. G&amp;V</t>
  </si>
  <si>
    <t>Kontoführungsgebühren</t>
  </si>
  <si>
    <t>Sonstige Einnahmen</t>
  </si>
  <si>
    <t>Plan Einnahmen:</t>
  </si>
  <si>
    <t>Plan Umsatzerlöse</t>
  </si>
  <si>
    <t>Summe "Sonstige Einahmen":</t>
  </si>
  <si>
    <t>Summe "Plan Einnahmen":</t>
  </si>
  <si>
    <t>Summe "Plan Umsatzerlöse":</t>
  </si>
  <si>
    <t>Lizenzgebühr</t>
  </si>
  <si>
    <t>Plan Ausgaben:</t>
  </si>
  <si>
    <t>Plankosten:</t>
  </si>
  <si>
    <t>Summe "Plankosten":</t>
  </si>
  <si>
    <t>Summe "Investitionen":</t>
  </si>
  <si>
    <t>Investitionen:</t>
  </si>
  <si>
    <t>Mehrwertsteuersatz:</t>
  </si>
  <si>
    <t>Vorsteuerabzugsfähige Investitionen</t>
  </si>
  <si>
    <t>Nicht vorsteuerabzugsfähige Investitionen</t>
  </si>
  <si>
    <t>Summe "Plan Ausgaben":</t>
  </si>
  <si>
    <t>Sollzinsen Kontokorrentkredit</t>
  </si>
  <si>
    <t>Sollzinssatz Kontokorrentkredit:</t>
  </si>
  <si>
    <t>Habenzinssatz Kontokorrentkredit:</t>
  </si>
  <si>
    <t>Habenzinsen Kontokorrentkredit</t>
  </si>
  <si>
    <t>Sonstige Ausgaben</t>
  </si>
  <si>
    <t>Zinsen Einmalkredit</t>
  </si>
  <si>
    <t>KöSt. / Ertragssteuer</t>
  </si>
  <si>
    <t>Kredittilgung</t>
  </si>
  <si>
    <t>Stand Einmalkredit</t>
  </si>
  <si>
    <t>Differenz Einnahmen/Ausgaben:</t>
  </si>
  <si>
    <t>Kumuliert (Kontostand):</t>
  </si>
  <si>
    <t>Kredite und Zinsen</t>
  </si>
  <si>
    <t>Kontostand bei Gründung:</t>
  </si>
  <si>
    <t>Zinserträge</t>
  </si>
  <si>
    <t>Zinsaufwand</t>
  </si>
  <si>
    <t>Vorsteuer</t>
  </si>
  <si>
    <t>Liquiditätsplan</t>
  </si>
  <si>
    <t>Geplante vorsteuerabzugsfähige 
Investitionen (netto)</t>
  </si>
  <si>
    <t>Halbj. 
der IBN</t>
  </si>
  <si>
    <t>Betrag
netto [€]</t>
  </si>
  <si>
    <t>Zinssatz Einmalkredit:</t>
  </si>
  <si>
    <t>Planbilanz</t>
  </si>
  <si>
    <t>Wert</t>
  </si>
  <si>
    <t>%</t>
  </si>
  <si>
    <t>Aktiva</t>
  </si>
  <si>
    <t>Summe Anlagevermögen:</t>
  </si>
  <si>
    <t>Anlagevermögen:</t>
  </si>
  <si>
    <t>Umlaufvermögen:</t>
  </si>
  <si>
    <t>Summe Umlaufvermögen:</t>
  </si>
  <si>
    <t>Summe Aktiva:</t>
  </si>
  <si>
    <t>Passiva</t>
  </si>
  <si>
    <t>Eigenkapital</t>
  </si>
  <si>
    <t>Summe Eigenkapital:</t>
  </si>
  <si>
    <t>Summe Fremdkapital:</t>
  </si>
  <si>
    <t>Fremdkapital:</t>
  </si>
  <si>
    <t>Eigenkapital (Stamm/Grundkapital)</t>
  </si>
  <si>
    <t>Vorjahresergebnis</t>
  </si>
  <si>
    <t>Einlagen</t>
  </si>
  <si>
    <t>Sonstige Rückstellungen</t>
  </si>
  <si>
    <t>Verbindlichkeiten aus Lieferungen und Leistungen</t>
  </si>
  <si>
    <t>Sonstige Verbindlichkeiten</t>
  </si>
  <si>
    <t>Verbindlichkeiten gegenüber Kreditinstituten</t>
  </si>
  <si>
    <t>Vorräte</t>
  </si>
  <si>
    <t>Forderungen aus Lieferungen und Leistungen</t>
  </si>
  <si>
    <t>Sonstige Forderungen</t>
  </si>
  <si>
    <t>Kassenbestand, Guthaben bei Kreditinstituten</t>
  </si>
  <si>
    <t>Summe Passiva:</t>
  </si>
  <si>
    <t>KFZ</t>
  </si>
  <si>
    <t>EDV - Ausstattung</t>
  </si>
  <si>
    <t>Patente</t>
  </si>
  <si>
    <t>Gebäude, Büroeinrichtung</t>
  </si>
  <si>
    <t>Maschinen und Messanlagen</t>
  </si>
  <si>
    <t>Erhöhung (-Senkung) Rückstellungen</t>
  </si>
  <si>
    <t>Cash-Flow aus dem Ergebnis:</t>
  </si>
  <si>
    <t>Cash-Flow</t>
  </si>
  <si>
    <t>-Erhöhung (+Senkung) von Vorräten</t>
  </si>
  <si>
    <t>-Erhöhung (+Senkung) von Forderungen LL</t>
  </si>
  <si>
    <t>+Erhöhung (-Senkung) von Verbindlichkeiten LL, Kredite</t>
  </si>
  <si>
    <t>-Erhöhung (+Senkung) von sonstigen Forderungen</t>
  </si>
  <si>
    <t>+Erhöhung (-Senkung) von sonstigen Verbindlichkeiten</t>
  </si>
  <si>
    <t>Erhöhung (+Senkung) von Vorräten</t>
  </si>
  <si>
    <t>Erhöhung (+Senkung) von Forderungen LL</t>
  </si>
  <si>
    <t>Erhöhung (-Senkung) von Verbindlichkeiten LL, Kredite</t>
  </si>
  <si>
    <t>Erhöhung (+Senkung) von sonstigen Forderungen</t>
  </si>
  <si>
    <t>Erhöhung (-Senkung) von sonstigen Verbindlichkeiten</t>
  </si>
  <si>
    <t>Veränderung Working Capital:</t>
  </si>
  <si>
    <t>Cash-Flow aus dem operativen Bereich:</t>
  </si>
  <si>
    <t>Kennzahlen</t>
  </si>
  <si>
    <t>Personalkosten in % der Betriebsleistung</t>
  </si>
  <si>
    <t>Eigenkapitalquote</t>
  </si>
  <si>
    <t>Fremdkapitalquote</t>
  </si>
  <si>
    <t>Umsatzrentabilität</t>
  </si>
  <si>
    <t>Mail: balaschalexander@gmail.com
Mobil: +43 (0)681 841 06 358</t>
  </si>
  <si>
    <t>Mail: c.neuwirt@gmx.net
Mobil: +43 (0)660 410 94 24</t>
  </si>
  <si>
    <t>… Überschrift (1. Ebene)</t>
  </si>
  <si>
    <t>… Überschrift (2. Ebene)</t>
  </si>
  <si>
    <t>… Eingabefeld (Ziffern)</t>
  </si>
  <si>
    <t>… Eingabefeld (Text)</t>
  </si>
  <si>
    <t>… Summenfeld (1. Ebene)</t>
  </si>
  <si>
    <t>… Summenfeld (2. Ebene)</t>
  </si>
  <si>
    <t>… Summenfeld (3. Ebene)</t>
  </si>
  <si>
    <t>Monat 
der IBN</t>
  </si>
  <si>
    <t>Monat der
Zahlung</t>
  </si>
  <si>
    <t>Monat der
Anstellung</t>
  </si>
  <si>
    <t>… keine Werte notwendig</t>
  </si>
  <si>
    <t>Monat der Bezahlung</t>
  </si>
  <si>
    <t>Geplante nicht vorsteuerabzugsfähige 
Investitionen (netto)</t>
  </si>
  <si>
    <t>Geplante nicht vorsteuerabzugsfähige
Investitionen (netto)</t>
  </si>
  <si>
    <t>Summe "Sonstige Ausgaben":</t>
  </si>
  <si>
    <t>Legende:</t>
  </si>
  <si>
    <t>Neuentwicklungen</t>
  </si>
  <si>
    <t>Lizenzen</t>
  </si>
  <si>
    <t>Umsätze</t>
  </si>
  <si>
    <t>Kosten</t>
  </si>
  <si>
    <t>Break-Even-Point</t>
  </si>
  <si>
    <t>Kapitalbedarf:</t>
  </si>
  <si>
    <t>Intensivschulung</t>
  </si>
  <si>
    <t>Grundschulung</t>
  </si>
  <si>
    <t>Kum. Umsätze</t>
  </si>
  <si>
    <t>Kum. Kosten</t>
  </si>
  <si>
    <t>Geplante vorsteuerabzugsfähige
Investitionen (netto)</t>
  </si>
  <si>
    <t>Aufwände</t>
  </si>
  <si>
    <r>
      <rPr>
        <sz val="11"/>
        <color theme="1"/>
        <rFont val="Calibri"/>
        <family val="2"/>
      </rPr>
      <t xml:space="preserve">Ø - </t>
    </r>
    <r>
      <rPr>
        <sz val="11"/>
        <color theme="1"/>
        <rFont val="Calibri"/>
        <family val="2"/>
        <scheme val="minor"/>
      </rPr>
      <t>Arbeitszeit / Jahr</t>
    </r>
  </si>
  <si>
    <r>
      <rPr>
        <sz val="11"/>
        <color theme="1"/>
        <rFont val="Calibri"/>
        <family val="2"/>
      </rPr>
      <t xml:space="preserve">Ø - </t>
    </r>
    <r>
      <rPr>
        <sz val="11"/>
        <color theme="1"/>
        <rFont val="Calibri"/>
        <family val="2"/>
        <scheme val="minor"/>
      </rPr>
      <t>Stromkosten [€/kWh]</t>
    </r>
  </si>
  <si>
    <t>Durchschnittliche Leistungsaufnahme</t>
  </si>
  <si>
    <t>Energieersparnis</t>
  </si>
  <si>
    <t>Pauschale</t>
  </si>
  <si>
    <t>Ø - Betriebsdauer</t>
  </si>
  <si>
    <t>Cash-Flow aus dem operativen Bereich</t>
  </si>
  <si>
    <t>Messen</t>
  </si>
  <si>
    <t>Sonstiges Werbematerial</t>
  </si>
  <si>
    <t>Versicherung Auto (Haftpflicht + Kasko) (1. Jahr)</t>
  </si>
  <si>
    <t>Versicherung Auto (Haftpflicht + Kasko) (2. Jahr)</t>
  </si>
  <si>
    <t>Umsatzerlöse(brutto)</t>
  </si>
  <si>
    <t>kurzfristiger Kapitalbedarf:</t>
  </si>
  <si>
    <t>Brutto-Umsatzrentabilität (EBT/Umsatz)</t>
  </si>
  <si>
    <t>Beginn</t>
  </si>
  <si>
    <t>Sonstige Aufwände</t>
  </si>
  <si>
    <t>Kumulierte Aufwände (zusammengefasst)</t>
  </si>
  <si>
    <t>Präsentation</t>
  </si>
  <si>
    <t>Kumulierte Netto-Umsätze</t>
  </si>
  <si>
    <t>Investitionen</t>
  </si>
  <si>
    <t>Geräte</t>
  </si>
  <si>
    <t>Fuhrpark</t>
  </si>
  <si>
    <t>Sonstige Investitionen</t>
  </si>
  <si>
    <t>Umsätze (netto)</t>
  </si>
  <si>
    <t>Kum. Umsätze (netto)</t>
  </si>
  <si>
    <t>Kosten (netto)</t>
  </si>
  <si>
    <t>Kum. Kosten (netto)</t>
  </si>
  <si>
    <t>Mail: braeuer_chrissi@gmx.net
Mobil: +43 (0)699 181 19 053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</si>
</sst>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8" formatCode="#,##0.00\ &quot;€&quot;;[Red]\-#,##0.00\ &quot;€&quot;"/>
    <numFmt numFmtId="164" formatCode="#,##0.00\ &quot;€&quot;"/>
    <numFmt numFmtId="165" formatCode="#,##0\ &quot;€&quot;"/>
    <numFmt numFmtId="166" formatCode="0.00\ &quot;kW&quot;"/>
    <numFmt numFmtId="167" formatCode="0\ &quot;Jahre&quot;"/>
  </numFmts>
  <fonts count="16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9"/>
      <color theme="1"/>
      <name val="Calibri"/>
      <family val="2"/>
    </font>
    <font>
      <sz val="12"/>
      <color theme="1"/>
      <name val="Calibri"/>
      <family val="2"/>
      <scheme val="minor"/>
    </font>
    <font>
      <sz val="9"/>
      <name val="Arial"/>
      <family val="2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1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dashed">
        <color auto="1"/>
      </right>
      <top/>
      <bottom style="double">
        <color auto="1"/>
      </bottom>
      <diagonal/>
    </border>
    <border>
      <left style="dashed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dashed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medium">
        <color indexed="64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dashed">
        <color auto="1"/>
      </left>
      <right style="double">
        <color auto="1"/>
      </right>
      <top style="medium">
        <color auto="1"/>
      </top>
      <bottom/>
      <diagonal/>
    </border>
    <border>
      <left style="dashed">
        <color auto="1"/>
      </left>
      <right style="double">
        <color auto="1"/>
      </right>
      <top/>
      <bottom style="double">
        <color auto="1"/>
      </bottom>
      <diagonal/>
    </border>
    <border>
      <left style="dashed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double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dashed">
        <color auto="1"/>
      </left>
      <right style="dashed">
        <color auto="1"/>
      </right>
      <top style="thin">
        <color indexed="64"/>
      </top>
      <bottom/>
      <diagonal/>
    </border>
    <border>
      <left style="dashed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ashed">
        <color auto="1"/>
      </right>
      <top style="thin">
        <color indexed="64"/>
      </top>
      <bottom/>
      <diagonal/>
    </border>
    <border>
      <left style="dashed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dashed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dashed">
        <color auto="1"/>
      </left>
      <right style="dashed">
        <color auto="1"/>
      </right>
      <top style="double">
        <color indexed="64"/>
      </top>
      <bottom/>
      <diagonal/>
    </border>
    <border>
      <left style="dashed">
        <color auto="1"/>
      </left>
      <right style="double">
        <color auto="1"/>
      </right>
      <top style="double">
        <color indexed="64"/>
      </top>
      <bottom/>
      <diagonal/>
    </border>
    <border>
      <left style="double">
        <color auto="1"/>
      </left>
      <right style="dashed">
        <color auto="1"/>
      </right>
      <top style="double">
        <color indexed="64"/>
      </top>
      <bottom/>
      <diagonal/>
    </border>
    <border>
      <left style="dashed">
        <color auto="1"/>
      </left>
      <right/>
      <top style="double">
        <color indexed="64"/>
      </top>
      <bottom/>
      <diagonal/>
    </border>
    <border>
      <left style="dashed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dashed">
        <color auto="1"/>
      </right>
      <top style="double">
        <color indexed="64"/>
      </top>
      <bottom/>
      <diagonal/>
    </border>
    <border>
      <left/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auto="1"/>
      </right>
      <top style="double">
        <color indexed="64"/>
      </top>
      <bottom/>
      <diagonal/>
    </border>
    <border>
      <left style="medium">
        <color auto="1"/>
      </left>
      <right/>
      <top style="mediumDashed">
        <color auto="1"/>
      </top>
      <bottom style="medium">
        <color auto="1"/>
      </bottom>
      <diagonal/>
    </border>
    <border>
      <left style="dashed">
        <color auto="1"/>
      </left>
      <right/>
      <top style="mediumDashed">
        <color auto="1"/>
      </top>
      <bottom style="medium">
        <color auto="1"/>
      </bottom>
      <diagonal/>
    </border>
    <border>
      <left/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/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Dashed">
        <color auto="1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/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 style="double">
        <color auto="1"/>
      </top>
      <bottom style="mediumDashed">
        <color auto="1"/>
      </bottom>
      <diagonal/>
    </border>
    <border>
      <left style="dashed">
        <color auto="1"/>
      </left>
      <right style="double">
        <color auto="1"/>
      </right>
      <top style="double">
        <color indexed="64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double">
        <color indexed="64"/>
      </top>
      <bottom style="medium">
        <color auto="1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/>
      <diagonal/>
    </border>
    <border>
      <left style="medium">
        <color indexed="64"/>
      </left>
      <right style="dashed">
        <color indexed="64"/>
      </right>
      <top style="thin">
        <color auto="1"/>
      </top>
      <bottom style="double">
        <color auto="1"/>
      </bottom>
      <diagonal/>
    </border>
    <border>
      <left style="medium">
        <color indexed="64"/>
      </left>
      <right style="dashed">
        <color indexed="64"/>
      </right>
      <top/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ouble">
        <color auto="1"/>
      </right>
      <top/>
      <bottom/>
      <diagonal/>
    </border>
    <border>
      <left style="double">
        <color auto="1"/>
      </left>
      <right style="dashed">
        <color auto="1"/>
      </right>
      <top/>
      <bottom/>
      <diagonal/>
    </border>
    <border>
      <left style="dashed">
        <color auto="1"/>
      </left>
      <right style="thin">
        <color auto="1"/>
      </right>
      <top/>
      <bottom/>
      <diagonal/>
    </border>
    <border>
      <left style="thin">
        <color auto="1"/>
      </left>
      <right style="dashed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dashed">
        <color indexed="64"/>
      </left>
      <right style="double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auto="1"/>
      </top>
      <bottom style="double">
        <color auto="1"/>
      </bottom>
      <diagonal/>
    </border>
    <border>
      <left style="dashed">
        <color indexed="64"/>
      </left>
      <right style="double">
        <color indexed="64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dashed">
        <color auto="1"/>
      </right>
      <top style="mediumDashed">
        <color auto="1"/>
      </top>
      <bottom/>
      <diagonal/>
    </border>
    <border>
      <left style="double">
        <color auto="1"/>
      </left>
      <right style="dashed">
        <color auto="1"/>
      </right>
      <top style="thin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/>
      <right style="dashed">
        <color indexed="64"/>
      </right>
      <top/>
      <bottom/>
      <diagonal/>
    </border>
    <border>
      <left style="dashed">
        <color auto="1"/>
      </left>
      <right style="dashed">
        <color auto="1"/>
      </right>
      <top style="mediumDashed">
        <color auto="1"/>
      </top>
      <bottom/>
      <diagonal/>
    </border>
    <border>
      <left style="thin">
        <color auto="1"/>
      </left>
      <right style="dashed">
        <color auto="1"/>
      </right>
      <top style="mediumDashed">
        <color auto="1"/>
      </top>
      <bottom/>
      <diagonal/>
    </border>
    <border>
      <left style="thin">
        <color auto="1"/>
      </left>
      <right style="thin">
        <color auto="1"/>
      </right>
      <top style="mediumDashed">
        <color auto="1"/>
      </top>
      <bottom/>
      <diagonal/>
    </border>
    <border>
      <left style="thin">
        <color auto="1"/>
      </left>
      <right style="medium">
        <color indexed="64"/>
      </right>
      <top style="mediumDashed">
        <color auto="1"/>
      </top>
      <bottom/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auto="1"/>
      </left>
      <right style="dashed">
        <color auto="1"/>
      </right>
      <top style="medium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ashed">
        <color auto="1"/>
      </right>
      <top style="thin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 style="double">
        <color auto="1"/>
      </right>
      <top/>
      <bottom style="double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auto="1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dashed">
        <color indexed="64"/>
      </right>
      <top style="thin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auto="1"/>
      </left>
      <right/>
      <top style="double">
        <color indexed="64"/>
      </top>
      <bottom style="thin">
        <color indexed="64"/>
      </bottom>
      <diagonal/>
    </border>
    <border>
      <left style="dashed">
        <color auto="1"/>
      </left>
      <right/>
      <top style="thin">
        <color indexed="64"/>
      </top>
      <bottom style="thin">
        <color indexed="64"/>
      </bottom>
      <diagonal/>
    </border>
    <border>
      <left style="dashed">
        <color auto="1"/>
      </left>
      <right/>
      <top style="thin">
        <color auto="1"/>
      </top>
      <bottom style="double">
        <color auto="1"/>
      </bottom>
      <diagonal/>
    </border>
    <border>
      <left style="dashed">
        <color auto="1"/>
      </left>
      <right/>
      <top/>
      <bottom/>
      <diagonal/>
    </border>
    <border>
      <left style="dashed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ashed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medium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auto="1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/>
      <top style="medium">
        <color indexed="64"/>
      </top>
      <bottom style="medium">
        <color indexed="64"/>
      </bottom>
      <diagonal/>
    </border>
    <border>
      <left style="dashed">
        <color auto="1"/>
      </left>
      <right/>
      <top style="double">
        <color indexed="64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auto="1"/>
      </top>
      <bottom style="medium">
        <color indexed="64"/>
      </bottom>
      <diagonal/>
    </border>
    <border>
      <left style="thin">
        <color auto="1"/>
      </left>
      <right/>
      <top style="double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ashed">
        <color auto="1"/>
      </right>
      <top style="medium">
        <color auto="1"/>
      </top>
      <bottom style="thin">
        <color auto="1"/>
      </bottom>
      <diagonal/>
    </border>
    <border>
      <left/>
      <right style="dashed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uble">
        <color indexed="64"/>
      </top>
      <bottom/>
      <diagonal/>
    </border>
    <border>
      <left style="thin">
        <color auto="1"/>
      </left>
      <right/>
      <top style="mediumDashed">
        <color auto="1"/>
      </top>
      <bottom style="medium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dashed">
        <color auto="1"/>
      </left>
      <right style="medium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medium">
        <color auto="1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auto="1"/>
      </right>
      <top style="double">
        <color indexed="64"/>
      </top>
      <bottom/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double">
        <color auto="1"/>
      </right>
      <top style="medium">
        <color indexed="64"/>
      </top>
      <bottom style="double">
        <color indexed="64"/>
      </bottom>
      <diagonal/>
    </border>
    <border>
      <left style="dashed">
        <color auto="1"/>
      </left>
      <right/>
      <top style="mediumDashed">
        <color auto="1"/>
      </top>
      <bottom/>
      <diagonal/>
    </border>
    <border>
      <left style="medium">
        <color indexed="64"/>
      </left>
      <right/>
      <top style="mediumDashed">
        <color indexed="64"/>
      </top>
      <bottom style="thin">
        <color indexed="64"/>
      </bottom>
      <diagonal/>
    </border>
    <border>
      <left/>
      <right/>
      <top style="mediumDashed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Dashed">
        <color indexed="64"/>
      </top>
      <bottom style="thin">
        <color indexed="64"/>
      </bottom>
      <diagonal/>
    </border>
    <border>
      <left style="double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dashed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 style="dashed">
        <color auto="1"/>
      </right>
      <top/>
      <bottom style="thin">
        <color indexed="64"/>
      </bottom>
      <diagonal/>
    </border>
    <border>
      <left style="dashed">
        <color auto="1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medium">
        <color auto="1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mediumDashed">
        <color indexed="64"/>
      </bottom>
      <diagonal/>
    </border>
    <border>
      <left/>
      <right/>
      <top style="double">
        <color indexed="64"/>
      </top>
      <bottom style="mediumDashed">
        <color indexed="64"/>
      </bottom>
      <diagonal/>
    </border>
    <border>
      <left/>
      <right style="double">
        <color auto="1"/>
      </right>
      <top style="double">
        <color indexed="64"/>
      </top>
      <bottom style="mediumDashed">
        <color indexed="64"/>
      </bottom>
      <diagonal/>
    </border>
    <border>
      <left/>
      <right style="dashed">
        <color auto="1"/>
      </right>
      <top style="mediumDashed">
        <color auto="1"/>
      </top>
      <bottom/>
      <diagonal/>
    </border>
    <border>
      <left/>
      <right style="double">
        <color auto="1"/>
      </right>
      <top style="mediumDashed">
        <color auto="1"/>
      </top>
      <bottom style="medium">
        <color indexed="64"/>
      </bottom>
      <diagonal/>
    </border>
    <border>
      <left style="dashed">
        <color auto="1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ashed">
        <color auto="1"/>
      </right>
      <top/>
      <bottom style="thin">
        <color indexed="64"/>
      </bottom>
      <diagonal/>
    </border>
    <border>
      <left/>
      <right style="double">
        <color auto="1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Dashed">
        <color auto="1"/>
      </bottom>
      <diagonal/>
    </border>
    <border>
      <left/>
      <right/>
      <top style="medium">
        <color auto="1"/>
      </top>
      <bottom style="mediumDashed">
        <color auto="1"/>
      </bottom>
      <diagonal/>
    </border>
    <border>
      <left style="double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double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dashed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 style="medium">
        <color indexed="64"/>
      </bottom>
      <diagonal/>
    </border>
    <border>
      <left style="double">
        <color auto="1"/>
      </left>
      <right style="dashed">
        <color auto="1"/>
      </right>
      <top style="double">
        <color auto="1"/>
      </top>
      <bottom style="medium">
        <color indexed="64"/>
      </bottom>
      <diagonal/>
    </border>
    <border>
      <left style="dashed">
        <color auto="1"/>
      </left>
      <right style="thin">
        <color auto="1"/>
      </right>
      <top style="double">
        <color auto="1"/>
      </top>
      <bottom style="medium">
        <color indexed="64"/>
      </bottom>
      <diagonal/>
    </border>
    <border>
      <left style="thin">
        <color auto="1"/>
      </left>
      <right style="dashed">
        <color auto="1"/>
      </right>
      <top style="double">
        <color auto="1"/>
      </top>
      <bottom style="medium">
        <color indexed="64"/>
      </bottom>
      <diagonal/>
    </border>
    <border>
      <left/>
      <right style="medium">
        <color indexed="64"/>
      </right>
      <top style="double">
        <color auto="1"/>
      </top>
      <bottom style="medium">
        <color indexed="64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mediumDashed">
        <color auto="1"/>
      </bottom>
      <diagonal/>
    </border>
    <border>
      <left style="dashed">
        <color auto="1"/>
      </left>
      <right style="medium">
        <color auto="1"/>
      </right>
      <top style="mediumDashed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 style="dashed">
        <color auto="1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ashed">
        <color auto="1"/>
      </right>
      <top style="medium">
        <color auto="1"/>
      </top>
      <bottom style="mediumDashed">
        <color auto="1"/>
      </bottom>
      <diagonal/>
    </border>
    <border>
      <left/>
      <right style="dashed">
        <color auto="1"/>
      </right>
      <top style="mediumDashed">
        <color auto="1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/>
      <bottom style="thin">
        <color indexed="64"/>
      </bottom>
      <diagonal/>
    </border>
    <border>
      <left/>
      <right style="double">
        <color auto="1"/>
      </right>
      <top style="medium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medium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double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/>
      <top style="medium">
        <color auto="1"/>
      </top>
      <bottom style="thin">
        <color indexed="64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double">
        <color auto="1"/>
      </left>
      <right/>
      <top style="double">
        <color indexed="64"/>
      </top>
      <bottom/>
      <diagonal/>
    </border>
    <border>
      <left style="double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dashed">
        <color auto="1"/>
      </left>
      <right style="double">
        <color auto="1"/>
      </right>
      <top/>
      <bottom style="thin">
        <color indexed="64"/>
      </bottom>
      <diagonal/>
    </border>
    <border>
      <left/>
      <right style="double">
        <color auto="1"/>
      </right>
      <top style="double">
        <color auto="1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03">
    <xf numFmtId="0" fontId="0" fillId="0" borderId="0" xfId="0"/>
    <xf numFmtId="0" fontId="0" fillId="0" borderId="33" xfId="0" applyBorder="1" applyAlignment="1" applyProtection="1">
      <alignment horizontal="center" vertical="center" wrapText="1"/>
    </xf>
    <xf numFmtId="0" fontId="0" fillId="0" borderId="16" xfId="0" applyBorder="1" applyAlignment="1" applyProtection="1">
      <alignment horizontal="center" vertical="center" wrapText="1"/>
    </xf>
    <xf numFmtId="0" fontId="0" fillId="0" borderId="67" xfId="0" applyBorder="1" applyAlignment="1" applyProtection="1">
      <alignment horizontal="center" vertical="center" wrapText="1"/>
    </xf>
    <xf numFmtId="0" fontId="0" fillId="0" borderId="35" xfId="0" applyBorder="1" applyAlignment="1" applyProtection="1">
      <alignment horizontal="center" vertical="center" wrapText="1"/>
    </xf>
    <xf numFmtId="0" fontId="0" fillId="0" borderId="0" xfId="0" applyAlignment="1" applyProtection="1">
      <alignment vertical="center" wrapText="1"/>
    </xf>
    <xf numFmtId="164" fontId="0" fillId="0" borderId="43" xfId="0" applyNumberFormat="1" applyBorder="1" applyAlignment="1" applyProtection="1">
      <alignment vertical="center"/>
    </xf>
    <xf numFmtId="164" fontId="0" fillId="0" borderId="41" xfId="0" applyNumberFormat="1" applyBorder="1" applyAlignment="1" applyProtection="1">
      <alignment vertical="center"/>
    </xf>
    <xf numFmtId="164" fontId="0" fillId="0" borderId="46" xfId="0" applyNumberFormat="1" applyBorder="1" applyAlignment="1" applyProtection="1">
      <alignment vertical="center"/>
    </xf>
    <xf numFmtId="164" fontId="0" fillId="0" borderId="47" xfId="0" applyNumberFormat="1" applyBorder="1" applyAlignment="1" applyProtection="1">
      <alignment vertical="center"/>
    </xf>
    <xf numFmtId="164" fontId="0" fillId="0" borderId="49" xfId="0" applyNumberFormat="1" applyBorder="1" applyAlignment="1" applyProtection="1">
      <alignment vertical="center"/>
    </xf>
    <xf numFmtId="164" fontId="0" fillId="0" borderId="22" xfId="0" applyNumberFormat="1" applyBorder="1" applyAlignment="1" applyProtection="1">
      <alignment vertical="center"/>
    </xf>
    <xf numFmtId="164" fontId="0" fillId="0" borderId="52" xfId="0" applyNumberFormat="1" applyBorder="1" applyAlignment="1" applyProtection="1">
      <alignment vertical="center"/>
    </xf>
    <xf numFmtId="164" fontId="0" fillId="0" borderId="53" xfId="0" applyNumberFormat="1" applyBorder="1" applyAlignment="1" applyProtection="1">
      <alignment vertical="center"/>
    </xf>
    <xf numFmtId="164" fontId="0" fillId="0" borderId="57" xfId="0" applyNumberFormat="1" applyBorder="1" applyAlignment="1" applyProtection="1">
      <alignment vertical="center"/>
    </xf>
    <xf numFmtId="164" fontId="0" fillId="0" borderId="55" xfId="0" applyNumberFormat="1" applyBorder="1" applyAlignment="1" applyProtection="1">
      <alignment vertical="center"/>
    </xf>
    <xf numFmtId="164" fontId="0" fillId="0" borderId="60" xfId="0" applyNumberFormat="1" applyBorder="1" applyAlignment="1" applyProtection="1">
      <alignment vertical="center"/>
    </xf>
    <xf numFmtId="164" fontId="0" fillId="0" borderId="61" xfId="0" applyNumberFormat="1" applyBorder="1" applyAlignment="1" applyProtection="1">
      <alignment vertical="center"/>
    </xf>
    <xf numFmtId="164" fontId="0" fillId="7" borderId="41" xfId="0" applyNumberFormat="1" applyFill="1" applyBorder="1" applyAlignment="1" applyProtection="1">
      <alignment vertical="center"/>
      <protection locked="0"/>
    </xf>
    <xf numFmtId="0" fontId="0" fillId="7" borderId="41" xfId="0" applyFill="1" applyBorder="1" applyAlignment="1" applyProtection="1">
      <alignment horizontal="center" vertical="center"/>
      <protection locked="0"/>
    </xf>
    <xf numFmtId="0" fontId="0" fillId="7" borderId="42" xfId="0" applyFill="1" applyBorder="1" applyAlignment="1" applyProtection="1">
      <alignment horizontal="center" vertical="center"/>
      <protection locked="0"/>
    </xf>
    <xf numFmtId="0" fontId="0" fillId="3" borderId="10" xfId="0" applyFill="1" applyBorder="1" applyAlignment="1" applyProtection="1">
      <alignment vertical="center"/>
      <protection locked="0"/>
    </xf>
    <xf numFmtId="0" fontId="0" fillId="3" borderId="11" xfId="0" applyFill="1" applyBorder="1" applyAlignment="1" applyProtection="1">
      <alignment vertical="center"/>
      <protection locked="0"/>
    </xf>
    <xf numFmtId="0" fontId="0" fillId="3" borderId="54" xfId="0" applyFill="1" applyBorder="1" applyAlignment="1" applyProtection="1">
      <alignment vertical="center"/>
      <protection locked="0"/>
    </xf>
    <xf numFmtId="0" fontId="0" fillId="3" borderId="75" xfId="0" applyFill="1" applyBorder="1" applyAlignment="1" applyProtection="1">
      <alignment vertical="center"/>
      <protection locked="0"/>
    </xf>
    <xf numFmtId="0" fontId="0" fillId="7" borderId="76" xfId="0" applyFill="1" applyBorder="1" applyAlignment="1" applyProtection="1">
      <alignment vertical="center"/>
      <protection locked="0"/>
    </xf>
    <xf numFmtId="0" fontId="0" fillId="7" borderId="77" xfId="0" applyFill="1" applyBorder="1" applyAlignment="1" applyProtection="1">
      <alignment vertical="center"/>
      <protection locked="0"/>
    </xf>
    <xf numFmtId="164" fontId="0" fillId="0" borderId="78" xfId="0" applyNumberFormat="1" applyBorder="1" applyAlignment="1" applyProtection="1">
      <alignment vertical="center"/>
    </xf>
    <xf numFmtId="164" fontId="0" fillId="0" borderId="76" xfId="0" applyNumberFormat="1" applyBorder="1" applyAlignment="1" applyProtection="1">
      <alignment vertical="center"/>
    </xf>
    <xf numFmtId="164" fontId="0" fillId="0" borderId="79" xfId="0" applyNumberFormat="1" applyBorder="1" applyAlignment="1" applyProtection="1">
      <alignment vertical="center"/>
    </xf>
    <xf numFmtId="164" fontId="0" fillId="0" borderId="80" xfId="0" applyNumberFormat="1" applyBorder="1" applyAlignment="1" applyProtection="1">
      <alignment vertical="center"/>
    </xf>
    <xf numFmtId="164" fontId="0" fillId="0" borderId="81" xfId="0" applyNumberFormat="1" applyBorder="1" applyAlignment="1" applyProtection="1">
      <alignment vertical="center"/>
    </xf>
    <xf numFmtId="164" fontId="0" fillId="0" borderId="82" xfId="0" applyNumberFormat="1" applyBorder="1" applyAlignment="1" applyProtection="1">
      <alignment vertical="center"/>
    </xf>
    <xf numFmtId="164" fontId="0" fillId="0" borderId="83" xfId="0" applyNumberFormat="1" applyBorder="1" applyAlignment="1" applyProtection="1">
      <alignment vertical="center"/>
    </xf>
    <xf numFmtId="164" fontId="0" fillId="0" borderId="84" xfId="0" applyNumberFormat="1" applyBorder="1" applyAlignment="1" applyProtection="1">
      <alignment vertical="center"/>
    </xf>
    <xf numFmtId="0" fontId="6" fillId="0" borderId="85" xfId="0" applyFont="1" applyBorder="1" applyAlignment="1" applyProtection="1">
      <alignment horizontal="right" vertical="center"/>
    </xf>
    <xf numFmtId="164" fontId="6" fillId="5" borderId="86" xfId="0" applyNumberFormat="1" applyFont="1" applyFill="1" applyBorder="1" applyAlignment="1" applyProtection="1">
      <alignment vertical="center"/>
    </xf>
    <xf numFmtId="164" fontId="6" fillId="5" borderId="92" xfId="0" applyNumberFormat="1" applyFont="1" applyFill="1" applyBorder="1" applyAlignment="1" applyProtection="1">
      <alignment vertical="center"/>
    </xf>
    <xf numFmtId="164" fontId="6" fillId="5" borderId="93" xfId="0" applyNumberFormat="1" applyFont="1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2" borderId="27" xfId="0" applyFill="1" applyBorder="1" applyAlignment="1" applyProtection="1">
      <alignment vertical="center"/>
    </xf>
    <xf numFmtId="0" fontId="0" fillId="2" borderId="28" xfId="0" applyFill="1" applyBorder="1" applyAlignment="1" applyProtection="1">
      <alignment vertical="center"/>
    </xf>
    <xf numFmtId="0" fontId="0" fillId="2" borderId="68" xfId="0" applyFill="1" applyBorder="1" applyAlignment="1" applyProtection="1">
      <alignment vertical="center"/>
    </xf>
    <xf numFmtId="0" fontId="0" fillId="0" borderId="5" xfId="0" applyFill="1" applyBorder="1" applyAlignment="1" applyProtection="1">
      <alignment vertical="center"/>
    </xf>
    <xf numFmtId="0" fontId="0" fillId="2" borderId="0" xfId="0" applyFill="1" applyBorder="1" applyAlignment="1" applyProtection="1">
      <alignment vertical="center"/>
    </xf>
    <xf numFmtId="0" fontId="0" fillId="2" borderId="6" xfId="0" applyFill="1" applyBorder="1" applyAlignment="1" applyProtection="1">
      <alignment vertical="center"/>
    </xf>
    <xf numFmtId="0" fontId="0" fillId="2" borderId="5" xfId="0" applyFill="1" applyBorder="1" applyAlignment="1" applyProtection="1">
      <alignment vertical="center"/>
    </xf>
    <xf numFmtId="0" fontId="0" fillId="0" borderId="0" xfId="0" applyFont="1" applyAlignment="1" applyProtection="1">
      <alignment vertical="center"/>
    </xf>
    <xf numFmtId="0" fontId="7" fillId="0" borderId="2" xfId="0" applyFont="1" applyBorder="1" applyAlignment="1" applyProtection="1">
      <alignment horizontal="right" vertical="center"/>
    </xf>
    <xf numFmtId="164" fontId="7" fillId="5" borderId="94" xfId="0" applyNumberFormat="1" applyFont="1" applyFill="1" applyBorder="1" applyAlignment="1" applyProtection="1">
      <alignment vertical="center"/>
    </xf>
    <xf numFmtId="0" fontId="7" fillId="2" borderId="8" xfId="0" applyFont="1" applyFill="1" applyBorder="1" applyAlignment="1" applyProtection="1">
      <alignment vertical="center"/>
    </xf>
    <xf numFmtId="164" fontId="7" fillId="5" borderId="63" xfId="0" applyNumberFormat="1" applyFont="1" applyFill="1" applyBorder="1" applyAlignment="1" applyProtection="1">
      <alignment vertical="center"/>
    </xf>
    <xf numFmtId="164" fontId="7" fillId="5" borderId="64" xfId="0" applyNumberFormat="1" applyFont="1" applyFill="1" applyBorder="1" applyAlignment="1" applyProtection="1">
      <alignment vertical="center"/>
    </xf>
    <xf numFmtId="164" fontId="7" fillId="5" borderId="66" xfId="0" applyNumberFormat="1" applyFont="1" applyFill="1" applyBorder="1" applyAlignment="1" applyProtection="1">
      <alignment vertical="center"/>
    </xf>
    <xf numFmtId="164" fontId="2" fillId="6" borderId="95" xfId="0" applyNumberFormat="1" applyFont="1" applyFill="1" applyBorder="1" applyAlignment="1" applyProtection="1">
      <alignment vertical="center"/>
    </xf>
    <xf numFmtId="164" fontId="2" fillId="6" borderId="62" xfId="0" applyNumberFormat="1" applyFont="1" applyFill="1" applyBorder="1" applyAlignment="1" applyProtection="1">
      <alignment vertical="center"/>
    </xf>
    <xf numFmtId="164" fontId="2" fillId="6" borderId="63" xfId="0" applyNumberFormat="1" applyFont="1" applyFill="1" applyBorder="1" applyAlignment="1" applyProtection="1">
      <alignment vertical="center"/>
    </xf>
    <xf numFmtId="164" fontId="2" fillId="6" borderId="65" xfId="0" applyNumberFormat="1" applyFont="1" applyFill="1" applyBorder="1" applyAlignment="1" applyProtection="1">
      <alignment vertical="center"/>
    </xf>
    <xf numFmtId="164" fontId="2" fillId="6" borderId="64" xfId="0" applyNumberFormat="1" applyFont="1" applyFill="1" applyBorder="1" applyAlignment="1" applyProtection="1">
      <alignment vertical="center"/>
    </xf>
    <xf numFmtId="164" fontId="2" fillId="6" borderId="66" xfId="0" applyNumberFormat="1" applyFont="1" applyFill="1" applyBorder="1" applyAlignment="1" applyProtection="1">
      <alignment vertical="center"/>
    </xf>
    <xf numFmtId="164" fontId="2" fillId="6" borderId="4" xfId="0" applyNumberFormat="1" applyFont="1" applyFill="1" applyBorder="1" applyAlignment="1" applyProtection="1">
      <alignment vertical="center"/>
    </xf>
    <xf numFmtId="0" fontId="2" fillId="2" borderId="8" xfId="0" applyFont="1" applyFill="1" applyBorder="1" applyAlignment="1" applyProtection="1">
      <alignment vertical="center"/>
    </xf>
    <xf numFmtId="0" fontId="0" fillId="2" borderId="2" xfId="0" applyFill="1" applyBorder="1" applyAlignment="1" applyProtection="1">
      <alignment vertical="center"/>
    </xf>
    <xf numFmtId="0" fontId="0" fillId="2" borderId="3" xfId="0" applyFill="1" applyBorder="1" applyAlignment="1" applyProtection="1">
      <alignment vertical="center"/>
    </xf>
    <xf numFmtId="0" fontId="0" fillId="2" borderId="4" xfId="0" applyFill="1" applyBorder="1" applyAlignment="1" applyProtection="1">
      <alignment vertical="center"/>
    </xf>
    <xf numFmtId="164" fontId="7" fillId="5" borderId="86" xfId="0" applyNumberFormat="1" applyFont="1" applyFill="1" applyBorder="1" applyAlignment="1" applyProtection="1">
      <alignment vertical="center"/>
    </xf>
    <xf numFmtId="164" fontId="7" fillId="5" borderId="89" xfId="0" applyNumberFormat="1" applyFont="1" applyFill="1" applyBorder="1" applyAlignment="1" applyProtection="1">
      <alignment vertical="center"/>
    </xf>
    <xf numFmtId="164" fontId="7" fillId="5" borderId="91" xfId="0" applyNumberFormat="1" applyFont="1" applyFill="1" applyBorder="1" applyAlignment="1" applyProtection="1">
      <alignment vertical="center"/>
    </xf>
    <xf numFmtId="164" fontId="7" fillId="5" borderId="92" xfId="0" applyNumberFormat="1" applyFont="1" applyFill="1" applyBorder="1" applyAlignment="1" applyProtection="1">
      <alignment vertical="center"/>
    </xf>
    <xf numFmtId="164" fontId="7" fillId="5" borderId="93" xfId="0" applyNumberFormat="1" applyFont="1" applyFill="1" applyBorder="1" applyAlignment="1" applyProtection="1">
      <alignment vertical="center"/>
    </xf>
    <xf numFmtId="164" fontId="0" fillId="0" borderId="44" xfId="0" applyNumberFormat="1" applyFill="1" applyBorder="1" applyAlignment="1" applyProtection="1">
      <alignment vertical="center"/>
    </xf>
    <xf numFmtId="164" fontId="0" fillId="0" borderId="45" xfId="0" applyNumberFormat="1" applyFill="1" applyBorder="1" applyAlignment="1" applyProtection="1">
      <alignment vertical="center"/>
    </xf>
    <xf numFmtId="164" fontId="0" fillId="0" borderId="41" xfId="0" applyNumberFormat="1" applyFill="1" applyBorder="1" applyAlignment="1" applyProtection="1">
      <alignment vertical="center"/>
    </xf>
    <xf numFmtId="164" fontId="0" fillId="0" borderId="72" xfId="0" applyNumberFormat="1" applyFill="1" applyBorder="1" applyAlignment="1" applyProtection="1">
      <alignment vertical="center"/>
    </xf>
    <xf numFmtId="164" fontId="0" fillId="0" borderId="50" xfId="0" applyNumberFormat="1" applyFill="1" applyBorder="1" applyAlignment="1" applyProtection="1">
      <alignment vertical="center"/>
    </xf>
    <xf numFmtId="164" fontId="0" fillId="0" borderId="51" xfId="0" applyNumberFormat="1" applyFill="1" applyBorder="1" applyAlignment="1" applyProtection="1">
      <alignment vertical="center"/>
    </xf>
    <xf numFmtId="164" fontId="0" fillId="0" borderId="22" xfId="0" applyNumberFormat="1" applyFill="1" applyBorder="1" applyAlignment="1" applyProtection="1">
      <alignment vertical="center"/>
    </xf>
    <xf numFmtId="164" fontId="0" fillId="0" borderId="73" xfId="0" applyNumberFormat="1" applyFill="1" applyBorder="1" applyAlignment="1" applyProtection="1">
      <alignment vertical="center"/>
    </xf>
    <xf numFmtId="164" fontId="0" fillId="0" borderId="58" xfId="0" applyNumberFormat="1" applyFill="1" applyBorder="1" applyAlignment="1" applyProtection="1">
      <alignment vertical="center"/>
    </xf>
    <xf numFmtId="164" fontId="0" fillId="0" borderId="59" xfId="0" applyNumberFormat="1" applyFill="1" applyBorder="1" applyAlignment="1" applyProtection="1">
      <alignment vertical="center"/>
    </xf>
    <xf numFmtId="164" fontId="0" fillId="0" borderId="55" xfId="0" applyNumberFormat="1" applyFill="1" applyBorder="1" applyAlignment="1" applyProtection="1">
      <alignment vertical="center"/>
    </xf>
    <xf numFmtId="164" fontId="0" fillId="0" borderId="74" xfId="0" applyNumberFormat="1" applyFill="1" applyBorder="1" applyAlignment="1" applyProtection="1">
      <alignment vertical="center"/>
    </xf>
    <xf numFmtId="0" fontId="0" fillId="3" borderId="19" xfId="0" applyFill="1" applyBorder="1" applyAlignment="1" applyProtection="1">
      <alignment horizontal="left" vertical="center" wrapText="1"/>
      <protection locked="0"/>
    </xf>
    <xf numFmtId="0" fontId="0" fillId="3" borderId="20" xfId="0" applyFill="1" applyBorder="1" applyAlignment="1" applyProtection="1">
      <alignment wrapText="1"/>
      <protection locked="0"/>
    </xf>
    <xf numFmtId="0" fontId="0" fillId="3" borderId="22" xfId="0" applyFill="1" applyBorder="1" applyAlignment="1" applyProtection="1">
      <alignment horizontal="left" vertical="center" wrapText="1"/>
      <protection locked="0"/>
    </xf>
    <xf numFmtId="0" fontId="0" fillId="3" borderId="23" xfId="0" applyFill="1" applyBorder="1" applyAlignment="1" applyProtection="1">
      <alignment wrapText="1"/>
      <protection locked="0"/>
    </xf>
    <xf numFmtId="0" fontId="0" fillId="3" borderId="55" xfId="0" applyFill="1" applyBorder="1" applyAlignment="1" applyProtection="1">
      <alignment horizontal="left" vertical="center" wrapText="1"/>
      <protection locked="0"/>
    </xf>
    <xf numFmtId="0" fontId="0" fillId="3" borderId="98" xfId="0" applyFill="1" applyBorder="1" applyAlignment="1" applyProtection="1">
      <alignment wrapText="1"/>
      <protection locked="0"/>
    </xf>
    <xf numFmtId="0" fontId="0" fillId="3" borderId="14" xfId="0" applyFill="1" applyBorder="1" applyAlignment="1" applyProtection="1">
      <alignment vertical="center"/>
      <protection locked="0"/>
    </xf>
    <xf numFmtId="0" fontId="0" fillId="3" borderId="13" xfId="0" applyFill="1" applyBorder="1" applyAlignment="1" applyProtection="1">
      <alignment vertical="center" wrapText="1"/>
      <protection locked="0"/>
    </xf>
    <xf numFmtId="0" fontId="0" fillId="3" borderId="13" xfId="0" applyFill="1" applyBorder="1" applyAlignment="1" applyProtection="1">
      <alignment vertical="center"/>
      <protection locked="0"/>
    </xf>
    <xf numFmtId="14" fontId="0" fillId="3" borderId="101" xfId="0" applyNumberFormat="1" applyFill="1" applyBorder="1" applyAlignment="1" applyProtection="1">
      <alignment vertical="center"/>
      <protection locked="0"/>
    </xf>
    <xf numFmtId="0" fontId="0" fillId="3" borderId="108" xfId="0" applyFill="1" applyBorder="1" applyAlignment="1" applyProtection="1">
      <alignment vertical="center"/>
      <protection locked="0"/>
    </xf>
    <xf numFmtId="0" fontId="0" fillId="3" borderId="21" xfId="0" applyFill="1" applyBorder="1" applyAlignment="1" applyProtection="1">
      <alignment vertical="center"/>
      <protection locked="0"/>
    </xf>
    <xf numFmtId="164" fontId="0" fillId="7" borderId="22" xfId="0" applyNumberFormat="1" applyFill="1" applyBorder="1" applyAlignment="1" applyProtection="1">
      <alignment vertical="center"/>
      <protection locked="0"/>
    </xf>
    <xf numFmtId="0" fontId="0" fillId="7" borderId="22" xfId="0" applyFill="1" applyBorder="1" applyAlignment="1" applyProtection="1">
      <alignment horizontal="center" vertical="center"/>
      <protection locked="0"/>
    </xf>
    <xf numFmtId="0" fontId="0" fillId="7" borderId="48" xfId="0" applyFill="1" applyBorder="1" applyAlignment="1" applyProtection="1">
      <alignment horizontal="center" vertical="center"/>
      <protection locked="0"/>
    </xf>
    <xf numFmtId="0" fontId="0" fillId="3" borderId="99" xfId="0" applyFill="1" applyBorder="1" applyAlignment="1" applyProtection="1">
      <alignment vertical="center"/>
      <protection locked="0"/>
    </xf>
    <xf numFmtId="164" fontId="0" fillId="7" borderId="55" xfId="0" applyNumberFormat="1" applyFill="1" applyBorder="1" applyAlignment="1" applyProtection="1">
      <alignment vertical="center"/>
      <protection locked="0"/>
    </xf>
    <xf numFmtId="0" fontId="0" fillId="7" borderId="55" xfId="0" applyFill="1" applyBorder="1" applyAlignment="1" applyProtection="1">
      <alignment horizontal="center" vertical="center"/>
      <protection locked="0"/>
    </xf>
    <xf numFmtId="0" fontId="0" fillId="7" borderId="56" xfId="0" applyFill="1" applyBorder="1" applyAlignment="1" applyProtection="1">
      <alignment horizontal="center" vertical="center"/>
      <protection locked="0"/>
    </xf>
    <xf numFmtId="0" fontId="0" fillId="3" borderId="107" xfId="0" applyFill="1" applyBorder="1" applyAlignment="1" applyProtection="1">
      <alignment vertical="center"/>
      <protection locked="0"/>
    </xf>
    <xf numFmtId="164" fontId="0" fillId="7" borderId="76" xfId="0" applyNumberFormat="1" applyFill="1" applyBorder="1" applyAlignment="1" applyProtection="1">
      <alignment vertical="center"/>
      <protection locked="0"/>
    </xf>
    <xf numFmtId="0" fontId="0" fillId="7" borderId="119" xfId="0" applyFill="1" applyBorder="1" applyAlignment="1" applyProtection="1">
      <alignment horizontal="center" vertical="center"/>
      <protection locked="0"/>
    </xf>
    <xf numFmtId="0" fontId="0" fillId="7" borderId="118" xfId="0" applyFill="1" applyBorder="1" applyAlignment="1" applyProtection="1">
      <alignment horizontal="center" vertical="center"/>
      <protection locked="0"/>
    </xf>
    <xf numFmtId="164" fontId="0" fillId="7" borderId="41" xfId="0" applyNumberFormat="1" applyFill="1" applyBorder="1" applyAlignment="1" applyProtection="1">
      <alignment horizontal="right" vertical="center"/>
      <protection locked="0"/>
    </xf>
    <xf numFmtId="164" fontId="0" fillId="7" borderId="22" xfId="0" applyNumberFormat="1" applyFill="1" applyBorder="1" applyAlignment="1" applyProtection="1">
      <alignment horizontal="right" vertical="center"/>
      <protection locked="0"/>
    </xf>
    <xf numFmtId="164" fontId="0" fillId="7" borderId="55" xfId="0" applyNumberFormat="1" applyFill="1" applyBorder="1" applyAlignment="1" applyProtection="1">
      <alignment horizontal="right" vertical="center"/>
      <protection locked="0"/>
    </xf>
    <xf numFmtId="164" fontId="0" fillId="7" borderId="124" xfId="0" applyNumberFormat="1" applyFill="1" applyBorder="1" applyAlignment="1" applyProtection="1">
      <alignment vertical="center"/>
      <protection locked="0"/>
    </xf>
    <xf numFmtId="164" fontId="0" fillId="0" borderId="124" xfId="0" applyNumberFormat="1" applyBorder="1" applyAlignment="1" applyProtection="1">
      <alignment vertical="center"/>
    </xf>
    <xf numFmtId="164" fontId="0" fillId="0" borderId="124" xfId="0" applyNumberFormat="1" applyFill="1" applyBorder="1" applyAlignment="1" applyProtection="1">
      <alignment vertical="center"/>
    </xf>
    <xf numFmtId="0" fontId="0" fillId="0" borderId="24" xfId="0" applyBorder="1" applyAlignment="1" applyProtection="1">
      <alignment horizontal="center" vertical="center" wrapText="1"/>
    </xf>
    <xf numFmtId="0" fontId="0" fillId="0" borderId="41" xfId="0" applyFill="1" applyBorder="1" applyAlignment="1" applyProtection="1">
      <alignment horizontal="center" vertical="center"/>
    </xf>
    <xf numFmtId="0" fontId="0" fillId="0" borderId="42" xfId="0" applyFill="1" applyBorder="1" applyAlignment="1" applyProtection="1">
      <alignment horizontal="center" vertical="center"/>
    </xf>
    <xf numFmtId="0" fontId="0" fillId="0" borderId="22" xfId="0" applyFill="1" applyBorder="1" applyAlignment="1" applyProtection="1">
      <alignment horizontal="center" vertical="center"/>
    </xf>
    <xf numFmtId="0" fontId="0" fillId="0" borderId="119" xfId="0" applyFill="1" applyBorder="1" applyAlignment="1" applyProtection="1">
      <alignment horizontal="center" vertical="center"/>
    </xf>
    <xf numFmtId="0" fontId="0" fillId="0" borderId="118" xfId="0" applyFill="1" applyBorder="1" applyAlignment="1" applyProtection="1">
      <alignment horizontal="center" vertical="center"/>
    </xf>
    <xf numFmtId="0" fontId="0" fillId="0" borderId="108" xfId="0" applyFill="1" applyBorder="1" applyAlignment="1" applyProtection="1">
      <alignment vertical="center"/>
    </xf>
    <xf numFmtId="0" fontId="0" fillId="0" borderId="21" xfId="0" applyFill="1" applyBorder="1" applyAlignment="1" applyProtection="1">
      <alignment vertical="center"/>
    </xf>
    <xf numFmtId="0" fontId="0" fillId="0" borderId="107" xfId="0" applyFill="1" applyBorder="1" applyAlignment="1" applyProtection="1">
      <alignment vertical="center"/>
    </xf>
    <xf numFmtId="164" fontId="0" fillId="0" borderId="76" xfId="0" applyNumberFormat="1" applyFill="1" applyBorder="1" applyAlignment="1" applyProtection="1">
      <alignment vertical="center"/>
    </xf>
    <xf numFmtId="0" fontId="0" fillId="0" borderId="123" xfId="0" applyFill="1" applyBorder="1" applyAlignment="1" applyProtection="1">
      <alignment vertical="center"/>
    </xf>
    <xf numFmtId="0" fontId="0" fillId="0" borderId="124" xfId="0" applyFill="1" applyBorder="1" applyAlignment="1" applyProtection="1">
      <alignment horizontal="center" vertical="center"/>
    </xf>
    <xf numFmtId="0" fontId="0" fillId="0" borderId="125" xfId="0" applyFill="1" applyBorder="1" applyAlignment="1" applyProtection="1">
      <alignment horizontal="center" vertical="center"/>
    </xf>
    <xf numFmtId="0" fontId="7" fillId="2" borderId="9" xfId="0" applyFont="1" applyFill="1" applyBorder="1" applyAlignment="1" applyProtection="1">
      <alignment vertical="center"/>
    </xf>
    <xf numFmtId="0" fontId="0" fillId="3" borderId="151" xfId="0" applyFill="1" applyBorder="1" applyAlignment="1" applyProtection="1">
      <alignment vertical="center"/>
      <protection locked="0"/>
    </xf>
    <xf numFmtId="0" fontId="0" fillId="7" borderId="132" xfId="0" applyFill="1" applyBorder="1" applyAlignment="1" applyProtection="1">
      <alignment vertical="center"/>
      <protection locked="0"/>
    </xf>
    <xf numFmtId="0" fontId="0" fillId="7" borderId="133" xfId="0" applyFill="1" applyBorder="1" applyAlignment="1" applyProtection="1">
      <alignment vertical="center"/>
      <protection locked="0"/>
    </xf>
    <xf numFmtId="164" fontId="0" fillId="0" borderId="135" xfId="0" applyNumberFormat="1" applyBorder="1" applyAlignment="1" applyProtection="1">
      <alignment vertical="center"/>
    </xf>
    <xf numFmtId="164" fontId="0" fillId="0" borderId="132" xfId="0" applyNumberFormat="1" applyBorder="1" applyAlignment="1" applyProtection="1">
      <alignment vertical="center"/>
    </xf>
    <xf numFmtId="164" fontId="0" fillId="0" borderId="136" xfId="0" applyNumberFormat="1" applyFill="1" applyBorder="1" applyAlignment="1" applyProtection="1">
      <alignment vertical="center"/>
    </xf>
    <xf numFmtId="164" fontId="0" fillId="0" borderId="137" xfId="0" applyNumberFormat="1" applyFill="1" applyBorder="1" applyAlignment="1" applyProtection="1">
      <alignment vertical="center"/>
    </xf>
    <xf numFmtId="164" fontId="0" fillId="0" borderId="132" xfId="0" applyNumberFormat="1" applyFill="1" applyBorder="1" applyAlignment="1" applyProtection="1">
      <alignment vertical="center"/>
    </xf>
    <xf numFmtId="164" fontId="0" fillId="0" borderId="152" xfId="0" applyNumberFormat="1" applyFill="1" applyBorder="1" applyAlignment="1" applyProtection="1">
      <alignment vertical="center"/>
    </xf>
    <xf numFmtId="164" fontId="0" fillId="0" borderId="138" xfId="0" applyNumberFormat="1" applyBorder="1" applyAlignment="1" applyProtection="1">
      <alignment vertical="center"/>
    </xf>
    <xf numFmtId="164" fontId="0" fillId="0" borderId="139" xfId="0" applyNumberFormat="1" applyBorder="1" applyAlignment="1" applyProtection="1">
      <alignment vertical="center"/>
    </xf>
    <xf numFmtId="0" fontId="2" fillId="2" borderId="9" xfId="0" applyFont="1" applyFill="1" applyBorder="1" applyAlignment="1" applyProtection="1">
      <alignment vertical="center"/>
    </xf>
    <xf numFmtId="164" fontId="0" fillId="7" borderId="25" xfId="0" applyNumberFormat="1" applyFill="1" applyBorder="1" applyAlignment="1" applyProtection="1">
      <alignment vertical="center"/>
      <protection locked="0"/>
    </xf>
    <xf numFmtId="164" fontId="0" fillId="7" borderId="168" xfId="0" applyNumberFormat="1" applyFill="1" applyBorder="1" applyAlignment="1" applyProtection="1">
      <alignment vertical="center"/>
      <protection locked="0"/>
    </xf>
    <xf numFmtId="164" fontId="0" fillId="7" borderId="132" xfId="0" applyNumberFormat="1" applyFill="1" applyBorder="1" applyAlignment="1" applyProtection="1">
      <alignment vertical="center"/>
      <protection locked="0"/>
    </xf>
    <xf numFmtId="164" fontId="0" fillId="7" borderId="73" xfId="0" applyNumberFormat="1" applyFill="1" applyBorder="1" applyAlignment="1" applyProtection="1">
      <alignment vertical="center"/>
      <protection locked="0"/>
    </xf>
    <xf numFmtId="164" fontId="0" fillId="7" borderId="13" xfId="0" applyNumberFormat="1" applyFill="1" applyBorder="1" applyAlignment="1" applyProtection="1">
      <alignment vertical="center"/>
      <protection locked="0"/>
    </xf>
    <xf numFmtId="164" fontId="0" fillId="7" borderId="152" xfId="0" applyNumberFormat="1" applyFill="1" applyBorder="1" applyAlignment="1" applyProtection="1">
      <alignment vertical="center"/>
      <protection locked="0"/>
    </xf>
    <xf numFmtId="164" fontId="0" fillId="7" borderId="161" xfId="0" applyNumberFormat="1" applyFill="1" applyBorder="1" applyAlignment="1" applyProtection="1">
      <alignment vertical="center"/>
      <protection locked="0"/>
    </xf>
    <xf numFmtId="164" fontId="0" fillId="7" borderId="46" xfId="0" applyNumberFormat="1" applyFill="1" applyBorder="1" applyAlignment="1" applyProtection="1">
      <alignment vertical="center"/>
      <protection locked="0"/>
    </xf>
    <xf numFmtId="164" fontId="0" fillId="7" borderId="47" xfId="0" applyNumberFormat="1" applyFill="1" applyBorder="1" applyAlignment="1" applyProtection="1">
      <alignment vertical="center"/>
      <protection locked="0"/>
    </xf>
    <xf numFmtId="164" fontId="0" fillId="7" borderId="45" xfId="0" applyNumberFormat="1" applyFill="1" applyBorder="1" applyAlignment="1" applyProtection="1">
      <alignment vertical="center"/>
      <protection locked="0"/>
    </xf>
    <xf numFmtId="164" fontId="0" fillId="7" borderId="43" xfId="0" applyNumberFormat="1" applyFill="1" applyBorder="1" applyAlignment="1" applyProtection="1">
      <alignment vertical="center"/>
      <protection locked="0"/>
    </xf>
    <xf numFmtId="9" fontId="0" fillId="7" borderId="147" xfId="0" applyNumberFormat="1" applyFill="1" applyBorder="1" applyAlignment="1" applyProtection="1">
      <alignment vertical="center"/>
      <protection locked="0"/>
    </xf>
    <xf numFmtId="9" fontId="0" fillId="7" borderId="23" xfId="0" applyNumberFormat="1" applyFill="1" applyBorder="1" applyAlignment="1" applyProtection="1">
      <alignment vertical="center"/>
      <protection locked="0"/>
    </xf>
    <xf numFmtId="9" fontId="0" fillId="7" borderId="149" xfId="0" applyNumberFormat="1" applyFill="1" applyBorder="1" applyAlignment="1" applyProtection="1">
      <alignment vertical="center"/>
      <protection locked="0"/>
    </xf>
    <xf numFmtId="9" fontId="0" fillId="7" borderId="98" xfId="0" applyNumberFormat="1" applyFill="1" applyBorder="1" applyAlignment="1" applyProtection="1">
      <alignment vertical="center"/>
      <protection locked="0"/>
    </xf>
    <xf numFmtId="164" fontId="0" fillId="7" borderId="171" xfId="0" applyNumberFormat="1" applyFill="1" applyBorder="1" applyAlignment="1" applyProtection="1">
      <alignment vertical="center"/>
      <protection locked="0"/>
    </xf>
    <xf numFmtId="164" fontId="0" fillId="7" borderId="172" xfId="0" applyNumberFormat="1" applyFill="1" applyBorder="1" applyAlignment="1" applyProtection="1">
      <alignment vertical="center"/>
      <protection locked="0"/>
    </xf>
    <xf numFmtId="164" fontId="0" fillId="7" borderId="173" xfId="0" applyNumberFormat="1" applyFill="1" applyBorder="1" applyAlignment="1" applyProtection="1">
      <alignment vertical="center"/>
      <protection locked="0"/>
    </xf>
    <xf numFmtId="9" fontId="0" fillId="0" borderId="5" xfId="0" applyNumberFormat="1" applyFill="1" applyBorder="1" applyAlignment="1" applyProtection="1">
      <alignment vertical="center"/>
    </xf>
    <xf numFmtId="9" fontId="0" fillId="0" borderId="7" xfId="0" applyNumberFormat="1" applyFill="1" applyBorder="1" applyAlignment="1" applyProtection="1">
      <alignment vertical="center"/>
    </xf>
    <xf numFmtId="0" fontId="0" fillId="0" borderId="10" xfId="0" quotePrefix="1" applyBorder="1" applyAlignment="1" applyProtection="1">
      <alignment horizontal="right" vertical="center"/>
    </xf>
    <xf numFmtId="0" fontId="0" fillId="0" borderId="151" xfId="0" quotePrefix="1" applyBorder="1" applyAlignment="1" applyProtection="1">
      <alignment horizontal="right" vertical="center"/>
    </xf>
    <xf numFmtId="164" fontId="0" fillId="0" borderId="173" xfId="0" applyNumberFormat="1" applyBorder="1" applyAlignment="1" applyProtection="1">
      <alignment vertical="center"/>
    </xf>
    <xf numFmtId="164" fontId="0" fillId="0" borderId="137" xfId="0" applyNumberFormat="1" applyBorder="1" applyAlignment="1" applyProtection="1">
      <alignment vertical="center"/>
    </xf>
    <xf numFmtId="0" fontId="0" fillId="0" borderId="5" xfId="0" applyFill="1" applyBorder="1" applyAlignment="1" applyProtection="1"/>
    <xf numFmtId="0" fontId="0" fillId="0" borderId="0" xfId="0" applyFill="1" applyBorder="1" applyAlignment="1" applyProtection="1"/>
    <xf numFmtId="0" fontId="0" fillId="0" borderId="153" xfId="0" applyFill="1" applyBorder="1" applyAlignment="1" applyProtection="1"/>
    <xf numFmtId="0" fontId="0" fillId="0" borderId="78" xfId="0" applyFill="1" applyBorder="1" applyAlignment="1" applyProtection="1"/>
    <xf numFmtId="0" fontId="0" fillId="0" borderId="76" xfId="0" applyFill="1" applyBorder="1" applyAlignment="1" applyProtection="1"/>
    <xf numFmtId="0" fontId="0" fillId="0" borderId="79" xfId="0" applyFill="1" applyBorder="1" applyAlignment="1" applyProtection="1"/>
    <xf numFmtId="0" fontId="0" fillId="0" borderId="83" xfId="0" applyFill="1" applyBorder="1" applyAlignment="1" applyProtection="1"/>
    <xf numFmtId="0" fontId="0" fillId="0" borderId="166" xfId="0" applyFill="1" applyBorder="1" applyAlignment="1" applyProtection="1"/>
    <xf numFmtId="0" fontId="0" fillId="0" borderId="82" xfId="0" applyFill="1" applyBorder="1" applyAlignment="1" applyProtection="1"/>
    <xf numFmtId="0" fontId="0" fillId="0" borderId="84" xfId="0" applyFill="1" applyBorder="1" applyAlignment="1" applyProtection="1"/>
    <xf numFmtId="0" fontId="0" fillId="0" borderId="0" xfId="0" applyProtection="1"/>
    <xf numFmtId="8" fontId="0" fillId="9" borderId="33" xfId="0" applyNumberFormat="1" applyFill="1" applyBorder="1" applyAlignment="1" applyProtection="1">
      <alignment vertical="center"/>
    </xf>
    <xf numFmtId="8" fontId="0" fillId="9" borderId="16" xfId="0" applyNumberFormat="1" applyFill="1" applyBorder="1" applyAlignment="1" applyProtection="1">
      <alignment vertical="center"/>
    </xf>
    <xf numFmtId="8" fontId="0" fillId="9" borderId="67" xfId="0" applyNumberFormat="1" applyFill="1" applyBorder="1" applyAlignment="1" applyProtection="1">
      <alignment vertical="center"/>
    </xf>
    <xf numFmtId="8" fontId="6" fillId="9" borderId="36" xfId="0" applyNumberFormat="1" applyFont="1" applyFill="1" applyBorder="1" applyAlignment="1" applyProtection="1">
      <alignment vertical="center"/>
    </xf>
    <xf numFmtId="8" fontId="0" fillId="9" borderId="24" xfId="0" applyNumberFormat="1" applyFill="1" applyBorder="1" applyAlignment="1" applyProtection="1">
      <alignment vertical="center"/>
    </xf>
    <xf numFmtId="8" fontId="6" fillId="9" borderId="38" xfId="0" applyNumberFormat="1" applyFont="1" applyFill="1" applyBorder="1" applyAlignment="1" applyProtection="1">
      <alignment vertical="center"/>
    </xf>
    <xf numFmtId="8" fontId="6" fillId="9" borderId="37" xfId="0" applyNumberFormat="1" applyFont="1" applyFill="1" applyBorder="1" applyAlignment="1" applyProtection="1">
      <alignment vertical="center"/>
    </xf>
    <xf numFmtId="164" fontId="0" fillId="0" borderId="26" xfId="0" applyNumberFormat="1" applyBorder="1" applyAlignment="1" applyProtection="1">
      <alignment vertical="center"/>
    </xf>
    <xf numFmtId="164" fontId="0" fillId="0" borderId="171" xfId="0" applyNumberFormat="1" applyBorder="1" applyAlignment="1" applyProtection="1">
      <alignment vertical="center"/>
    </xf>
    <xf numFmtId="164" fontId="0" fillId="0" borderId="72" xfId="0" applyNumberFormat="1" applyBorder="1" applyAlignment="1" applyProtection="1">
      <alignment vertical="center"/>
    </xf>
    <xf numFmtId="164" fontId="0" fillId="0" borderId="163" xfId="0" applyNumberFormat="1" applyBorder="1" applyAlignment="1" applyProtection="1">
      <alignment vertical="center"/>
    </xf>
    <xf numFmtId="0" fontId="0" fillId="0" borderId="11" xfId="0" quotePrefix="1" applyBorder="1" applyAlignment="1" applyProtection="1">
      <alignment horizontal="right" vertical="center"/>
    </xf>
    <xf numFmtId="164" fontId="0" fillId="0" borderId="25" xfId="0" applyNumberFormat="1" applyBorder="1" applyAlignment="1" applyProtection="1">
      <alignment vertical="center"/>
    </xf>
    <xf numFmtId="164" fontId="0" fillId="0" borderId="172" xfId="0" applyNumberFormat="1" applyBorder="1" applyAlignment="1" applyProtection="1">
      <alignment vertical="center"/>
    </xf>
    <xf numFmtId="164" fontId="0" fillId="0" borderId="73" xfId="0" applyNumberFormat="1" applyBorder="1" applyAlignment="1" applyProtection="1">
      <alignment vertical="center"/>
    </xf>
    <xf numFmtId="164" fontId="0" fillId="0" borderId="13" xfId="0" applyNumberFormat="1" applyBorder="1" applyAlignment="1" applyProtection="1">
      <alignment vertical="center"/>
    </xf>
    <xf numFmtId="0" fontId="0" fillId="0" borderId="140" xfId="0" applyFill="1" applyBorder="1" applyAlignment="1" applyProtection="1"/>
    <xf numFmtId="0" fontId="0" fillId="0" borderId="124" xfId="0" applyFill="1" applyBorder="1" applyAlignment="1" applyProtection="1"/>
    <xf numFmtId="0" fontId="0" fillId="0" borderId="174" xfId="0" applyFill="1" applyBorder="1" applyAlignment="1" applyProtection="1"/>
    <xf numFmtId="0" fontId="0" fillId="0" borderId="129" xfId="0" applyFill="1" applyBorder="1" applyAlignment="1" applyProtection="1"/>
    <xf numFmtId="0" fontId="0" fillId="0" borderId="104" xfId="0" applyFill="1" applyBorder="1" applyAlignment="1" applyProtection="1"/>
    <xf numFmtId="0" fontId="0" fillId="0" borderId="6" xfId="0" applyFill="1" applyBorder="1" applyAlignment="1" applyProtection="1"/>
    <xf numFmtId="0" fontId="0" fillId="0" borderId="0" xfId="0" applyFill="1" applyProtection="1"/>
    <xf numFmtId="8" fontId="6" fillId="9" borderId="96" xfId="0" applyNumberFormat="1" applyFont="1" applyFill="1" applyBorder="1" applyAlignment="1" applyProtection="1">
      <alignment vertical="center"/>
    </xf>
    <xf numFmtId="164" fontId="0" fillId="0" borderId="168" xfId="0" applyNumberFormat="1" applyBorder="1" applyAlignment="1" applyProtection="1">
      <alignment vertical="center"/>
    </xf>
    <xf numFmtId="164" fontId="0" fillId="0" borderId="152" xfId="0" applyNumberFormat="1" applyBorder="1" applyAlignment="1" applyProtection="1">
      <alignment vertical="center"/>
    </xf>
    <xf numFmtId="164" fontId="0" fillId="0" borderId="161" xfId="0" applyNumberFormat="1" applyBorder="1" applyAlignment="1" applyProtection="1">
      <alignment vertical="center"/>
    </xf>
    <xf numFmtId="0" fontId="0" fillId="0" borderId="5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153" xfId="0" applyFill="1" applyBorder="1" applyAlignment="1" applyProtection="1">
      <alignment horizontal="left" vertical="center"/>
    </xf>
    <xf numFmtId="164" fontId="0" fillId="0" borderId="140" xfId="0" applyNumberFormat="1" applyFill="1" applyBorder="1" applyAlignment="1" applyProtection="1">
      <alignment vertical="center"/>
    </xf>
    <xf numFmtId="164" fontId="0" fillId="0" borderId="174" xfId="0" applyNumberFormat="1" applyFill="1" applyBorder="1" applyAlignment="1" applyProtection="1">
      <alignment vertical="center"/>
    </xf>
    <xf numFmtId="164" fontId="6" fillId="0" borderId="129" xfId="0" applyNumberFormat="1" applyFont="1" applyFill="1" applyBorder="1" applyAlignment="1" applyProtection="1">
      <alignment vertical="center"/>
    </xf>
    <xf numFmtId="164" fontId="6" fillId="0" borderId="104" xfId="0" applyNumberFormat="1" applyFont="1" applyFill="1" applyBorder="1" applyAlignment="1" applyProtection="1">
      <alignment vertical="center"/>
    </xf>
    <xf numFmtId="164" fontId="6" fillId="0" borderId="6" xfId="0" applyNumberFormat="1" applyFont="1" applyFill="1" applyBorder="1" applyAlignment="1" applyProtection="1">
      <alignment vertical="center"/>
    </xf>
    <xf numFmtId="0" fontId="0" fillId="0" borderId="181" xfId="0" quotePrefix="1" applyBorder="1" applyAlignment="1" applyProtection="1">
      <alignment horizontal="right" vertical="center"/>
    </xf>
    <xf numFmtId="164" fontId="0" fillId="0" borderId="184" xfId="0" applyNumberFormat="1" applyBorder="1" applyAlignment="1" applyProtection="1">
      <alignment vertical="center"/>
    </xf>
    <xf numFmtId="164" fontId="0" fillId="0" borderId="182" xfId="0" applyNumberFormat="1" applyBorder="1" applyAlignment="1" applyProtection="1">
      <alignment vertical="center"/>
    </xf>
    <xf numFmtId="164" fontId="0" fillId="0" borderId="162" xfId="0" applyNumberFormat="1" applyBorder="1" applyAlignment="1" applyProtection="1">
      <alignment vertical="center"/>
    </xf>
    <xf numFmtId="164" fontId="0" fillId="0" borderId="165" xfId="0" applyNumberFormat="1" applyBorder="1" applyAlignment="1" applyProtection="1">
      <alignment vertical="center"/>
    </xf>
    <xf numFmtId="164" fontId="0" fillId="0" borderId="185" xfId="0" applyNumberFormat="1" applyBorder="1" applyAlignment="1" applyProtection="1">
      <alignment vertical="center"/>
    </xf>
    <xf numFmtId="0" fontId="0" fillId="0" borderId="7" xfId="0" applyBorder="1" applyProtection="1"/>
    <xf numFmtId="0" fontId="0" fillId="0" borderId="8" xfId="0" applyBorder="1" applyProtection="1"/>
    <xf numFmtId="0" fontId="0" fillId="0" borderId="156" xfId="0" applyBorder="1" applyProtection="1"/>
    <xf numFmtId="0" fontId="0" fillId="0" borderId="176" xfId="0" applyBorder="1" applyProtection="1"/>
    <xf numFmtId="0" fontId="0" fillId="0" borderId="169" xfId="0" applyBorder="1" applyProtection="1"/>
    <xf numFmtId="0" fontId="0" fillId="0" borderId="175" xfId="0" applyBorder="1" applyProtection="1"/>
    <xf numFmtId="0" fontId="0" fillId="0" borderId="190" xfId="0" applyBorder="1" applyProtection="1"/>
    <xf numFmtId="0" fontId="0" fillId="0" borderId="186" xfId="0" applyBorder="1" applyProtection="1"/>
    <xf numFmtId="0" fontId="0" fillId="0" borderId="119" xfId="0" applyBorder="1" applyProtection="1"/>
    <xf numFmtId="0" fontId="0" fillId="0" borderId="189" xfId="0" applyBorder="1" applyProtection="1"/>
    <xf numFmtId="0" fontId="0" fillId="0" borderId="191" xfId="0" applyBorder="1" applyProtection="1"/>
    <xf numFmtId="0" fontId="0" fillId="0" borderId="167" xfId="0" applyBorder="1" applyProtection="1"/>
    <xf numFmtId="0" fontId="0" fillId="0" borderId="187" xfId="0" applyBorder="1" applyProtection="1"/>
    <xf numFmtId="8" fontId="12" fillId="5" borderId="179" xfId="0" applyNumberFormat="1" applyFont="1" applyFill="1" applyBorder="1" applyAlignment="1" applyProtection="1">
      <alignment vertical="center"/>
    </xf>
    <xf numFmtId="8" fontId="12" fillId="5" borderId="62" xfId="0" applyNumberFormat="1" applyFont="1" applyFill="1" applyBorder="1" applyAlignment="1" applyProtection="1">
      <alignment vertical="center"/>
    </xf>
    <xf numFmtId="8" fontId="12" fillId="5" borderId="188" xfId="0" applyNumberFormat="1" applyFont="1" applyFill="1" applyBorder="1" applyAlignment="1" applyProtection="1">
      <alignment vertical="center"/>
    </xf>
    <xf numFmtId="8" fontId="2" fillId="5" borderId="64" xfId="0" applyNumberFormat="1" applyFont="1" applyFill="1" applyBorder="1" applyAlignment="1" applyProtection="1">
      <alignment vertical="center"/>
    </xf>
    <xf numFmtId="8" fontId="2" fillId="5" borderId="180" xfId="0" applyNumberFormat="1" applyFont="1" applyFill="1" applyBorder="1" applyAlignment="1" applyProtection="1">
      <alignment vertical="center"/>
    </xf>
    <xf numFmtId="8" fontId="2" fillId="5" borderId="4" xfId="0" applyNumberFormat="1" applyFont="1" applyFill="1" applyBorder="1" applyAlignment="1" applyProtection="1">
      <alignment vertical="center"/>
    </xf>
    <xf numFmtId="164" fontId="0" fillId="0" borderId="194" xfId="0" applyNumberFormat="1" applyBorder="1" applyAlignment="1" applyProtection="1">
      <alignment vertical="center"/>
    </xf>
    <xf numFmtId="164" fontId="0" fillId="0" borderId="193" xfId="0" applyNumberFormat="1" applyBorder="1" applyAlignment="1" applyProtection="1">
      <alignment vertical="center"/>
    </xf>
    <xf numFmtId="164" fontId="0" fillId="0" borderId="195" xfId="0" applyNumberFormat="1" applyBorder="1" applyAlignment="1" applyProtection="1">
      <alignment vertical="center"/>
    </xf>
    <xf numFmtId="164" fontId="0" fillId="0" borderId="196" xfId="0" applyNumberFormat="1" applyBorder="1" applyAlignment="1" applyProtection="1">
      <alignment vertical="center"/>
    </xf>
    <xf numFmtId="164" fontId="0" fillId="0" borderId="177" xfId="0" applyNumberFormat="1" applyBorder="1" applyAlignment="1" applyProtection="1">
      <alignment vertical="center"/>
    </xf>
    <xf numFmtId="164" fontId="0" fillId="0" borderId="12" xfId="0" applyNumberFormat="1" applyBorder="1" applyAlignment="1" applyProtection="1">
      <alignment vertical="center"/>
    </xf>
    <xf numFmtId="164" fontId="0" fillId="0" borderId="197" xfId="0" applyNumberFormat="1" applyBorder="1" applyAlignment="1" applyProtection="1">
      <alignment vertical="center"/>
    </xf>
    <xf numFmtId="164" fontId="0" fillId="0" borderId="200" xfId="0" applyNumberFormat="1" applyBorder="1" applyAlignment="1" applyProtection="1">
      <alignment vertical="center"/>
    </xf>
    <xf numFmtId="164" fontId="0" fillId="0" borderId="100" xfId="0" applyNumberFormat="1" applyBorder="1" applyAlignment="1" applyProtection="1">
      <alignment vertical="center"/>
    </xf>
    <xf numFmtId="164" fontId="0" fillId="0" borderId="102" xfId="0" applyNumberFormat="1" applyBorder="1" applyAlignment="1" applyProtection="1">
      <alignment vertical="center"/>
    </xf>
    <xf numFmtId="164" fontId="0" fillId="0" borderId="203" xfId="0" applyNumberFormat="1" applyBorder="1" applyAlignment="1" applyProtection="1">
      <alignment vertical="center"/>
    </xf>
    <xf numFmtId="164" fontId="0" fillId="0" borderId="1" xfId="0" applyNumberFormat="1" applyBorder="1" applyAlignment="1" applyProtection="1">
      <alignment vertical="center"/>
    </xf>
    <xf numFmtId="164" fontId="0" fillId="0" borderId="105" xfId="0" applyNumberFormat="1" applyBorder="1" applyAlignment="1" applyProtection="1">
      <alignment vertical="center"/>
    </xf>
    <xf numFmtId="164" fontId="0" fillId="0" borderId="150" xfId="0" applyNumberFormat="1" applyBorder="1" applyAlignment="1" applyProtection="1">
      <alignment vertical="center"/>
    </xf>
    <xf numFmtId="164" fontId="6" fillId="5" borderId="170" xfId="0" applyNumberFormat="1" applyFont="1" applyFill="1" applyBorder="1" applyAlignment="1" applyProtection="1">
      <alignment vertical="center"/>
    </xf>
    <xf numFmtId="164" fontId="6" fillId="0" borderId="201" xfId="0" applyNumberFormat="1" applyFont="1" applyBorder="1" applyAlignment="1" applyProtection="1">
      <alignment vertical="center"/>
    </xf>
    <xf numFmtId="164" fontId="6" fillId="5" borderId="202" xfId="0" applyNumberFormat="1" applyFont="1" applyFill="1" applyBorder="1" applyAlignment="1" applyProtection="1">
      <alignment vertical="center"/>
    </xf>
    <xf numFmtId="164" fontId="6" fillId="5" borderId="187" xfId="0" applyNumberFormat="1" applyFont="1" applyFill="1" applyBorder="1" applyAlignment="1" applyProtection="1">
      <alignment vertical="center"/>
    </xf>
    <xf numFmtId="164" fontId="0" fillId="0" borderId="41" xfId="0" applyNumberFormat="1" applyFill="1" applyBorder="1" applyAlignment="1" applyProtection="1">
      <alignment horizontal="right" vertical="center"/>
    </xf>
    <xf numFmtId="164" fontId="0" fillId="0" borderId="22" xfId="0" applyNumberFormat="1" applyFill="1" applyBorder="1" applyAlignment="1" applyProtection="1">
      <alignment horizontal="right" vertical="center"/>
    </xf>
    <xf numFmtId="0" fontId="0" fillId="0" borderId="48" xfId="0" applyFill="1" applyBorder="1" applyAlignment="1" applyProtection="1">
      <alignment horizontal="center" vertical="center"/>
    </xf>
    <xf numFmtId="0" fontId="0" fillId="0" borderId="54" xfId="0" applyFill="1" applyBorder="1" applyAlignment="1" applyProtection="1">
      <alignment vertical="center"/>
    </xf>
    <xf numFmtId="164" fontId="0" fillId="0" borderId="55" xfId="0" applyNumberFormat="1" applyFill="1" applyBorder="1" applyAlignment="1" applyProtection="1">
      <alignment horizontal="right" vertical="center"/>
    </xf>
    <xf numFmtId="0" fontId="0" fillId="0" borderId="55" xfId="0" applyFill="1" applyBorder="1" applyAlignment="1" applyProtection="1">
      <alignment horizontal="center" vertical="center"/>
    </xf>
    <xf numFmtId="0" fontId="0" fillId="0" borderId="56" xfId="0" applyFill="1" applyBorder="1" applyAlignment="1" applyProtection="1">
      <alignment horizontal="center" vertical="center"/>
    </xf>
    <xf numFmtId="0" fontId="0" fillId="0" borderId="75" xfId="0" applyFill="1" applyBorder="1" applyAlignment="1" applyProtection="1">
      <alignment vertical="center"/>
    </xf>
    <xf numFmtId="0" fontId="0" fillId="0" borderId="76" xfId="0" applyFill="1" applyBorder="1" applyAlignment="1" applyProtection="1">
      <alignment vertical="center"/>
    </xf>
    <xf numFmtId="0" fontId="0" fillId="0" borderId="77" xfId="0" applyFill="1" applyBorder="1" applyAlignment="1" applyProtection="1">
      <alignment vertical="center"/>
    </xf>
    <xf numFmtId="0" fontId="0" fillId="0" borderId="33" xfId="0" applyFont="1" applyBorder="1" applyAlignment="1" applyProtection="1">
      <alignment horizontal="center" vertical="center"/>
    </xf>
    <xf numFmtId="0" fontId="0" fillId="0" borderId="34" xfId="0" applyFont="1" applyBorder="1" applyAlignment="1" applyProtection="1">
      <alignment horizontal="center" vertical="center"/>
    </xf>
    <xf numFmtId="0" fontId="0" fillId="0" borderId="35" xfId="0" applyFont="1" applyBorder="1" applyAlignment="1" applyProtection="1">
      <alignment horizontal="center" vertical="center" wrapText="1"/>
    </xf>
    <xf numFmtId="164" fontId="2" fillId="6" borderId="180" xfId="0" applyNumberFormat="1" applyFont="1" applyFill="1" applyBorder="1" applyAlignment="1" applyProtection="1">
      <alignment vertical="center"/>
    </xf>
    <xf numFmtId="164" fontId="0" fillId="0" borderId="206" xfId="0" applyNumberFormat="1" applyBorder="1" applyAlignment="1" applyProtection="1">
      <alignment vertical="center"/>
    </xf>
    <xf numFmtId="164" fontId="0" fillId="0" borderId="207" xfId="0" applyNumberFormat="1" applyBorder="1" applyAlignment="1" applyProtection="1">
      <alignment vertical="center"/>
    </xf>
    <xf numFmtId="164" fontId="0" fillId="0" borderId="210" xfId="0" applyNumberFormat="1" applyBorder="1" applyAlignment="1" applyProtection="1">
      <alignment vertical="center"/>
    </xf>
    <xf numFmtId="164" fontId="7" fillId="5" borderId="208" xfId="0" applyNumberFormat="1" applyFont="1" applyFill="1" applyBorder="1" applyAlignment="1" applyProtection="1">
      <alignment vertical="center"/>
    </xf>
    <xf numFmtId="164" fontId="2" fillId="6" borderId="209" xfId="0" applyNumberFormat="1" applyFont="1" applyFill="1" applyBorder="1" applyAlignment="1" applyProtection="1">
      <alignment vertical="center"/>
    </xf>
    <xf numFmtId="0" fontId="0" fillId="0" borderId="38" xfId="0" applyFont="1" applyBorder="1" applyAlignment="1" applyProtection="1">
      <alignment horizontal="center" vertical="center"/>
    </xf>
    <xf numFmtId="164" fontId="0" fillId="0" borderId="44" xfId="0" applyNumberFormat="1" applyBorder="1" applyAlignment="1" applyProtection="1">
      <alignment vertical="center"/>
    </xf>
    <xf numFmtId="164" fontId="0" fillId="0" borderId="58" xfId="0" applyNumberFormat="1" applyBorder="1" applyAlignment="1" applyProtection="1">
      <alignment vertical="center"/>
    </xf>
    <xf numFmtId="164" fontId="0" fillId="0" borderId="211" xfId="0" applyNumberFormat="1" applyBorder="1" applyAlignment="1" applyProtection="1">
      <alignment vertical="center"/>
    </xf>
    <xf numFmtId="164" fontId="0" fillId="0" borderId="98" xfId="0" applyNumberFormat="1" applyBorder="1" applyAlignment="1" applyProtection="1">
      <alignment vertical="center"/>
    </xf>
    <xf numFmtId="164" fontId="0" fillId="0" borderId="212" xfId="0" applyNumberFormat="1" applyBorder="1" applyAlignment="1" applyProtection="1">
      <alignment vertical="center"/>
    </xf>
    <xf numFmtId="0" fontId="2" fillId="2" borderId="7" xfId="0" applyFont="1" applyFill="1" applyBorder="1" applyAlignment="1" applyProtection="1">
      <alignment vertical="center"/>
    </xf>
    <xf numFmtId="164" fontId="0" fillId="10" borderId="43" xfId="0" applyNumberFormat="1" applyFill="1" applyBorder="1" applyAlignment="1" applyProtection="1">
      <alignment vertical="center"/>
    </xf>
    <xf numFmtId="164" fontId="0" fillId="10" borderId="57" xfId="0" applyNumberFormat="1" applyFill="1" applyBorder="1" applyAlignment="1" applyProtection="1">
      <alignment vertical="center"/>
    </xf>
    <xf numFmtId="164" fontId="0" fillId="10" borderId="45" xfId="0" applyNumberFormat="1" applyFill="1" applyBorder="1" applyAlignment="1" applyProtection="1">
      <alignment vertical="center"/>
    </xf>
    <xf numFmtId="164" fontId="0" fillId="10" borderId="59" xfId="0" applyNumberFormat="1" applyFill="1" applyBorder="1" applyAlignment="1" applyProtection="1">
      <alignment vertical="center"/>
    </xf>
    <xf numFmtId="164" fontId="7" fillId="5" borderId="87" xfId="0" applyNumberFormat="1" applyFont="1" applyFill="1" applyBorder="1" applyAlignment="1" applyProtection="1">
      <alignment vertical="center"/>
    </xf>
    <xf numFmtId="164" fontId="7" fillId="5" borderId="90" xfId="0" applyNumberFormat="1" applyFont="1" applyFill="1" applyBorder="1" applyAlignment="1" applyProtection="1">
      <alignment vertical="center"/>
    </xf>
    <xf numFmtId="164" fontId="0" fillId="10" borderId="90" xfId="0" applyNumberFormat="1" applyFont="1" applyFill="1" applyBorder="1" applyAlignment="1" applyProtection="1">
      <alignment vertical="center"/>
    </xf>
    <xf numFmtId="164" fontId="8" fillId="10" borderId="65" xfId="0" applyNumberFormat="1" applyFont="1" applyFill="1" applyBorder="1" applyAlignment="1" applyProtection="1">
      <alignment vertical="center"/>
    </xf>
    <xf numFmtId="164" fontId="8" fillId="10" borderId="95" xfId="0" applyNumberFormat="1" applyFont="1" applyFill="1" applyBorder="1" applyAlignment="1" applyProtection="1">
      <alignment vertical="center"/>
    </xf>
    <xf numFmtId="164" fontId="0" fillId="10" borderId="87" xfId="0" applyNumberFormat="1" applyFont="1" applyFill="1" applyBorder="1" applyAlignment="1" applyProtection="1">
      <alignment vertical="center"/>
    </xf>
    <xf numFmtId="164" fontId="7" fillId="10" borderId="180" xfId="0" applyNumberFormat="1" applyFont="1" applyFill="1" applyBorder="1" applyAlignment="1" applyProtection="1">
      <alignment vertical="center"/>
    </xf>
    <xf numFmtId="164" fontId="7" fillId="10" borderId="209" xfId="0" applyNumberFormat="1" applyFont="1" applyFill="1" applyBorder="1" applyAlignment="1" applyProtection="1">
      <alignment vertical="center"/>
    </xf>
    <xf numFmtId="0" fontId="0" fillId="0" borderId="34" xfId="0" applyBorder="1" applyAlignment="1" applyProtection="1">
      <alignment horizontal="center" vertical="center" wrapText="1"/>
    </xf>
    <xf numFmtId="0" fontId="1" fillId="0" borderId="0" xfId="0" applyFont="1" applyFill="1" applyBorder="1" applyAlignment="1" applyProtection="1">
      <alignment vertical="center"/>
    </xf>
    <xf numFmtId="164" fontId="0" fillId="0" borderId="46" xfId="0" applyNumberFormat="1" applyFill="1" applyBorder="1" applyAlignment="1" applyProtection="1">
      <alignment vertical="center"/>
    </xf>
    <xf numFmtId="164" fontId="0" fillId="0" borderId="52" xfId="0" applyNumberFormat="1" applyFill="1" applyBorder="1" applyAlignment="1" applyProtection="1">
      <alignment vertical="center"/>
    </xf>
    <xf numFmtId="164" fontId="0" fillId="0" borderId="53" xfId="0" applyNumberFormat="1" applyFill="1" applyBorder="1" applyAlignment="1" applyProtection="1">
      <alignment vertical="center"/>
    </xf>
    <xf numFmtId="164" fontId="0" fillId="0" borderId="229" xfId="0" applyNumberFormat="1" applyFill="1" applyBorder="1" applyAlignment="1" applyProtection="1">
      <alignment vertical="center"/>
    </xf>
    <xf numFmtId="164" fontId="0" fillId="0" borderId="230" xfId="0" applyNumberFormat="1" applyFill="1" applyBorder="1" applyAlignment="1" applyProtection="1">
      <alignment vertical="center"/>
    </xf>
    <xf numFmtId="164" fontId="0" fillId="0" borderId="231" xfId="0" applyNumberFormat="1" applyFill="1" applyBorder="1" applyAlignment="1" applyProtection="1">
      <alignment vertical="center"/>
    </xf>
    <xf numFmtId="164" fontId="0" fillId="0" borderId="232" xfId="0" applyNumberFormat="1" applyFill="1" applyBorder="1" applyAlignment="1" applyProtection="1">
      <alignment vertical="center"/>
    </xf>
    <xf numFmtId="164" fontId="0" fillId="0" borderId="233" xfId="0" applyNumberFormat="1" applyFill="1" applyBorder="1" applyAlignment="1" applyProtection="1">
      <alignment vertical="center"/>
    </xf>
    <xf numFmtId="164" fontId="0" fillId="0" borderId="172" xfId="0" applyNumberFormat="1" applyFill="1" applyBorder="1" applyAlignment="1" applyProtection="1">
      <alignment vertical="center"/>
    </xf>
    <xf numFmtId="164" fontId="0" fillId="2" borderId="234" xfId="0" applyNumberFormat="1" applyFill="1" applyBorder="1" applyAlignment="1" applyProtection="1">
      <alignment vertical="center"/>
    </xf>
    <xf numFmtId="164" fontId="0" fillId="2" borderId="19" xfId="0" applyNumberFormat="1" applyFill="1" applyBorder="1" applyAlignment="1" applyProtection="1">
      <alignment vertical="center"/>
    </xf>
    <xf numFmtId="164" fontId="0" fillId="2" borderId="235" xfId="0" applyNumberFormat="1" applyFill="1" applyBorder="1" applyAlignment="1" applyProtection="1">
      <alignment vertical="center"/>
    </xf>
    <xf numFmtId="164" fontId="0" fillId="2" borderId="236" xfId="0" applyNumberFormat="1" applyFill="1" applyBorder="1" applyAlignment="1" applyProtection="1">
      <alignment vertical="center"/>
    </xf>
    <xf numFmtId="164" fontId="0" fillId="2" borderId="247" xfId="0" applyNumberFormat="1" applyFill="1" applyBorder="1" applyAlignment="1" applyProtection="1">
      <alignment vertical="center"/>
    </xf>
    <xf numFmtId="164" fontId="0" fillId="2" borderId="150" xfId="0" applyNumberFormat="1" applyFill="1" applyBorder="1" applyAlignment="1" applyProtection="1">
      <alignment vertical="center"/>
    </xf>
    <xf numFmtId="164" fontId="0" fillId="10" borderId="41" xfId="0" applyNumberFormat="1" applyFill="1" applyBorder="1" applyAlignment="1" applyProtection="1">
      <alignment vertical="center"/>
    </xf>
    <xf numFmtId="164" fontId="0" fillId="10" borderId="171" xfId="0" applyNumberFormat="1" applyFill="1" applyBorder="1" applyAlignment="1" applyProtection="1">
      <alignment vertical="center"/>
    </xf>
    <xf numFmtId="164" fontId="0" fillId="0" borderId="45" xfId="0" applyNumberFormat="1" applyBorder="1" applyAlignment="1" applyProtection="1">
      <alignment vertical="center"/>
    </xf>
    <xf numFmtId="164" fontId="0" fillId="0" borderId="51" xfId="0" applyNumberFormat="1" applyBorder="1" applyAlignment="1" applyProtection="1">
      <alignment vertical="center"/>
    </xf>
    <xf numFmtId="164" fontId="0" fillId="7" borderId="57" xfId="0" applyNumberFormat="1" applyFill="1" applyBorder="1" applyAlignment="1" applyProtection="1">
      <alignment vertical="center"/>
      <protection locked="0"/>
    </xf>
    <xf numFmtId="164" fontId="0" fillId="7" borderId="245" xfId="0" applyNumberFormat="1" applyFill="1" applyBorder="1" applyAlignment="1" applyProtection="1">
      <alignment vertical="center"/>
      <protection locked="0"/>
    </xf>
    <xf numFmtId="164" fontId="0" fillId="7" borderId="135" xfId="0" applyNumberFormat="1" applyFill="1" applyBorder="1" applyAlignment="1" applyProtection="1">
      <alignment vertical="center"/>
      <protection locked="0"/>
    </xf>
    <xf numFmtId="164" fontId="0" fillId="7" borderId="140" xfId="0" applyNumberFormat="1" applyFill="1" applyBorder="1" applyAlignment="1" applyProtection="1">
      <alignment vertical="center"/>
      <protection locked="0"/>
    </xf>
    <xf numFmtId="164" fontId="0" fillId="7" borderId="174" xfId="0" applyNumberFormat="1" applyFill="1" applyBorder="1" applyAlignment="1" applyProtection="1">
      <alignment vertical="center"/>
      <protection locked="0"/>
    </xf>
    <xf numFmtId="10" fontId="0" fillId="0" borderId="46" xfId="0" applyNumberFormat="1" applyBorder="1" applyAlignment="1" applyProtection="1">
      <alignment vertical="center"/>
    </xf>
    <xf numFmtId="10" fontId="0" fillId="0" borderId="52" xfId="0" applyNumberFormat="1" applyBorder="1" applyAlignment="1" applyProtection="1">
      <alignment vertical="center"/>
    </xf>
    <xf numFmtId="10" fontId="0" fillId="0" borderId="135" xfId="0" applyNumberFormat="1" applyBorder="1" applyAlignment="1" applyProtection="1">
      <alignment vertical="center"/>
    </xf>
    <xf numFmtId="10" fontId="0" fillId="0" borderId="132" xfId="0" applyNumberFormat="1" applyBorder="1" applyAlignment="1" applyProtection="1">
      <alignment vertical="center"/>
    </xf>
    <xf numFmtId="10" fontId="0" fillId="0" borderId="136" xfId="0" applyNumberFormat="1" applyBorder="1" applyAlignment="1" applyProtection="1">
      <alignment vertical="center"/>
    </xf>
    <xf numFmtId="10" fontId="0" fillId="0" borderId="138" xfId="0" applyNumberFormat="1" applyBorder="1" applyAlignment="1" applyProtection="1">
      <alignment vertical="center"/>
    </xf>
    <xf numFmtId="10" fontId="0" fillId="0" borderId="137" xfId="0" applyNumberFormat="1" applyBorder="1" applyAlignment="1" applyProtection="1">
      <alignment vertical="center"/>
    </xf>
    <xf numFmtId="10" fontId="0" fillId="0" borderId="139" xfId="0" applyNumberFormat="1" applyBorder="1" applyAlignment="1" applyProtection="1">
      <alignment vertical="center"/>
    </xf>
    <xf numFmtId="0" fontId="0" fillId="0" borderId="5" xfId="0" applyBorder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0" fillId="0" borderId="126" xfId="0" applyBorder="1" applyAlignment="1" applyProtection="1">
      <alignment vertical="center"/>
    </xf>
    <xf numFmtId="0" fontId="0" fillId="0" borderId="124" xfId="0" applyBorder="1" applyAlignment="1" applyProtection="1">
      <alignment vertical="center"/>
    </xf>
    <xf numFmtId="0" fontId="0" fillId="0" borderId="127" xfId="0" applyBorder="1" applyAlignment="1" applyProtection="1">
      <alignment vertical="center"/>
    </xf>
    <xf numFmtId="0" fontId="0" fillId="0" borderId="129" xfId="0" applyBorder="1" applyAlignment="1" applyProtection="1">
      <alignment vertical="center"/>
    </xf>
    <xf numFmtId="0" fontId="0" fillId="0" borderId="128" xfId="0" applyBorder="1" applyAlignment="1" applyProtection="1">
      <alignment vertical="center"/>
    </xf>
    <xf numFmtId="0" fontId="0" fillId="0" borderId="130" xfId="0" applyBorder="1" applyAlignment="1" applyProtection="1">
      <alignment vertical="center"/>
    </xf>
    <xf numFmtId="0" fontId="2" fillId="0" borderId="154" xfId="0" applyFont="1" applyBorder="1" applyAlignment="1" applyProtection="1">
      <alignment vertical="center"/>
    </xf>
    <xf numFmtId="164" fontId="0" fillId="0" borderId="236" xfId="0" applyNumberFormat="1" applyBorder="1" applyAlignment="1" applyProtection="1">
      <alignment vertical="center"/>
    </xf>
    <xf numFmtId="0" fontId="0" fillId="0" borderId="239" xfId="0" applyBorder="1" applyAlignment="1" applyProtection="1">
      <alignment vertical="center"/>
    </xf>
    <xf numFmtId="164" fontId="6" fillId="5" borderId="64" xfId="0" applyNumberFormat="1" applyFont="1" applyFill="1" applyBorder="1" applyAlignment="1" applyProtection="1">
      <alignment vertical="center"/>
    </xf>
    <xf numFmtId="164" fontId="6" fillId="5" borderId="66" xfId="0" applyNumberFormat="1" applyFont="1" applyFill="1" applyBorder="1" applyAlignment="1" applyProtection="1">
      <alignment vertical="center"/>
    </xf>
    <xf numFmtId="164" fontId="0" fillId="0" borderId="234" xfId="0" applyNumberFormat="1" applyBorder="1" applyAlignment="1" applyProtection="1">
      <alignment vertical="center"/>
    </xf>
    <xf numFmtId="164" fontId="0" fillId="0" borderId="19" xfId="0" applyNumberFormat="1" applyBorder="1" applyAlignment="1" applyProtection="1">
      <alignment vertical="center"/>
    </xf>
    <xf numFmtId="164" fontId="0" fillId="0" borderId="235" xfId="0" applyNumberFormat="1" applyBorder="1" applyAlignment="1" applyProtection="1">
      <alignment vertical="center"/>
    </xf>
    <xf numFmtId="164" fontId="0" fillId="0" borderId="237" xfId="0" applyNumberFormat="1" applyBorder="1" applyAlignment="1" applyProtection="1">
      <alignment vertical="center"/>
    </xf>
    <xf numFmtId="164" fontId="0" fillId="0" borderId="106" xfId="0" applyNumberFormat="1" applyBorder="1" applyAlignment="1" applyProtection="1">
      <alignment vertical="center"/>
    </xf>
    <xf numFmtId="164" fontId="0" fillId="0" borderId="140" xfId="0" applyNumberFormat="1" applyBorder="1" applyAlignment="1" applyProtection="1">
      <alignment vertical="center"/>
    </xf>
    <xf numFmtId="164" fontId="0" fillId="0" borderId="174" xfId="0" applyNumberFormat="1" applyBorder="1" applyAlignment="1" applyProtection="1">
      <alignment vertical="center"/>
    </xf>
    <xf numFmtId="0" fontId="0" fillId="0" borderId="140" xfId="0" applyBorder="1" applyAlignment="1" applyProtection="1">
      <alignment vertical="center"/>
    </xf>
    <xf numFmtId="0" fontId="0" fillId="0" borderId="174" xfId="0" applyBorder="1" applyAlignment="1" applyProtection="1">
      <alignment vertical="center"/>
    </xf>
    <xf numFmtId="0" fontId="0" fillId="0" borderId="104" xfId="0" applyBorder="1" applyAlignment="1" applyProtection="1">
      <alignment vertical="center"/>
    </xf>
    <xf numFmtId="164" fontId="0" fillId="0" borderId="60" xfId="0" applyNumberFormat="1" applyFill="1" applyBorder="1" applyAlignment="1" applyProtection="1">
      <alignment vertical="center"/>
    </xf>
    <xf numFmtId="164" fontId="0" fillId="0" borderId="138" xfId="0" applyNumberFormat="1" applyFill="1" applyBorder="1" applyAlignment="1" applyProtection="1">
      <alignment vertical="center"/>
    </xf>
    <xf numFmtId="0" fontId="0" fillId="0" borderId="129" xfId="0" applyFill="1" applyBorder="1" applyAlignment="1" applyProtection="1">
      <alignment vertical="center"/>
    </xf>
    <xf numFmtId="8" fontId="12" fillId="6" borderId="251" xfId="0" applyNumberFormat="1" applyFont="1" applyFill="1" applyBorder="1" applyAlignment="1" applyProtection="1">
      <alignment vertical="center"/>
    </xf>
    <xf numFmtId="8" fontId="12" fillId="6" borderId="252" xfId="0" applyNumberFormat="1" applyFont="1" applyFill="1" applyBorder="1" applyAlignment="1" applyProtection="1">
      <alignment vertical="center"/>
    </xf>
    <xf numFmtId="8" fontId="12" fillId="6" borderId="253" xfId="0" applyNumberFormat="1" applyFont="1" applyFill="1" applyBorder="1" applyAlignment="1" applyProtection="1">
      <alignment vertical="center"/>
    </xf>
    <xf numFmtId="8" fontId="12" fillId="6" borderId="217" xfId="0" applyNumberFormat="1" applyFont="1" applyFill="1" applyBorder="1" applyAlignment="1" applyProtection="1">
      <alignment vertical="center"/>
    </xf>
    <xf numFmtId="8" fontId="12" fillId="6" borderId="254" xfId="0" applyNumberFormat="1" applyFont="1" applyFill="1" applyBorder="1" applyAlignment="1" applyProtection="1">
      <alignment vertical="center"/>
    </xf>
    <xf numFmtId="8" fontId="12" fillId="6" borderId="255" xfId="0" applyNumberFormat="1" applyFont="1" applyFill="1" applyBorder="1" applyAlignment="1" applyProtection="1">
      <alignment vertical="center"/>
    </xf>
    <xf numFmtId="8" fontId="12" fillId="6" borderId="239" xfId="0" applyNumberFormat="1" applyFont="1" applyFill="1" applyBorder="1" applyAlignment="1" applyProtection="1">
      <alignment vertical="center"/>
    </xf>
    <xf numFmtId="0" fontId="2" fillId="2" borderId="181" xfId="0" applyFont="1" applyFill="1" applyBorder="1" applyAlignment="1" applyProtection="1">
      <alignment vertical="center"/>
    </xf>
    <xf numFmtId="0" fontId="2" fillId="2" borderId="182" xfId="0" applyFont="1" applyFill="1" applyBorder="1" applyAlignment="1" applyProtection="1">
      <alignment vertical="center"/>
    </xf>
    <xf numFmtId="8" fontId="2" fillId="2" borderId="256" xfId="0" applyNumberFormat="1" applyFont="1" applyFill="1" applyBorder="1" applyAlignment="1" applyProtection="1">
      <alignment vertical="center"/>
    </xf>
    <xf numFmtId="8" fontId="2" fillId="2" borderId="257" xfId="0" applyNumberFormat="1" applyFont="1" applyFill="1" applyBorder="1" applyAlignment="1" applyProtection="1">
      <alignment vertical="center"/>
    </xf>
    <xf numFmtId="8" fontId="2" fillId="2" borderId="258" xfId="0" applyNumberFormat="1" applyFont="1" applyFill="1" applyBorder="1" applyAlignment="1" applyProtection="1">
      <alignment vertical="center"/>
    </xf>
    <xf numFmtId="8" fontId="2" fillId="2" borderId="182" xfId="0" applyNumberFormat="1" applyFont="1" applyFill="1" applyBorder="1" applyAlignment="1" applyProtection="1">
      <alignment vertical="center"/>
    </xf>
    <xf numFmtId="8" fontId="2" fillId="2" borderId="259" xfId="0" applyNumberFormat="1" applyFont="1" applyFill="1" applyBorder="1" applyAlignment="1" applyProtection="1">
      <alignment vertical="center"/>
    </xf>
    <xf numFmtId="8" fontId="2" fillId="2" borderId="162" xfId="0" applyNumberFormat="1" applyFont="1" applyFill="1" applyBorder="1" applyAlignment="1" applyProtection="1">
      <alignment vertical="center"/>
    </xf>
    <xf numFmtId="8" fontId="2" fillId="2" borderId="185" xfId="0" applyNumberFormat="1" applyFont="1" applyFill="1" applyBorder="1" applyAlignment="1" applyProtection="1">
      <alignment vertical="center"/>
    </xf>
    <xf numFmtId="8" fontId="2" fillId="6" borderId="261" xfId="0" applyNumberFormat="1" applyFont="1" applyFill="1" applyBorder="1" applyAlignment="1" applyProtection="1">
      <alignment vertical="center"/>
    </xf>
    <xf numFmtId="8" fontId="2" fillId="6" borderId="119" xfId="0" applyNumberFormat="1" applyFont="1" applyFill="1" applyBorder="1" applyAlignment="1" applyProtection="1">
      <alignment vertical="center"/>
    </xf>
    <xf numFmtId="8" fontId="2" fillId="6" borderId="262" xfId="0" applyNumberFormat="1" applyFont="1" applyFill="1" applyBorder="1" applyAlignment="1" applyProtection="1">
      <alignment vertical="center"/>
    </xf>
    <xf numFmtId="8" fontId="2" fillId="6" borderId="201" xfId="0" applyNumberFormat="1" applyFont="1" applyFill="1" applyBorder="1" applyAlignment="1" applyProtection="1">
      <alignment vertical="center"/>
    </xf>
    <xf numFmtId="8" fontId="2" fillId="6" borderId="263" xfId="0" applyNumberFormat="1" applyFont="1" applyFill="1" applyBorder="1" applyAlignment="1" applyProtection="1">
      <alignment vertical="center"/>
    </xf>
    <xf numFmtId="8" fontId="2" fillId="6" borderId="191" xfId="0" applyNumberFormat="1" applyFont="1" applyFill="1" applyBorder="1" applyAlignment="1" applyProtection="1">
      <alignment vertical="center"/>
    </xf>
    <xf numFmtId="8" fontId="2" fillId="6" borderId="264" xfId="0" applyNumberFormat="1" applyFont="1" applyFill="1" applyBorder="1" applyAlignment="1" applyProtection="1">
      <alignment vertical="center"/>
    </xf>
    <xf numFmtId="0" fontId="0" fillId="2" borderId="246" xfId="0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left" vertical="center"/>
    </xf>
    <xf numFmtId="0" fontId="0" fillId="2" borderId="248" xfId="0" applyFill="1" applyBorder="1" applyAlignment="1" applyProtection="1">
      <alignment horizontal="left" vertical="center"/>
    </xf>
    <xf numFmtId="0" fontId="0" fillId="0" borderId="0" xfId="0" applyFill="1" applyAlignment="1" applyProtection="1">
      <alignment vertical="center"/>
    </xf>
    <xf numFmtId="164" fontId="0" fillId="0" borderId="0" xfId="0" applyNumberFormat="1" applyAlignment="1" applyProtection="1">
      <alignment vertical="center"/>
    </xf>
    <xf numFmtId="164" fontId="0" fillId="10" borderId="49" xfId="0" applyNumberFormat="1" applyFill="1" applyBorder="1" applyAlignment="1" applyProtection="1">
      <alignment vertical="center"/>
    </xf>
    <xf numFmtId="164" fontId="0" fillId="10" borderId="22" xfId="0" applyNumberFormat="1" applyFill="1" applyBorder="1" applyAlignment="1" applyProtection="1">
      <alignment vertical="center"/>
    </xf>
    <xf numFmtId="164" fontId="0" fillId="10" borderId="172" xfId="0" applyNumberFormat="1" applyFill="1" applyBorder="1" applyAlignment="1" applyProtection="1">
      <alignment vertical="center"/>
    </xf>
    <xf numFmtId="164" fontId="0" fillId="10" borderId="55" xfId="0" applyNumberFormat="1" applyFill="1" applyBorder="1" applyAlignment="1" applyProtection="1">
      <alignment vertical="center"/>
    </xf>
    <xf numFmtId="10" fontId="0" fillId="11" borderId="98" xfId="0" applyNumberFormat="1" applyFill="1" applyBorder="1" applyAlignment="1" applyProtection="1">
      <alignment vertical="center"/>
    </xf>
    <xf numFmtId="164" fontId="0" fillId="0" borderId="61" xfId="0" applyNumberFormat="1" applyFill="1" applyBorder="1" applyAlignment="1" applyProtection="1">
      <alignment vertical="center"/>
    </xf>
    <xf numFmtId="164" fontId="0" fillId="0" borderId="245" xfId="0" applyNumberFormat="1" applyFill="1" applyBorder="1" applyAlignment="1" applyProtection="1">
      <alignment vertical="center"/>
    </xf>
    <xf numFmtId="0" fontId="0" fillId="0" borderId="96" xfId="0" applyFont="1" applyBorder="1" applyAlignment="1" applyProtection="1">
      <alignment horizontal="center" vertical="center"/>
    </xf>
    <xf numFmtId="164" fontId="0" fillId="0" borderId="163" xfId="0" applyNumberFormat="1" applyFill="1" applyBorder="1" applyAlignment="1" applyProtection="1">
      <alignment vertical="center"/>
    </xf>
    <xf numFmtId="164" fontId="0" fillId="0" borderId="13" xfId="0" applyNumberFormat="1" applyFill="1" applyBorder="1" applyAlignment="1" applyProtection="1">
      <alignment vertical="center"/>
    </xf>
    <xf numFmtId="164" fontId="0" fillId="0" borderId="101" xfId="0" applyNumberFormat="1" applyFill="1" applyBorder="1" applyAlignment="1" applyProtection="1">
      <alignment vertical="center"/>
    </xf>
    <xf numFmtId="164" fontId="0" fillId="0" borderId="271" xfId="0" applyNumberFormat="1" applyBorder="1" applyAlignment="1" applyProtection="1">
      <alignment vertical="center"/>
    </xf>
    <xf numFmtId="164" fontId="0" fillId="7" borderId="265" xfId="0" applyNumberFormat="1" applyFill="1" applyBorder="1" applyAlignment="1" applyProtection="1">
      <alignment vertical="center"/>
      <protection locked="0"/>
    </xf>
    <xf numFmtId="10" fontId="0" fillId="7" borderId="266" xfId="0" applyNumberFormat="1" applyFill="1" applyBorder="1" applyAlignment="1" applyProtection="1">
      <alignment vertical="center"/>
      <protection locked="0"/>
    </xf>
    <xf numFmtId="10" fontId="0" fillId="7" borderId="23" xfId="0" applyNumberFormat="1" applyFill="1" applyBorder="1" applyAlignment="1" applyProtection="1">
      <alignment vertical="center"/>
      <protection locked="0"/>
    </xf>
    <xf numFmtId="10" fontId="0" fillId="7" borderId="149" xfId="0" applyNumberFormat="1" applyFill="1" applyBorder="1" applyAlignment="1" applyProtection="1">
      <alignment vertical="center"/>
      <protection locked="0"/>
    </xf>
    <xf numFmtId="10" fontId="0" fillId="7" borderId="43" xfId="0" applyNumberFormat="1" applyFill="1" applyBorder="1" applyAlignment="1" applyProtection="1">
      <alignment vertical="center"/>
      <protection locked="0"/>
    </xf>
    <xf numFmtId="10" fontId="0" fillId="7" borderId="41" xfId="0" applyNumberFormat="1" applyFill="1" applyBorder="1" applyAlignment="1" applyProtection="1">
      <alignment vertical="center"/>
      <protection locked="0"/>
    </xf>
    <xf numFmtId="10" fontId="0" fillId="7" borderId="44" xfId="0" applyNumberFormat="1" applyFill="1" applyBorder="1" applyAlignment="1" applyProtection="1">
      <alignment vertical="center"/>
      <protection locked="0"/>
    </xf>
    <xf numFmtId="10" fontId="0" fillId="7" borderId="49" xfId="0" applyNumberFormat="1" applyFill="1" applyBorder="1" applyAlignment="1" applyProtection="1">
      <alignment vertical="center"/>
      <protection locked="0"/>
    </xf>
    <xf numFmtId="10" fontId="0" fillId="7" borderId="22" xfId="0" applyNumberFormat="1" applyFill="1" applyBorder="1" applyAlignment="1" applyProtection="1">
      <alignment vertical="center"/>
      <protection locked="0"/>
    </xf>
    <xf numFmtId="10" fontId="0" fillId="7" borderId="45" xfId="0" applyNumberFormat="1" applyFill="1" applyBorder="1" applyAlignment="1" applyProtection="1">
      <alignment vertical="center"/>
      <protection locked="0"/>
    </xf>
    <xf numFmtId="10" fontId="0" fillId="7" borderId="51" xfId="0" applyNumberFormat="1" applyFill="1" applyBorder="1" applyAlignment="1" applyProtection="1">
      <alignment vertical="center"/>
      <protection locked="0"/>
    </xf>
    <xf numFmtId="10" fontId="0" fillId="7" borderId="46" xfId="0" applyNumberFormat="1" applyFill="1" applyBorder="1" applyAlignment="1" applyProtection="1">
      <alignment vertical="center"/>
      <protection locked="0"/>
    </xf>
    <xf numFmtId="10" fontId="0" fillId="7" borderId="47" xfId="0" applyNumberFormat="1" applyFill="1" applyBorder="1" applyAlignment="1" applyProtection="1">
      <alignment vertical="center"/>
      <protection locked="0"/>
    </xf>
    <xf numFmtId="10" fontId="0" fillId="7" borderId="52" xfId="0" applyNumberFormat="1" applyFill="1" applyBorder="1" applyAlignment="1" applyProtection="1">
      <alignment vertical="center"/>
      <protection locked="0"/>
    </xf>
    <xf numFmtId="10" fontId="0" fillId="7" borderId="53" xfId="0" applyNumberFormat="1" applyFill="1" applyBorder="1" applyAlignment="1" applyProtection="1">
      <alignment vertical="center"/>
      <protection locked="0"/>
    </xf>
    <xf numFmtId="164" fontId="0" fillId="7" borderId="234" xfId="0" applyNumberFormat="1" applyFill="1" applyBorder="1" applyAlignment="1" applyProtection="1">
      <alignment vertical="center"/>
      <protection locked="0"/>
    </xf>
    <xf numFmtId="164" fontId="0" fillId="7" borderId="49" xfId="0" applyNumberFormat="1" applyFill="1" applyBorder="1" applyAlignment="1" applyProtection="1">
      <alignment vertical="center"/>
      <protection locked="0"/>
    </xf>
    <xf numFmtId="164" fontId="0" fillId="7" borderId="26" xfId="0" applyNumberFormat="1" applyFill="1" applyBorder="1" applyAlignment="1" applyProtection="1">
      <alignment vertical="center"/>
      <protection locked="0"/>
    </xf>
    <xf numFmtId="0" fontId="0" fillId="7" borderId="140" xfId="0" applyFill="1" applyBorder="1" applyAlignment="1" applyProtection="1">
      <alignment vertical="center"/>
      <protection locked="0"/>
    </xf>
    <xf numFmtId="0" fontId="0" fillId="7" borderId="124" xfId="0" applyFill="1" applyBorder="1" applyAlignment="1" applyProtection="1">
      <alignment vertical="center"/>
      <protection locked="0"/>
    </xf>
    <xf numFmtId="0" fontId="0" fillId="7" borderId="174" xfId="0" applyFill="1" applyBorder="1" applyAlignment="1" applyProtection="1">
      <alignment vertical="center"/>
      <protection locked="0"/>
    </xf>
    <xf numFmtId="164" fontId="0" fillId="7" borderId="72" xfId="0" applyNumberFormat="1" applyFill="1" applyBorder="1" applyAlignment="1" applyProtection="1">
      <alignment vertical="center"/>
      <protection locked="0"/>
    </xf>
    <xf numFmtId="164" fontId="0" fillId="7" borderId="53" xfId="0" applyNumberFormat="1" applyFill="1" applyBorder="1" applyAlignment="1" applyProtection="1">
      <alignment vertical="center"/>
      <protection locked="0"/>
    </xf>
    <xf numFmtId="164" fontId="0" fillId="7" borderId="139" xfId="0" applyNumberFormat="1" applyFill="1" applyBorder="1" applyAlignment="1" applyProtection="1">
      <alignment vertical="center"/>
      <protection locked="0"/>
    </xf>
    <xf numFmtId="0" fontId="0" fillId="7" borderId="104" xfId="0" applyFill="1" applyBorder="1" applyAlignment="1" applyProtection="1">
      <alignment vertical="center"/>
      <protection locked="0"/>
    </xf>
    <xf numFmtId="0" fontId="0" fillId="7" borderId="130" xfId="0" applyFill="1" applyBorder="1" applyAlignment="1" applyProtection="1">
      <alignment vertical="center"/>
      <protection locked="0"/>
    </xf>
    <xf numFmtId="164" fontId="0" fillId="7" borderId="51" xfId="0" applyNumberFormat="1" applyFill="1" applyBorder="1" applyAlignment="1" applyProtection="1">
      <alignment vertical="center"/>
      <protection locked="0"/>
    </xf>
    <xf numFmtId="164" fontId="0" fillId="7" borderId="59" xfId="0" applyNumberFormat="1" applyFill="1" applyBorder="1" applyAlignment="1" applyProtection="1">
      <alignment vertical="center"/>
      <protection locked="0"/>
    </xf>
    <xf numFmtId="164" fontId="0" fillId="7" borderId="137" xfId="0" applyNumberFormat="1" applyFill="1" applyBorder="1" applyAlignment="1" applyProtection="1">
      <alignment vertical="center"/>
      <protection locked="0"/>
    </xf>
    <xf numFmtId="0" fontId="0" fillId="7" borderId="128" xfId="0" applyFill="1" applyBorder="1" applyAlignment="1" applyProtection="1">
      <alignment vertical="center"/>
      <protection locked="0"/>
    </xf>
    <xf numFmtId="164" fontId="0" fillId="7" borderId="52" xfId="0" applyNumberFormat="1" applyFill="1" applyBorder="1" applyAlignment="1" applyProtection="1">
      <alignment vertical="center"/>
      <protection locked="0"/>
    </xf>
    <xf numFmtId="164" fontId="0" fillId="7" borderId="60" xfId="0" applyNumberFormat="1" applyFill="1" applyBorder="1" applyAlignment="1" applyProtection="1">
      <alignment vertical="center"/>
      <protection locked="0"/>
    </xf>
    <xf numFmtId="164" fontId="0" fillId="7" borderId="61" xfId="0" applyNumberFormat="1" applyFill="1" applyBorder="1" applyAlignment="1" applyProtection="1">
      <alignment vertical="center"/>
      <protection locked="0"/>
    </xf>
    <xf numFmtId="164" fontId="0" fillId="7" borderId="138" xfId="0" applyNumberFormat="1" applyFill="1" applyBorder="1" applyAlignment="1" applyProtection="1">
      <alignment vertical="center"/>
      <protection locked="0"/>
    </xf>
    <xf numFmtId="0" fontId="0" fillId="7" borderId="129" xfId="0" applyFill="1" applyBorder="1" applyAlignment="1" applyProtection="1">
      <alignment vertical="center"/>
      <protection locked="0"/>
    </xf>
    <xf numFmtId="164" fontId="0" fillId="7" borderId="44" xfId="0" applyNumberFormat="1" applyFill="1" applyBorder="1" applyAlignment="1" applyProtection="1">
      <alignment vertical="center"/>
      <protection locked="0"/>
    </xf>
    <xf numFmtId="10" fontId="0" fillId="0" borderId="44" xfId="0" applyNumberFormat="1" applyFill="1" applyBorder="1" applyAlignment="1" applyProtection="1">
      <alignment vertical="center"/>
    </xf>
    <xf numFmtId="10" fontId="0" fillId="0" borderId="50" xfId="0" applyNumberFormat="1" applyFill="1" applyBorder="1" applyAlignment="1" applyProtection="1">
      <alignment vertical="center"/>
    </xf>
    <xf numFmtId="10" fontId="0" fillId="0" borderId="80" xfId="0" applyNumberFormat="1" applyBorder="1" applyAlignment="1" applyProtection="1">
      <alignment vertical="center"/>
    </xf>
    <xf numFmtId="10" fontId="0" fillId="0" borderId="72" xfId="0" applyNumberFormat="1" applyFill="1" applyBorder="1" applyAlignment="1" applyProtection="1">
      <alignment vertical="center"/>
    </xf>
    <xf numFmtId="10" fontId="0" fillId="0" borderId="73" xfId="0" applyNumberFormat="1" applyFill="1" applyBorder="1" applyAlignment="1" applyProtection="1">
      <alignment vertical="center"/>
    </xf>
    <xf numFmtId="10" fontId="0" fillId="0" borderId="82" xfId="0" applyNumberFormat="1" applyBorder="1" applyAlignment="1" applyProtection="1">
      <alignment vertical="center"/>
    </xf>
    <xf numFmtId="10" fontId="0" fillId="0" borderId="163" xfId="0" applyNumberFormat="1" applyFill="1" applyBorder="1" applyAlignment="1" applyProtection="1">
      <alignment vertical="center"/>
    </xf>
    <xf numFmtId="10" fontId="0" fillId="0" borderId="13" xfId="0" applyNumberFormat="1" applyFill="1" applyBorder="1" applyAlignment="1" applyProtection="1">
      <alignment vertical="center"/>
    </xf>
    <xf numFmtId="10" fontId="0" fillId="0" borderId="271" xfId="0" applyNumberFormat="1" applyBorder="1" applyAlignment="1" applyProtection="1">
      <alignment vertical="center"/>
    </xf>
    <xf numFmtId="0" fontId="6" fillId="0" borderId="28" xfId="0" applyFont="1" applyBorder="1" applyAlignment="1" applyProtection="1">
      <alignment vertical="center" wrapText="1"/>
    </xf>
    <xf numFmtId="0" fontId="6" fillId="0" borderId="154" xfId="0" applyFont="1" applyBorder="1" applyAlignment="1" applyProtection="1">
      <alignment vertical="center" wrapText="1"/>
    </xf>
    <xf numFmtId="0" fontId="6" fillId="0" borderId="32" xfId="0" applyFont="1" applyBorder="1" applyAlignment="1" applyProtection="1">
      <alignment vertical="center" wrapText="1"/>
    </xf>
    <xf numFmtId="0" fontId="6" fillId="0" borderId="155" xfId="0" applyFont="1" applyBorder="1" applyAlignment="1" applyProtection="1">
      <alignment vertical="center" wrapText="1"/>
    </xf>
    <xf numFmtId="0" fontId="10" fillId="0" borderId="15" xfId="0" applyFont="1" applyBorder="1" applyAlignment="1" applyProtection="1">
      <alignment vertical="center" wrapText="1"/>
    </xf>
    <xf numFmtId="0" fontId="10" fillId="0" borderId="216" xfId="0" applyFont="1" applyFill="1" applyBorder="1" applyAlignment="1" applyProtection="1">
      <alignment vertical="center"/>
    </xf>
    <xf numFmtId="0" fontId="0" fillId="0" borderId="217" xfId="0" applyFill="1" applyBorder="1" applyAlignment="1" applyProtection="1">
      <alignment vertical="center"/>
    </xf>
    <xf numFmtId="0" fontId="0" fillId="0" borderId="239" xfId="0" applyFill="1" applyBorder="1" applyAlignment="1" applyProtection="1">
      <alignment vertical="center"/>
    </xf>
    <xf numFmtId="0" fontId="2" fillId="0" borderId="113" xfId="0" applyFont="1" applyBorder="1" applyAlignment="1" applyProtection="1">
      <alignment vertical="center" wrapText="1"/>
    </xf>
    <xf numFmtId="164" fontId="0" fillId="0" borderId="43" xfId="0" applyNumberFormat="1" applyFill="1" applyBorder="1" applyAlignment="1" applyProtection="1">
      <alignment vertical="center"/>
    </xf>
    <xf numFmtId="10" fontId="0" fillId="10" borderId="50" xfId="0" applyNumberFormat="1" applyFill="1" applyBorder="1" applyAlignment="1" applyProtection="1">
      <alignment vertical="center"/>
    </xf>
    <xf numFmtId="164" fontId="8" fillId="9" borderId="87" xfId="0" applyNumberFormat="1" applyFont="1" applyFill="1" applyBorder="1" applyAlignment="1" applyProtection="1">
      <alignment vertical="center"/>
    </xf>
    <xf numFmtId="10" fontId="8" fillId="9" borderId="89" xfId="0" applyNumberFormat="1" applyFont="1" applyFill="1" applyBorder="1" applyAlignment="1" applyProtection="1">
      <alignment vertical="center"/>
    </xf>
    <xf numFmtId="164" fontId="8" fillId="9" borderId="90" xfId="0" applyNumberFormat="1" applyFont="1" applyFill="1" applyBorder="1" applyAlignment="1" applyProtection="1">
      <alignment vertical="center"/>
    </xf>
    <xf numFmtId="10" fontId="8" fillId="9" borderId="91" xfId="0" applyNumberFormat="1" applyFont="1" applyFill="1" applyBorder="1" applyAlignment="1" applyProtection="1">
      <alignment vertical="center"/>
    </xf>
    <xf numFmtId="10" fontId="8" fillId="9" borderId="111" xfId="0" applyNumberFormat="1" applyFont="1" applyFill="1" applyBorder="1" applyAlignment="1" applyProtection="1">
      <alignment vertical="center"/>
    </xf>
    <xf numFmtId="164" fontId="0" fillId="0" borderId="78" xfId="0" applyNumberFormat="1" applyFill="1" applyBorder="1" applyAlignment="1" applyProtection="1">
      <alignment vertical="center"/>
    </xf>
    <xf numFmtId="164" fontId="0" fillId="0" borderId="81" xfId="0" applyNumberFormat="1" applyFill="1" applyBorder="1" applyAlignment="1" applyProtection="1">
      <alignment vertical="center"/>
    </xf>
    <xf numFmtId="164" fontId="6" fillId="5" borderId="179" xfId="0" applyNumberFormat="1" applyFont="1" applyFill="1" applyBorder="1" applyAlignment="1" applyProtection="1">
      <alignment vertical="center"/>
    </xf>
    <xf numFmtId="164" fontId="6" fillId="5" borderId="65" xfId="0" applyNumberFormat="1" applyFont="1" applyFill="1" applyBorder="1" applyAlignment="1" applyProtection="1">
      <alignment vertical="center"/>
    </xf>
    <xf numFmtId="164" fontId="6" fillId="5" borderId="180" xfId="0" applyNumberFormat="1" applyFont="1" applyFill="1" applyBorder="1" applyAlignment="1" applyProtection="1">
      <alignment vertical="center"/>
    </xf>
    <xf numFmtId="164" fontId="6" fillId="5" borderId="209" xfId="0" applyNumberFormat="1" applyFont="1" applyFill="1" applyBorder="1" applyAlignment="1" applyProtection="1">
      <alignment vertical="center"/>
    </xf>
    <xf numFmtId="164" fontId="0" fillId="9" borderId="87" xfId="0" applyNumberFormat="1" applyFont="1" applyFill="1" applyBorder="1" applyAlignment="1" applyProtection="1">
      <alignment vertical="center"/>
    </xf>
    <xf numFmtId="10" fontId="0" fillId="9" borderId="89" xfId="0" applyNumberFormat="1" applyFont="1" applyFill="1" applyBorder="1" applyAlignment="1" applyProtection="1">
      <alignment vertical="center"/>
    </xf>
    <xf numFmtId="164" fontId="0" fillId="9" borderId="90" xfId="0" applyNumberFormat="1" applyFont="1" applyFill="1" applyBorder="1" applyAlignment="1" applyProtection="1">
      <alignment vertical="center"/>
    </xf>
    <xf numFmtId="10" fontId="0" fillId="9" borderId="91" xfId="0" applyNumberFormat="1" applyFont="1" applyFill="1" applyBorder="1" applyAlignment="1" applyProtection="1">
      <alignment vertical="center"/>
    </xf>
    <xf numFmtId="10" fontId="0" fillId="9" borderId="111" xfId="0" applyNumberFormat="1" applyFont="1" applyFill="1" applyBorder="1" applyAlignment="1" applyProtection="1">
      <alignment vertical="center"/>
    </xf>
    <xf numFmtId="164" fontId="0" fillId="0" borderId="49" xfId="0" applyNumberFormat="1" applyFill="1" applyBorder="1" applyAlignment="1" applyProtection="1">
      <alignment vertical="center"/>
    </xf>
    <xf numFmtId="164" fontId="0" fillId="0" borderId="135" xfId="0" applyNumberFormat="1" applyFill="1" applyBorder="1" applyAlignment="1" applyProtection="1">
      <alignment vertical="center"/>
    </xf>
    <xf numFmtId="0" fontId="0" fillId="2" borderId="7" xfId="0" applyFill="1" applyBorder="1" applyAlignment="1" applyProtection="1">
      <alignment vertical="center"/>
    </xf>
    <xf numFmtId="0" fontId="0" fillId="2" borderId="8" xfId="0" applyFill="1" applyBorder="1" applyAlignment="1" applyProtection="1">
      <alignment vertical="center"/>
    </xf>
    <xf numFmtId="0" fontId="0" fillId="2" borderId="9" xfId="0" applyFill="1" applyBorder="1" applyAlignment="1" applyProtection="1">
      <alignment vertical="center"/>
    </xf>
    <xf numFmtId="10" fontId="0" fillId="0" borderId="136" xfId="0" applyNumberFormat="1" applyFill="1" applyBorder="1" applyAlignment="1" applyProtection="1">
      <alignment vertical="center"/>
    </xf>
    <xf numFmtId="10" fontId="0" fillId="0" borderId="80" xfId="0" applyNumberFormat="1" applyFill="1" applyBorder="1" applyAlignment="1" applyProtection="1">
      <alignment vertical="center"/>
    </xf>
    <xf numFmtId="10" fontId="0" fillId="0" borderId="152" xfId="0" applyNumberFormat="1" applyFill="1" applyBorder="1" applyAlignment="1" applyProtection="1">
      <alignment vertical="center"/>
    </xf>
    <xf numFmtId="10" fontId="0" fillId="0" borderId="82" xfId="0" applyNumberFormat="1" applyFill="1" applyBorder="1" applyAlignment="1" applyProtection="1">
      <alignment vertical="center"/>
    </xf>
    <xf numFmtId="10" fontId="0" fillId="0" borderId="211" xfId="0" applyNumberFormat="1" applyFill="1" applyBorder="1" applyAlignment="1" applyProtection="1">
      <alignment vertical="center"/>
    </xf>
    <xf numFmtId="10" fontId="0" fillId="0" borderId="23" xfId="0" applyNumberFormat="1" applyFill="1" applyBorder="1" applyAlignment="1" applyProtection="1">
      <alignment vertical="center"/>
    </xf>
    <xf numFmtId="10" fontId="0" fillId="0" borderId="238" xfId="0" applyNumberFormat="1" applyFill="1" applyBorder="1" applyAlignment="1" applyProtection="1">
      <alignment vertical="center"/>
    </xf>
    <xf numFmtId="10" fontId="0" fillId="0" borderId="212" xfId="0" applyNumberFormat="1" applyFill="1" applyBorder="1" applyAlignment="1" applyProtection="1">
      <alignment vertical="center"/>
    </xf>
    <xf numFmtId="10" fontId="6" fillId="5" borderId="63" xfId="0" applyNumberFormat="1" applyFont="1" applyFill="1" applyBorder="1" applyAlignment="1" applyProtection="1">
      <alignment vertical="center"/>
    </xf>
    <xf numFmtId="10" fontId="6" fillId="5" borderId="64" xfId="0" applyNumberFormat="1" applyFont="1" applyFill="1" applyBorder="1" applyAlignment="1" applyProtection="1">
      <alignment vertical="center"/>
    </xf>
    <xf numFmtId="10" fontId="6" fillId="5" borderId="66" xfId="0" applyNumberFormat="1" applyFont="1" applyFill="1" applyBorder="1" applyAlignment="1" applyProtection="1">
      <alignment vertical="center"/>
    </xf>
    <xf numFmtId="10" fontId="0" fillId="0" borderId="94" xfId="0" applyNumberFormat="1" applyBorder="1" applyAlignment="1" applyProtection="1">
      <alignment horizontal="right" vertical="center"/>
    </xf>
    <xf numFmtId="10" fontId="0" fillId="0" borderId="274" xfId="0" applyNumberFormat="1" applyFill="1" applyBorder="1" applyAlignment="1" applyProtection="1">
      <alignment vertical="center"/>
    </xf>
    <xf numFmtId="10" fontId="0" fillId="0" borderId="106" xfId="0" applyNumberFormat="1" applyFill="1" applyBorder="1" applyAlignment="1" applyProtection="1">
      <alignment vertical="center"/>
    </xf>
    <xf numFmtId="10" fontId="0" fillId="0" borderId="20" xfId="0" applyNumberFormat="1" applyFill="1" applyBorder="1" applyAlignment="1" applyProtection="1">
      <alignment vertical="center"/>
    </xf>
    <xf numFmtId="0" fontId="6" fillId="0" borderId="31" xfId="0" applyFont="1" applyBorder="1" applyAlignment="1" applyProtection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right" vertical="center"/>
    </xf>
    <xf numFmtId="0" fontId="7" fillId="0" borderId="85" xfId="0" applyFont="1" applyBorder="1" applyAlignment="1" applyProtection="1">
      <alignment horizontal="right" vertical="center"/>
    </xf>
    <xf numFmtId="0" fontId="0" fillId="0" borderId="11" xfId="0" applyFill="1" applyBorder="1" applyAlignment="1" applyProtection="1">
      <alignment vertical="center"/>
    </xf>
    <xf numFmtId="0" fontId="0" fillId="0" borderId="10" xfId="0" applyFill="1" applyBorder="1" applyAlignment="1" applyProtection="1">
      <alignment vertical="center"/>
    </xf>
    <xf numFmtId="0" fontId="10" fillId="0" borderId="85" xfId="0" applyFont="1" applyBorder="1" applyAlignment="1" applyProtection="1">
      <alignment horizontal="right" vertical="center"/>
    </xf>
    <xf numFmtId="0" fontId="6" fillId="0" borderId="28" xfId="0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vertical="center" wrapText="1"/>
    </xf>
    <xf numFmtId="0" fontId="6" fillId="0" borderId="0" xfId="0" applyFont="1" applyBorder="1" applyAlignment="1" applyProtection="1">
      <alignment vertical="center" wrapText="1"/>
    </xf>
    <xf numFmtId="0" fontId="6" fillId="0" borderId="6" xfId="0" applyFont="1" applyBorder="1" applyAlignment="1" applyProtection="1">
      <alignment vertical="center" wrapText="1"/>
    </xf>
    <xf numFmtId="0" fontId="0" fillId="0" borderId="192" xfId="0" applyFill="1" applyBorder="1" applyAlignment="1" applyProtection="1">
      <alignment horizontal="right" vertical="center"/>
    </xf>
    <xf numFmtId="0" fontId="0" fillId="0" borderId="11" xfId="0" applyFill="1" applyBorder="1" applyAlignment="1" applyProtection="1">
      <alignment horizontal="right" vertical="center"/>
    </xf>
    <xf numFmtId="164" fontId="0" fillId="0" borderId="57" xfId="0" applyNumberFormat="1" applyFill="1" applyBorder="1" applyAlignment="1" applyProtection="1">
      <alignment vertical="center"/>
    </xf>
    <xf numFmtId="0" fontId="0" fillId="0" borderId="151" xfId="0" applyFill="1" applyBorder="1" applyAlignment="1" applyProtection="1">
      <alignment vertical="center"/>
    </xf>
    <xf numFmtId="0" fontId="0" fillId="0" borderId="54" xfId="0" applyFill="1" applyBorder="1" applyAlignment="1" applyProtection="1">
      <alignment horizontal="right" vertical="center"/>
    </xf>
    <xf numFmtId="0" fontId="0" fillId="0" borderId="151" xfId="0" applyFill="1" applyBorder="1" applyAlignment="1" applyProtection="1">
      <alignment horizontal="right" vertical="center"/>
    </xf>
    <xf numFmtId="164" fontId="0" fillId="0" borderId="47" xfId="0" applyNumberFormat="1" applyFill="1" applyBorder="1" applyAlignment="1" applyProtection="1">
      <alignment vertical="center"/>
    </xf>
    <xf numFmtId="164" fontId="8" fillId="9" borderId="93" xfId="0" applyNumberFormat="1" applyFont="1" applyFill="1" applyBorder="1" applyAlignment="1" applyProtection="1">
      <alignment vertical="center"/>
    </xf>
    <xf numFmtId="164" fontId="0" fillId="0" borderId="139" xfId="0" applyNumberFormat="1" applyFill="1" applyBorder="1" applyAlignment="1" applyProtection="1">
      <alignment vertical="center"/>
    </xf>
    <xf numFmtId="164" fontId="0" fillId="0" borderId="84" xfId="0" applyNumberFormat="1" applyFill="1" applyBorder="1" applyAlignment="1" applyProtection="1">
      <alignment vertical="center"/>
    </xf>
    <xf numFmtId="164" fontId="0" fillId="0" borderId="276" xfId="0" applyNumberFormat="1" applyFill="1" applyBorder="1" applyAlignment="1" applyProtection="1">
      <alignment vertical="center"/>
    </xf>
    <xf numFmtId="164" fontId="0" fillId="0" borderId="277" xfId="0" applyNumberFormat="1" applyFill="1" applyBorder="1" applyAlignment="1" applyProtection="1">
      <alignment vertical="center"/>
    </xf>
    <xf numFmtId="164" fontId="0" fillId="0" borderId="196" xfId="0" applyNumberFormat="1" applyFill="1" applyBorder="1" applyAlignment="1" applyProtection="1">
      <alignment vertical="center"/>
    </xf>
    <xf numFmtId="0" fontId="0" fillId="2" borderId="11" xfId="0" applyFill="1" applyBorder="1" applyAlignment="1" applyProtection="1">
      <alignment horizontal="left" vertical="center"/>
    </xf>
    <xf numFmtId="0" fontId="0" fillId="2" borderId="12" xfId="0" applyFill="1" applyBorder="1" applyAlignment="1" applyProtection="1">
      <alignment horizontal="left" vertical="center"/>
    </xf>
    <xf numFmtId="0" fontId="0" fillId="2" borderId="164" xfId="0" applyFill="1" applyBorder="1" applyAlignment="1" applyProtection="1">
      <alignment horizontal="left" vertical="center"/>
    </xf>
    <xf numFmtId="164" fontId="0" fillId="2" borderId="49" xfId="0" applyNumberFormat="1" applyFill="1" applyBorder="1" applyAlignment="1" applyProtection="1">
      <alignment vertical="center"/>
    </xf>
    <xf numFmtId="164" fontId="0" fillId="2" borderId="51" xfId="0" applyNumberFormat="1" applyFill="1" applyBorder="1" applyAlignment="1" applyProtection="1">
      <alignment vertical="center"/>
    </xf>
    <xf numFmtId="164" fontId="0" fillId="2" borderId="53" xfId="0" applyNumberFormat="1" applyFill="1" applyBorder="1" applyAlignment="1" applyProtection="1">
      <alignment vertical="center"/>
    </xf>
    <xf numFmtId="10" fontId="0" fillId="0" borderId="43" xfId="0" applyNumberFormat="1" applyFill="1" applyBorder="1" applyAlignment="1" applyProtection="1">
      <alignment vertical="center"/>
    </xf>
    <xf numFmtId="10" fontId="0" fillId="0" borderId="45" xfId="0" applyNumberFormat="1" applyFill="1" applyBorder="1" applyAlignment="1" applyProtection="1">
      <alignment vertical="center"/>
    </xf>
    <xf numFmtId="10" fontId="0" fillId="0" borderId="47" xfId="0" applyNumberFormat="1" applyFill="1" applyBorder="1" applyAlignment="1" applyProtection="1">
      <alignment vertical="center"/>
    </xf>
    <xf numFmtId="10" fontId="0" fillId="0" borderId="49" xfId="0" applyNumberFormat="1" applyFill="1" applyBorder="1" applyAlignment="1" applyProtection="1">
      <alignment vertical="center"/>
    </xf>
    <xf numFmtId="10" fontId="0" fillId="0" borderId="51" xfId="0" applyNumberFormat="1" applyFill="1" applyBorder="1" applyAlignment="1" applyProtection="1">
      <alignment vertical="center"/>
    </xf>
    <xf numFmtId="10" fontId="0" fillId="0" borderId="53" xfId="0" applyNumberFormat="1" applyFill="1" applyBorder="1" applyAlignment="1" applyProtection="1">
      <alignment vertical="center"/>
    </xf>
    <xf numFmtId="10" fontId="0" fillId="0" borderId="234" xfId="0" applyNumberFormat="1" applyFill="1" applyBorder="1" applyAlignment="1" applyProtection="1">
      <alignment vertical="center"/>
    </xf>
    <xf numFmtId="10" fontId="0" fillId="0" borderId="247" xfId="0" applyNumberFormat="1" applyFill="1" applyBorder="1" applyAlignment="1" applyProtection="1">
      <alignment vertical="center"/>
    </xf>
    <xf numFmtId="10" fontId="0" fillId="0" borderId="150" xfId="0" applyNumberFormat="1" applyFill="1" applyBorder="1" applyAlignment="1" applyProtection="1">
      <alignment vertical="center"/>
    </xf>
    <xf numFmtId="0" fontId="0" fillId="0" borderId="5" xfId="0" applyBorder="1" applyProtection="1"/>
    <xf numFmtId="0" fontId="0" fillId="0" borderId="0" xfId="0" applyBorder="1" applyProtection="1"/>
    <xf numFmtId="0" fontId="0" fillId="0" borderId="6" xfId="0" applyBorder="1" applyProtection="1"/>
    <xf numFmtId="0" fontId="3" fillId="0" borderId="16" xfId="0" applyFont="1" applyBorder="1" applyAlignment="1" applyProtection="1">
      <alignment vertical="center"/>
    </xf>
    <xf numFmtId="0" fontId="3" fillId="0" borderId="17" xfId="0" applyFont="1" applyBorder="1" applyAlignment="1" applyProtection="1">
      <alignment vertical="center"/>
    </xf>
    <xf numFmtId="0" fontId="0" fillId="0" borderId="9" xfId="0" applyBorder="1" applyProtection="1"/>
    <xf numFmtId="0" fontId="0" fillId="0" borderId="3" xfId="0" applyBorder="1" applyProtection="1"/>
    <xf numFmtId="0" fontId="2" fillId="0" borderId="5" xfId="0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/>
    </xf>
    <xf numFmtId="0" fontId="2" fillId="0" borderId="6" xfId="0" applyFont="1" applyFill="1" applyBorder="1" applyAlignment="1" applyProtection="1">
      <alignment horizontal="left" vertical="center"/>
    </xf>
    <xf numFmtId="0" fontId="4" fillId="0" borderId="18" xfId="0" applyFont="1" applyFill="1" applyBorder="1" applyAlignment="1" applyProtection="1">
      <alignment horizontal="right" vertical="center"/>
    </xf>
    <xf numFmtId="0" fontId="3" fillId="0" borderId="21" xfId="0" applyFont="1" applyBorder="1" applyAlignment="1" applyProtection="1">
      <alignment horizontal="right" vertical="top"/>
    </xf>
    <xf numFmtId="0" fontId="3" fillId="0" borderId="99" xfId="0" applyFont="1" applyBorder="1" applyAlignment="1" applyProtection="1">
      <alignment horizontal="right"/>
    </xf>
    <xf numFmtId="0" fontId="0" fillId="0" borderId="0" xfId="0" applyAlignment="1" applyProtection="1">
      <alignment horizontal="left" vertical="top"/>
    </xf>
    <xf numFmtId="0" fontId="0" fillId="0" borderId="103" xfId="0" applyBorder="1" applyAlignment="1" applyProtection="1">
      <alignment vertical="top" wrapText="1"/>
    </xf>
    <xf numFmtId="0" fontId="0" fillId="0" borderId="0" xfId="0" applyBorder="1" applyAlignment="1" applyProtection="1">
      <alignment vertical="top" wrapText="1"/>
    </xf>
    <xf numFmtId="0" fontId="0" fillId="0" borderId="104" xfId="0" applyBorder="1" applyAlignment="1" applyProtection="1">
      <alignment vertical="top" wrapText="1"/>
    </xf>
    <xf numFmtId="0" fontId="0" fillId="0" borderId="0" xfId="0" applyAlignment="1" applyProtection="1">
      <alignment vertical="top" wrapText="1"/>
    </xf>
    <xf numFmtId="164" fontId="0" fillId="9" borderId="86" xfId="0" applyNumberFormat="1" applyFont="1" applyFill="1" applyBorder="1" applyAlignment="1" applyProtection="1">
      <alignment vertical="center"/>
    </xf>
    <xf numFmtId="164" fontId="8" fillId="9" borderId="86" xfId="0" applyNumberFormat="1" applyFont="1" applyFill="1" applyBorder="1" applyAlignment="1" applyProtection="1">
      <alignment vertical="center"/>
    </xf>
    <xf numFmtId="164" fontId="0" fillId="9" borderId="89" xfId="0" applyNumberFormat="1" applyFont="1" applyFill="1" applyBorder="1" applyAlignment="1" applyProtection="1">
      <alignment vertical="center"/>
    </xf>
    <xf numFmtId="164" fontId="0" fillId="9" borderId="91" xfId="0" applyNumberFormat="1" applyFont="1" applyFill="1" applyBorder="1" applyAlignment="1" applyProtection="1">
      <alignment vertical="center"/>
    </xf>
    <xf numFmtId="164" fontId="8" fillId="9" borderId="88" xfId="0" applyNumberFormat="1" applyFont="1" applyFill="1" applyBorder="1" applyAlignment="1" applyProtection="1">
      <alignment vertical="center"/>
    </xf>
    <xf numFmtId="164" fontId="8" fillId="9" borderId="91" xfId="0" applyNumberFormat="1" applyFont="1" applyFill="1" applyBorder="1" applyAlignment="1" applyProtection="1">
      <alignment vertical="center"/>
    </xf>
    <xf numFmtId="164" fontId="8" fillId="9" borderId="92" xfId="0" applyNumberFormat="1" applyFont="1" applyFill="1" applyBorder="1" applyAlignment="1" applyProtection="1">
      <alignment vertical="center"/>
    </xf>
    <xf numFmtId="0" fontId="6" fillId="0" borderId="2" xfId="0" applyFont="1" applyBorder="1" applyAlignment="1" applyProtection="1">
      <alignment horizontal="right" vertical="center"/>
    </xf>
    <xf numFmtId="164" fontId="6" fillId="5" borderId="94" xfId="0" applyNumberFormat="1" applyFont="1" applyFill="1" applyBorder="1" applyAlignment="1" applyProtection="1">
      <alignment vertical="center"/>
    </xf>
    <xf numFmtId="164" fontId="6" fillId="5" borderId="95" xfId="0" applyNumberFormat="1" applyFont="1" applyFill="1" applyBorder="1" applyAlignment="1" applyProtection="1">
      <alignment vertical="center"/>
    </xf>
    <xf numFmtId="164" fontId="6" fillId="5" borderId="62" xfId="0" applyNumberFormat="1" applyFont="1" applyFill="1" applyBorder="1" applyAlignment="1" applyProtection="1">
      <alignment vertical="center"/>
    </xf>
    <xf numFmtId="164" fontId="6" fillId="5" borderId="87" xfId="0" applyNumberFormat="1" applyFont="1" applyFill="1" applyBorder="1" applyAlignment="1" applyProtection="1">
      <alignment vertical="center"/>
    </xf>
    <xf numFmtId="164" fontId="6" fillId="5" borderId="88" xfId="0" applyNumberFormat="1" applyFont="1" applyFill="1" applyBorder="1" applyAlignment="1" applyProtection="1">
      <alignment vertical="center"/>
    </xf>
    <xf numFmtId="164" fontId="6" fillId="5" borderId="90" xfId="0" applyNumberFormat="1" applyFont="1" applyFill="1" applyBorder="1" applyAlignment="1" applyProtection="1">
      <alignment vertical="center"/>
    </xf>
    <xf numFmtId="164" fontId="0" fillId="7" borderId="279" xfId="0" applyNumberFormat="1" applyFill="1" applyBorder="1" applyAlignment="1" applyProtection="1">
      <alignment vertical="center"/>
      <protection locked="0"/>
    </xf>
    <xf numFmtId="0" fontId="0" fillId="7" borderId="279" xfId="0" applyFill="1" applyBorder="1" applyAlignment="1" applyProtection="1">
      <alignment horizontal="center" vertical="center"/>
      <protection locked="0"/>
    </xf>
    <xf numFmtId="0" fontId="0" fillId="7" borderId="280" xfId="0" applyFill="1" applyBorder="1" applyAlignment="1" applyProtection="1">
      <alignment horizontal="center" vertical="center"/>
      <protection locked="0"/>
    </xf>
    <xf numFmtId="164" fontId="0" fillId="0" borderId="276" xfId="0" applyNumberFormat="1" applyBorder="1" applyAlignment="1" applyProtection="1">
      <alignment vertical="center"/>
    </xf>
    <xf numFmtId="164" fontId="0" fillId="0" borderId="279" xfId="0" applyNumberFormat="1" applyBorder="1" applyAlignment="1" applyProtection="1">
      <alignment vertical="center"/>
    </xf>
    <xf numFmtId="164" fontId="0" fillId="0" borderId="279" xfId="0" applyNumberFormat="1" applyFill="1" applyBorder="1" applyAlignment="1" applyProtection="1">
      <alignment vertical="center"/>
    </xf>
    <xf numFmtId="164" fontId="0" fillId="0" borderId="281" xfId="0" applyNumberFormat="1" applyBorder="1" applyAlignment="1" applyProtection="1">
      <alignment vertical="center"/>
    </xf>
    <xf numFmtId="0" fontId="0" fillId="0" borderId="146" xfId="0" applyBorder="1" applyAlignment="1" applyProtection="1">
      <alignment horizontal="right" vertical="center"/>
    </xf>
    <xf numFmtId="0" fontId="0" fillId="0" borderId="21" xfId="0" applyBorder="1" applyAlignment="1" applyProtection="1">
      <alignment horizontal="right" vertical="center"/>
    </xf>
    <xf numFmtId="0" fontId="0" fillId="0" borderId="148" xfId="0" applyBorder="1" applyAlignment="1" applyProtection="1">
      <alignment horizontal="right" vertical="center"/>
    </xf>
    <xf numFmtId="0" fontId="2" fillId="0" borderId="113" xfId="0" applyFont="1" applyBorder="1" applyAlignment="1" applyProtection="1">
      <alignment vertical="center"/>
    </xf>
    <xf numFmtId="0" fontId="10" fillId="0" borderId="121" xfId="0" applyFont="1" applyBorder="1" applyAlignment="1" applyProtection="1">
      <alignment vertical="center"/>
    </xf>
    <xf numFmtId="0" fontId="10" fillId="0" borderId="123" xfId="0" applyFont="1" applyBorder="1" applyAlignment="1" applyProtection="1">
      <alignment vertical="center"/>
    </xf>
    <xf numFmtId="0" fontId="0" fillId="0" borderId="125" xfId="0" applyBorder="1" applyAlignment="1" applyProtection="1">
      <alignment vertical="center"/>
    </xf>
    <xf numFmtId="164" fontId="0" fillId="0" borderId="59" xfId="0" applyNumberFormat="1" applyBorder="1" applyAlignment="1" applyProtection="1">
      <alignment vertical="center"/>
    </xf>
    <xf numFmtId="0" fontId="6" fillId="0" borderId="145" xfId="0" applyFont="1" applyBorder="1" applyAlignment="1" applyProtection="1">
      <alignment horizontal="right" vertical="center"/>
    </xf>
    <xf numFmtId="164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64" fontId="0" fillId="0" borderId="114" xfId="0" applyNumberFormat="1" applyBorder="1" applyAlignment="1" applyProtection="1">
      <alignment vertical="center"/>
    </xf>
    <xf numFmtId="164" fontId="0" fillId="0" borderId="115" xfId="0" applyNumberFormat="1" applyBorder="1" applyAlignment="1" applyProtection="1">
      <alignment vertical="center"/>
    </xf>
    <xf numFmtId="0" fontId="0" fillId="0" borderId="117" xfId="0" applyBorder="1" applyAlignment="1" applyProtection="1">
      <alignment vertical="center"/>
    </xf>
    <xf numFmtId="0" fontId="6" fillId="0" borderId="110" xfId="0" applyFont="1" applyBorder="1" applyAlignment="1" applyProtection="1">
      <alignment horizontal="right" vertical="center"/>
    </xf>
    <xf numFmtId="164" fontId="6" fillId="5" borderId="111" xfId="0" applyNumberFormat="1" applyFont="1" applyFill="1" applyBorder="1" applyAlignment="1" applyProtection="1">
      <alignment vertical="center"/>
    </xf>
    <xf numFmtId="164" fontId="6" fillId="5" borderId="109" xfId="0" applyNumberFormat="1" applyFont="1" applyFill="1" applyBorder="1" applyAlignment="1" applyProtection="1">
      <alignment vertical="center"/>
    </xf>
    <xf numFmtId="164" fontId="0" fillId="0" borderId="116" xfId="0" applyNumberFormat="1" applyBorder="1" applyAlignment="1" applyProtection="1">
      <alignment vertical="center"/>
    </xf>
    <xf numFmtId="164" fontId="0" fillId="7" borderId="147" xfId="0" applyNumberFormat="1" applyFill="1" applyBorder="1" applyAlignment="1" applyProtection="1">
      <alignment vertical="center"/>
      <protection locked="0"/>
    </xf>
    <xf numFmtId="1" fontId="0" fillId="7" borderId="42" xfId="0" applyNumberFormat="1" applyFill="1" applyBorder="1" applyAlignment="1" applyProtection="1">
      <alignment horizontal="center" vertical="center"/>
      <protection locked="0"/>
    </xf>
    <xf numFmtId="1" fontId="0" fillId="7" borderId="48" xfId="0" applyNumberFormat="1" applyFill="1" applyBorder="1" applyAlignment="1" applyProtection="1">
      <alignment horizontal="center" vertical="center"/>
      <protection locked="0"/>
    </xf>
    <xf numFmtId="0" fontId="0" fillId="3" borderId="122" xfId="0" applyFill="1" applyBorder="1" applyAlignment="1" applyProtection="1">
      <alignment vertical="center"/>
      <protection locked="0"/>
    </xf>
    <xf numFmtId="1" fontId="0" fillId="7" borderId="133" xfId="0" applyNumberFormat="1" applyFill="1" applyBorder="1" applyAlignment="1" applyProtection="1">
      <alignment horizontal="center" vertical="center"/>
      <protection locked="0"/>
    </xf>
    <xf numFmtId="0" fontId="0" fillId="3" borderId="123" xfId="0" applyFill="1" applyBorder="1" applyAlignment="1" applyProtection="1">
      <alignment vertical="center"/>
      <protection locked="0"/>
    </xf>
    <xf numFmtId="1" fontId="0" fillId="7" borderId="118" xfId="0" applyNumberFormat="1" applyFill="1" applyBorder="1" applyAlignment="1" applyProtection="1">
      <alignment horizontal="center" vertical="center"/>
      <protection locked="0"/>
    </xf>
    <xf numFmtId="0" fontId="0" fillId="7" borderId="133" xfId="0" applyFill="1" applyBorder="1" applyAlignment="1" applyProtection="1">
      <alignment horizontal="center" vertical="center"/>
      <protection locked="0"/>
    </xf>
    <xf numFmtId="0" fontId="0" fillId="7" borderId="131" xfId="0" applyFill="1" applyBorder="1" applyAlignment="1" applyProtection="1">
      <alignment horizontal="center" vertical="center"/>
      <protection locked="0"/>
    </xf>
    <xf numFmtId="164" fontId="0" fillId="9" borderId="111" xfId="0" applyNumberFormat="1" applyFont="1" applyFill="1" applyBorder="1" applyAlignment="1" applyProtection="1">
      <alignment vertical="center"/>
    </xf>
    <xf numFmtId="0" fontId="0" fillId="0" borderId="55" xfId="0" applyFill="1" applyBorder="1" applyAlignment="1" applyProtection="1">
      <alignment vertical="center"/>
    </xf>
    <xf numFmtId="0" fontId="0" fillId="0" borderId="132" xfId="0" applyFill="1" applyBorder="1" applyAlignment="1" applyProtection="1">
      <alignment vertical="center"/>
    </xf>
    <xf numFmtId="0" fontId="0" fillId="0" borderId="133" xfId="0" applyFill="1" applyBorder="1" applyAlignment="1" applyProtection="1">
      <alignment vertical="center"/>
    </xf>
    <xf numFmtId="164" fontId="8" fillId="0" borderId="222" xfId="0" applyNumberFormat="1" applyFont="1" applyBorder="1" applyAlignment="1" applyProtection="1">
      <alignment vertical="center"/>
    </xf>
    <xf numFmtId="164" fontId="8" fillId="0" borderId="223" xfId="0" applyNumberFormat="1" applyFont="1" applyBorder="1" applyAlignment="1" applyProtection="1">
      <alignment vertical="center"/>
    </xf>
    <xf numFmtId="164" fontId="8" fillId="0" borderId="224" xfId="0" applyNumberFormat="1" applyFont="1" applyBorder="1" applyAlignment="1" applyProtection="1">
      <alignment vertical="center"/>
    </xf>
    <xf numFmtId="164" fontId="8" fillId="0" borderId="225" xfId="0" applyNumberFormat="1" applyFont="1" applyBorder="1" applyAlignment="1" applyProtection="1">
      <alignment vertical="center"/>
    </xf>
    <xf numFmtId="164" fontId="8" fillId="0" borderId="226" xfId="0" applyNumberFormat="1" applyFont="1" applyBorder="1" applyAlignment="1" applyProtection="1">
      <alignment vertical="center"/>
    </xf>
    <xf numFmtId="164" fontId="8" fillId="0" borderId="227" xfId="0" applyNumberFormat="1" applyFont="1" applyBorder="1" applyAlignment="1" applyProtection="1">
      <alignment vertical="center"/>
    </xf>
    <xf numFmtId="164" fontId="8" fillId="9" borderId="228" xfId="0" applyNumberFormat="1" applyFont="1" applyFill="1" applyBorder="1" applyAlignment="1" applyProtection="1">
      <alignment vertical="center"/>
    </xf>
    <xf numFmtId="164" fontId="8" fillId="9" borderId="229" xfId="0" applyNumberFormat="1" applyFont="1" applyFill="1" applyBorder="1" applyAlignment="1" applyProtection="1">
      <alignment vertical="center"/>
    </xf>
    <xf numFmtId="164" fontId="8" fillId="9" borderId="230" xfId="0" applyNumberFormat="1" applyFont="1" applyFill="1" applyBorder="1" applyAlignment="1" applyProtection="1">
      <alignment vertical="center"/>
    </xf>
    <xf numFmtId="164" fontId="8" fillId="9" borderId="232" xfId="0" applyNumberFormat="1" applyFont="1" applyFill="1" applyBorder="1" applyAlignment="1" applyProtection="1">
      <alignment vertical="center"/>
    </xf>
    <xf numFmtId="164" fontId="8" fillId="9" borderId="231" xfId="0" applyNumberFormat="1" applyFont="1" applyFill="1" applyBorder="1" applyAlignment="1" applyProtection="1">
      <alignment vertical="center"/>
    </xf>
    <xf numFmtId="164" fontId="8" fillId="9" borderId="233" xfId="0" applyNumberFormat="1" applyFont="1" applyFill="1" applyBorder="1" applyAlignment="1" applyProtection="1">
      <alignment vertical="center"/>
    </xf>
    <xf numFmtId="164" fontId="8" fillId="9" borderId="110" xfId="0" applyNumberFormat="1" applyFont="1" applyFill="1" applyBorder="1" applyAlignment="1" applyProtection="1">
      <alignment vertical="center"/>
    </xf>
    <xf numFmtId="164" fontId="8" fillId="9" borderId="134" xfId="0" applyNumberFormat="1" applyFont="1" applyFill="1" applyBorder="1" applyAlignment="1" applyProtection="1">
      <alignment vertical="center"/>
    </xf>
    <xf numFmtId="164" fontId="8" fillId="9" borderId="141" xfId="0" applyNumberFormat="1" applyFont="1" applyFill="1" applyBorder="1" applyAlignment="1" applyProtection="1">
      <alignment vertical="center"/>
    </xf>
    <xf numFmtId="164" fontId="8" fillId="9" borderId="219" xfId="0" applyNumberFormat="1" applyFont="1" applyFill="1" applyBorder="1" applyAlignment="1" applyProtection="1">
      <alignment vertical="center"/>
    </xf>
    <xf numFmtId="164" fontId="8" fillId="9" borderId="142" xfId="0" applyNumberFormat="1" applyFont="1" applyFill="1" applyBorder="1" applyAlignment="1" applyProtection="1">
      <alignment vertical="center"/>
    </xf>
    <xf numFmtId="164" fontId="8" fillId="9" borderId="144" xfId="0" applyNumberFormat="1" applyFont="1" applyFill="1" applyBorder="1" applyAlignment="1" applyProtection="1">
      <alignment vertical="center"/>
    </xf>
    <xf numFmtId="164" fontId="6" fillId="5" borderId="188" xfId="0" applyNumberFormat="1" applyFont="1" applyFill="1" applyBorder="1" applyAlignment="1" applyProtection="1">
      <alignment vertical="center"/>
    </xf>
    <xf numFmtId="164" fontId="8" fillId="9" borderId="243" xfId="0" applyNumberFormat="1" applyFont="1" applyFill="1" applyBorder="1" applyAlignment="1" applyProtection="1">
      <alignment vertical="center"/>
    </xf>
    <xf numFmtId="164" fontId="0" fillId="7" borderId="247" xfId="0" applyNumberFormat="1" applyFill="1" applyBorder="1" applyAlignment="1" applyProtection="1">
      <alignment vertical="center"/>
      <protection locked="0"/>
    </xf>
    <xf numFmtId="0" fontId="0" fillId="4" borderId="108" xfId="0" applyFill="1" applyBorder="1" applyProtection="1"/>
    <xf numFmtId="0" fontId="0" fillId="0" borderId="211" xfId="0" applyBorder="1" applyProtection="1"/>
    <xf numFmtId="0" fontId="0" fillId="8" borderId="122" xfId="0" applyFill="1" applyBorder="1" applyProtection="1"/>
    <xf numFmtId="0" fontId="0" fillId="0" borderId="238" xfId="0" applyBorder="1" applyProtection="1"/>
    <xf numFmtId="0" fontId="0" fillId="7" borderId="108" xfId="0" applyFill="1" applyBorder="1" applyProtection="1"/>
    <xf numFmtId="0" fontId="0" fillId="3" borderId="122" xfId="0" applyFill="1" applyBorder="1" applyProtection="1"/>
    <xf numFmtId="0" fontId="0" fillId="6" borderId="108" xfId="0" applyFill="1" applyBorder="1" applyProtection="1"/>
    <xf numFmtId="0" fontId="0" fillId="5" borderId="21" xfId="0" applyFill="1" applyBorder="1" applyProtection="1"/>
    <xf numFmtId="0" fontId="0" fillId="0" borderId="23" xfId="0" applyBorder="1" applyProtection="1"/>
    <xf numFmtId="0" fontId="0" fillId="9" borderId="122" xfId="0" applyFill="1" applyBorder="1" applyProtection="1"/>
    <xf numFmtId="0" fontId="0" fillId="10" borderId="282" xfId="0" applyFill="1" applyBorder="1" applyProtection="1"/>
    <xf numFmtId="0" fontId="0" fillId="0" borderId="283" xfId="0" applyBorder="1" applyProtection="1"/>
    <xf numFmtId="0" fontId="6" fillId="0" borderId="2" xfId="0" applyFont="1" applyBorder="1" applyProtection="1"/>
    <xf numFmtId="0" fontId="0" fillId="0" borderId="4" xfId="0" applyBorder="1" applyProtection="1"/>
    <xf numFmtId="0" fontId="0" fillId="0" borderId="284" xfId="0" applyFill="1" applyBorder="1" applyAlignment="1" applyProtection="1">
      <alignment vertical="center"/>
    </xf>
    <xf numFmtId="0" fontId="6" fillId="0" borderId="0" xfId="0" applyFont="1" applyAlignment="1" applyProtection="1">
      <alignment vertical="center"/>
    </xf>
    <xf numFmtId="0" fontId="6" fillId="0" borderId="68" xfId="0" applyFont="1" applyBorder="1" applyAlignment="1" applyProtection="1">
      <alignment vertical="center"/>
    </xf>
    <xf numFmtId="164" fontId="6" fillId="5" borderId="110" xfId="0" applyNumberFormat="1" applyFont="1" applyFill="1" applyBorder="1" applyAlignment="1" applyProtection="1">
      <alignment vertical="center"/>
    </xf>
    <xf numFmtId="0" fontId="8" fillId="0" borderId="113" xfId="0" applyFont="1" applyBorder="1" applyAlignment="1" applyProtection="1">
      <alignment vertical="center"/>
    </xf>
    <xf numFmtId="0" fontId="10" fillId="0" borderId="134" xfId="0" applyFont="1" applyBorder="1" applyAlignment="1" applyProtection="1">
      <alignment horizontal="right" vertical="center"/>
    </xf>
    <xf numFmtId="164" fontId="8" fillId="9" borderId="143" xfId="0" applyNumberFormat="1" applyFont="1" applyFill="1" applyBorder="1" applyAlignment="1" applyProtection="1">
      <alignment vertical="center"/>
    </xf>
    <xf numFmtId="0" fontId="6" fillId="0" borderId="114" xfId="0" applyFont="1" applyBorder="1" applyAlignment="1" applyProtection="1">
      <alignment vertical="center"/>
    </xf>
    <xf numFmtId="0" fontId="0" fillId="7" borderId="132" xfId="0" applyFill="1" applyBorder="1" applyAlignment="1" applyProtection="1">
      <alignment horizontal="center" vertical="center"/>
      <protection locked="0"/>
    </xf>
    <xf numFmtId="0" fontId="0" fillId="10" borderId="42" xfId="0" applyFill="1" applyBorder="1" applyAlignment="1" applyProtection="1">
      <alignment horizontal="center" vertical="center"/>
    </xf>
    <xf numFmtId="0" fontId="0" fillId="10" borderId="56" xfId="0" applyFill="1" applyBorder="1" applyAlignment="1" applyProtection="1">
      <alignment vertical="center"/>
    </xf>
    <xf numFmtId="0" fontId="0" fillId="10" borderId="77" xfId="0" applyFill="1" applyBorder="1" applyAlignment="1" applyProtection="1">
      <alignment vertical="center"/>
    </xf>
    <xf numFmtId="164" fontId="0" fillId="10" borderId="78" xfId="0" applyNumberFormat="1" applyFill="1" applyBorder="1" applyAlignment="1" applyProtection="1">
      <alignment vertical="center"/>
    </xf>
    <xf numFmtId="164" fontId="0" fillId="10" borderId="81" xfId="0" applyNumberFormat="1" applyFill="1" applyBorder="1" applyAlignment="1" applyProtection="1">
      <alignment vertical="center"/>
    </xf>
    <xf numFmtId="8" fontId="0" fillId="0" borderId="0" xfId="0" quotePrefix="1" applyNumberFormat="1" applyAlignment="1" applyProtection="1">
      <alignment vertical="center"/>
    </xf>
    <xf numFmtId="164" fontId="0" fillId="0" borderId="0" xfId="0" applyNumberFormat="1"/>
    <xf numFmtId="0" fontId="2" fillId="0" borderId="95" xfId="0" applyFont="1" applyBorder="1" applyAlignment="1" applyProtection="1">
      <alignment horizontal="right" vertical="center"/>
    </xf>
    <xf numFmtId="165" fontId="0" fillId="0" borderId="228" xfId="0" applyNumberFormat="1" applyFill="1" applyBorder="1" applyAlignment="1" applyProtection="1">
      <alignment vertical="center"/>
    </xf>
    <xf numFmtId="165" fontId="0" fillId="0" borderId="232" xfId="0" applyNumberFormat="1" applyFill="1" applyBorder="1" applyAlignment="1" applyProtection="1">
      <alignment vertical="center"/>
    </xf>
    <xf numFmtId="165" fontId="0" fillId="0" borderId="233" xfId="0" applyNumberFormat="1" applyFill="1" applyBorder="1" applyAlignment="1" applyProtection="1">
      <alignment vertical="center"/>
    </xf>
    <xf numFmtId="0" fontId="0" fillId="0" borderId="153" xfId="0" applyBorder="1" applyAlignment="1" applyProtection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vertical="center"/>
    </xf>
    <xf numFmtId="164" fontId="0" fillId="0" borderId="245" xfId="0" applyNumberFormat="1" applyBorder="1" applyAlignment="1" applyProtection="1">
      <alignment vertical="center"/>
    </xf>
    <xf numFmtId="164" fontId="0" fillId="0" borderId="171" xfId="0" applyNumberFormat="1" applyFill="1" applyBorder="1" applyAlignment="1" applyProtection="1">
      <alignment vertical="center"/>
    </xf>
    <xf numFmtId="164" fontId="0" fillId="0" borderId="287" xfId="0" applyNumberFormat="1" applyFill="1" applyBorder="1" applyAlignment="1" applyProtection="1">
      <alignment vertical="center"/>
    </xf>
    <xf numFmtId="164" fontId="0" fillId="0" borderId="173" xfId="0" applyNumberFormat="1" applyFill="1" applyBorder="1" applyAlignment="1" applyProtection="1">
      <alignment vertical="center"/>
    </xf>
    <xf numFmtId="164" fontId="0" fillId="0" borderId="287" xfId="0" applyNumberFormat="1" applyBorder="1" applyAlignment="1" applyProtection="1">
      <alignment vertical="center"/>
    </xf>
    <xf numFmtId="164" fontId="2" fillId="6" borderId="188" xfId="0" applyNumberFormat="1" applyFont="1" applyFill="1" applyBorder="1" applyAlignment="1" applyProtection="1">
      <alignment vertical="center"/>
    </xf>
    <xf numFmtId="164" fontId="0" fillId="0" borderId="281" xfId="0" applyNumberFormat="1" applyFill="1" applyBorder="1" applyAlignment="1" applyProtection="1">
      <alignment vertical="center"/>
    </xf>
    <xf numFmtId="0" fontId="0" fillId="0" borderId="3" xfId="0" applyBorder="1" applyAlignment="1" applyProtection="1">
      <alignment vertical="center"/>
    </xf>
    <xf numFmtId="166" fontId="0" fillId="0" borderId="0" xfId="0" applyNumberFormat="1" applyAlignment="1">
      <alignment vertical="center"/>
    </xf>
    <xf numFmtId="164" fontId="0" fillId="0" borderId="289" xfId="0" applyNumberFormat="1" applyBorder="1" applyAlignment="1">
      <alignment vertical="center"/>
    </xf>
    <xf numFmtId="164" fontId="0" fillId="0" borderId="46" xfId="0" applyNumberFormat="1" applyBorder="1" applyAlignment="1">
      <alignment vertical="center"/>
    </xf>
    <xf numFmtId="164" fontId="0" fillId="0" borderId="177" xfId="0" applyNumberFormat="1" applyBorder="1" applyAlignment="1">
      <alignment vertical="center"/>
    </xf>
    <xf numFmtId="164" fontId="0" fillId="0" borderId="52" xfId="0" applyNumberFormat="1" applyBorder="1" applyAlignment="1">
      <alignment vertical="center"/>
    </xf>
    <xf numFmtId="166" fontId="6" fillId="0" borderId="290" xfId="0" applyNumberFormat="1" applyFont="1" applyBorder="1" applyAlignment="1">
      <alignment horizontal="center" vertical="center"/>
    </xf>
    <xf numFmtId="166" fontId="6" fillId="0" borderId="36" xfId="0" applyNumberFormat="1" applyFont="1" applyBorder="1" applyAlignment="1">
      <alignment horizontal="center" vertical="center"/>
    </xf>
    <xf numFmtId="166" fontId="6" fillId="0" borderId="37" xfId="0" applyNumberFormat="1" applyFont="1" applyBorder="1" applyAlignment="1">
      <alignment horizontal="center" vertical="center"/>
    </xf>
    <xf numFmtId="10" fontId="6" fillId="0" borderId="275" xfId="0" applyNumberFormat="1" applyFont="1" applyBorder="1" applyAlignment="1">
      <alignment vertical="center"/>
    </xf>
    <xf numFmtId="10" fontId="6" fillId="0" borderId="164" xfId="0" applyNumberFormat="1" applyFont="1" applyBorder="1" applyAlignment="1">
      <alignment vertical="center"/>
    </xf>
    <xf numFmtId="10" fontId="6" fillId="0" borderId="278" xfId="0" applyNumberFormat="1" applyFont="1" applyBorder="1" applyAlignment="1">
      <alignment vertical="center"/>
    </xf>
    <xf numFmtId="164" fontId="0" fillId="0" borderId="291" xfId="0" applyNumberFormat="1" applyBorder="1" applyAlignment="1">
      <alignment vertical="center"/>
    </xf>
    <xf numFmtId="164" fontId="0" fillId="0" borderId="292" xfId="0" applyNumberFormat="1" applyBorder="1" applyAlignment="1">
      <alignment vertical="center"/>
    </xf>
    <xf numFmtId="164" fontId="0" fillId="0" borderId="293" xfId="0" applyNumberFormat="1" applyBorder="1" applyAlignment="1">
      <alignment vertical="center"/>
    </xf>
    <xf numFmtId="164" fontId="0" fillId="0" borderId="138" xfId="0" applyNumberFormat="1" applyBorder="1" applyAlignment="1">
      <alignment vertical="center"/>
    </xf>
    <xf numFmtId="164" fontId="0" fillId="0" borderId="294" xfId="0" applyNumberFormat="1" applyBorder="1" applyAlignment="1">
      <alignment vertical="center"/>
    </xf>
    <xf numFmtId="164" fontId="0" fillId="2" borderId="295" xfId="0" applyNumberFormat="1" applyFill="1" applyBorder="1" applyAlignment="1">
      <alignment vertical="center"/>
    </xf>
    <xf numFmtId="164" fontId="0" fillId="2" borderId="267" xfId="0" applyNumberFormat="1" applyFill="1" applyBorder="1" applyAlignment="1">
      <alignment vertical="center"/>
    </xf>
    <xf numFmtId="164" fontId="0" fillId="2" borderId="297" xfId="0" applyNumberFormat="1" applyFill="1" applyBorder="1" applyAlignment="1">
      <alignment vertical="center"/>
    </xf>
    <xf numFmtId="164" fontId="6" fillId="5" borderId="296" xfId="0" applyNumberFormat="1" applyFont="1" applyFill="1" applyBorder="1" applyAlignment="1">
      <alignment vertical="center"/>
    </xf>
    <xf numFmtId="164" fontId="6" fillId="5" borderId="13" xfId="0" applyNumberFormat="1" applyFont="1" applyFill="1" applyBorder="1" applyAlignment="1">
      <alignment vertical="center"/>
    </xf>
    <xf numFmtId="164" fontId="6" fillId="5" borderId="161" xfId="0" applyNumberFormat="1" applyFont="1" applyFill="1" applyBorder="1" applyAlignment="1">
      <alignment vertical="center"/>
    </xf>
    <xf numFmtId="0" fontId="0" fillId="2" borderId="298" xfId="0" applyFill="1" applyBorder="1" applyAlignment="1">
      <alignment vertical="center"/>
    </xf>
    <xf numFmtId="0" fontId="0" fillId="2" borderId="83" xfId="0" applyFill="1" applyBorder="1" applyAlignment="1">
      <alignment vertical="center"/>
    </xf>
    <xf numFmtId="0" fontId="0" fillId="2" borderId="207" xfId="0" applyFill="1" applyBorder="1" applyAlignment="1">
      <alignment vertical="center"/>
    </xf>
    <xf numFmtId="164" fontId="6" fillId="5" borderId="299" xfId="0" applyNumberFormat="1" applyFont="1" applyFill="1" applyBorder="1" applyAlignment="1">
      <alignment vertical="center"/>
    </xf>
    <xf numFmtId="164" fontId="6" fillId="5" borderId="190" xfId="0" applyNumberFormat="1" applyFont="1" applyFill="1" applyBorder="1" applyAlignment="1">
      <alignment vertical="center"/>
    </xf>
    <xf numFmtId="164" fontId="6" fillId="5" borderId="288" xfId="0" applyNumberFormat="1" applyFont="1" applyFill="1" applyBorder="1" applyAlignment="1">
      <alignment vertical="center"/>
    </xf>
    <xf numFmtId="0" fontId="15" fillId="0" borderId="0" xfId="0" applyFont="1" applyAlignment="1">
      <alignment horizontal="right" vertical="center"/>
    </xf>
    <xf numFmtId="164" fontId="0" fillId="7" borderId="196" xfId="0" applyNumberFormat="1" applyFill="1" applyBorder="1" applyAlignment="1">
      <alignment vertical="center"/>
    </xf>
    <xf numFmtId="10" fontId="0" fillId="7" borderId="53" xfId="0" applyNumberFormat="1" applyFill="1" applyBorder="1" applyAlignment="1">
      <alignment vertical="center"/>
    </xf>
    <xf numFmtId="167" fontId="0" fillId="7" borderId="53" xfId="0" applyNumberFormat="1" applyFill="1" applyBorder="1" applyAlignment="1">
      <alignment vertical="center"/>
    </xf>
    <xf numFmtId="164" fontId="0" fillId="7" borderId="233" xfId="0" applyNumberFormat="1" applyFill="1" applyBorder="1" applyAlignment="1">
      <alignment vertical="center"/>
    </xf>
    <xf numFmtId="166" fontId="6" fillId="0" borderId="305" xfId="0" applyNumberFormat="1" applyFont="1" applyBorder="1" applyAlignment="1">
      <alignment horizontal="center" vertical="center"/>
    </xf>
    <xf numFmtId="0" fontId="0" fillId="7" borderId="124" xfId="0" applyFill="1" applyBorder="1" applyAlignment="1" applyProtection="1">
      <alignment horizontal="center" vertical="center"/>
      <protection locked="0"/>
    </xf>
    <xf numFmtId="0" fontId="0" fillId="7" borderId="125" xfId="0" applyFill="1" applyBorder="1" applyAlignment="1" applyProtection="1">
      <alignment horizontal="center" vertical="center"/>
      <protection locked="0"/>
    </xf>
    <xf numFmtId="164" fontId="0" fillId="0" borderId="126" xfId="0" applyNumberFormat="1" applyBorder="1" applyAlignment="1" applyProtection="1">
      <alignment vertical="center"/>
    </xf>
    <xf numFmtId="164" fontId="0" fillId="0" borderId="129" xfId="0" applyNumberFormat="1" applyBorder="1" applyAlignment="1" applyProtection="1">
      <alignment vertical="center"/>
    </xf>
    <xf numFmtId="164" fontId="0" fillId="0" borderId="128" xfId="0" applyNumberFormat="1" applyBorder="1" applyAlignment="1" applyProtection="1">
      <alignment vertical="center"/>
    </xf>
    <xf numFmtId="164" fontId="0" fillId="0" borderId="130" xfId="0" applyNumberFormat="1" applyBorder="1" applyAlignment="1" applyProtection="1">
      <alignment vertical="center"/>
    </xf>
    <xf numFmtId="0" fontId="0" fillId="3" borderId="18" xfId="0" applyFill="1" applyBorder="1" applyAlignment="1" applyProtection="1">
      <alignment vertical="center"/>
      <protection locked="0"/>
    </xf>
    <xf numFmtId="164" fontId="0" fillId="7" borderId="19" xfId="0" applyNumberFormat="1" applyFill="1" applyBorder="1" applyAlignment="1" applyProtection="1">
      <alignment vertical="center"/>
      <protection locked="0"/>
    </xf>
    <xf numFmtId="0" fontId="0" fillId="7" borderId="19" xfId="0" applyFill="1" applyBorder="1" applyAlignment="1" applyProtection="1">
      <alignment horizontal="center" vertical="center"/>
      <protection locked="0"/>
    </xf>
    <xf numFmtId="0" fontId="0" fillId="7" borderId="306" xfId="0" applyFill="1" applyBorder="1" applyAlignment="1" applyProtection="1">
      <alignment horizontal="center" vertical="center"/>
      <protection locked="0"/>
    </xf>
    <xf numFmtId="164" fontId="0" fillId="0" borderId="247" xfId="0" applyNumberFormat="1" applyBorder="1" applyAlignment="1" applyProtection="1">
      <alignment vertical="center"/>
    </xf>
    <xf numFmtId="164" fontId="6" fillId="0" borderId="310" xfId="0" applyNumberFormat="1" applyFont="1" applyBorder="1" applyAlignment="1">
      <alignment vertical="center"/>
    </xf>
    <xf numFmtId="164" fontId="6" fillId="0" borderId="313" xfId="0" applyNumberFormat="1" applyFont="1" applyBorder="1" applyAlignment="1">
      <alignment vertical="center"/>
    </xf>
    <xf numFmtId="0" fontId="6" fillId="0" borderId="314" xfId="0" applyFont="1" applyBorder="1" applyAlignment="1">
      <alignment horizontal="center" vertical="center"/>
    </xf>
    <xf numFmtId="0" fontId="6" fillId="0" borderId="255" xfId="0" applyFont="1" applyBorder="1" applyAlignment="1">
      <alignment horizontal="center" vertical="center"/>
    </xf>
    <xf numFmtId="0" fontId="6" fillId="0" borderId="315" xfId="0" applyFont="1" applyBorder="1" applyAlignment="1">
      <alignment horizontal="center" vertical="center"/>
    </xf>
    <xf numFmtId="0" fontId="0" fillId="0" borderId="308" xfId="0" applyBorder="1" applyAlignment="1">
      <alignment vertical="center"/>
    </xf>
    <xf numFmtId="0" fontId="0" fillId="0" borderId="316" xfId="0" applyBorder="1" applyAlignment="1">
      <alignment vertical="center"/>
    </xf>
    <xf numFmtId="0" fontId="0" fillId="0" borderId="311" xfId="0" applyBorder="1" applyAlignment="1">
      <alignment vertical="center"/>
    </xf>
    <xf numFmtId="164" fontId="0" fillId="0" borderId="47" xfId="0" applyNumberFormat="1" applyBorder="1" applyAlignment="1">
      <alignment vertical="center"/>
    </xf>
    <xf numFmtId="164" fontId="0" fillId="0" borderId="53" xfId="0" applyNumberFormat="1" applyBorder="1" applyAlignment="1">
      <alignment vertical="center"/>
    </xf>
    <xf numFmtId="164" fontId="0" fillId="0" borderId="317" xfId="0" applyNumberFormat="1" applyBorder="1" applyAlignment="1">
      <alignment vertical="center"/>
    </xf>
    <xf numFmtId="164" fontId="0" fillId="0" borderId="231" xfId="0" applyNumberFormat="1" applyBorder="1" applyAlignment="1">
      <alignment vertical="center"/>
    </xf>
    <xf numFmtId="164" fontId="0" fillId="0" borderId="233" xfId="0" applyNumberFormat="1" applyBorder="1" applyAlignment="1">
      <alignment vertical="center"/>
    </xf>
    <xf numFmtId="0" fontId="0" fillId="0" borderId="192" xfId="0" applyBorder="1" applyAlignment="1">
      <alignment vertical="center"/>
    </xf>
    <xf numFmtId="164" fontId="0" fillId="0" borderId="43" xfId="0" applyNumberFormat="1" applyBorder="1" applyAlignment="1">
      <alignment vertical="center"/>
    </xf>
    <xf numFmtId="164" fontId="0" fillId="0" borderId="41" xfId="0" applyNumberFormat="1" applyBorder="1" applyAlignment="1">
      <alignment vertical="center"/>
    </xf>
    <xf numFmtId="164" fontId="0" fillId="0" borderId="211" xfId="0" applyNumberFormat="1" applyBorder="1" applyAlignment="1">
      <alignment vertical="center"/>
    </xf>
    <xf numFmtId="0" fontId="0" fillId="0" borderId="151" xfId="0" applyBorder="1" applyAlignment="1">
      <alignment vertical="center"/>
    </xf>
    <xf numFmtId="164" fontId="0" fillId="0" borderId="135" xfId="0" applyNumberFormat="1" applyBorder="1" applyAlignment="1">
      <alignment vertical="center"/>
    </xf>
    <xf numFmtId="164" fontId="0" fillId="0" borderId="132" xfId="0" applyNumberFormat="1" applyBorder="1" applyAlignment="1">
      <alignment vertical="center"/>
    </xf>
    <xf numFmtId="164" fontId="0" fillId="0" borderId="238" xfId="0" applyNumberFormat="1" applyBorder="1" applyAlignment="1">
      <alignment vertical="center"/>
    </xf>
    <xf numFmtId="0" fontId="0" fillId="0" borderId="246" xfId="0" applyBorder="1" applyAlignment="1">
      <alignment vertical="center"/>
    </xf>
    <xf numFmtId="164" fontId="0" fillId="0" borderId="234" xfId="0" applyNumberFormat="1" applyBorder="1" applyAlignment="1">
      <alignment vertical="center"/>
    </xf>
    <xf numFmtId="164" fontId="0" fillId="0" borderId="19" xfId="0" applyNumberFormat="1" applyBorder="1" applyAlignment="1">
      <alignment vertical="center"/>
    </xf>
    <xf numFmtId="164" fontId="0" fillId="0" borderId="20" xfId="0" applyNumberFormat="1" applyBorder="1" applyAlignment="1">
      <alignment vertical="center"/>
    </xf>
    <xf numFmtId="0" fontId="0" fillId="0" borderId="198" xfId="0" applyBorder="1" applyAlignment="1">
      <alignment vertical="center"/>
    </xf>
    <xf numFmtId="164" fontId="0" fillId="0" borderId="228" xfId="0" applyNumberFormat="1" applyBorder="1" applyAlignment="1">
      <alignment vertical="center"/>
    </xf>
    <xf numFmtId="164" fontId="0" fillId="0" borderId="229" xfId="0" applyNumberFormat="1" applyBorder="1" applyAlignment="1">
      <alignment vertical="center"/>
    </xf>
    <xf numFmtId="164" fontId="0" fillId="0" borderId="149" xfId="0" applyNumberFormat="1" applyBorder="1" applyAlignment="1">
      <alignment vertical="center"/>
    </xf>
    <xf numFmtId="0" fontId="0" fillId="0" borderId="121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85" xfId="0" applyBorder="1" applyAlignment="1">
      <alignment horizontal="center" vertical="center"/>
    </xf>
    <xf numFmtId="0" fontId="0" fillId="0" borderId="108" xfId="0" applyBorder="1" applyAlignment="1">
      <alignment vertical="center"/>
    </xf>
    <xf numFmtId="0" fontId="0" fillId="0" borderId="21" xfId="0" applyBorder="1" applyAlignment="1">
      <alignment vertical="center"/>
    </xf>
    <xf numFmtId="164" fontId="0" fillId="0" borderId="23" xfId="0" applyNumberFormat="1" applyBorder="1" applyAlignment="1">
      <alignment vertical="center"/>
    </xf>
    <xf numFmtId="0" fontId="0" fillId="0" borderId="148" xfId="0" applyBorder="1" applyAlignment="1">
      <alignment vertical="center"/>
    </xf>
    <xf numFmtId="0" fontId="1" fillId="4" borderId="2" xfId="0" applyFont="1" applyFill="1" applyBorder="1" applyAlignment="1" applyProtection="1">
      <alignment horizontal="center"/>
    </xf>
    <xf numFmtId="0" fontId="1" fillId="4" borderId="3" xfId="0" applyFont="1" applyFill="1" applyBorder="1" applyAlignment="1" applyProtection="1">
      <alignment horizontal="center"/>
    </xf>
    <xf numFmtId="0" fontId="1" fillId="4" borderId="4" xfId="0" applyFont="1" applyFill="1" applyBorder="1" applyAlignment="1" applyProtection="1">
      <alignment horizontal="center"/>
    </xf>
    <xf numFmtId="0" fontId="2" fillId="8" borderId="2" xfId="0" applyFont="1" applyFill="1" applyBorder="1" applyAlignment="1" applyProtection="1">
      <alignment horizontal="left" vertical="center"/>
    </xf>
    <xf numFmtId="0" fontId="2" fillId="8" borderId="3" xfId="0" applyFont="1" applyFill="1" applyBorder="1" applyAlignment="1" applyProtection="1">
      <alignment horizontal="left" vertical="center"/>
    </xf>
    <xf numFmtId="0" fontId="2" fillId="8" borderId="4" xfId="0" applyFont="1" applyFill="1" applyBorder="1" applyAlignment="1" applyProtection="1">
      <alignment horizontal="left" vertical="center"/>
    </xf>
    <xf numFmtId="0" fontId="0" fillId="3" borderId="11" xfId="0" applyFill="1" applyBorder="1" applyAlignment="1" applyProtection="1">
      <alignment horizontal="left" vertical="center"/>
      <protection locked="0"/>
    </xf>
    <xf numFmtId="0" fontId="0" fillId="3" borderId="25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center" wrapText="1"/>
      <protection locked="0"/>
    </xf>
    <xf numFmtId="0" fontId="0" fillId="3" borderId="1" xfId="0" applyFill="1" applyBorder="1" applyAlignment="1" applyProtection="1">
      <alignment horizontal="left" vertical="center"/>
      <protection locked="0"/>
    </xf>
    <xf numFmtId="0" fontId="0" fillId="3" borderId="54" xfId="0" applyFill="1" applyBorder="1" applyAlignment="1" applyProtection="1">
      <alignment horizontal="left" vertical="center"/>
      <protection locked="0"/>
    </xf>
    <xf numFmtId="0" fontId="0" fillId="3" borderId="97" xfId="0" applyFill="1" applyBorder="1" applyAlignment="1" applyProtection="1">
      <alignment horizontal="left" vertical="center"/>
      <protection locked="0"/>
    </xf>
    <xf numFmtId="0" fontId="0" fillId="0" borderId="103" xfId="0" applyBorder="1" applyAlignment="1" applyProtection="1">
      <alignment horizontal="left" vertical="top" wrapText="1"/>
    </xf>
    <xf numFmtId="0" fontId="0" fillId="0" borderId="0" xfId="0" applyBorder="1" applyAlignment="1" applyProtection="1">
      <alignment horizontal="left" vertical="top" wrapText="1"/>
    </xf>
    <xf numFmtId="0" fontId="0" fillId="0" borderId="104" xfId="0" applyBorder="1" applyAlignment="1" applyProtection="1">
      <alignment horizontal="left" vertical="top" wrapText="1"/>
    </xf>
    <xf numFmtId="0" fontId="0" fillId="0" borderId="105" xfId="0" applyBorder="1" applyAlignment="1" applyProtection="1">
      <alignment horizontal="left" vertical="top" wrapText="1"/>
    </xf>
    <xf numFmtId="0" fontId="0" fillId="0" borderId="1" xfId="0" applyBorder="1" applyAlignment="1" applyProtection="1">
      <alignment horizontal="left" vertical="top" wrapText="1"/>
    </xf>
    <xf numFmtId="0" fontId="0" fillId="0" borderId="106" xfId="0" applyBorder="1" applyAlignment="1" applyProtection="1">
      <alignment horizontal="left" vertical="top" wrapText="1"/>
    </xf>
    <xf numFmtId="0" fontId="6" fillId="0" borderId="102" xfId="0" applyFont="1" applyBorder="1" applyAlignment="1" applyProtection="1">
      <alignment horizontal="left" vertical="top"/>
    </xf>
    <xf numFmtId="0" fontId="6" fillId="0" borderId="100" xfId="0" applyFont="1" applyBorder="1" applyAlignment="1" applyProtection="1">
      <alignment horizontal="left" vertical="top"/>
    </xf>
    <xf numFmtId="0" fontId="6" fillId="0" borderId="74" xfId="0" applyFont="1" applyBorder="1" applyAlignment="1" applyProtection="1">
      <alignment horizontal="left" vertical="top"/>
    </xf>
    <xf numFmtId="0" fontId="0" fillId="3" borderId="10" xfId="0" applyFont="1" applyFill="1" applyBorder="1" applyAlignment="1" applyProtection="1">
      <alignment horizontal="left" vertical="center"/>
      <protection locked="0"/>
    </xf>
    <xf numFmtId="0" fontId="0" fillId="3" borderId="26" xfId="0" applyFont="1" applyFill="1" applyBorder="1" applyAlignment="1" applyProtection="1">
      <alignment horizontal="left" vertical="center"/>
      <protection locked="0"/>
    </xf>
    <xf numFmtId="0" fontId="3" fillId="0" borderId="15" xfId="0" applyFont="1" applyBorder="1" applyAlignment="1" applyProtection="1">
      <alignment horizontal="left" vertical="center"/>
    </xf>
    <xf numFmtId="0" fontId="3" fillId="0" borderId="24" xfId="0" applyFont="1" applyBorder="1" applyAlignment="1" applyProtection="1">
      <alignment horizontal="left" vertical="center"/>
    </xf>
    <xf numFmtId="14" fontId="0" fillId="3" borderId="100" xfId="0" applyNumberForma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center" vertical="center"/>
    </xf>
    <xf numFmtId="0" fontId="1" fillId="4" borderId="3" xfId="0" applyFont="1" applyFill="1" applyBorder="1" applyAlignment="1" applyProtection="1">
      <alignment horizontal="center" vertical="center"/>
    </xf>
    <xf numFmtId="0" fontId="1" fillId="4" borderId="4" xfId="0" applyFont="1" applyFill="1" applyBorder="1" applyAlignment="1" applyProtection="1">
      <alignment horizontal="center" vertical="center"/>
    </xf>
    <xf numFmtId="0" fontId="6" fillId="0" borderId="30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28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27" xfId="0" applyFill="1" applyBorder="1" applyAlignment="1" applyProtection="1">
      <alignment horizontal="center" vertical="center"/>
    </xf>
    <xf numFmtId="0" fontId="0" fillId="2" borderId="28" xfId="0" applyFill="1" applyBorder="1" applyAlignment="1" applyProtection="1">
      <alignment horizontal="center" vertical="center"/>
    </xf>
    <xf numFmtId="0" fontId="0" fillId="2" borderId="68" xfId="0" applyFill="1" applyBorder="1" applyAlignment="1" applyProtection="1">
      <alignment horizontal="center" vertical="center"/>
    </xf>
    <xf numFmtId="0" fontId="6" fillId="0" borderId="31" xfId="0" applyFont="1" applyBorder="1" applyAlignment="1" applyProtection="1">
      <alignment horizontal="center" vertical="center"/>
    </xf>
    <xf numFmtId="0" fontId="6" fillId="0" borderId="37" xfId="0" applyFon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left" vertical="center" wrapText="1"/>
    </xf>
    <xf numFmtId="0" fontId="0" fillId="0" borderId="15" xfId="0" applyBorder="1" applyAlignment="1" applyProtection="1">
      <alignment horizontal="left" vertical="center" wrapText="1"/>
    </xf>
    <xf numFmtId="0" fontId="5" fillId="0" borderId="39" xfId="0" applyFont="1" applyBorder="1" applyAlignment="1" applyProtection="1">
      <alignment horizontal="center" vertical="center" wrapText="1"/>
    </xf>
    <xf numFmtId="0" fontId="5" fillId="0" borderId="40" xfId="0" applyFont="1" applyBorder="1" applyAlignment="1" applyProtection="1">
      <alignment horizontal="center" vertical="center" wrapText="1"/>
    </xf>
    <xf numFmtId="0" fontId="5" fillId="0" borderId="29" xfId="0" applyFont="1" applyBorder="1" applyAlignment="1" applyProtection="1">
      <alignment horizontal="center" vertical="center" wrapText="1"/>
    </xf>
    <xf numFmtId="0" fontId="5" fillId="0" borderId="16" xfId="0" applyFont="1" applyBorder="1" applyAlignment="1" applyProtection="1">
      <alignment horizontal="center" vertical="center" wrapText="1"/>
    </xf>
    <xf numFmtId="0" fontId="0" fillId="0" borderId="114" xfId="0" applyBorder="1" applyAlignment="1" applyProtection="1">
      <alignment horizontal="center" vertical="center" wrapText="1"/>
    </xf>
    <xf numFmtId="0" fontId="0" fillId="0" borderId="112" xfId="0" applyBorder="1" applyAlignment="1" applyProtection="1">
      <alignment horizontal="center" vertical="center" wrapText="1"/>
    </xf>
    <xf numFmtId="0" fontId="6" fillId="0" borderId="27" xfId="0" applyFont="1" applyBorder="1" applyAlignment="1" applyProtection="1">
      <alignment horizontal="left" vertical="center" wrapText="1"/>
    </xf>
    <xf numFmtId="0" fontId="6" fillId="0" borderId="15" xfId="0" applyFont="1" applyBorder="1" applyAlignment="1" applyProtection="1">
      <alignment horizontal="left" vertical="center" wrapText="1"/>
    </xf>
    <xf numFmtId="0" fontId="9" fillId="0" borderId="29" xfId="0" applyFont="1" applyBorder="1" applyAlignment="1" applyProtection="1">
      <alignment horizontal="center" vertical="center" wrapText="1"/>
    </xf>
    <xf numFmtId="0" fontId="9" fillId="0" borderId="16" xfId="0" applyFont="1" applyBorder="1" applyAlignment="1" applyProtection="1">
      <alignment horizontal="center" vertical="center" wrapText="1"/>
    </xf>
    <xf numFmtId="0" fontId="9" fillId="0" borderId="39" xfId="0" applyFont="1" applyBorder="1" applyAlignment="1" applyProtection="1">
      <alignment horizontal="center" vertical="center" wrapText="1"/>
    </xf>
    <xf numFmtId="0" fontId="9" fillId="0" borderId="40" xfId="0" applyFont="1" applyBorder="1" applyAlignment="1" applyProtection="1">
      <alignment horizontal="center" vertical="center" wrapText="1"/>
    </xf>
    <xf numFmtId="164" fontId="6" fillId="5" borderId="8" xfId="0" applyNumberFormat="1" applyFont="1" applyFill="1" applyBorder="1" applyAlignment="1" applyProtection="1">
      <alignment horizontal="center" vertical="center"/>
    </xf>
    <xf numFmtId="164" fontId="6" fillId="5" borderId="9" xfId="0" applyNumberFormat="1" applyFont="1" applyFill="1" applyBorder="1" applyAlignment="1" applyProtection="1">
      <alignment horizontal="center" vertical="center"/>
    </xf>
    <xf numFmtId="0" fontId="14" fillId="0" borderId="28" xfId="0" applyFont="1" applyBorder="1" applyAlignment="1" applyProtection="1">
      <alignment horizontal="center" vertical="center" wrapText="1"/>
    </xf>
    <xf numFmtId="0" fontId="14" fillId="0" borderId="28" xfId="0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 vertical="center"/>
    </xf>
    <xf numFmtId="164" fontId="8" fillId="9" borderId="86" xfId="0" applyNumberFormat="1" applyFont="1" applyFill="1" applyBorder="1" applyAlignment="1" applyProtection="1">
      <alignment horizontal="center" vertical="center"/>
    </xf>
    <xf numFmtId="0" fontId="8" fillId="9" borderId="120" xfId="0" applyFont="1" applyFill="1" applyBorder="1" applyAlignment="1" applyProtection="1">
      <alignment horizontal="center" vertical="center"/>
    </xf>
    <xf numFmtId="164" fontId="0" fillId="7" borderId="132" xfId="0" applyNumberFormat="1" applyFill="1" applyBorder="1" applyAlignment="1" applyProtection="1">
      <alignment horizontal="center" vertical="center"/>
      <protection locked="0"/>
    </xf>
    <xf numFmtId="164" fontId="0" fillId="7" borderId="22" xfId="0" applyNumberFormat="1" applyFill="1" applyBorder="1" applyAlignment="1" applyProtection="1">
      <alignment horizontal="center" vertical="center"/>
      <protection locked="0"/>
    </xf>
    <xf numFmtId="164" fontId="0" fillId="7" borderId="41" xfId="0" applyNumberFormat="1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7" borderId="0" xfId="0" applyFill="1" applyBorder="1" applyAlignment="1" applyProtection="1">
      <alignment horizontal="center" vertical="center"/>
      <protection locked="0"/>
    </xf>
    <xf numFmtId="0" fontId="0" fillId="7" borderId="124" xfId="0" applyFill="1" applyBorder="1" applyAlignment="1" applyProtection="1">
      <alignment horizontal="center" vertical="center"/>
      <protection locked="0"/>
    </xf>
    <xf numFmtId="0" fontId="14" fillId="0" borderId="39" xfId="0" applyFont="1" applyBorder="1" applyAlignment="1" applyProtection="1">
      <alignment horizontal="center" vertical="center" wrapText="1"/>
    </xf>
    <xf numFmtId="0" fontId="14" fillId="0" borderId="40" xfId="0" applyFont="1" applyBorder="1" applyAlignment="1" applyProtection="1">
      <alignment horizontal="center" vertical="center" wrapText="1"/>
    </xf>
    <xf numFmtId="0" fontId="6" fillId="0" borderId="68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right" vertical="center"/>
    </xf>
    <xf numFmtId="0" fontId="2" fillId="0" borderId="3" xfId="0" applyFont="1" applyBorder="1" applyAlignment="1" applyProtection="1">
      <alignment horizontal="right" vertical="center"/>
    </xf>
    <xf numFmtId="0" fontId="2" fillId="0" borderId="4" xfId="0" applyFont="1" applyBorder="1" applyAlignment="1" applyProtection="1">
      <alignment horizontal="right" vertical="center"/>
    </xf>
    <xf numFmtId="0" fontId="6" fillId="0" borderId="71" xfId="0" applyFont="1" applyBorder="1" applyAlignment="1" applyProtection="1">
      <alignment horizontal="center" vertical="center" wrapText="1"/>
    </xf>
    <xf numFmtId="0" fontId="6" fillId="0" borderId="70" xfId="0" applyFont="1" applyBorder="1" applyAlignment="1" applyProtection="1">
      <alignment horizontal="center" vertical="center" wrapText="1"/>
    </xf>
    <xf numFmtId="0" fontId="6" fillId="0" borderId="70" xfId="0" applyFont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right" vertical="center"/>
    </xf>
    <xf numFmtId="0" fontId="6" fillId="0" borderId="153" xfId="0" applyFont="1" applyFill="1" applyBorder="1" applyAlignment="1" applyProtection="1">
      <alignment horizontal="right" vertical="center"/>
    </xf>
    <xf numFmtId="0" fontId="0" fillId="0" borderId="192" xfId="0" applyBorder="1" applyAlignment="1" applyProtection="1">
      <alignment horizontal="right" vertical="center"/>
    </xf>
    <xf numFmtId="0" fontId="0" fillId="0" borderId="193" xfId="0" applyBorder="1" applyAlignment="1" applyProtection="1">
      <alignment horizontal="right" vertical="center"/>
    </xf>
    <xf numFmtId="0" fontId="0" fillId="0" borderId="204" xfId="0" applyBorder="1" applyAlignment="1" applyProtection="1">
      <alignment horizontal="right" vertical="center"/>
    </xf>
    <xf numFmtId="0" fontId="0" fillId="0" borderId="11" xfId="0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/>
    </xf>
    <xf numFmtId="0" fontId="0" fillId="0" borderId="25" xfId="0" applyBorder="1" applyAlignment="1" applyProtection="1">
      <alignment horizontal="right" vertical="center"/>
    </xf>
    <xf numFmtId="0" fontId="0" fillId="0" borderId="198" xfId="0" applyBorder="1" applyAlignment="1" applyProtection="1">
      <alignment horizontal="right" vertical="center"/>
    </xf>
    <xf numFmtId="0" fontId="0" fillId="0" borderId="199" xfId="0" applyBorder="1" applyAlignment="1" applyProtection="1">
      <alignment horizontal="right" vertical="center"/>
    </xf>
    <xf numFmtId="0" fontId="0" fillId="0" borderId="205" xfId="0" applyBorder="1" applyAlignment="1" applyProtection="1">
      <alignment horizontal="right" vertical="center"/>
    </xf>
    <xf numFmtId="0" fontId="0" fillId="0" borderId="0" xfId="0" applyBorder="1" applyAlignment="1" applyProtection="1">
      <alignment horizontal="right" vertical="center"/>
    </xf>
    <xf numFmtId="0" fontId="0" fillId="0" borderId="153" xfId="0" applyBorder="1" applyAlignment="1" applyProtection="1">
      <alignment horizontal="right" vertical="center"/>
    </xf>
    <xf numFmtId="0" fontId="0" fillId="9" borderId="15" xfId="0" applyFill="1" applyBorder="1" applyAlignment="1" applyProtection="1">
      <alignment horizontal="left" vertical="center"/>
    </xf>
    <xf numFmtId="0" fontId="0" fillId="9" borderId="32" xfId="0" applyFill="1" applyBorder="1" applyAlignment="1" applyProtection="1">
      <alignment horizontal="left" vertical="center"/>
    </xf>
    <xf numFmtId="0" fontId="0" fillId="9" borderId="155" xfId="0" applyFill="1" applyBorder="1" applyAlignment="1" applyProtection="1">
      <alignment horizontal="left" vertical="center"/>
    </xf>
    <xf numFmtId="0" fontId="0" fillId="0" borderId="12" xfId="0" applyBorder="1" applyAlignment="1" applyProtection="1">
      <alignment horizontal="left" vertical="center"/>
    </xf>
    <xf numFmtId="0" fontId="0" fillId="0" borderId="164" xfId="0" applyBorder="1" applyAlignment="1" applyProtection="1">
      <alignment horizontal="left" vertical="center"/>
    </xf>
    <xf numFmtId="0" fontId="0" fillId="0" borderId="157" xfId="0" applyBorder="1" applyAlignment="1" applyProtection="1">
      <alignment horizontal="left" vertical="center"/>
    </xf>
    <xf numFmtId="0" fontId="0" fillId="0" borderId="158" xfId="0" applyBorder="1" applyAlignment="1" applyProtection="1">
      <alignment horizontal="left" vertical="center"/>
    </xf>
    <xf numFmtId="0" fontId="0" fillId="0" borderId="159" xfId="0" applyBorder="1" applyAlignment="1" applyProtection="1">
      <alignment horizontal="left" vertical="center"/>
    </xf>
    <xf numFmtId="0" fontId="0" fillId="0" borderId="160" xfId="0" applyBorder="1" applyAlignment="1" applyProtection="1">
      <alignment horizontal="left" vertical="center"/>
    </xf>
    <xf numFmtId="0" fontId="0" fillId="0" borderId="182" xfId="0" applyBorder="1" applyAlignment="1" applyProtection="1">
      <alignment horizontal="left" vertical="center"/>
    </xf>
    <xf numFmtId="0" fontId="0" fillId="0" borderId="183" xfId="0" applyBorder="1" applyAlignment="1" applyProtection="1">
      <alignment horizontal="left" vertical="center"/>
    </xf>
    <xf numFmtId="0" fontId="2" fillId="5" borderId="2" xfId="0" applyFont="1" applyFill="1" applyBorder="1" applyAlignment="1" applyProtection="1">
      <alignment horizontal="left" vertical="center"/>
    </xf>
    <xf numFmtId="0" fontId="2" fillId="5" borderId="3" xfId="0" applyFont="1" applyFill="1" applyBorder="1" applyAlignment="1" applyProtection="1">
      <alignment horizontal="left" vertical="center"/>
    </xf>
    <xf numFmtId="0" fontId="2" fillId="5" borderId="178" xfId="0" applyFont="1" applyFill="1" applyBorder="1" applyAlignment="1" applyProtection="1">
      <alignment horizontal="left" vertical="center"/>
    </xf>
    <xf numFmtId="0" fontId="0" fillId="0" borderId="12" xfId="0" applyBorder="1" applyAlignment="1" applyProtection="1">
      <alignment horizontal="left" vertical="center" wrapText="1"/>
    </xf>
    <xf numFmtId="0" fontId="0" fillId="0" borderId="164" xfId="0" applyBorder="1" applyAlignment="1" applyProtection="1">
      <alignment horizontal="left" vertical="center" wrapText="1"/>
    </xf>
    <xf numFmtId="0" fontId="6" fillId="0" borderId="27" xfId="0" applyFont="1" applyBorder="1" applyAlignment="1" applyProtection="1">
      <alignment horizontal="left" vertical="center"/>
    </xf>
    <xf numFmtId="0" fontId="6" fillId="0" borderId="28" xfId="0" applyFont="1" applyBorder="1" applyAlignment="1" applyProtection="1">
      <alignment horizontal="left" vertical="center"/>
    </xf>
    <xf numFmtId="0" fontId="6" fillId="0" borderId="154" xfId="0" applyFont="1" applyBorder="1" applyAlignment="1" applyProtection="1">
      <alignment horizontal="left" vertical="center"/>
    </xf>
    <xf numFmtId="0" fontId="6" fillId="0" borderId="15" xfId="0" applyFont="1" applyBorder="1" applyAlignment="1" applyProtection="1">
      <alignment horizontal="left" vertical="center"/>
    </xf>
    <xf numFmtId="0" fontId="6" fillId="0" borderId="32" xfId="0" applyFont="1" applyBorder="1" applyAlignment="1" applyProtection="1">
      <alignment horizontal="left" vertical="center"/>
    </xf>
    <xf numFmtId="0" fontId="6" fillId="0" borderId="155" xfId="0" applyFont="1" applyBorder="1" applyAlignment="1" applyProtection="1">
      <alignment horizontal="left" vertical="center"/>
    </xf>
    <xf numFmtId="0" fontId="0" fillId="0" borderId="11" xfId="0" applyFill="1" applyBorder="1" applyAlignment="1" applyProtection="1">
      <alignment horizontal="left" vertical="center"/>
    </xf>
    <xf numFmtId="0" fontId="0" fillId="0" borderId="12" xfId="0" applyFill="1" applyBorder="1" applyAlignment="1" applyProtection="1">
      <alignment horizontal="left" vertical="center"/>
    </xf>
    <xf numFmtId="0" fontId="0" fillId="0" borderId="164" xfId="0" applyFill="1" applyBorder="1" applyAlignment="1" applyProtection="1">
      <alignment horizontal="left" vertical="center"/>
    </xf>
    <xf numFmtId="0" fontId="0" fillId="0" borderId="11" xfId="0" applyFill="1" applyBorder="1" applyAlignment="1" applyProtection="1">
      <alignment vertical="center"/>
    </xf>
    <xf numFmtId="0" fontId="0" fillId="0" borderId="12" xfId="0" applyFill="1" applyBorder="1" applyAlignment="1" applyProtection="1">
      <alignment vertical="center"/>
    </xf>
    <xf numFmtId="0" fontId="0" fillId="0" borderId="164" xfId="0" applyFill="1" applyBorder="1" applyAlignment="1" applyProtection="1">
      <alignment vertical="center"/>
    </xf>
    <xf numFmtId="0" fontId="12" fillId="0" borderId="216" xfId="0" applyFont="1" applyBorder="1" applyAlignment="1" applyProtection="1">
      <alignment horizontal="right" vertical="center"/>
    </xf>
    <xf numFmtId="0" fontId="12" fillId="0" borderId="217" xfId="0" applyFont="1" applyBorder="1" applyAlignment="1" applyProtection="1">
      <alignment horizontal="right" vertical="center"/>
    </xf>
    <xf numFmtId="0" fontId="12" fillId="0" borderId="218" xfId="0" applyFont="1" applyBorder="1" applyAlignment="1" applyProtection="1">
      <alignment horizontal="right" vertical="center"/>
    </xf>
    <xf numFmtId="0" fontId="0" fillId="0" borderId="11" xfId="0" applyBorder="1" applyAlignment="1" applyProtection="1">
      <alignment horizontal="left" vertical="center"/>
    </xf>
    <xf numFmtId="0" fontId="2" fillId="0" borderId="260" xfId="0" applyFont="1" applyBorder="1" applyAlignment="1" applyProtection="1">
      <alignment horizontal="right" vertical="center"/>
    </xf>
    <xf numFmtId="0" fontId="2" fillId="0" borderId="201" xfId="0" applyFont="1" applyBorder="1" applyAlignment="1" applyProtection="1">
      <alignment horizontal="right" vertical="center"/>
    </xf>
    <xf numFmtId="0" fontId="2" fillId="0" borderId="307" xfId="0" applyFont="1" applyBorder="1" applyAlignment="1" applyProtection="1">
      <alignment horizontal="right" vertical="center"/>
    </xf>
    <xf numFmtId="0" fontId="10" fillId="0" borderId="85" xfId="0" applyFont="1" applyBorder="1" applyAlignment="1" applyProtection="1">
      <alignment horizontal="right" vertical="center"/>
    </xf>
    <xf numFmtId="0" fontId="10" fillId="0" borderId="215" xfId="0" applyFont="1" applyBorder="1" applyAlignment="1" applyProtection="1">
      <alignment horizontal="right" vertical="center"/>
    </xf>
    <xf numFmtId="0" fontId="10" fillId="0" borderId="244" xfId="0" applyFont="1" applyBorder="1" applyAlignment="1" applyProtection="1">
      <alignment horizontal="right" vertical="center"/>
    </xf>
    <xf numFmtId="0" fontId="6" fillId="0" borderId="2" xfId="0" applyFont="1" applyBorder="1" applyAlignment="1" applyProtection="1">
      <alignment horizontal="right" vertical="center"/>
    </xf>
    <xf numFmtId="0" fontId="6" fillId="0" borderId="3" xfId="0" applyFont="1" applyBorder="1" applyAlignment="1" applyProtection="1">
      <alignment horizontal="right" vertical="center"/>
    </xf>
    <xf numFmtId="0" fontId="6" fillId="0" borderId="178" xfId="0" applyFont="1" applyBorder="1" applyAlignment="1" applyProtection="1">
      <alignment horizontal="right" vertical="center"/>
    </xf>
    <xf numFmtId="0" fontId="10" fillId="0" borderId="216" xfId="0" applyFont="1" applyBorder="1" applyAlignment="1" applyProtection="1">
      <alignment horizontal="left" vertical="center"/>
    </xf>
    <xf numFmtId="0" fontId="10" fillId="0" borderId="217" xfId="0" applyFont="1" applyBorder="1" applyAlignment="1" applyProtection="1">
      <alignment horizontal="left" vertical="center"/>
    </xf>
    <xf numFmtId="0" fontId="10" fillId="0" borderId="218" xfId="0" applyFont="1" applyBorder="1" applyAlignment="1" applyProtection="1">
      <alignment horizontal="left" vertical="center"/>
    </xf>
    <xf numFmtId="0" fontId="0" fillId="0" borderId="10" xfId="0" applyFill="1" applyBorder="1" applyAlignment="1" applyProtection="1">
      <alignment vertical="center"/>
    </xf>
    <xf numFmtId="0" fontId="0" fillId="0" borderId="157" xfId="0" applyFill="1" applyBorder="1" applyAlignment="1" applyProtection="1">
      <alignment vertical="center"/>
    </xf>
    <xf numFmtId="0" fontId="0" fillId="0" borderId="158" xfId="0" applyFill="1" applyBorder="1" applyAlignment="1" applyProtection="1">
      <alignment vertical="center"/>
    </xf>
    <xf numFmtId="0" fontId="0" fillId="3" borderId="151" xfId="0" applyFill="1" applyBorder="1" applyAlignment="1" applyProtection="1">
      <alignment horizontal="left" vertical="center"/>
      <protection locked="0"/>
    </xf>
    <xf numFmtId="0" fontId="0" fillId="3" borderId="159" xfId="0" applyFill="1" applyBorder="1" applyAlignment="1" applyProtection="1">
      <alignment horizontal="left" vertical="center"/>
      <protection locked="0"/>
    </xf>
    <xf numFmtId="0" fontId="0" fillId="3" borderId="160" xfId="0" applyFill="1" applyBorder="1" applyAlignment="1" applyProtection="1">
      <alignment horizontal="left" vertical="center"/>
      <protection locked="0"/>
    </xf>
    <xf numFmtId="0" fontId="0" fillId="3" borderId="75" xfId="0" applyFill="1" applyBorder="1" applyAlignment="1" applyProtection="1">
      <alignment horizontal="left" vertical="center"/>
      <protection locked="0"/>
    </xf>
    <xf numFmtId="0" fontId="0" fillId="3" borderId="213" xfId="0" applyFill="1" applyBorder="1" applyAlignment="1" applyProtection="1">
      <alignment horizontal="left" vertical="center"/>
      <protection locked="0"/>
    </xf>
    <xf numFmtId="0" fontId="0" fillId="3" borderId="214" xfId="0" applyFill="1" applyBorder="1" applyAlignment="1" applyProtection="1">
      <alignment horizontal="left" vertical="center"/>
      <protection locked="0"/>
    </xf>
    <xf numFmtId="0" fontId="6" fillId="0" borderId="38" xfId="0" applyFont="1" applyBorder="1" applyAlignment="1" applyProtection="1">
      <alignment horizontal="center" vertical="center"/>
    </xf>
    <xf numFmtId="0" fontId="0" fillId="0" borderId="10" xfId="0" applyFill="1" applyBorder="1" applyAlignment="1" applyProtection="1">
      <alignment horizontal="left" vertical="center"/>
    </xf>
    <xf numFmtId="0" fontId="0" fillId="0" borderId="157" xfId="0" applyFill="1" applyBorder="1" applyAlignment="1" applyProtection="1">
      <alignment horizontal="left" vertical="center"/>
    </xf>
    <xf numFmtId="0" fontId="0" fillId="0" borderId="158" xfId="0" applyFill="1" applyBorder="1" applyAlignment="1" applyProtection="1">
      <alignment horizontal="left" vertical="center"/>
    </xf>
    <xf numFmtId="0" fontId="2" fillId="0" borderId="27" xfId="0" applyFont="1" applyBorder="1" applyAlignment="1" applyProtection="1">
      <alignment horizontal="left" vertical="center"/>
    </xf>
    <xf numFmtId="0" fontId="2" fillId="0" borderId="28" xfId="0" applyFont="1" applyBorder="1" applyAlignment="1" applyProtection="1">
      <alignment horizontal="left" vertical="center"/>
    </xf>
    <xf numFmtId="0" fontId="2" fillId="0" borderId="154" xfId="0" applyFont="1" applyBorder="1" applyAlignment="1" applyProtection="1">
      <alignment horizontal="left" vertical="center"/>
    </xf>
    <xf numFmtId="0" fontId="2" fillId="0" borderId="15" xfId="0" applyFont="1" applyBorder="1" applyAlignment="1" applyProtection="1">
      <alignment horizontal="left" vertical="center"/>
    </xf>
    <xf numFmtId="0" fontId="2" fillId="0" borderId="32" xfId="0" applyFont="1" applyBorder="1" applyAlignment="1" applyProtection="1">
      <alignment horizontal="left" vertical="center"/>
    </xf>
    <xf numFmtId="0" fontId="2" fillId="0" borderId="155" xfId="0" applyFont="1" applyBorder="1" applyAlignment="1" applyProtection="1">
      <alignment horizontal="left" vertical="center"/>
    </xf>
    <xf numFmtId="0" fontId="0" fillId="0" borderId="198" xfId="0" applyBorder="1" applyAlignment="1" applyProtection="1">
      <alignment horizontal="left" vertical="center"/>
    </xf>
    <xf numFmtId="0" fontId="0" fillId="0" borderId="199" xfId="0" applyBorder="1" applyAlignment="1" applyProtection="1">
      <alignment horizontal="left" vertical="center"/>
    </xf>
    <xf numFmtId="0" fontId="0" fillId="0" borderId="278" xfId="0" applyBorder="1" applyAlignment="1" applyProtection="1">
      <alignment horizontal="left" vertical="center"/>
    </xf>
    <xf numFmtId="164" fontId="0" fillId="0" borderId="49" xfId="0" applyNumberFormat="1" applyFill="1" applyBorder="1" applyAlignment="1" applyProtection="1">
      <alignment horizontal="center" vertical="center"/>
    </xf>
    <xf numFmtId="164" fontId="0" fillId="0" borderId="22" xfId="0" applyNumberFormat="1" applyFill="1" applyBorder="1" applyAlignment="1" applyProtection="1">
      <alignment horizontal="center" vertical="center"/>
    </xf>
    <xf numFmtId="164" fontId="0" fillId="0" borderId="267" xfId="0" applyNumberFormat="1" applyFill="1" applyBorder="1" applyAlignment="1" applyProtection="1">
      <alignment horizontal="center" vertical="center"/>
    </xf>
    <xf numFmtId="164" fontId="0" fillId="0" borderId="12" xfId="0" applyNumberFormat="1" applyFill="1" applyBorder="1" applyAlignment="1" applyProtection="1">
      <alignment horizontal="center" vertical="center"/>
    </xf>
    <xf numFmtId="164" fontId="0" fillId="0" borderId="25" xfId="0" applyNumberFormat="1" applyFill="1" applyBorder="1" applyAlignment="1" applyProtection="1">
      <alignment horizontal="center" vertical="center"/>
    </xf>
    <xf numFmtId="164" fontId="0" fillId="0" borderId="268" xfId="0" applyNumberFormat="1" applyFill="1" applyBorder="1" applyAlignment="1" applyProtection="1">
      <alignment horizontal="center" vertical="center"/>
    </xf>
    <xf numFmtId="164" fontId="0" fillId="0" borderId="199" xfId="0" applyNumberFormat="1" applyFill="1" applyBorder="1" applyAlignment="1" applyProtection="1">
      <alignment horizontal="center" vertical="center"/>
    </xf>
    <xf numFmtId="164" fontId="0" fillId="0" borderId="205" xfId="0" applyNumberFormat="1" applyFill="1" applyBorder="1" applyAlignment="1" applyProtection="1">
      <alignment horizontal="center" vertical="center"/>
    </xf>
    <xf numFmtId="164" fontId="0" fillId="0" borderId="172" xfId="0" applyNumberFormat="1" applyFill="1" applyBorder="1" applyAlignment="1" applyProtection="1">
      <alignment horizontal="center" vertical="center"/>
    </xf>
    <xf numFmtId="164" fontId="0" fillId="0" borderId="73" xfId="0" applyNumberFormat="1" applyFill="1" applyBorder="1" applyAlignment="1" applyProtection="1">
      <alignment horizontal="center" vertical="center"/>
    </xf>
    <xf numFmtId="164" fontId="0" fillId="0" borderId="269" xfId="0" applyNumberFormat="1" applyFill="1" applyBorder="1" applyAlignment="1" applyProtection="1">
      <alignment horizontal="center" vertical="center"/>
    </xf>
    <xf numFmtId="164" fontId="0" fillId="0" borderId="270" xfId="0" applyNumberFormat="1" applyFill="1" applyBorder="1" applyAlignment="1" applyProtection="1">
      <alignment horizontal="center" vertical="center"/>
    </xf>
    <xf numFmtId="0" fontId="0" fillId="0" borderId="151" xfId="0" applyFill="1" applyBorder="1" applyAlignment="1" applyProtection="1">
      <alignment horizontal="left" vertical="center"/>
    </xf>
    <xf numFmtId="0" fontId="0" fillId="0" borderId="159" xfId="0" applyFill="1" applyBorder="1" applyAlignment="1" applyProtection="1">
      <alignment horizontal="left" vertical="center"/>
    </xf>
    <xf numFmtId="0" fontId="0" fillId="0" borderId="160" xfId="0" applyFill="1" applyBorder="1" applyAlignment="1" applyProtection="1">
      <alignment horizontal="left" vertical="center"/>
    </xf>
    <xf numFmtId="0" fontId="0" fillId="0" borderId="240" xfId="0" applyFill="1" applyBorder="1" applyAlignment="1" applyProtection="1">
      <alignment horizontal="left" vertical="center"/>
    </xf>
    <xf numFmtId="0" fontId="0" fillId="0" borderId="241" xfId="0" applyFill="1" applyBorder="1" applyAlignment="1" applyProtection="1">
      <alignment horizontal="left" vertical="center"/>
    </xf>
    <xf numFmtId="0" fontId="0" fillId="0" borderId="242" xfId="0" applyFill="1" applyBorder="1" applyAlignment="1" applyProtection="1">
      <alignment horizontal="left" vertical="center"/>
    </xf>
    <xf numFmtId="0" fontId="0" fillId="0" borderId="5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153" xfId="0" applyFill="1" applyBorder="1" applyAlignment="1" applyProtection="1">
      <alignment horizontal="left" vertical="center"/>
    </xf>
    <xf numFmtId="0" fontId="0" fillId="0" borderId="11" xfId="0" applyFill="1" applyBorder="1" applyAlignment="1" applyProtection="1">
      <alignment horizontal="left" vertical="center" wrapText="1"/>
    </xf>
    <xf numFmtId="0" fontId="0" fillId="0" borderId="12" xfId="0" applyFill="1" applyBorder="1" applyAlignment="1" applyProtection="1">
      <alignment horizontal="left" vertical="center" wrapText="1"/>
    </xf>
    <xf numFmtId="0" fontId="0" fillId="0" borderId="164" xfId="0" applyFill="1" applyBorder="1" applyAlignment="1" applyProtection="1">
      <alignment horizontal="left" vertical="center" wrapText="1"/>
    </xf>
    <xf numFmtId="0" fontId="0" fillId="0" borderId="151" xfId="0" applyFill="1" applyBorder="1" applyAlignment="1" applyProtection="1">
      <alignment vertical="center"/>
    </xf>
    <xf numFmtId="0" fontId="0" fillId="0" borderId="159" xfId="0" applyFill="1" applyBorder="1" applyAlignment="1" applyProtection="1">
      <alignment vertical="center"/>
    </xf>
    <xf numFmtId="0" fontId="0" fillId="0" borderId="160" xfId="0" applyFill="1" applyBorder="1" applyAlignment="1" applyProtection="1">
      <alignment vertical="center"/>
    </xf>
    <xf numFmtId="0" fontId="0" fillId="0" borderId="11" xfId="0" applyFill="1" applyBorder="1" applyAlignment="1" applyProtection="1">
      <alignment vertical="center" wrapText="1"/>
    </xf>
    <xf numFmtId="0" fontId="0" fillId="0" borderId="12" xfId="0" applyFill="1" applyBorder="1" applyAlignment="1" applyProtection="1">
      <alignment vertical="center" wrapText="1"/>
    </xf>
    <xf numFmtId="0" fontId="0" fillId="0" borderId="164" xfId="0" applyFill="1" applyBorder="1" applyAlignment="1" applyProtection="1">
      <alignment vertical="center" wrapText="1"/>
    </xf>
    <xf numFmtId="0" fontId="10" fillId="0" borderId="15" xfId="0" applyFont="1" applyBorder="1" applyAlignment="1" applyProtection="1">
      <alignment horizontal="left" vertical="center"/>
    </xf>
    <xf numFmtId="0" fontId="10" fillId="0" borderId="32" xfId="0" applyFont="1" applyBorder="1" applyAlignment="1" applyProtection="1">
      <alignment horizontal="left" vertical="center"/>
    </xf>
    <xf numFmtId="0" fontId="10" fillId="0" borderId="155" xfId="0" applyFont="1" applyBorder="1" applyAlignment="1" applyProtection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2" fillId="0" borderId="3" xfId="0" applyFont="1" applyBorder="1" applyAlignment="1" applyProtection="1">
      <alignment horizontal="left" vertical="center"/>
    </xf>
    <xf numFmtId="0" fontId="2" fillId="0" borderId="4" xfId="0" applyFont="1" applyBorder="1" applyAlignment="1" applyProtection="1">
      <alignment horizontal="left" vertical="center"/>
    </xf>
    <xf numFmtId="0" fontId="0" fillId="3" borderId="164" xfId="0" applyFill="1" applyBorder="1" applyAlignment="1" applyProtection="1">
      <alignment horizontal="left" vertical="center"/>
      <protection locked="0"/>
    </xf>
    <xf numFmtId="0" fontId="0" fillId="3" borderId="10" xfId="0" applyFill="1" applyBorder="1" applyAlignment="1" applyProtection="1">
      <alignment horizontal="left" vertical="center"/>
      <protection locked="0"/>
    </xf>
    <xf numFmtId="0" fontId="0" fillId="3" borderId="157" xfId="0" applyFill="1" applyBorder="1" applyAlignment="1" applyProtection="1">
      <alignment horizontal="left" vertical="center"/>
      <protection locked="0"/>
    </xf>
    <xf numFmtId="0" fontId="0" fillId="3" borderId="158" xfId="0" applyFill="1" applyBorder="1" applyAlignment="1" applyProtection="1">
      <alignment horizontal="left" vertical="center"/>
      <protection locked="0"/>
    </xf>
    <xf numFmtId="0" fontId="10" fillId="0" borderId="198" xfId="0" applyFont="1" applyBorder="1" applyAlignment="1" applyProtection="1">
      <alignment horizontal="right" vertical="center"/>
    </xf>
    <xf numFmtId="0" fontId="10" fillId="0" borderId="199" xfId="0" applyFont="1" applyBorder="1" applyAlignment="1" applyProtection="1">
      <alignment horizontal="right" vertical="center"/>
    </xf>
    <xf numFmtId="0" fontId="10" fillId="0" borderId="278" xfId="0" applyFont="1" applyBorder="1" applyAlignment="1" applyProtection="1">
      <alignment horizontal="right" vertical="center"/>
    </xf>
    <xf numFmtId="0" fontId="0" fillId="0" borderId="151" xfId="0" applyBorder="1" applyAlignment="1" applyProtection="1">
      <alignment horizontal="left" vertical="center"/>
    </xf>
    <xf numFmtId="0" fontId="0" fillId="0" borderId="10" xfId="0" applyBorder="1" applyAlignment="1" applyProtection="1">
      <alignment horizontal="left" vertical="center"/>
    </xf>
    <xf numFmtId="0" fontId="10" fillId="0" borderId="220" xfId="0" applyFont="1" applyBorder="1" applyAlignment="1" applyProtection="1">
      <alignment horizontal="right" vertical="center"/>
    </xf>
    <xf numFmtId="0" fontId="10" fillId="0" borderId="221" xfId="0" applyFont="1" applyBorder="1" applyAlignment="1" applyProtection="1">
      <alignment horizontal="right" vertical="center"/>
    </xf>
    <xf numFmtId="0" fontId="10" fillId="0" borderId="286" xfId="0" applyFont="1" applyBorder="1" applyAlignment="1" applyProtection="1">
      <alignment horizontal="right" vertical="center"/>
    </xf>
    <xf numFmtId="0" fontId="0" fillId="0" borderId="249" xfId="0" applyBorder="1" applyAlignment="1" applyProtection="1">
      <alignment horizontal="right" vertical="center"/>
    </xf>
    <xf numFmtId="0" fontId="0" fillId="0" borderId="250" xfId="0" applyBorder="1" applyAlignment="1" applyProtection="1">
      <alignment horizontal="right" vertical="center"/>
    </xf>
    <xf numFmtId="0" fontId="0" fillId="0" borderId="272" xfId="0" applyBorder="1" applyAlignment="1" applyProtection="1">
      <alignment horizontal="right" vertical="center"/>
    </xf>
    <xf numFmtId="0" fontId="0" fillId="0" borderId="220" xfId="0" applyBorder="1" applyAlignment="1" applyProtection="1">
      <alignment horizontal="right" vertical="center"/>
    </xf>
    <xf numFmtId="0" fontId="0" fillId="0" borderId="221" xfId="0" applyBorder="1" applyAlignment="1" applyProtection="1">
      <alignment horizontal="right" vertical="center"/>
    </xf>
    <xf numFmtId="0" fontId="0" fillId="0" borderId="273" xfId="0" applyBorder="1" applyAlignment="1" applyProtection="1">
      <alignment horizontal="right" vertical="center"/>
    </xf>
    <xf numFmtId="0" fontId="0" fillId="0" borderId="95" xfId="0" applyBorder="1" applyAlignment="1" applyProtection="1">
      <alignment horizontal="right" vertical="center"/>
    </xf>
    <xf numFmtId="0" fontId="0" fillId="0" borderId="62" xfId="0" applyBorder="1" applyAlignment="1" applyProtection="1">
      <alignment horizontal="right" vertical="center"/>
    </xf>
    <xf numFmtId="0" fontId="0" fillId="0" borderId="240" xfId="0" applyFill="1" applyBorder="1" applyAlignment="1" applyProtection="1">
      <alignment horizontal="center" vertical="center"/>
    </xf>
    <xf numFmtId="0" fontId="0" fillId="0" borderId="241" xfId="0" applyFill="1" applyBorder="1" applyAlignment="1" applyProtection="1">
      <alignment horizontal="center" vertical="center"/>
    </xf>
    <xf numFmtId="0" fontId="0" fillId="0" borderId="242" xfId="0" applyFill="1" applyBorder="1" applyAlignment="1" applyProtection="1">
      <alignment horizontal="center" vertical="center"/>
    </xf>
    <xf numFmtId="0" fontId="0" fillId="0" borderId="75" xfId="0" applyFill="1" applyBorder="1" applyAlignment="1" applyProtection="1">
      <alignment horizontal="center" vertical="center"/>
    </xf>
    <xf numFmtId="0" fontId="0" fillId="0" borderId="213" xfId="0" applyFill="1" applyBorder="1" applyAlignment="1" applyProtection="1">
      <alignment horizontal="center" vertical="center"/>
    </xf>
    <xf numFmtId="0" fontId="0" fillId="0" borderId="214" xfId="0" applyFill="1" applyBorder="1" applyAlignment="1" applyProtection="1">
      <alignment horizontal="center" vertical="center"/>
    </xf>
    <xf numFmtId="0" fontId="2" fillId="0" borderId="178" xfId="0" applyFont="1" applyBorder="1" applyAlignment="1" applyProtection="1">
      <alignment horizontal="right" vertical="center"/>
    </xf>
    <xf numFmtId="0" fontId="13" fillId="0" borderId="151" xfId="0" applyFont="1" applyBorder="1" applyAlignment="1" applyProtection="1">
      <alignment horizontal="left" vertical="center"/>
    </xf>
    <xf numFmtId="0" fontId="13" fillId="0" borderId="159" xfId="0" applyFont="1" applyBorder="1" applyAlignment="1" applyProtection="1">
      <alignment horizontal="left" vertical="center"/>
    </xf>
    <xf numFmtId="0" fontId="13" fillId="0" borderId="160" xfId="0" applyFont="1" applyBorder="1" applyAlignment="1" applyProtection="1">
      <alignment horizontal="left" vertical="center"/>
    </xf>
    <xf numFmtId="0" fontId="13" fillId="0" borderId="11" xfId="0" applyFont="1" applyBorder="1" applyAlignment="1" applyProtection="1">
      <alignment horizontal="left" vertical="center"/>
    </xf>
    <xf numFmtId="0" fontId="13" fillId="0" borderId="12" xfId="0" applyFont="1" applyBorder="1" applyAlignment="1" applyProtection="1">
      <alignment horizontal="left" vertical="center"/>
    </xf>
    <xf numFmtId="0" fontId="13" fillId="0" borderId="164" xfId="0" applyFont="1" applyBorder="1" applyAlignment="1" applyProtection="1">
      <alignment horizontal="left" vertical="center"/>
    </xf>
    <xf numFmtId="0" fontId="13" fillId="0" borderId="10" xfId="0" applyFont="1" applyBorder="1" applyAlignment="1" applyProtection="1">
      <alignment horizontal="left" vertical="center"/>
    </xf>
    <xf numFmtId="0" fontId="13" fillId="0" borderId="157" xfId="0" applyFont="1" applyBorder="1" applyAlignment="1" applyProtection="1">
      <alignment horizontal="left" vertical="center"/>
    </xf>
    <xf numFmtId="0" fontId="13" fillId="0" borderId="158" xfId="0" applyFont="1" applyBorder="1" applyAlignment="1" applyProtection="1">
      <alignment horizontal="left" vertical="center"/>
    </xf>
    <xf numFmtId="0" fontId="0" fillId="0" borderId="193" xfId="0" applyFill="1" applyBorder="1" applyAlignment="1" applyProtection="1">
      <alignment horizontal="left" vertical="center"/>
    </xf>
    <xf numFmtId="0" fontId="0" fillId="0" borderId="275" xfId="0" applyFill="1" applyBorder="1" applyAlignment="1" applyProtection="1">
      <alignment horizontal="left" vertical="center"/>
    </xf>
    <xf numFmtId="0" fontId="0" fillId="0" borderId="198" xfId="0" applyFill="1" applyBorder="1" applyAlignment="1" applyProtection="1">
      <alignment horizontal="left" vertical="center"/>
    </xf>
    <xf numFmtId="0" fontId="0" fillId="0" borderId="199" xfId="0" applyFill="1" applyBorder="1" applyAlignment="1" applyProtection="1">
      <alignment horizontal="left" vertical="center"/>
    </xf>
    <xf numFmtId="0" fontId="0" fillId="0" borderId="278" xfId="0" applyFill="1" applyBorder="1" applyAlignment="1" applyProtection="1">
      <alignment horizontal="left" vertical="center"/>
    </xf>
    <xf numFmtId="0" fontId="0" fillId="0" borderId="192" xfId="0" applyFill="1" applyBorder="1" applyAlignment="1" applyProtection="1">
      <alignment horizontal="left" vertical="center"/>
    </xf>
    <xf numFmtId="0" fontId="6" fillId="0" borderId="308" xfId="0" applyFont="1" applyBorder="1" applyAlignment="1">
      <alignment horizontal="right" vertical="center"/>
    </xf>
    <xf numFmtId="0" fontId="6" fillId="0" borderId="309" xfId="0" applyFont="1" applyBorder="1" applyAlignment="1">
      <alignment horizontal="right" vertical="center"/>
    </xf>
    <xf numFmtId="0" fontId="6" fillId="0" borderId="311" xfId="0" applyFont="1" applyBorder="1" applyAlignment="1">
      <alignment horizontal="right" vertical="center"/>
    </xf>
    <xf numFmtId="0" fontId="6" fillId="0" borderId="312" xfId="0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164" fontId="6" fillId="6" borderId="300" xfId="0" applyNumberFormat="1" applyFont="1" applyFill="1" applyBorder="1" applyAlignment="1">
      <alignment horizontal="center" vertical="center"/>
    </xf>
    <xf numFmtId="164" fontId="6" fillId="6" borderId="271" xfId="0" applyNumberFormat="1" applyFont="1" applyFill="1" applyBorder="1" applyAlignment="1">
      <alignment horizontal="center" vertical="center"/>
    </xf>
    <xf numFmtId="164" fontId="6" fillId="6" borderId="301" xfId="0" applyNumberFormat="1" applyFont="1" applyFill="1" applyBorder="1" applyAlignment="1">
      <alignment horizontal="center" vertical="center"/>
    </xf>
    <xf numFmtId="164" fontId="6" fillId="6" borderId="9" xfId="0" applyNumberFormat="1" applyFont="1" applyFill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28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2" fontId="6" fillId="0" borderId="192" xfId="0" applyNumberFormat="1" applyFont="1" applyBorder="1" applyAlignment="1">
      <alignment horizontal="center" vertical="center" textRotation="90"/>
    </xf>
    <xf numFmtId="2" fontId="6" fillId="0" borderId="11" xfId="0" applyNumberFormat="1" applyFont="1" applyBorder="1" applyAlignment="1">
      <alignment horizontal="center" vertical="center" textRotation="90"/>
    </xf>
    <xf numFmtId="2" fontId="6" fillId="0" borderId="198" xfId="0" applyNumberFormat="1" applyFont="1" applyBorder="1" applyAlignment="1">
      <alignment horizontal="center" vertical="center" textRotation="90"/>
    </xf>
    <xf numFmtId="0" fontId="15" fillId="0" borderId="304" xfId="0" applyFont="1" applyBorder="1" applyAlignment="1">
      <alignment horizontal="right" vertical="center"/>
    </xf>
    <xf numFmtId="0" fontId="15" fillId="0" borderId="231" xfId="0" applyFont="1" applyBorder="1" applyAlignment="1">
      <alignment horizontal="right" vertical="center"/>
    </xf>
    <xf numFmtId="0" fontId="15" fillId="0" borderId="303" xfId="0" applyFont="1" applyBorder="1" applyAlignment="1">
      <alignment horizontal="right" vertical="center"/>
    </xf>
    <xf numFmtId="0" fontId="15" fillId="0" borderId="52" xfId="0" applyFont="1" applyBorder="1" applyAlignment="1">
      <alignment horizontal="right" vertical="center"/>
    </xf>
    <xf numFmtId="0" fontId="0" fillId="0" borderId="303" xfId="0" applyBorder="1" applyAlignment="1">
      <alignment horizontal="right" vertical="center"/>
    </xf>
    <xf numFmtId="0" fontId="0" fillId="0" borderId="52" xfId="0" applyBorder="1" applyAlignment="1">
      <alignment horizontal="right" vertical="center"/>
    </xf>
    <xf numFmtId="0" fontId="0" fillId="0" borderId="302" xfId="0" applyBorder="1" applyAlignment="1">
      <alignment horizontal="right" vertical="center"/>
    </xf>
    <xf numFmtId="0" fontId="0" fillId="0" borderId="281" xfId="0" applyBorder="1" applyAlignment="1">
      <alignment horizontal="right" vertical="center"/>
    </xf>
    <xf numFmtId="0" fontId="6" fillId="0" borderId="216" xfId="0" applyNumberFormat="1" applyFont="1" applyBorder="1" applyAlignment="1">
      <alignment horizontal="center" vertical="center" wrapText="1"/>
    </xf>
    <xf numFmtId="0" fontId="6" fillId="0" borderId="239" xfId="0" applyNumberFormat="1" applyFont="1" applyBorder="1" applyAlignment="1">
      <alignment horizontal="center" vertical="center" wrapText="1"/>
    </xf>
    <xf numFmtId="0" fontId="6" fillId="0" borderId="216" xfId="0" applyFont="1" applyBorder="1" applyAlignment="1">
      <alignment horizontal="center" vertical="center"/>
    </xf>
    <xf numFmtId="0" fontId="6" fillId="0" borderId="239" xfId="0" applyFont="1" applyBorder="1" applyAlignment="1">
      <alignment horizontal="center" vertical="center"/>
    </xf>
    <xf numFmtId="10" fontId="0" fillId="0" borderId="172" xfId="0" applyNumberFormat="1" applyFill="1" applyBorder="1" applyAlignment="1" applyProtection="1">
      <alignment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Break-Even-Point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'Break-Even-Point'!$A$6</c:f>
              <c:strCache>
                <c:ptCount val="1"/>
                <c:pt idx="0">
                  <c:v>Kum. Umsätze</c:v>
                </c:pt>
              </c:strCache>
            </c:strRef>
          </c:tx>
          <c:spPr>
            <a:ln w="22225" cap="rnd" cmpd="sng" algn="ctr">
              <a:solidFill>
                <a:prstClr val="black"/>
              </a:solidFill>
              <a:round/>
            </a:ln>
            <a:effectLst/>
          </c:spPr>
          <c:marker>
            <c:symbol val="none"/>
          </c:marker>
          <c:cat>
            <c:strRef>
              <c:f>'Break-Even-Point'!$B$3:$F$3</c:f>
              <c:strCache>
                <c:ptCount val="5"/>
                <c:pt idx="0">
                  <c:v>Beginn</c:v>
                </c:pt>
                <c:pt idx="1">
                  <c:v>1. Jahr</c:v>
                </c:pt>
                <c:pt idx="2">
                  <c:v>2. Jahr</c:v>
                </c:pt>
                <c:pt idx="3">
                  <c:v>3. Jahr</c:v>
                </c:pt>
                <c:pt idx="4">
                  <c:v>4. Jahr</c:v>
                </c:pt>
              </c:strCache>
            </c:strRef>
          </c:cat>
          <c:val>
            <c:numRef>
              <c:f>'Break-Even-Point'!$B$6:$F$6</c:f>
              <c:numCache>
                <c:formatCode>#,##0.00\ "€"</c:formatCode>
                <c:ptCount val="5"/>
                <c:pt idx="0">
                  <c:v>0</c:v>
                </c:pt>
                <c:pt idx="1">
                  <c:v>400233.63333333336</c:v>
                </c:pt>
                <c:pt idx="2">
                  <c:v>1251738.3</c:v>
                </c:pt>
                <c:pt idx="3">
                  <c:v>2658899.6333333333</c:v>
                </c:pt>
                <c:pt idx="4">
                  <c:v>5226795.1732974444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C2-49E6-A677-08F9F255B6F6}"/>
            </c:ext>
          </c:extLst>
        </c:ser>
        <c:ser>
          <c:idx val="1"/>
          <c:order val="1"/>
          <c:tx>
            <c:strRef>
              <c:f>'Break-Even-Point'!$A$7</c:f>
              <c:strCache>
                <c:ptCount val="1"/>
                <c:pt idx="0">
                  <c:v>Kum. Kosten</c:v>
                </c:pt>
              </c:strCache>
            </c:strRef>
          </c:tx>
          <c:spPr>
            <a:ln w="22225" cap="rnd" cmpd="sng" algn="ctr">
              <a:solidFill>
                <a:prstClr val="black"/>
              </a:solidFill>
              <a:prstDash val="lgDash"/>
              <a:round/>
            </a:ln>
            <a:effectLst/>
          </c:spPr>
          <c:marker>
            <c:symbol val="none"/>
          </c:marker>
          <c:cat>
            <c:strRef>
              <c:f>'Break-Even-Point'!$B$3:$F$3</c:f>
              <c:strCache>
                <c:ptCount val="5"/>
                <c:pt idx="0">
                  <c:v>Beginn</c:v>
                </c:pt>
                <c:pt idx="1">
                  <c:v>1. Jahr</c:v>
                </c:pt>
                <c:pt idx="2">
                  <c:v>2. Jahr</c:v>
                </c:pt>
                <c:pt idx="3">
                  <c:v>3. Jahr</c:v>
                </c:pt>
                <c:pt idx="4">
                  <c:v>4. Jahr</c:v>
                </c:pt>
              </c:strCache>
            </c:strRef>
          </c:cat>
          <c:val>
            <c:numRef>
              <c:f>'Break-Even-Point'!$B$7:$F$7</c:f>
              <c:numCache>
                <c:formatCode>#,##0.00\ "€"</c:formatCode>
                <c:ptCount val="5"/>
                <c:pt idx="0">
                  <c:v>0</c:v>
                </c:pt>
                <c:pt idx="1">
                  <c:v>585926.39721465774</c:v>
                </c:pt>
                <c:pt idx="2">
                  <c:v>1230066.5358891468</c:v>
                </c:pt>
                <c:pt idx="3">
                  <c:v>2080410.2666629008</c:v>
                </c:pt>
                <c:pt idx="4">
                  <c:v>3349598.8248042301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C2-49E6-A677-08F9F255B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544437712"/>
        <c:axId val="544438696"/>
      </c:lineChart>
      <c:catAx>
        <c:axId val="54443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4438696"/>
        <c:crosses val="autoZero"/>
        <c:auto val="1"/>
        <c:lblAlgn val="ctr"/>
        <c:lblOffset val="100"/>
        <c:noMultiLvlLbl val="0"/>
      </c:catAx>
      <c:valAx>
        <c:axId val="544438696"/>
        <c:scaling>
          <c:orientation val="minMax"/>
        </c:scaling>
        <c:delete val="0"/>
        <c:axPos val="l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##,##0,\ &quot; T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4437712"/>
        <c:crossesAt val="1"/>
        <c:crossBetween val="between"/>
        <c:majorUnit val="400000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Break-Even-Point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'Break-Even-Point(Netto)'!$A$6</c:f>
              <c:strCache>
                <c:ptCount val="1"/>
                <c:pt idx="0">
                  <c:v>Kum. Umsätze (netto)</c:v>
                </c:pt>
              </c:strCache>
            </c:strRef>
          </c:tx>
          <c:spPr>
            <a:ln w="22225" cap="rnd" cmpd="sng" algn="ctr">
              <a:solidFill>
                <a:prstClr val="black"/>
              </a:solidFill>
              <a:round/>
            </a:ln>
            <a:effectLst/>
          </c:spPr>
          <c:marker>
            <c:symbol val="none"/>
          </c:marker>
          <c:cat>
            <c:strRef>
              <c:f>'Break-Even-Point(Netto)'!$B$3:$F$3</c:f>
              <c:strCache>
                <c:ptCount val="5"/>
                <c:pt idx="0">
                  <c:v>Beginn</c:v>
                </c:pt>
                <c:pt idx="1">
                  <c:v>1. Jahr</c:v>
                </c:pt>
                <c:pt idx="2">
                  <c:v>2. Jahr</c:v>
                </c:pt>
                <c:pt idx="3">
                  <c:v>3. Jahr</c:v>
                </c:pt>
                <c:pt idx="4">
                  <c:v>4. Jahr</c:v>
                </c:pt>
              </c:strCache>
            </c:strRef>
          </c:cat>
          <c:val>
            <c:numRef>
              <c:f>'Break-Even-Point(Netto)'!$B$6:$F$6</c:f>
              <c:numCache>
                <c:formatCode>#,##0.00\ "€"</c:formatCode>
                <c:ptCount val="5"/>
                <c:pt idx="0">
                  <c:v>0</c:v>
                </c:pt>
                <c:pt idx="1">
                  <c:v>338953.63333333336</c:v>
                </c:pt>
                <c:pt idx="2">
                  <c:v>1051938.3</c:v>
                </c:pt>
                <c:pt idx="3">
                  <c:v>2227639.6333333333</c:v>
                </c:pt>
                <c:pt idx="4">
                  <c:v>4370195.1732974444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19-4513-A859-B9A89F123D23}"/>
            </c:ext>
          </c:extLst>
        </c:ser>
        <c:ser>
          <c:idx val="1"/>
          <c:order val="1"/>
          <c:tx>
            <c:strRef>
              <c:f>'Break-Even-Point(Netto)'!$A$7</c:f>
              <c:strCache>
                <c:ptCount val="1"/>
                <c:pt idx="0">
                  <c:v>Kum. Kosten (netto)</c:v>
                </c:pt>
              </c:strCache>
            </c:strRef>
          </c:tx>
          <c:spPr>
            <a:ln w="22225" cap="rnd" cmpd="sng" algn="ctr">
              <a:solidFill>
                <a:prstClr val="black"/>
              </a:solidFill>
              <a:prstDash val="lgDash"/>
              <a:round/>
            </a:ln>
            <a:effectLst/>
          </c:spPr>
          <c:marker>
            <c:symbol val="none"/>
          </c:marker>
          <c:cat>
            <c:strRef>
              <c:f>'Break-Even-Point(Netto)'!$B$3:$F$3</c:f>
              <c:strCache>
                <c:ptCount val="5"/>
                <c:pt idx="0">
                  <c:v>Beginn</c:v>
                </c:pt>
                <c:pt idx="1">
                  <c:v>1. Jahr</c:v>
                </c:pt>
                <c:pt idx="2">
                  <c:v>2. Jahr</c:v>
                </c:pt>
                <c:pt idx="3">
                  <c:v>3. Jahr</c:v>
                </c:pt>
                <c:pt idx="4">
                  <c:v>4. Jahr</c:v>
                </c:pt>
              </c:strCache>
            </c:strRef>
          </c:cat>
          <c:val>
            <c:numRef>
              <c:f>'Break-Even-Point(Netto)'!$B$7:$F$7</c:f>
              <c:numCache>
                <c:formatCode>#,##0.00\ "€"</c:formatCode>
                <c:ptCount val="5"/>
                <c:pt idx="0">
                  <c:v>0</c:v>
                </c:pt>
                <c:pt idx="1">
                  <c:v>545926.39721465774</c:v>
                </c:pt>
                <c:pt idx="2">
                  <c:v>1077439.8692224803</c:v>
                </c:pt>
                <c:pt idx="3">
                  <c:v>1701913.5999962343</c:v>
                </c:pt>
                <c:pt idx="4">
                  <c:v>2578353.2692486746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19-4513-A859-B9A89F123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544437712"/>
        <c:axId val="544438696"/>
      </c:lineChart>
      <c:catAx>
        <c:axId val="54443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4438696"/>
        <c:crosses val="autoZero"/>
        <c:auto val="1"/>
        <c:lblAlgn val="ctr"/>
        <c:lblOffset val="100"/>
        <c:noMultiLvlLbl val="0"/>
      </c:catAx>
      <c:valAx>
        <c:axId val="544438696"/>
        <c:scaling>
          <c:orientation val="minMax"/>
        </c:scaling>
        <c:delete val="0"/>
        <c:axPos val="l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##,##0,\ &quot; T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4437712"/>
        <c:crossesAt val="1"/>
        <c:crossBetween val="between"/>
        <c:majorUnit val="400000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Aufwände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'Aufteilung Aufwände'!$B$3</c:f>
              <c:strCache>
                <c:ptCount val="1"/>
                <c:pt idx="0">
                  <c:v>1. Jahr</c:v>
                </c:pt>
              </c:strCache>
            </c:strRef>
          </c:tx>
          <c:spPr>
            <a:solidFill>
              <a:prstClr val="black"/>
            </a:solidFill>
            <a:ln>
              <a:solidFill>
                <a:prstClr val="black"/>
              </a:solidFill>
            </a:ln>
            <a:effectLst/>
          </c:spPr>
          <c:invertIfNegative val="0"/>
          <c:cat>
            <c:strRef>
              <c:f>('Aufteilung Aufwände'!$A$4:$A$18,'Aufteilung Aufwände'!$A$21:$A$23)</c:f>
              <c:strCache>
                <c:ptCount val="18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Sollzinsen Kontokorrentkredit</c:v>
                </c:pt>
                <c:pt idx="16">
                  <c:v>Zinsen Einmalkredit</c:v>
                </c:pt>
                <c:pt idx="17">
                  <c:v>KöSt. / Ertragssteuer</c:v>
                </c:pt>
              </c:strCache>
            </c:strRef>
          </c:cat>
          <c:val>
            <c:numRef>
              <c:f>('Aufteilung Aufwände'!$B$4:$B$18,'Aufteilung Aufwände'!$B$21:$B$23)</c:f>
              <c:numCache>
                <c:formatCode>#,##0.00\ "€"</c:formatCode>
                <c:ptCount val="18"/>
                <c:pt idx="0">
                  <c:v>261853.33333333334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7500</c:v>
                </c:pt>
                <c:pt idx="6">
                  <c:v>26400</c:v>
                </c:pt>
                <c:pt idx="7">
                  <c:v>4656</c:v>
                </c:pt>
                <c:pt idx="8">
                  <c:v>8600</c:v>
                </c:pt>
                <c:pt idx="9">
                  <c:v>25000</c:v>
                </c:pt>
                <c:pt idx="10">
                  <c:v>1967.92609492</c:v>
                </c:pt>
                <c:pt idx="11">
                  <c:v>0</c:v>
                </c:pt>
                <c:pt idx="12">
                  <c:v>18000</c:v>
                </c:pt>
                <c:pt idx="13">
                  <c:v>200</c:v>
                </c:pt>
                <c:pt idx="14">
                  <c:v>15000</c:v>
                </c:pt>
                <c:pt idx="15">
                  <c:v>6397.1377864042915</c:v>
                </c:pt>
                <c:pt idx="16">
                  <c:v>0</c:v>
                </c:pt>
                <c:pt idx="17">
                  <c:v>500.00000000000006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2F-4773-BB90-C636BE34AE5C}"/>
            </c:ext>
          </c:extLst>
        </c:ser>
        <c:ser>
          <c:idx val="1"/>
          <c:order val="1"/>
          <c:tx>
            <c:strRef>
              <c:f>'Aufteilung Aufwände'!$C$3</c:f>
              <c:strCache>
                <c:ptCount val="1"/>
                <c:pt idx="0">
                  <c:v>2. Jahr</c:v>
                </c:pt>
              </c:strCache>
            </c:strRef>
          </c:tx>
          <c:spPr>
            <a:solidFill>
              <a:prstClr val="white"/>
            </a:solidFill>
            <a:ln>
              <a:solidFill>
                <a:prstClr val="black"/>
              </a:solidFill>
            </a:ln>
            <a:effectLst/>
          </c:spPr>
          <c:invertIfNegative val="0"/>
          <c:cat>
            <c:strRef>
              <c:f>('Aufteilung Aufwände'!$A$4:$A$18,'Aufteilung Aufwände'!$A$21:$A$23)</c:f>
              <c:strCache>
                <c:ptCount val="18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Sollzinsen Kontokorrentkredit</c:v>
                </c:pt>
                <c:pt idx="16">
                  <c:v>Zinsen Einmalkredit</c:v>
                </c:pt>
                <c:pt idx="17">
                  <c:v>KöSt. / Ertragssteuer</c:v>
                </c:pt>
              </c:strCache>
            </c:strRef>
          </c:cat>
          <c:val>
            <c:numRef>
              <c:f>('Aufteilung Aufwände'!$C$4:$C$18,'Aufteilung Aufwände'!$C$21:$C$23)</c:f>
              <c:numCache>
                <c:formatCode>#,##0.00\ "€"</c:formatCode>
                <c:ptCount val="18"/>
                <c:pt idx="0">
                  <c:v>349564.80000000005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10500</c:v>
                </c:pt>
                <c:pt idx="6">
                  <c:v>26400</c:v>
                </c:pt>
                <c:pt idx="7">
                  <c:v>4656</c:v>
                </c:pt>
                <c:pt idx="8">
                  <c:v>6600</c:v>
                </c:pt>
                <c:pt idx="9">
                  <c:v>25000</c:v>
                </c:pt>
                <c:pt idx="10">
                  <c:v>1967.9260949200002</c:v>
                </c:pt>
                <c:pt idx="11">
                  <c:v>0</c:v>
                </c:pt>
                <c:pt idx="12">
                  <c:v>0</c:v>
                </c:pt>
                <c:pt idx="13">
                  <c:v>200</c:v>
                </c:pt>
                <c:pt idx="14">
                  <c:v>15000</c:v>
                </c:pt>
                <c:pt idx="15">
                  <c:v>7972.7459129023055</c:v>
                </c:pt>
                <c:pt idx="16">
                  <c:v>0</c:v>
                </c:pt>
                <c:pt idx="17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2F-4773-BB90-C636BE34AE5C}"/>
            </c:ext>
          </c:extLst>
        </c:ser>
        <c:ser>
          <c:idx val="2"/>
          <c:order val="2"/>
          <c:tx>
            <c:strRef>
              <c:f>'Aufteilung Aufwände'!$D$3</c:f>
              <c:strCache>
                <c:ptCount val="1"/>
                <c:pt idx="0">
                  <c:v>3. Jahr</c:v>
                </c:pt>
              </c:strCache>
            </c:strRef>
          </c:tx>
          <c:spPr>
            <a:pattFill prst="pct50">
              <a:fgClr>
                <a:prstClr val="black"/>
              </a:fgClr>
              <a:bgClr>
                <a:prstClr val="white"/>
              </a:bgClr>
            </a:pattFill>
            <a:ln>
              <a:solidFill>
                <a:prstClr val="black"/>
              </a:solidFill>
            </a:ln>
            <a:effectLst/>
          </c:spPr>
          <c:invertIfNegative val="0"/>
          <c:cat>
            <c:strRef>
              <c:f>('Aufteilung Aufwände'!$A$4:$A$18,'Aufteilung Aufwände'!$A$21:$A$23)</c:f>
              <c:strCache>
                <c:ptCount val="18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Sollzinsen Kontokorrentkredit</c:v>
                </c:pt>
                <c:pt idx="16">
                  <c:v>Zinsen Einmalkredit</c:v>
                </c:pt>
                <c:pt idx="17">
                  <c:v>KöSt. / Ertragssteuer</c:v>
                </c:pt>
              </c:strCache>
            </c:strRef>
          </c:cat>
          <c:val>
            <c:numRef>
              <c:f>('Aufteilung Aufwände'!$D$4:$D$18,'Aufteilung Aufwände'!$D$21:$D$23)</c:f>
              <c:numCache>
                <c:formatCode>#,##0.00\ "€"</c:formatCode>
                <c:ptCount val="18"/>
                <c:pt idx="0">
                  <c:v>366899.04000000004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10500</c:v>
                </c:pt>
                <c:pt idx="6">
                  <c:v>26400</c:v>
                </c:pt>
                <c:pt idx="7">
                  <c:v>4656</c:v>
                </c:pt>
                <c:pt idx="8">
                  <c:v>6600</c:v>
                </c:pt>
                <c:pt idx="9">
                  <c:v>25000</c:v>
                </c:pt>
                <c:pt idx="10">
                  <c:v>1967.9260949200002</c:v>
                </c:pt>
                <c:pt idx="11">
                  <c:v>0</c:v>
                </c:pt>
                <c:pt idx="12">
                  <c:v>0</c:v>
                </c:pt>
                <c:pt idx="13">
                  <c:v>200</c:v>
                </c:pt>
                <c:pt idx="14">
                  <c:v>15000</c:v>
                </c:pt>
                <c:pt idx="15">
                  <c:v>287.87121153603312</c:v>
                </c:pt>
                <c:pt idx="16">
                  <c:v>0</c:v>
                </c:pt>
                <c:pt idx="17">
                  <c:v>149710.89346729769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2F-4773-BB90-C636BE34AE5C}"/>
            </c:ext>
          </c:extLst>
        </c:ser>
        <c:ser>
          <c:idx val="3"/>
          <c:order val="3"/>
          <c:tx>
            <c:strRef>
              <c:f>'Aufteilung Aufwände'!$E$3</c:f>
              <c:strCache>
                <c:ptCount val="1"/>
                <c:pt idx="0">
                  <c:v>4. Jahr</c:v>
                </c:pt>
              </c:strCache>
            </c:strRef>
          </c:tx>
          <c:spPr>
            <a:pattFill prst="pct75">
              <a:fgClr>
                <a:prstClr val="black"/>
              </a:fgClr>
              <a:bgClr>
                <a:prstClr val="white"/>
              </a:bgClr>
            </a:pattFill>
            <a:ln>
              <a:solidFill>
                <a:prstClr val="black"/>
              </a:solidFill>
            </a:ln>
            <a:effectLst/>
          </c:spPr>
          <c:invertIfNegative val="0"/>
          <c:cat>
            <c:strRef>
              <c:f>('Aufteilung Aufwände'!$A$4:$A$18,'Aufteilung Aufwände'!$A$21:$A$23)</c:f>
              <c:strCache>
                <c:ptCount val="18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Sollzinsen Kontokorrentkredit</c:v>
                </c:pt>
                <c:pt idx="16">
                  <c:v>Zinsen Einmalkredit</c:v>
                </c:pt>
                <c:pt idx="17">
                  <c:v>KöSt. / Ertragssteuer</c:v>
                </c:pt>
              </c:strCache>
            </c:strRef>
          </c:cat>
          <c:val>
            <c:numRef>
              <c:f>('Aufteilung Aufwände'!$E$4:$E$18,'Aufteilung Aufwände'!$E$21:$E$23)</c:f>
              <c:numCache>
                <c:formatCode>#,##0.00\ "€"</c:formatCode>
                <c:ptCount val="18"/>
                <c:pt idx="0">
                  <c:v>385099.99200000009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10500</c:v>
                </c:pt>
                <c:pt idx="6">
                  <c:v>26400</c:v>
                </c:pt>
                <c:pt idx="7">
                  <c:v>4656</c:v>
                </c:pt>
                <c:pt idx="8">
                  <c:v>6600</c:v>
                </c:pt>
                <c:pt idx="9">
                  <c:v>25000</c:v>
                </c:pt>
                <c:pt idx="10">
                  <c:v>1967.9260949200002</c:v>
                </c:pt>
                <c:pt idx="11">
                  <c:v>0</c:v>
                </c:pt>
                <c:pt idx="12">
                  <c:v>0</c:v>
                </c:pt>
                <c:pt idx="13">
                  <c:v>200</c:v>
                </c:pt>
                <c:pt idx="14">
                  <c:v>15000</c:v>
                </c:pt>
                <c:pt idx="15">
                  <c:v>0</c:v>
                </c:pt>
                <c:pt idx="16">
                  <c:v>0</c:v>
                </c:pt>
                <c:pt idx="17">
                  <c:v>383763.75115752016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2F-4773-BB90-C636BE34A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1445184"/>
        <c:axId val="501445512"/>
      </c:barChart>
      <c:catAx>
        <c:axId val="501445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1445512"/>
        <c:crosses val="autoZero"/>
        <c:auto val="1"/>
        <c:lblAlgn val="ctr"/>
        <c:lblOffset val="100"/>
        <c:noMultiLvlLbl val="0"/>
      </c:catAx>
      <c:valAx>
        <c:axId val="501445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,&quot; T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1445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Lizenzgebühr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Lizenzgebühr!$C$9</c:f>
              <c:strCache>
                <c:ptCount val="1"/>
                <c:pt idx="0">
                  <c:v>0,50 kW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Lizenzgebühr!$C$10:$C$55</c:f>
              <c:numCache>
                <c:formatCode>#,##0.00\ "€"</c:formatCode>
                <c:ptCount val="46"/>
                <c:pt idx="0">
                  <c:v>400</c:v>
                </c:pt>
                <c:pt idx="1">
                  <c:v>400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600</c:v>
                </c:pt>
                <c:pt idx="15">
                  <c:v>600</c:v>
                </c:pt>
                <c:pt idx="16">
                  <c:v>600</c:v>
                </c:pt>
                <c:pt idx="17">
                  <c:v>600</c:v>
                </c:pt>
                <c:pt idx="18">
                  <c:v>600</c:v>
                </c:pt>
                <c:pt idx="19">
                  <c:v>600</c:v>
                </c:pt>
                <c:pt idx="20">
                  <c:v>600</c:v>
                </c:pt>
                <c:pt idx="21">
                  <c:v>600</c:v>
                </c:pt>
                <c:pt idx="22">
                  <c:v>600</c:v>
                </c:pt>
                <c:pt idx="23">
                  <c:v>600</c:v>
                </c:pt>
                <c:pt idx="24">
                  <c:v>600</c:v>
                </c:pt>
                <c:pt idx="25">
                  <c:v>600</c:v>
                </c:pt>
                <c:pt idx="26">
                  <c:v>700</c:v>
                </c:pt>
                <c:pt idx="27">
                  <c:v>700</c:v>
                </c:pt>
                <c:pt idx="28">
                  <c:v>700</c:v>
                </c:pt>
                <c:pt idx="29">
                  <c:v>700</c:v>
                </c:pt>
                <c:pt idx="30">
                  <c:v>700</c:v>
                </c:pt>
                <c:pt idx="31">
                  <c:v>700</c:v>
                </c:pt>
                <c:pt idx="32">
                  <c:v>700</c:v>
                </c:pt>
                <c:pt idx="33">
                  <c:v>700</c:v>
                </c:pt>
                <c:pt idx="34">
                  <c:v>700</c:v>
                </c:pt>
                <c:pt idx="35">
                  <c:v>700</c:v>
                </c:pt>
                <c:pt idx="36">
                  <c:v>700</c:v>
                </c:pt>
                <c:pt idx="37">
                  <c:v>700</c:v>
                </c:pt>
                <c:pt idx="38">
                  <c:v>800</c:v>
                </c:pt>
                <c:pt idx="39">
                  <c:v>800</c:v>
                </c:pt>
                <c:pt idx="40">
                  <c:v>800</c:v>
                </c:pt>
                <c:pt idx="41">
                  <c:v>800</c:v>
                </c:pt>
                <c:pt idx="42">
                  <c:v>800</c:v>
                </c:pt>
                <c:pt idx="43">
                  <c:v>800</c:v>
                </c:pt>
                <c:pt idx="44">
                  <c:v>800</c:v>
                </c:pt>
                <c:pt idx="4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6-4D46-BA4B-95D006EF11E1}"/>
            </c:ext>
          </c:extLst>
        </c:ser>
        <c:ser>
          <c:idx val="1"/>
          <c:order val="1"/>
          <c:tx>
            <c:strRef>
              <c:f>Lizenzgebühr!$D$9</c:f>
              <c:strCache>
                <c:ptCount val="1"/>
                <c:pt idx="0">
                  <c:v>1,00 kW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Lizenzgebühr!$D$10:$D$55</c:f>
              <c:numCache>
                <c:formatCode>#,##0.00\ "€"</c:formatCode>
                <c:ptCount val="46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600</c:v>
                </c:pt>
                <c:pt idx="6">
                  <c:v>600</c:v>
                </c:pt>
                <c:pt idx="7">
                  <c:v>600</c:v>
                </c:pt>
                <c:pt idx="8">
                  <c:v>600</c:v>
                </c:pt>
                <c:pt idx="9">
                  <c:v>600</c:v>
                </c:pt>
                <c:pt idx="10">
                  <c:v>600</c:v>
                </c:pt>
                <c:pt idx="11">
                  <c:v>700</c:v>
                </c:pt>
                <c:pt idx="12">
                  <c:v>700</c:v>
                </c:pt>
                <c:pt idx="13">
                  <c:v>700</c:v>
                </c:pt>
                <c:pt idx="14">
                  <c:v>700</c:v>
                </c:pt>
                <c:pt idx="15">
                  <c:v>700</c:v>
                </c:pt>
                <c:pt idx="16">
                  <c:v>700</c:v>
                </c:pt>
                <c:pt idx="17">
                  <c:v>800</c:v>
                </c:pt>
                <c:pt idx="18">
                  <c:v>800</c:v>
                </c:pt>
                <c:pt idx="19">
                  <c:v>800</c:v>
                </c:pt>
                <c:pt idx="20">
                  <c:v>800</c:v>
                </c:pt>
                <c:pt idx="21">
                  <c:v>800</c:v>
                </c:pt>
                <c:pt idx="22">
                  <c:v>800</c:v>
                </c:pt>
                <c:pt idx="23">
                  <c:v>900</c:v>
                </c:pt>
                <c:pt idx="24">
                  <c:v>900</c:v>
                </c:pt>
                <c:pt idx="25">
                  <c:v>900</c:v>
                </c:pt>
                <c:pt idx="26">
                  <c:v>900</c:v>
                </c:pt>
                <c:pt idx="27">
                  <c:v>900</c:v>
                </c:pt>
                <c:pt idx="28">
                  <c:v>900</c:v>
                </c:pt>
                <c:pt idx="29">
                  <c:v>1000</c:v>
                </c:pt>
                <c:pt idx="30">
                  <c:v>1000</c:v>
                </c:pt>
                <c:pt idx="31">
                  <c:v>1000</c:v>
                </c:pt>
                <c:pt idx="32">
                  <c:v>1000</c:v>
                </c:pt>
                <c:pt idx="33">
                  <c:v>1000</c:v>
                </c:pt>
                <c:pt idx="34">
                  <c:v>1000</c:v>
                </c:pt>
                <c:pt idx="35">
                  <c:v>1100</c:v>
                </c:pt>
                <c:pt idx="36">
                  <c:v>1100</c:v>
                </c:pt>
                <c:pt idx="37">
                  <c:v>1100</c:v>
                </c:pt>
                <c:pt idx="38">
                  <c:v>1100</c:v>
                </c:pt>
                <c:pt idx="39">
                  <c:v>1100</c:v>
                </c:pt>
                <c:pt idx="40">
                  <c:v>1100</c:v>
                </c:pt>
                <c:pt idx="41">
                  <c:v>1200</c:v>
                </c:pt>
                <c:pt idx="42">
                  <c:v>1200</c:v>
                </c:pt>
                <c:pt idx="43">
                  <c:v>1200</c:v>
                </c:pt>
                <c:pt idx="44">
                  <c:v>1200</c:v>
                </c:pt>
                <c:pt idx="45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C6-4D46-BA4B-95D006EF11E1}"/>
            </c:ext>
          </c:extLst>
        </c:ser>
        <c:ser>
          <c:idx val="2"/>
          <c:order val="2"/>
          <c:tx>
            <c:strRef>
              <c:f>Lizenzgebühr!$E$9</c:f>
              <c:strCache>
                <c:ptCount val="1"/>
                <c:pt idx="0">
                  <c:v>1,50 kW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Lizenzgebühr!$E$10:$E$55</c:f>
              <c:numCache>
                <c:formatCode>#,##0.00\ "€"</c:formatCode>
                <c:ptCount val="46"/>
                <c:pt idx="0">
                  <c:v>500</c:v>
                </c:pt>
                <c:pt idx="1">
                  <c:v>500</c:v>
                </c:pt>
                <c:pt idx="2">
                  <c:v>600</c:v>
                </c:pt>
                <c:pt idx="3">
                  <c:v>600</c:v>
                </c:pt>
                <c:pt idx="4">
                  <c:v>600</c:v>
                </c:pt>
                <c:pt idx="5">
                  <c:v>600</c:v>
                </c:pt>
                <c:pt idx="6">
                  <c:v>700</c:v>
                </c:pt>
                <c:pt idx="7">
                  <c:v>700</c:v>
                </c:pt>
                <c:pt idx="8">
                  <c:v>700</c:v>
                </c:pt>
                <c:pt idx="9">
                  <c:v>700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900</c:v>
                </c:pt>
                <c:pt idx="15">
                  <c:v>900</c:v>
                </c:pt>
                <c:pt idx="16">
                  <c:v>900</c:v>
                </c:pt>
                <c:pt idx="17">
                  <c:v>900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1100</c:v>
                </c:pt>
                <c:pt idx="23">
                  <c:v>1100</c:v>
                </c:pt>
                <c:pt idx="24">
                  <c:v>1100</c:v>
                </c:pt>
                <c:pt idx="25">
                  <c:v>1100</c:v>
                </c:pt>
                <c:pt idx="26">
                  <c:v>1200</c:v>
                </c:pt>
                <c:pt idx="27">
                  <c:v>1200</c:v>
                </c:pt>
                <c:pt idx="28">
                  <c:v>1200</c:v>
                </c:pt>
                <c:pt idx="29">
                  <c:v>1200</c:v>
                </c:pt>
                <c:pt idx="30">
                  <c:v>1300</c:v>
                </c:pt>
                <c:pt idx="31">
                  <c:v>1300</c:v>
                </c:pt>
                <c:pt idx="32">
                  <c:v>1300</c:v>
                </c:pt>
                <c:pt idx="33">
                  <c:v>1300</c:v>
                </c:pt>
                <c:pt idx="34">
                  <c:v>1400</c:v>
                </c:pt>
                <c:pt idx="35">
                  <c:v>1400</c:v>
                </c:pt>
                <c:pt idx="36">
                  <c:v>1400</c:v>
                </c:pt>
                <c:pt idx="37">
                  <c:v>1400</c:v>
                </c:pt>
                <c:pt idx="38">
                  <c:v>1500</c:v>
                </c:pt>
                <c:pt idx="39">
                  <c:v>1500</c:v>
                </c:pt>
                <c:pt idx="40">
                  <c:v>1500</c:v>
                </c:pt>
                <c:pt idx="41">
                  <c:v>1500</c:v>
                </c:pt>
                <c:pt idx="42">
                  <c:v>1600</c:v>
                </c:pt>
                <c:pt idx="43">
                  <c:v>1600</c:v>
                </c:pt>
                <c:pt idx="44">
                  <c:v>1600</c:v>
                </c:pt>
                <c:pt idx="4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C6-4D46-BA4B-95D006EF11E1}"/>
            </c:ext>
          </c:extLst>
        </c:ser>
        <c:ser>
          <c:idx val="3"/>
          <c:order val="3"/>
          <c:tx>
            <c:strRef>
              <c:f>Lizenzgebühr!$F$9</c:f>
              <c:strCache>
                <c:ptCount val="1"/>
                <c:pt idx="0">
                  <c:v>2,00 kW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Lizenzgebühr!$F$10:$F$55</c:f>
              <c:numCache>
                <c:formatCode>#,##0.00\ "€"</c:formatCode>
                <c:ptCount val="46"/>
                <c:pt idx="0">
                  <c:v>600</c:v>
                </c:pt>
                <c:pt idx="1">
                  <c:v>600</c:v>
                </c:pt>
                <c:pt idx="2">
                  <c:v>600</c:v>
                </c:pt>
                <c:pt idx="3">
                  <c:v>700</c:v>
                </c:pt>
                <c:pt idx="4">
                  <c:v>700</c:v>
                </c:pt>
                <c:pt idx="5">
                  <c:v>700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900</c:v>
                </c:pt>
                <c:pt idx="10">
                  <c:v>900</c:v>
                </c:pt>
                <c:pt idx="11">
                  <c:v>900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1100</c:v>
                </c:pt>
                <c:pt idx="16">
                  <c:v>1100</c:v>
                </c:pt>
                <c:pt idx="17">
                  <c:v>1100</c:v>
                </c:pt>
                <c:pt idx="18">
                  <c:v>1200</c:v>
                </c:pt>
                <c:pt idx="19">
                  <c:v>1200</c:v>
                </c:pt>
                <c:pt idx="20">
                  <c:v>1200</c:v>
                </c:pt>
                <c:pt idx="21">
                  <c:v>1300</c:v>
                </c:pt>
                <c:pt idx="22">
                  <c:v>1300</c:v>
                </c:pt>
                <c:pt idx="23">
                  <c:v>1300</c:v>
                </c:pt>
                <c:pt idx="24">
                  <c:v>1400</c:v>
                </c:pt>
                <c:pt idx="25">
                  <c:v>1400</c:v>
                </c:pt>
                <c:pt idx="26">
                  <c:v>1400</c:v>
                </c:pt>
                <c:pt idx="27">
                  <c:v>1500</c:v>
                </c:pt>
                <c:pt idx="28">
                  <c:v>1500</c:v>
                </c:pt>
                <c:pt idx="29">
                  <c:v>1500</c:v>
                </c:pt>
                <c:pt idx="30">
                  <c:v>1600</c:v>
                </c:pt>
                <c:pt idx="31">
                  <c:v>1600</c:v>
                </c:pt>
                <c:pt idx="32">
                  <c:v>1600</c:v>
                </c:pt>
                <c:pt idx="33">
                  <c:v>1700</c:v>
                </c:pt>
                <c:pt idx="34">
                  <c:v>1700</c:v>
                </c:pt>
                <c:pt idx="35">
                  <c:v>1700</c:v>
                </c:pt>
                <c:pt idx="36">
                  <c:v>1800</c:v>
                </c:pt>
                <c:pt idx="37">
                  <c:v>1800</c:v>
                </c:pt>
                <c:pt idx="38">
                  <c:v>1800</c:v>
                </c:pt>
                <c:pt idx="39">
                  <c:v>1900</c:v>
                </c:pt>
                <c:pt idx="40">
                  <c:v>1900</c:v>
                </c:pt>
                <c:pt idx="41">
                  <c:v>1900</c:v>
                </c:pt>
                <c:pt idx="42">
                  <c:v>2000</c:v>
                </c:pt>
                <c:pt idx="43">
                  <c:v>2000</c:v>
                </c:pt>
                <c:pt idx="44">
                  <c:v>2000</c:v>
                </c:pt>
                <c:pt idx="45">
                  <c:v>2100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C6-4D46-BA4B-95D006EF11E1}"/>
            </c:ext>
          </c:extLst>
        </c:ser>
        <c:ser>
          <c:idx val="4"/>
          <c:order val="4"/>
          <c:tx>
            <c:strRef>
              <c:f>Lizenzgebühr!$G$9</c:f>
              <c:strCache>
                <c:ptCount val="1"/>
                <c:pt idx="0">
                  <c:v>2,50 kW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Lizenzgebühr!$G$10:$G$55</c:f>
              <c:numCache>
                <c:formatCode>#,##0.00\ "€"</c:formatCode>
                <c:ptCount val="46"/>
                <c:pt idx="0">
                  <c:v>600</c:v>
                </c:pt>
                <c:pt idx="1">
                  <c:v>600</c:v>
                </c:pt>
                <c:pt idx="2">
                  <c:v>700</c:v>
                </c:pt>
                <c:pt idx="3">
                  <c:v>700</c:v>
                </c:pt>
                <c:pt idx="4">
                  <c:v>800</c:v>
                </c:pt>
                <c:pt idx="5">
                  <c:v>800</c:v>
                </c:pt>
                <c:pt idx="6">
                  <c:v>900</c:v>
                </c:pt>
                <c:pt idx="7">
                  <c:v>900</c:v>
                </c:pt>
                <c:pt idx="8">
                  <c:v>900</c:v>
                </c:pt>
                <c:pt idx="9">
                  <c:v>1000</c:v>
                </c:pt>
                <c:pt idx="10">
                  <c:v>1000</c:v>
                </c:pt>
                <c:pt idx="11">
                  <c:v>1100</c:v>
                </c:pt>
                <c:pt idx="12">
                  <c:v>1100</c:v>
                </c:pt>
                <c:pt idx="13">
                  <c:v>1100</c:v>
                </c:pt>
                <c:pt idx="14">
                  <c:v>1200</c:v>
                </c:pt>
                <c:pt idx="15">
                  <c:v>1200</c:v>
                </c:pt>
                <c:pt idx="16">
                  <c:v>1300</c:v>
                </c:pt>
                <c:pt idx="17">
                  <c:v>1300</c:v>
                </c:pt>
                <c:pt idx="18">
                  <c:v>1400</c:v>
                </c:pt>
                <c:pt idx="19">
                  <c:v>1400</c:v>
                </c:pt>
                <c:pt idx="20">
                  <c:v>1400</c:v>
                </c:pt>
                <c:pt idx="21">
                  <c:v>1500</c:v>
                </c:pt>
                <c:pt idx="22">
                  <c:v>1500</c:v>
                </c:pt>
                <c:pt idx="23">
                  <c:v>1600</c:v>
                </c:pt>
                <c:pt idx="24">
                  <c:v>1600</c:v>
                </c:pt>
                <c:pt idx="25">
                  <c:v>1600</c:v>
                </c:pt>
                <c:pt idx="26">
                  <c:v>1700</c:v>
                </c:pt>
                <c:pt idx="27">
                  <c:v>1700</c:v>
                </c:pt>
                <c:pt idx="28">
                  <c:v>1800</c:v>
                </c:pt>
                <c:pt idx="29">
                  <c:v>1800</c:v>
                </c:pt>
                <c:pt idx="30">
                  <c:v>1900</c:v>
                </c:pt>
                <c:pt idx="31">
                  <c:v>1900</c:v>
                </c:pt>
                <c:pt idx="32">
                  <c:v>1900</c:v>
                </c:pt>
                <c:pt idx="33">
                  <c:v>2000</c:v>
                </c:pt>
                <c:pt idx="34">
                  <c:v>2000</c:v>
                </c:pt>
                <c:pt idx="35">
                  <c:v>2100</c:v>
                </c:pt>
                <c:pt idx="36">
                  <c:v>2100</c:v>
                </c:pt>
                <c:pt idx="37">
                  <c:v>2100</c:v>
                </c:pt>
                <c:pt idx="38">
                  <c:v>2200</c:v>
                </c:pt>
                <c:pt idx="39">
                  <c:v>2200</c:v>
                </c:pt>
                <c:pt idx="40">
                  <c:v>2300</c:v>
                </c:pt>
                <c:pt idx="41">
                  <c:v>2300</c:v>
                </c:pt>
                <c:pt idx="42">
                  <c:v>2400</c:v>
                </c:pt>
                <c:pt idx="43">
                  <c:v>2400</c:v>
                </c:pt>
                <c:pt idx="44">
                  <c:v>2400</c:v>
                </c:pt>
                <c:pt idx="45">
                  <c:v>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7C6-4D46-BA4B-95D006EF11E1}"/>
            </c:ext>
          </c:extLst>
        </c:ser>
        <c:ser>
          <c:idx val="5"/>
          <c:order val="5"/>
          <c:tx>
            <c:strRef>
              <c:f>Lizenzgebühr!$H$9</c:f>
              <c:strCache>
                <c:ptCount val="1"/>
                <c:pt idx="0">
                  <c:v>3,00 kW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Lizenzgebühr!$H$10:$H$55</c:f>
              <c:numCache>
                <c:formatCode>#,##0.00\ "€"</c:formatCode>
                <c:ptCount val="46"/>
                <c:pt idx="0">
                  <c:v>600</c:v>
                </c:pt>
                <c:pt idx="1">
                  <c:v>700</c:v>
                </c:pt>
                <c:pt idx="2">
                  <c:v>700</c:v>
                </c:pt>
                <c:pt idx="3">
                  <c:v>800</c:v>
                </c:pt>
                <c:pt idx="4">
                  <c:v>800</c:v>
                </c:pt>
                <c:pt idx="5">
                  <c:v>900</c:v>
                </c:pt>
                <c:pt idx="6">
                  <c:v>900</c:v>
                </c:pt>
                <c:pt idx="7">
                  <c:v>1000</c:v>
                </c:pt>
                <c:pt idx="8">
                  <c:v>1000</c:v>
                </c:pt>
                <c:pt idx="9">
                  <c:v>1100</c:v>
                </c:pt>
                <c:pt idx="10">
                  <c:v>1100</c:v>
                </c:pt>
                <c:pt idx="11">
                  <c:v>1200</c:v>
                </c:pt>
                <c:pt idx="12">
                  <c:v>1200</c:v>
                </c:pt>
                <c:pt idx="13">
                  <c:v>1300</c:v>
                </c:pt>
                <c:pt idx="14">
                  <c:v>1300</c:v>
                </c:pt>
                <c:pt idx="15">
                  <c:v>1400</c:v>
                </c:pt>
                <c:pt idx="16">
                  <c:v>1400</c:v>
                </c:pt>
                <c:pt idx="17">
                  <c:v>1500</c:v>
                </c:pt>
                <c:pt idx="18">
                  <c:v>1500</c:v>
                </c:pt>
                <c:pt idx="19">
                  <c:v>1600</c:v>
                </c:pt>
                <c:pt idx="20">
                  <c:v>1600</c:v>
                </c:pt>
                <c:pt idx="21">
                  <c:v>1700</c:v>
                </c:pt>
                <c:pt idx="22">
                  <c:v>1700</c:v>
                </c:pt>
                <c:pt idx="23">
                  <c:v>1800</c:v>
                </c:pt>
                <c:pt idx="24">
                  <c:v>1800</c:v>
                </c:pt>
                <c:pt idx="25">
                  <c:v>1900</c:v>
                </c:pt>
                <c:pt idx="26">
                  <c:v>1900</c:v>
                </c:pt>
                <c:pt idx="27">
                  <c:v>2000</c:v>
                </c:pt>
                <c:pt idx="28">
                  <c:v>2000</c:v>
                </c:pt>
                <c:pt idx="29">
                  <c:v>2100</c:v>
                </c:pt>
                <c:pt idx="30">
                  <c:v>2100</c:v>
                </c:pt>
                <c:pt idx="31">
                  <c:v>2200</c:v>
                </c:pt>
                <c:pt idx="32">
                  <c:v>2200</c:v>
                </c:pt>
                <c:pt idx="33">
                  <c:v>2300</c:v>
                </c:pt>
                <c:pt idx="34">
                  <c:v>2300</c:v>
                </c:pt>
                <c:pt idx="35">
                  <c:v>2400</c:v>
                </c:pt>
                <c:pt idx="36">
                  <c:v>2400</c:v>
                </c:pt>
                <c:pt idx="37">
                  <c:v>2500</c:v>
                </c:pt>
                <c:pt idx="38">
                  <c:v>2500</c:v>
                </c:pt>
                <c:pt idx="39">
                  <c:v>2600</c:v>
                </c:pt>
                <c:pt idx="40">
                  <c:v>2600</c:v>
                </c:pt>
                <c:pt idx="41">
                  <c:v>2700</c:v>
                </c:pt>
                <c:pt idx="42">
                  <c:v>2700</c:v>
                </c:pt>
                <c:pt idx="43">
                  <c:v>2800</c:v>
                </c:pt>
                <c:pt idx="44">
                  <c:v>2800</c:v>
                </c:pt>
                <c:pt idx="45">
                  <c:v>2900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7C6-4D46-BA4B-95D006EF11E1}"/>
            </c:ext>
          </c:extLst>
        </c:ser>
        <c:ser>
          <c:idx val="6"/>
          <c:order val="6"/>
          <c:tx>
            <c:strRef>
              <c:f>Lizenzgebühr!$I$9</c:f>
              <c:strCache>
                <c:ptCount val="1"/>
                <c:pt idx="0">
                  <c:v>3,50 kW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6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Lizenzgebühr!$I$10:$I$55</c:f>
              <c:numCache>
                <c:formatCode>#,##0.00\ "€"</c:formatCode>
                <c:ptCount val="46"/>
                <c:pt idx="0">
                  <c:v>700</c:v>
                </c:pt>
                <c:pt idx="1">
                  <c:v>700</c:v>
                </c:pt>
                <c:pt idx="2">
                  <c:v>800</c:v>
                </c:pt>
                <c:pt idx="3">
                  <c:v>900</c:v>
                </c:pt>
                <c:pt idx="4">
                  <c:v>900</c:v>
                </c:pt>
                <c:pt idx="5">
                  <c:v>1000</c:v>
                </c:pt>
                <c:pt idx="6">
                  <c:v>1000</c:v>
                </c:pt>
                <c:pt idx="7">
                  <c:v>1100</c:v>
                </c:pt>
                <c:pt idx="8">
                  <c:v>1200</c:v>
                </c:pt>
                <c:pt idx="9">
                  <c:v>1200</c:v>
                </c:pt>
                <c:pt idx="10">
                  <c:v>1300</c:v>
                </c:pt>
                <c:pt idx="11">
                  <c:v>1300</c:v>
                </c:pt>
                <c:pt idx="12">
                  <c:v>1400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1600</c:v>
                </c:pt>
                <c:pt idx="17">
                  <c:v>1700</c:v>
                </c:pt>
                <c:pt idx="18">
                  <c:v>1700</c:v>
                </c:pt>
                <c:pt idx="19">
                  <c:v>1800</c:v>
                </c:pt>
                <c:pt idx="20">
                  <c:v>1900</c:v>
                </c:pt>
                <c:pt idx="21">
                  <c:v>1900</c:v>
                </c:pt>
                <c:pt idx="22">
                  <c:v>2000</c:v>
                </c:pt>
                <c:pt idx="23">
                  <c:v>2000</c:v>
                </c:pt>
                <c:pt idx="24">
                  <c:v>2100</c:v>
                </c:pt>
                <c:pt idx="25">
                  <c:v>2100</c:v>
                </c:pt>
                <c:pt idx="26">
                  <c:v>2200</c:v>
                </c:pt>
                <c:pt idx="27">
                  <c:v>2300</c:v>
                </c:pt>
                <c:pt idx="28">
                  <c:v>2300</c:v>
                </c:pt>
                <c:pt idx="29">
                  <c:v>2400</c:v>
                </c:pt>
                <c:pt idx="30">
                  <c:v>2400</c:v>
                </c:pt>
                <c:pt idx="31">
                  <c:v>2500</c:v>
                </c:pt>
                <c:pt idx="32">
                  <c:v>2600</c:v>
                </c:pt>
                <c:pt idx="33">
                  <c:v>2600</c:v>
                </c:pt>
                <c:pt idx="34">
                  <c:v>2700</c:v>
                </c:pt>
                <c:pt idx="35">
                  <c:v>2700</c:v>
                </c:pt>
                <c:pt idx="36">
                  <c:v>2800</c:v>
                </c:pt>
                <c:pt idx="37">
                  <c:v>2800</c:v>
                </c:pt>
                <c:pt idx="38">
                  <c:v>2900</c:v>
                </c:pt>
                <c:pt idx="39">
                  <c:v>3000</c:v>
                </c:pt>
                <c:pt idx="40">
                  <c:v>3000</c:v>
                </c:pt>
                <c:pt idx="41">
                  <c:v>3100</c:v>
                </c:pt>
                <c:pt idx="42">
                  <c:v>3100</c:v>
                </c:pt>
                <c:pt idx="43">
                  <c:v>3200</c:v>
                </c:pt>
                <c:pt idx="44">
                  <c:v>3200</c:v>
                </c:pt>
                <c:pt idx="45">
                  <c:v>3300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7C6-4D46-BA4B-95D006EF11E1}"/>
            </c:ext>
          </c:extLst>
        </c:ser>
        <c:ser>
          <c:idx val="7"/>
          <c:order val="7"/>
          <c:tx>
            <c:strRef>
              <c:f>Lizenzgebühr!$J$9</c:f>
              <c:strCache>
                <c:ptCount val="1"/>
                <c:pt idx="0">
                  <c:v>4,00 kW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6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Lizenzgebühr!$J$10:$J$55</c:f>
              <c:numCache>
                <c:formatCode>#,##0.00\ "€"</c:formatCode>
                <c:ptCount val="46"/>
                <c:pt idx="0">
                  <c:v>700</c:v>
                </c:pt>
                <c:pt idx="1">
                  <c:v>800</c:v>
                </c:pt>
                <c:pt idx="2">
                  <c:v>900</c:v>
                </c:pt>
                <c:pt idx="3">
                  <c:v>900</c:v>
                </c:pt>
                <c:pt idx="4">
                  <c:v>1000</c:v>
                </c:pt>
                <c:pt idx="5">
                  <c:v>1100</c:v>
                </c:pt>
                <c:pt idx="6">
                  <c:v>1100</c:v>
                </c:pt>
                <c:pt idx="7">
                  <c:v>1200</c:v>
                </c:pt>
                <c:pt idx="8">
                  <c:v>1300</c:v>
                </c:pt>
                <c:pt idx="9">
                  <c:v>1300</c:v>
                </c:pt>
                <c:pt idx="10">
                  <c:v>1400</c:v>
                </c:pt>
                <c:pt idx="11">
                  <c:v>1500</c:v>
                </c:pt>
                <c:pt idx="12">
                  <c:v>1500</c:v>
                </c:pt>
                <c:pt idx="13">
                  <c:v>1600</c:v>
                </c:pt>
                <c:pt idx="14">
                  <c:v>1700</c:v>
                </c:pt>
                <c:pt idx="15">
                  <c:v>1700</c:v>
                </c:pt>
                <c:pt idx="16">
                  <c:v>1800</c:v>
                </c:pt>
                <c:pt idx="17">
                  <c:v>1900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2300</c:v>
                </c:pt>
                <c:pt idx="25">
                  <c:v>2400</c:v>
                </c:pt>
                <c:pt idx="26">
                  <c:v>2500</c:v>
                </c:pt>
                <c:pt idx="27">
                  <c:v>2500</c:v>
                </c:pt>
                <c:pt idx="28">
                  <c:v>2600</c:v>
                </c:pt>
                <c:pt idx="29">
                  <c:v>2700</c:v>
                </c:pt>
                <c:pt idx="30">
                  <c:v>2700</c:v>
                </c:pt>
                <c:pt idx="31">
                  <c:v>2800</c:v>
                </c:pt>
                <c:pt idx="32">
                  <c:v>2900</c:v>
                </c:pt>
                <c:pt idx="33">
                  <c:v>2900</c:v>
                </c:pt>
                <c:pt idx="34">
                  <c:v>3000</c:v>
                </c:pt>
                <c:pt idx="35">
                  <c:v>3100</c:v>
                </c:pt>
                <c:pt idx="36">
                  <c:v>3100</c:v>
                </c:pt>
                <c:pt idx="37">
                  <c:v>3200</c:v>
                </c:pt>
                <c:pt idx="38">
                  <c:v>3300</c:v>
                </c:pt>
                <c:pt idx="39">
                  <c:v>3300</c:v>
                </c:pt>
                <c:pt idx="40">
                  <c:v>3400</c:v>
                </c:pt>
                <c:pt idx="41">
                  <c:v>3500</c:v>
                </c:pt>
                <c:pt idx="42">
                  <c:v>3500</c:v>
                </c:pt>
                <c:pt idx="43">
                  <c:v>3600</c:v>
                </c:pt>
                <c:pt idx="44">
                  <c:v>3700</c:v>
                </c:pt>
                <c:pt idx="45">
                  <c:v>3700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7C6-4D46-BA4B-95D006EF11E1}"/>
            </c:ext>
          </c:extLst>
        </c:ser>
        <c:ser>
          <c:idx val="8"/>
          <c:order val="8"/>
          <c:tx>
            <c:strRef>
              <c:f>Lizenzgebühr!$K$9</c:f>
              <c:strCache>
                <c:ptCount val="1"/>
                <c:pt idx="0">
                  <c:v>4,50 kW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6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Lizenzgebühr!$K$10:$K$55</c:f>
              <c:numCache>
                <c:formatCode>#,##0.00\ "€"</c:formatCode>
                <c:ptCount val="46"/>
                <c:pt idx="0">
                  <c:v>800</c:v>
                </c:pt>
                <c:pt idx="1">
                  <c:v>800</c:v>
                </c:pt>
                <c:pt idx="2">
                  <c:v>900</c:v>
                </c:pt>
                <c:pt idx="3">
                  <c:v>1000</c:v>
                </c:pt>
                <c:pt idx="4">
                  <c:v>1100</c:v>
                </c:pt>
                <c:pt idx="5">
                  <c:v>1100</c:v>
                </c:pt>
                <c:pt idx="6">
                  <c:v>1200</c:v>
                </c:pt>
                <c:pt idx="7">
                  <c:v>1300</c:v>
                </c:pt>
                <c:pt idx="8">
                  <c:v>1400</c:v>
                </c:pt>
                <c:pt idx="9">
                  <c:v>1400</c:v>
                </c:pt>
                <c:pt idx="10">
                  <c:v>1500</c:v>
                </c:pt>
                <c:pt idx="11">
                  <c:v>1600</c:v>
                </c:pt>
                <c:pt idx="12">
                  <c:v>1700</c:v>
                </c:pt>
                <c:pt idx="13">
                  <c:v>1700</c:v>
                </c:pt>
                <c:pt idx="14">
                  <c:v>1800</c:v>
                </c:pt>
                <c:pt idx="15">
                  <c:v>1900</c:v>
                </c:pt>
                <c:pt idx="16">
                  <c:v>2000</c:v>
                </c:pt>
                <c:pt idx="17">
                  <c:v>2000</c:v>
                </c:pt>
                <c:pt idx="18">
                  <c:v>2100</c:v>
                </c:pt>
                <c:pt idx="19">
                  <c:v>2200</c:v>
                </c:pt>
                <c:pt idx="20">
                  <c:v>2300</c:v>
                </c:pt>
                <c:pt idx="21">
                  <c:v>2300</c:v>
                </c:pt>
                <c:pt idx="22">
                  <c:v>2400</c:v>
                </c:pt>
                <c:pt idx="23">
                  <c:v>2500</c:v>
                </c:pt>
                <c:pt idx="24">
                  <c:v>2600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3200</c:v>
                </c:pt>
                <c:pt idx="34">
                  <c:v>3300</c:v>
                </c:pt>
                <c:pt idx="35">
                  <c:v>3400</c:v>
                </c:pt>
                <c:pt idx="36">
                  <c:v>3500</c:v>
                </c:pt>
                <c:pt idx="37">
                  <c:v>3500</c:v>
                </c:pt>
                <c:pt idx="38">
                  <c:v>3600</c:v>
                </c:pt>
                <c:pt idx="39">
                  <c:v>3700</c:v>
                </c:pt>
                <c:pt idx="40">
                  <c:v>3800</c:v>
                </c:pt>
                <c:pt idx="41">
                  <c:v>3800</c:v>
                </c:pt>
                <c:pt idx="42">
                  <c:v>3900</c:v>
                </c:pt>
                <c:pt idx="43">
                  <c:v>4000</c:v>
                </c:pt>
                <c:pt idx="44">
                  <c:v>4100</c:v>
                </c:pt>
                <c:pt idx="45">
                  <c:v>4100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7C6-4D46-BA4B-95D006EF11E1}"/>
            </c:ext>
          </c:extLst>
        </c:ser>
        <c:ser>
          <c:idx val="9"/>
          <c:order val="9"/>
          <c:tx>
            <c:strRef>
              <c:f>Lizenzgebühr!$L$9</c:f>
              <c:strCache>
                <c:ptCount val="1"/>
                <c:pt idx="0">
                  <c:v>5,00 kW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6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Lizenzgebühr!$L$10:$L$55</c:f>
              <c:numCache>
                <c:formatCode>#,##0.00\ "€"</c:formatCode>
                <c:ptCount val="46"/>
                <c:pt idx="0">
                  <c:v>800</c:v>
                </c:pt>
                <c:pt idx="1">
                  <c:v>900</c:v>
                </c:pt>
                <c:pt idx="2">
                  <c:v>1000</c:v>
                </c:pt>
                <c:pt idx="3">
                  <c:v>1100</c:v>
                </c:pt>
                <c:pt idx="4">
                  <c:v>1100</c:v>
                </c:pt>
                <c:pt idx="5">
                  <c:v>1200</c:v>
                </c:pt>
                <c:pt idx="6">
                  <c:v>1300</c:v>
                </c:pt>
                <c:pt idx="7">
                  <c:v>1400</c:v>
                </c:pt>
                <c:pt idx="8">
                  <c:v>1500</c:v>
                </c:pt>
                <c:pt idx="9">
                  <c:v>1600</c:v>
                </c:pt>
                <c:pt idx="10">
                  <c:v>1600</c:v>
                </c:pt>
                <c:pt idx="11">
                  <c:v>1700</c:v>
                </c:pt>
                <c:pt idx="12">
                  <c:v>1800</c:v>
                </c:pt>
                <c:pt idx="13">
                  <c:v>1900</c:v>
                </c:pt>
                <c:pt idx="14">
                  <c:v>2000</c:v>
                </c:pt>
                <c:pt idx="15">
                  <c:v>2100</c:v>
                </c:pt>
                <c:pt idx="16">
                  <c:v>2100</c:v>
                </c:pt>
                <c:pt idx="17">
                  <c:v>2200</c:v>
                </c:pt>
                <c:pt idx="18">
                  <c:v>2300</c:v>
                </c:pt>
                <c:pt idx="19">
                  <c:v>2400</c:v>
                </c:pt>
                <c:pt idx="20">
                  <c:v>2500</c:v>
                </c:pt>
                <c:pt idx="21">
                  <c:v>2600</c:v>
                </c:pt>
                <c:pt idx="22">
                  <c:v>2600</c:v>
                </c:pt>
                <c:pt idx="23">
                  <c:v>2700</c:v>
                </c:pt>
                <c:pt idx="24">
                  <c:v>2800</c:v>
                </c:pt>
                <c:pt idx="25">
                  <c:v>2900</c:v>
                </c:pt>
                <c:pt idx="26">
                  <c:v>3000</c:v>
                </c:pt>
                <c:pt idx="27">
                  <c:v>3100</c:v>
                </c:pt>
                <c:pt idx="28">
                  <c:v>3100</c:v>
                </c:pt>
                <c:pt idx="29">
                  <c:v>3200</c:v>
                </c:pt>
                <c:pt idx="30">
                  <c:v>3300</c:v>
                </c:pt>
                <c:pt idx="31">
                  <c:v>3400</c:v>
                </c:pt>
                <c:pt idx="32">
                  <c:v>3500</c:v>
                </c:pt>
                <c:pt idx="33">
                  <c:v>3600</c:v>
                </c:pt>
                <c:pt idx="34">
                  <c:v>3600</c:v>
                </c:pt>
                <c:pt idx="35">
                  <c:v>3700</c:v>
                </c:pt>
                <c:pt idx="36">
                  <c:v>3800</c:v>
                </c:pt>
                <c:pt idx="37">
                  <c:v>3900</c:v>
                </c:pt>
                <c:pt idx="38">
                  <c:v>4000</c:v>
                </c:pt>
                <c:pt idx="39">
                  <c:v>4100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7C6-4D46-BA4B-95D006EF11E1}"/>
            </c:ext>
          </c:extLst>
        </c:ser>
        <c:ser>
          <c:idx val="10"/>
          <c:order val="10"/>
          <c:tx>
            <c:strRef>
              <c:f>Lizenzgebühr!$M$9</c:f>
              <c:strCache>
                <c:ptCount val="1"/>
                <c:pt idx="0">
                  <c:v>7,50 kW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6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Lizenzgebühr!$M$10:$M$55</c:f>
              <c:numCache>
                <c:formatCode>#,##0.00\ "€"</c:formatCode>
                <c:ptCount val="46"/>
                <c:pt idx="0">
                  <c:v>1000</c:v>
                </c:pt>
                <c:pt idx="1">
                  <c:v>1100</c:v>
                </c:pt>
                <c:pt idx="2">
                  <c:v>1300</c:v>
                </c:pt>
                <c:pt idx="3">
                  <c:v>1400</c:v>
                </c:pt>
                <c:pt idx="4">
                  <c:v>1500</c:v>
                </c:pt>
                <c:pt idx="5">
                  <c:v>1600</c:v>
                </c:pt>
                <c:pt idx="6">
                  <c:v>1800</c:v>
                </c:pt>
                <c:pt idx="7">
                  <c:v>1900</c:v>
                </c:pt>
                <c:pt idx="8">
                  <c:v>2000</c:v>
                </c:pt>
                <c:pt idx="9">
                  <c:v>2100</c:v>
                </c:pt>
                <c:pt idx="10">
                  <c:v>2300</c:v>
                </c:pt>
                <c:pt idx="11">
                  <c:v>2400</c:v>
                </c:pt>
                <c:pt idx="12">
                  <c:v>2500</c:v>
                </c:pt>
                <c:pt idx="13">
                  <c:v>2600</c:v>
                </c:pt>
                <c:pt idx="14">
                  <c:v>2800</c:v>
                </c:pt>
                <c:pt idx="15">
                  <c:v>2900</c:v>
                </c:pt>
                <c:pt idx="16">
                  <c:v>3000</c:v>
                </c:pt>
                <c:pt idx="17">
                  <c:v>3100</c:v>
                </c:pt>
                <c:pt idx="18">
                  <c:v>3300</c:v>
                </c:pt>
                <c:pt idx="19">
                  <c:v>3400</c:v>
                </c:pt>
                <c:pt idx="20">
                  <c:v>3500</c:v>
                </c:pt>
                <c:pt idx="21">
                  <c:v>3600</c:v>
                </c:pt>
                <c:pt idx="22">
                  <c:v>3800</c:v>
                </c:pt>
                <c:pt idx="23">
                  <c:v>3900</c:v>
                </c:pt>
                <c:pt idx="24">
                  <c:v>4000</c:v>
                </c:pt>
                <c:pt idx="25">
                  <c:v>4100</c:v>
                </c:pt>
                <c:pt idx="26">
                  <c:v>4300</c:v>
                </c:pt>
                <c:pt idx="27">
                  <c:v>4400</c:v>
                </c:pt>
                <c:pt idx="28">
                  <c:v>4500</c:v>
                </c:pt>
                <c:pt idx="29">
                  <c:v>4600</c:v>
                </c:pt>
                <c:pt idx="30">
                  <c:v>4800</c:v>
                </c:pt>
                <c:pt idx="31">
                  <c:v>4900</c:v>
                </c:pt>
                <c:pt idx="32">
                  <c:v>5000</c:v>
                </c:pt>
                <c:pt idx="33">
                  <c:v>5100</c:v>
                </c:pt>
                <c:pt idx="34">
                  <c:v>5300</c:v>
                </c:pt>
                <c:pt idx="35">
                  <c:v>5400</c:v>
                </c:pt>
                <c:pt idx="36">
                  <c:v>5500</c:v>
                </c:pt>
                <c:pt idx="37">
                  <c:v>5600</c:v>
                </c:pt>
                <c:pt idx="38">
                  <c:v>5800</c:v>
                </c:pt>
                <c:pt idx="39">
                  <c:v>5900</c:v>
                </c:pt>
                <c:pt idx="40">
                  <c:v>6000</c:v>
                </c:pt>
                <c:pt idx="41">
                  <c:v>6100</c:v>
                </c:pt>
                <c:pt idx="42">
                  <c:v>6300</c:v>
                </c:pt>
                <c:pt idx="43">
                  <c:v>6400</c:v>
                </c:pt>
                <c:pt idx="44">
                  <c:v>6500</c:v>
                </c:pt>
                <c:pt idx="45">
                  <c:v>6600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7C6-4D46-BA4B-95D006EF11E1}"/>
            </c:ext>
          </c:extLst>
        </c:ser>
        <c:ser>
          <c:idx val="11"/>
          <c:order val="11"/>
          <c:tx>
            <c:strRef>
              <c:f>Lizenzgebühr!$N$9</c:f>
              <c:strCache>
                <c:ptCount val="1"/>
                <c:pt idx="0">
                  <c:v>8,00 kW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lumMod val="6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Lizenzgebühr!$N$10:$N$55</c:f>
              <c:numCache>
                <c:formatCode>#,##0.00\ "€"</c:formatCode>
                <c:ptCount val="46"/>
                <c:pt idx="0">
                  <c:v>1100</c:v>
                </c:pt>
                <c:pt idx="1">
                  <c:v>1200</c:v>
                </c:pt>
                <c:pt idx="2">
                  <c:v>1300</c:v>
                </c:pt>
                <c:pt idx="3">
                  <c:v>1500</c:v>
                </c:pt>
                <c:pt idx="4">
                  <c:v>1600</c:v>
                </c:pt>
                <c:pt idx="5">
                  <c:v>1700</c:v>
                </c:pt>
                <c:pt idx="6">
                  <c:v>1900</c:v>
                </c:pt>
                <c:pt idx="7">
                  <c:v>2000</c:v>
                </c:pt>
                <c:pt idx="8">
                  <c:v>2100</c:v>
                </c:pt>
                <c:pt idx="9">
                  <c:v>2300</c:v>
                </c:pt>
                <c:pt idx="10">
                  <c:v>2400</c:v>
                </c:pt>
                <c:pt idx="11">
                  <c:v>2500</c:v>
                </c:pt>
                <c:pt idx="12">
                  <c:v>2700</c:v>
                </c:pt>
                <c:pt idx="13">
                  <c:v>2800</c:v>
                </c:pt>
                <c:pt idx="14">
                  <c:v>2900</c:v>
                </c:pt>
                <c:pt idx="15">
                  <c:v>3100</c:v>
                </c:pt>
                <c:pt idx="16">
                  <c:v>3200</c:v>
                </c:pt>
                <c:pt idx="17">
                  <c:v>3300</c:v>
                </c:pt>
                <c:pt idx="18">
                  <c:v>3500</c:v>
                </c:pt>
                <c:pt idx="19">
                  <c:v>3600</c:v>
                </c:pt>
                <c:pt idx="20">
                  <c:v>3700</c:v>
                </c:pt>
                <c:pt idx="21">
                  <c:v>3900</c:v>
                </c:pt>
                <c:pt idx="22">
                  <c:v>4000</c:v>
                </c:pt>
                <c:pt idx="23">
                  <c:v>4100</c:v>
                </c:pt>
                <c:pt idx="24">
                  <c:v>4300</c:v>
                </c:pt>
                <c:pt idx="25">
                  <c:v>4400</c:v>
                </c:pt>
                <c:pt idx="26">
                  <c:v>4500</c:v>
                </c:pt>
                <c:pt idx="27">
                  <c:v>4700</c:v>
                </c:pt>
                <c:pt idx="28">
                  <c:v>4800</c:v>
                </c:pt>
                <c:pt idx="29">
                  <c:v>4900</c:v>
                </c:pt>
                <c:pt idx="30">
                  <c:v>5100</c:v>
                </c:pt>
                <c:pt idx="31">
                  <c:v>5200</c:v>
                </c:pt>
                <c:pt idx="32">
                  <c:v>5300</c:v>
                </c:pt>
                <c:pt idx="33">
                  <c:v>5400</c:v>
                </c:pt>
                <c:pt idx="34">
                  <c:v>5600</c:v>
                </c:pt>
                <c:pt idx="35">
                  <c:v>5700</c:v>
                </c:pt>
                <c:pt idx="36">
                  <c:v>5800</c:v>
                </c:pt>
                <c:pt idx="37">
                  <c:v>6000</c:v>
                </c:pt>
                <c:pt idx="38">
                  <c:v>6100</c:v>
                </c:pt>
                <c:pt idx="39">
                  <c:v>6200</c:v>
                </c:pt>
                <c:pt idx="40">
                  <c:v>6400</c:v>
                </c:pt>
                <c:pt idx="41">
                  <c:v>6500</c:v>
                </c:pt>
                <c:pt idx="42">
                  <c:v>6600</c:v>
                </c:pt>
                <c:pt idx="43">
                  <c:v>6800</c:v>
                </c:pt>
                <c:pt idx="44">
                  <c:v>6900</c:v>
                </c:pt>
                <c:pt idx="45">
                  <c:v>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7C6-4D46-BA4B-95D006EF11E1}"/>
            </c:ext>
          </c:extLst>
        </c:ser>
        <c:ser>
          <c:idx val="12"/>
          <c:order val="12"/>
          <c:tx>
            <c:strRef>
              <c:f>Lizenzgebühr!$O$9</c:f>
              <c:strCache>
                <c:ptCount val="1"/>
                <c:pt idx="0">
                  <c:v>10,00 kW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Lizenzgebühr!$O$10:$O$55</c:f>
              <c:numCache>
                <c:formatCode>#,##0.00\ "€"</c:formatCode>
                <c:ptCount val="46"/>
                <c:pt idx="0">
                  <c:v>1200</c:v>
                </c:pt>
                <c:pt idx="1">
                  <c:v>1400</c:v>
                </c:pt>
                <c:pt idx="2">
                  <c:v>1600</c:v>
                </c:pt>
                <c:pt idx="3">
                  <c:v>1700</c:v>
                </c:pt>
                <c:pt idx="4">
                  <c:v>1900</c:v>
                </c:pt>
                <c:pt idx="5">
                  <c:v>2100</c:v>
                </c:pt>
                <c:pt idx="6">
                  <c:v>2200</c:v>
                </c:pt>
                <c:pt idx="7">
                  <c:v>2400</c:v>
                </c:pt>
                <c:pt idx="8">
                  <c:v>2600</c:v>
                </c:pt>
                <c:pt idx="9">
                  <c:v>2700</c:v>
                </c:pt>
                <c:pt idx="10">
                  <c:v>2900</c:v>
                </c:pt>
                <c:pt idx="11">
                  <c:v>3100</c:v>
                </c:pt>
                <c:pt idx="12">
                  <c:v>3200</c:v>
                </c:pt>
                <c:pt idx="13">
                  <c:v>3400</c:v>
                </c:pt>
                <c:pt idx="14">
                  <c:v>3600</c:v>
                </c:pt>
                <c:pt idx="15">
                  <c:v>3700</c:v>
                </c:pt>
                <c:pt idx="16">
                  <c:v>3900</c:v>
                </c:pt>
                <c:pt idx="17">
                  <c:v>4100</c:v>
                </c:pt>
                <c:pt idx="18">
                  <c:v>4200</c:v>
                </c:pt>
                <c:pt idx="19">
                  <c:v>4400</c:v>
                </c:pt>
                <c:pt idx="20">
                  <c:v>4600</c:v>
                </c:pt>
                <c:pt idx="21">
                  <c:v>4700</c:v>
                </c:pt>
                <c:pt idx="22">
                  <c:v>4900</c:v>
                </c:pt>
                <c:pt idx="23">
                  <c:v>5100</c:v>
                </c:pt>
                <c:pt idx="24">
                  <c:v>5200</c:v>
                </c:pt>
                <c:pt idx="25">
                  <c:v>5400</c:v>
                </c:pt>
                <c:pt idx="26">
                  <c:v>5500</c:v>
                </c:pt>
                <c:pt idx="27">
                  <c:v>5700</c:v>
                </c:pt>
                <c:pt idx="28">
                  <c:v>5900</c:v>
                </c:pt>
                <c:pt idx="29">
                  <c:v>6000</c:v>
                </c:pt>
                <c:pt idx="30">
                  <c:v>6200</c:v>
                </c:pt>
                <c:pt idx="31">
                  <c:v>6400</c:v>
                </c:pt>
                <c:pt idx="32">
                  <c:v>6500</c:v>
                </c:pt>
                <c:pt idx="33">
                  <c:v>6700</c:v>
                </c:pt>
                <c:pt idx="34">
                  <c:v>6900</c:v>
                </c:pt>
                <c:pt idx="35">
                  <c:v>7000</c:v>
                </c:pt>
                <c:pt idx="36">
                  <c:v>7200</c:v>
                </c:pt>
                <c:pt idx="37">
                  <c:v>7400</c:v>
                </c:pt>
                <c:pt idx="38">
                  <c:v>7500</c:v>
                </c:pt>
                <c:pt idx="39">
                  <c:v>7700</c:v>
                </c:pt>
                <c:pt idx="40">
                  <c:v>7900</c:v>
                </c:pt>
                <c:pt idx="41">
                  <c:v>8000</c:v>
                </c:pt>
                <c:pt idx="42">
                  <c:v>8200</c:v>
                </c:pt>
                <c:pt idx="43">
                  <c:v>8400</c:v>
                </c:pt>
                <c:pt idx="44">
                  <c:v>8500</c:v>
                </c:pt>
                <c:pt idx="45">
                  <c:v>8700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7C6-4D46-BA4B-95D006EF11E1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3"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60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lumMod val="60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3">
                    <a:lumMod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lumMod val="60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60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lumMod val="6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80000"/>
                    <a:lumOff val="20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lumMod val="80000"/>
                    <a:lumOff val="20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3">
                    <a:lumMod val="80000"/>
                    <a:lumOff val="20000"/>
                    <a:shade val="95000"/>
                  </a:schemeClr>
                </a:contourClr>
              </a:sp3d>
            </c:spPr>
          </c:bandFmt>
        </c:bandFmts>
        <c:axId val="490376576"/>
        <c:axId val="490381496"/>
        <c:axId val="933395624"/>
      </c:surface3DChart>
      <c:catAx>
        <c:axId val="490376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038149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90381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,\ &quot;T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0376576"/>
        <c:crosses val="autoZero"/>
        <c:crossBetween val="midCat"/>
      </c:valAx>
      <c:serAx>
        <c:axId val="933395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0381496"/>
        <c:crosses val="autoZero"/>
        <c:tickLblSkip val="2"/>
      </c:ser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Präsentation!$A$3</c:f>
              <c:strCache>
                <c:ptCount val="1"/>
                <c:pt idx="0">
                  <c:v>Kumulierte Aufwände (zusammengefasst)</c:v>
                </c:pt>
              </c:strCache>
            </c:strRef>
          </c:tx>
          <c:dPt>
            <c:idx val="0"/>
            <c:bubble3D val="0"/>
            <c:spPr>
              <a:solidFill>
                <a:prstClr val="black"/>
              </a:solidFill>
              <a:ln>
                <a:solidFill>
                  <a:prstClr val="black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prstClr val="black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E88-4268-B7E1-BC8C57C06555}"/>
              </c:ext>
            </c:extLst>
          </c:dPt>
          <c:dPt>
            <c:idx val="1"/>
            <c:bubble3D val="0"/>
            <c:spPr>
              <a:solidFill>
                <a:prstClr val="white"/>
              </a:solidFill>
              <a:ln>
                <a:solidFill>
                  <a:prstClr val="black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prstClr val="black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E88-4268-B7E1-BC8C57C06555}"/>
              </c:ext>
            </c:extLst>
          </c:dPt>
          <c:dPt>
            <c:idx val="2"/>
            <c:bubble3D val="0"/>
            <c:spPr>
              <a:pattFill prst="pct50">
                <a:fgClr>
                  <a:prstClr val="black"/>
                </a:fgClr>
                <a:bgClr>
                  <a:prstClr val="white"/>
                </a:bgClr>
              </a:pattFill>
              <a:ln>
                <a:solidFill>
                  <a:prstClr val="black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prstClr val="black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E88-4268-B7E1-BC8C57C06555}"/>
              </c:ext>
            </c:extLst>
          </c:dPt>
          <c:dLbls>
            <c:numFmt formatCode="General" sourceLinked="0"/>
            <c:spPr>
              <a:solidFill>
                <a:prstClr val="black"/>
              </a:solidFill>
              <a:ln>
                <a:solidFill>
                  <a:prstClr val="black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Präsentation!$A$4:$A$6</c:f>
              <c:strCache>
                <c:ptCount val="3"/>
                <c:pt idx="0">
                  <c:v>Personalkosten</c:v>
                </c:pt>
                <c:pt idx="1">
                  <c:v>KöSt. / Ertragssteuer</c:v>
                </c:pt>
                <c:pt idx="2">
                  <c:v>Sonstige Aufwände</c:v>
                </c:pt>
              </c:strCache>
            </c:strRef>
          </c:cat>
          <c:val>
            <c:numRef>
              <c:f>Präsentation!$B$4:$B$6</c:f>
              <c:numCache>
                <c:formatCode>#,##0.00\ "€"</c:formatCode>
                <c:ptCount val="3"/>
                <c:pt idx="0">
                  <c:v>1363417.1653333334</c:v>
                </c:pt>
                <c:pt idx="1">
                  <c:v>537974.64462481788</c:v>
                </c:pt>
                <c:pt idx="2">
                  <c:v>461961.45929052273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88-4268-B7E1-BC8C57C06555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Präsentation!$D$3</c:f>
              <c:strCache>
                <c:ptCount val="1"/>
                <c:pt idx="0">
                  <c:v>Kumulierte Netto-Umsätze</c:v>
                </c:pt>
              </c:strCache>
            </c:strRef>
          </c:tx>
          <c:dPt>
            <c:idx val="0"/>
            <c:bubble3D val="0"/>
            <c:spPr>
              <a:solidFill>
                <a:prstClr val="black"/>
              </a:solidFill>
              <a:ln>
                <a:solidFill>
                  <a:prstClr val="black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prstClr val="black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B8B-4962-BD58-4606CFF26DE4}"/>
              </c:ext>
            </c:extLst>
          </c:dPt>
          <c:dPt>
            <c:idx val="1"/>
            <c:bubble3D val="0"/>
            <c:spPr>
              <a:solidFill>
                <a:prstClr val="white"/>
              </a:solidFill>
              <a:ln>
                <a:solidFill>
                  <a:prstClr val="black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prstClr val="black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B8B-4962-BD58-4606CFF26DE4}"/>
              </c:ext>
            </c:extLst>
          </c:dPt>
          <c:dPt>
            <c:idx val="2"/>
            <c:bubble3D val="0"/>
            <c:spPr>
              <a:pattFill prst="pct50">
                <a:fgClr>
                  <a:prstClr val="black"/>
                </a:fgClr>
                <a:bgClr>
                  <a:prstClr val="white"/>
                </a:bgClr>
              </a:pattFill>
              <a:ln>
                <a:solidFill>
                  <a:prstClr val="black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prstClr val="black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EC69-4A8E-B462-E58D781BBFF6}"/>
              </c:ext>
            </c:extLst>
          </c:dPt>
          <c:dPt>
            <c:idx val="3"/>
            <c:bubble3D val="0"/>
            <c:spPr>
              <a:pattFill prst="pct75">
                <a:fgClr>
                  <a:prstClr val="black"/>
                </a:fgClr>
                <a:bgClr>
                  <a:prstClr val="white"/>
                </a:bgClr>
              </a:pattFill>
              <a:ln>
                <a:solidFill>
                  <a:prstClr val="black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prstClr val="black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EC69-4A8E-B462-E58D781BBFF6}"/>
              </c:ext>
            </c:extLst>
          </c:dPt>
          <c:dLbls>
            <c:dLbl>
              <c:idx val="2"/>
              <c:layout>
                <c:manualLayout>
                  <c:x val="-9.8939604285668933E-2"/>
                  <c:y val="7.2322834645669291E-3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C69-4A8E-B462-E58D781BBFF6}"/>
                </c:ext>
              </c:extLst>
            </c:dLbl>
            <c:dLbl>
              <c:idx val="3"/>
              <c:layout>
                <c:manualLayout>
                  <c:x val="0.12378744043266462"/>
                  <c:y val="3.8989501312335956E-3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C69-4A8E-B462-E58D781BBFF6}"/>
                </c:ext>
              </c:extLst>
            </c:dLbl>
            <c:numFmt formatCode="General" sourceLinked="0"/>
            <c:spPr>
              <a:solidFill>
                <a:prstClr val="black"/>
              </a:solidFill>
              <a:ln>
                <a:solidFill>
                  <a:prstClr val="black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Präsentation!$D$4:$D$7</c:f>
              <c:strCache>
                <c:ptCount val="4"/>
                <c:pt idx="0">
                  <c:v>Neuentwicklungen</c:v>
                </c:pt>
                <c:pt idx="1">
                  <c:v>Lizenzen</c:v>
                </c:pt>
                <c:pt idx="2">
                  <c:v>Grundschulung</c:v>
                </c:pt>
                <c:pt idx="3">
                  <c:v>Intensivschulung</c:v>
                </c:pt>
              </c:strCache>
            </c:strRef>
          </c:cat>
          <c:val>
            <c:numRef>
              <c:f>Präsentation!$E$4:$E$7</c:f>
              <c:numCache>
                <c:formatCode>#,##0.00\ "€"</c:formatCode>
                <c:ptCount val="4"/>
                <c:pt idx="0">
                  <c:v>2000000</c:v>
                </c:pt>
                <c:pt idx="1">
                  <c:v>2220000</c:v>
                </c:pt>
                <c:pt idx="2">
                  <c:v>48000</c:v>
                </c:pt>
                <c:pt idx="3">
                  <c:v>15000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C69-4A8E-B462-E58D781BBFF6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Präsentation!$G$3</c:f>
              <c:strCache>
                <c:ptCount val="1"/>
                <c:pt idx="0">
                  <c:v>Investitionen</c:v>
                </c:pt>
              </c:strCache>
            </c:strRef>
          </c:tx>
          <c:dPt>
            <c:idx val="0"/>
            <c:bubble3D val="0"/>
            <c:spPr>
              <a:solidFill>
                <a:prstClr val="black"/>
              </a:solidFill>
              <a:ln>
                <a:solidFill>
                  <a:prstClr val="black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prstClr val="black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E43-4417-9575-8B5D52DC624D}"/>
              </c:ext>
            </c:extLst>
          </c:dPt>
          <c:dPt>
            <c:idx val="1"/>
            <c:bubble3D val="0"/>
            <c:spPr>
              <a:solidFill>
                <a:prstClr val="white"/>
              </a:solidFill>
              <a:ln>
                <a:solidFill>
                  <a:prstClr val="black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prstClr val="black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E43-4417-9575-8B5D52DC624D}"/>
              </c:ext>
            </c:extLst>
          </c:dPt>
          <c:dPt>
            <c:idx val="2"/>
            <c:bubble3D val="0"/>
            <c:spPr>
              <a:pattFill prst="pct50">
                <a:fgClr>
                  <a:prstClr val="black"/>
                </a:fgClr>
                <a:bgClr>
                  <a:prstClr val="white"/>
                </a:bgClr>
              </a:pattFill>
              <a:ln>
                <a:solidFill>
                  <a:prstClr val="black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prstClr val="black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E43-4417-9575-8B5D52DC624D}"/>
              </c:ext>
            </c:extLst>
          </c:dPt>
          <c:dPt>
            <c:idx val="3"/>
            <c:bubble3D val="0"/>
            <c:spPr>
              <a:pattFill prst="pct75">
                <a:fgClr>
                  <a:prstClr val="black"/>
                </a:fgClr>
                <a:bgClr>
                  <a:prstClr val="white"/>
                </a:bgClr>
              </a:pattFill>
              <a:ln>
                <a:solidFill>
                  <a:prstClr val="black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prstClr val="black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0E43-4417-9575-8B5D52DC624D}"/>
              </c:ext>
            </c:extLst>
          </c:dPt>
          <c:dPt>
            <c:idx val="4"/>
            <c:bubble3D val="0"/>
            <c:spPr>
              <a:pattFill prst="pct25">
                <a:fgClr>
                  <a:prstClr val="black"/>
                </a:fgClr>
                <a:bgClr>
                  <a:prstClr val="white"/>
                </a:bgClr>
              </a:pattFill>
              <a:ln>
                <a:solidFill>
                  <a:prstClr val="black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prstClr val="black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1C9-4338-A5B6-224B0135A034}"/>
              </c:ext>
            </c:extLst>
          </c:dPt>
          <c:dLbls>
            <c:numFmt formatCode="General" sourceLinked="0"/>
            <c:spPr>
              <a:solidFill>
                <a:prstClr val="black"/>
              </a:solidFill>
              <a:ln>
                <a:solidFill>
                  <a:prstClr val="black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Präsentation!$G$4:$G$8</c:f>
              <c:strCache>
                <c:ptCount val="5"/>
                <c:pt idx="0">
                  <c:v>Büroeinrichtung</c:v>
                </c:pt>
                <c:pt idx="1">
                  <c:v>EDV - Ausstattung</c:v>
                </c:pt>
                <c:pt idx="2">
                  <c:v>Geräte</c:v>
                </c:pt>
                <c:pt idx="3">
                  <c:v>Fuhrpark</c:v>
                </c:pt>
                <c:pt idx="4">
                  <c:v>Sonstige Investitionen</c:v>
                </c:pt>
              </c:strCache>
            </c:strRef>
          </c:cat>
          <c:val>
            <c:numRef>
              <c:f>Präsentation!$H$4:$H$8</c:f>
              <c:numCache>
                <c:formatCode>#,##0.00\ "€"</c:formatCode>
                <c:ptCount val="5"/>
                <c:pt idx="0">
                  <c:v>28000</c:v>
                </c:pt>
                <c:pt idx="1">
                  <c:v>42000</c:v>
                </c:pt>
                <c:pt idx="2">
                  <c:v>10000</c:v>
                </c:pt>
                <c:pt idx="3">
                  <c:v>95000</c:v>
                </c:pt>
                <c:pt idx="4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E43-4417-9575-8B5D52DC624D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4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4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4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6</xdr:col>
      <xdr:colOff>0</xdr:colOff>
      <xdr:row>22</xdr:row>
      <xdr:rowOff>190499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5D1F7104-DDF4-42F3-8910-D595D60138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6</xdr:col>
      <xdr:colOff>0</xdr:colOff>
      <xdr:row>22</xdr:row>
      <xdr:rowOff>190499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6C28DD6-70D5-42FF-A352-75769CD525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27</xdr:row>
      <xdr:rowOff>0</xdr:rowOff>
    </xdr:from>
    <xdr:to>
      <xdr:col>6</xdr:col>
      <xdr:colOff>591376</xdr:colOff>
      <xdr:row>51</xdr:row>
      <xdr:rowOff>108000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83929850-14F4-4E14-BF5E-8F879A75FE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58</xdr:row>
      <xdr:rowOff>0</xdr:rowOff>
    </xdr:from>
    <xdr:to>
      <xdr:col>13</xdr:col>
      <xdr:colOff>0</xdr:colOff>
      <xdr:row>82</xdr:row>
      <xdr:rowOff>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794D8340-FBE9-44F2-88E3-06724F68FF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8</xdr:col>
      <xdr:colOff>0</xdr:colOff>
      <xdr:row>29</xdr:row>
      <xdr:rowOff>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8FE771EC-382D-49B6-AF32-05DF443909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8</xdr:col>
      <xdr:colOff>0</xdr:colOff>
      <xdr:row>50</xdr:row>
      <xdr:rowOff>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6B29565C-6748-49FC-B187-05A94C0D94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51</xdr:row>
      <xdr:rowOff>0</xdr:rowOff>
    </xdr:from>
    <xdr:to>
      <xdr:col>8</xdr:col>
      <xdr:colOff>0</xdr:colOff>
      <xdr:row>71</xdr:row>
      <xdr:rowOff>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B0FE993-9800-4BB6-9713-28DCD4A91A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1:G44"/>
  <sheetViews>
    <sheetView showZeros="0" view="pageBreakPreview" zoomScale="85" zoomScaleNormal="100" zoomScaleSheetLayoutView="85" workbookViewId="0">
      <selection activeCell="F9" sqref="F9"/>
    </sheetView>
  </sheetViews>
  <sheetFormatPr baseColWidth="10" defaultRowHeight="15" x14ac:dyDescent="0.25"/>
  <cols>
    <col min="1" max="2" width="14.28515625" style="171" customWidth="1"/>
    <col min="3" max="3" width="25.7109375" style="171" bestFit="1" customWidth="1"/>
    <col min="4" max="4" width="34.28515625" style="171" customWidth="1"/>
    <col min="5" max="16384" width="11.42578125" style="171"/>
  </cols>
  <sheetData>
    <row r="1" spans="1:4" ht="27" thickBot="1" x14ac:dyDescent="0.45">
      <c r="A1" s="737" t="s">
        <v>5</v>
      </c>
      <c r="B1" s="738"/>
      <c r="C1" s="738"/>
      <c r="D1" s="739"/>
    </row>
    <row r="2" spans="1:4" ht="7.5" customHeight="1" thickBot="1" x14ac:dyDescent="0.3"/>
    <row r="3" spans="1:4" ht="16.5" thickBot="1" x14ac:dyDescent="0.3">
      <c r="A3" s="740" t="s">
        <v>0</v>
      </c>
      <c r="B3" s="741"/>
      <c r="C3" s="741"/>
      <c r="D3" s="742"/>
    </row>
    <row r="4" spans="1:4" ht="7.5" customHeight="1" x14ac:dyDescent="0.25">
      <c r="A4" s="519"/>
      <c r="B4" s="520"/>
      <c r="C4" s="520"/>
      <c r="D4" s="521"/>
    </row>
    <row r="5" spans="1:4" ht="18.75" customHeight="1" thickBot="1" x14ac:dyDescent="0.3">
      <c r="A5" s="761" t="s">
        <v>10</v>
      </c>
      <c r="B5" s="762"/>
      <c r="C5" s="522" t="s">
        <v>12</v>
      </c>
      <c r="D5" s="523" t="s">
        <v>13</v>
      </c>
    </row>
    <row r="6" spans="1:4" ht="30.75" thickTop="1" x14ac:dyDescent="0.25">
      <c r="A6" s="759" t="s">
        <v>1</v>
      </c>
      <c r="B6" s="760"/>
      <c r="C6" s="82" t="s">
        <v>35</v>
      </c>
      <c r="D6" s="83" t="s">
        <v>235</v>
      </c>
    </row>
    <row r="7" spans="1:4" ht="30" x14ac:dyDescent="0.25">
      <c r="A7" s="743" t="s">
        <v>2</v>
      </c>
      <c r="B7" s="744"/>
      <c r="C7" s="84" t="s">
        <v>36</v>
      </c>
      <c r="D7" s="85" t="s">
        <v>292</v>
      </c>
    </row>
    <row r="8" spans="1:4" ht="30" x14ac:dyDescent="0.25">
      <c r="A8" s="743" t="s">
        <v>3</v>
      </c>
      <c r="B8" s="744"/>
      <c r="C8" s="84" t="s">
        <v>37</v>
      </c>
      <c r="D8" s="85" t="s">
        <v>236</v>
      </c>
    </row>
    <row r="9" spans="1:4" ht="30" x14ac:dyDescent="0.25">
      <c r="A9" s="748" t="s">
        <v>4</v>
      </c>
      <c r="B9" s="749"/>
      <c r="C9" s="86" t="s">
        <v>38</v>
      </c>
      <c r="D9" s="87" t="s">
        <v>15</v>
      </c>
    </row>
    <row r="10" spans="1:4" ht="7.5" customHeight="1" thickBot="1" x14ac:dyDescent="0.3">
      <c r="A10" s="213"/>
      <c r="B10" s="214"/>
      <c r="C10" s="214"/>
      <c r="D10" s="524"/>
    </row>
    <row r="11" spans="1:4" ht="7.5" customHeight="1" thickBot="1" x14ac:dyDescent="0.3">
      <c r="A11" s="525"/>
      <c r="B11" s="525"/>
      <c r="C11" s="525"/>
      <c r="D11" s="525"/>
    </row>
    <row r="12" spans="1:4" ht="16.5" thickBot="1" x14ac:dyDescent="0.3">
      <c r="A12" s="740" t="s">
        <v>14</v>
      </c>
      <c r="B12" s="741"/>
      <c r="C12" s="741"/>
      <c r="D12" s="742"/>
    </row>
    <row r="13" spans="1:4" ht="7.5" customHeight="1" x14ac:dyDescent="0.25">
      <c r="A13" s="526"/>
      <c r="B13" s="527"/>
      <c r="C13" s="527"/>
      <c r="D13" s="528"/>
    </row>
    <row r="14" spans="1:4" ht="18.75" customHeight="1" x14ac:dyDescent="0.25">
      <c r="A14" s="529" t="s">
        <v>11</v>
      </c>
      <c r="B14" s="747" t="s">
        <v>6</v>
      </c>
      <c r="C14" s="747"/>
      <c r="D14" s="88"/>
    </row>
    <row r="15" spans="1:4" ht="37.5" customHeight="1" x14ac:dyDescent="0.25">
      <c r="A15" s="530" t="s">
        <v>16</v>
      </c>
      <c r="B15" s="746" t="s">
        <v>8</v>
      </c>
      <c r="C15" s="746"/>
      <c r="D15" s="89"/>
    </row>
    <row r="16" spans="1:4" ht="20.25" customHeight="1" x14ac:dyDescent="0.25">
      <c r="A16" s="530" t="s">
        <v>9</v>
      </c>
      <c r="B16" s="745" t="s">
        <v>7</v>
      </c>
      <c r="C16" s="745"/>
      <c r="D16" s="90"/>
    </row>
    <row r="17" spans="1:4" x14ac:dyDescent="0.25">
      <c r="A17" s="531" t="s">
        <v>17</v>
      </c>
      <c r="B17" s="763">
        <v>43282</v>
      </c>
      <c r="C17" s="763"/>
      <c r="D17" s="91"/>
    </row>
    <row r="18" spans="1:4" ht="8.25" customHeight="1" thickBot="1" x14ac:dyDescent="0.3">
      <c r="A18" s="213"/>
      <c r="B18" s="214"/>
      <c r="C18" s="214"/>
      <c r="D18" s="524"/>
    </row>
    <row r="21" spans="1:4" ht="15.75" thickBot="1" x14ac:dyDescent="0.3"/>
    <row r="22" spans="1:4" ht="15.75" thickBot="1" x14ac:dyDescent="0.3">
      <c r="B22" s="622" t="s">
        <v>252</v>
      </c>
      <c r="C22" s="623"/>
    </row>
    <row r="23" spans="1:4" ht="15.75" thickBot="1" x14ac:dyDescent="0.3">
      <c r="B23" s="519"/>
      <c r="C23" s="521"/>
    </row>
    <row r="24" spans="1:4" ht="15.75" thickTop="1" x14ac:dyDescent="0.25">
      <c r="B24" s="610"/>
      <c r="C24" s="611" t="s">
        <v>237</v>
      </c>
    </row>
    <row r="25" spans="1:4" ht="15.75" thickBot="1" x14ac:dyDescent="0.3">
      <c r="B25" s="612"/>
      <c r="C25" s="613" t="s">
        <v>238</v>
      </c>
    </row>
    <row r="26" spans="1:4" ht="16.5" thickTop="1" thickBot="1" x14ac:dyDescent="0.3">
      <c r="B26" s="519"/>
      <c r="C26" s="521"/>
    </row>
    <row r="27" spans="1:4" ht="15.75" thickTop="1" x14ac:dyDescent="0.25">
      <c r="B27" s="614"/>
      <c r="C27" s="611" t="s">
        <v>239</v>
      </c>
    </row>
    <row r="28" spans="1:4" ht="15.75" thickBot="1" x14ac:dyDescent="0.3">
      <c r="B28" s="615"/>
      <c r="C28" s="613" t="s">
        <v>240</v>
      </c>
    </row>
    <row r="29" spans="1:4" ht="16.5" thickTop="1" thickBot="1" x14ac:dyDescent="0.3">
      <c r="B29" s="519"/>
      <c r="C29" s="521"/>
    </row>
    <row r="30" spans="1:4" ht="15.75" thickTop="1" x14ac:dyDescent="0.25">
      <c r="B30" s="616"/>
      <c r="C30" s="611" t="s">
        <v>241</v>
      </c>
    </row>
    <row r="31" spans="1:4" x14ac:dyDescent="0.25">
      <c r="B31" s="617"/>
      <c r="C31" s="618" t="s">
        <v>242</v>
      </c>
    </row>
    <row r="32" spans="1:4" ht="15.75" thickBot="1" x14ac:dyDescent="0.3">
      <c r="B32" s="619"/>
      <c r="C32" s="613" t="s">
        <v>243</v>
      </c>
    </row>
    <row r="33" spans="1:7" ht="16.5" thickTop="1" thickBot="1" x14ac:dyDescent="0.3">
      <c r="B33" s="519"/>
      <c r="C33" s="521"/>
    </row>
    <row r="34" spans="1:7" ht="16.5" thickTop="1" thickBot="1" x14ac:dyDescent="0.3">
      <c r="B34" s="620"/>
      <c r="C34" s="621" t="s">
        <v>247</v>
      </c>
    </row>
    <row r="35" spans="1:7" ht="16.5" thickTop="1" thickBot="1" x14ac:dyDescent="0.3">
      <c r="B35" s="213"/>
      <c r="C35" s="524"/>
    </row>
    <row r="40" spans="1:7" x14ac:dyDescent="0.25">
      <c r="A40" s="756" t="s">
        <v>39</v>
      </c>
      <c r="B40" s="757"/>
      <c r="C40" s="757"/>
      <c r="D40" s="758"/>
    </row>
    <row r="41" spans="1:7" ht="30" customHeight="1" x14ac:dyDescent="0.25">
      <c r="A41" s="750" t="s">
        <v>40</v>
      </c>
      <c r="B41" s="751"/>
      <c r="C41" s="751"/>
      <c r="D41" s="752"/>
      <c r="G41" s="532"/>
    </row>
    <row r="42" spans="1:7" ht="7.5" customHeight="1" x14ac:dyDescent="0.25">
      <c r="A42" s="533"/>
      <c r="B42" s="534"/>
      <c r="C42" s="534"/>
      <c r="D42" s="535"/>
    </row>
    <row r="43" spans="1:7" ht="30" customHeight="1" x14ac:dyDescent="0.25">
      <c r="A43" s="753" t="s">
        <v>41</v>
      </c>
      <c r="B43" s="754"/>
      <c r="C43" s="754"/>
      <c r="D43" s="755"/>
    </row>
    <row r="44" spans="1:7" x14ac:dyDescent="0.25">
      <c r="A44" s="536"/>
      <c r="B44" s="536"/>
      <c r="C44" s="536"/>
      <c r="D44" s="536"/>
    </row>
  </sheetData>
  <sheetProtection algorithmName="SHA-512" hashValue="M9nigPSjVt0dlX3mulOoYmNDUcMahRZqNgGFezyRW6xffz+zEwygfyBESDLFK9uj8RK4gyHX0JmmZ/Jlh9ULpA==" saltValue="dkxaJe2Nd//VZuCeAKhI2A==" spinCount="100000" sheet="1" objects="1" scenarios="1"/>
  <mergeCells count="15">
    <mergeCell ref="A41:D41"/>
    <mergeCell ref="A43:D43"/>
    <mergeCell ref="A40:D40"/>
    <mergeCell ref="A6:B6"/>
    <mergeCell ref="A5:B5"/>
    <mergeCell ref="B17:C17"/>
    <mergeCell ref="A1:D1"/>
    <mergeCell ref="A3:D3"/>
    <mergeCell ref="A12:D12"/>
    <mergeCell ref="A8:B8"/>
    <mergeCell ref="B16:C16"/>
    <mergeCell ref="B15:C15"/>
    <mergeCell ref="B14:C14"/>
    <mergeCell ref="A9:B9"/>
    <mergeCell ref="A7:B7"/>
  </mergeCells>
  <printOptions horizontalCentered="1"/>
  <pageMargins left="0.59055118110236227" right="0.59055118110236227" top="0.78740157480314965" bottom="0.78740157480314965" header="0.31496062992125984" footer="0.31496062992125984"/>
  <pageSetup paperSize="9" fitToHeight="0" orientation="portrait" horizontalDpi="300" verticalDpi="300" r:id="rId1"/>
  <headerFooter>
    <oddFooter>&amp;CSeite &amp;P von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pageSetUpPr fitToPage="1"/>
  </sheetPr>
  <dimension ref="A1:Y34"/>
  <sheetViews>
    <sheetView showGridLines="0" view="pageBreakPreview" zoomScaleNormal="100" zoomScaleSheetLayoutView="100" workbookViewId="0">
      <pane xSplit="5" ySplit="1" topLeftCell="R8" activePane="bottomRight" state="frozen"/>
      <selection pane="topRight" activeCell="F1" sqref="F1"/>
      <selection pane="bottomLeft" activeCell="A2" sqref="A2"/>
      <selection pane="bottomRight" activeCell="C27" sqref="C27"/>
    </sheetView>
  </sheetViews>
  <sheetFormatPr baseColWidth="10" defaultRowHeight="15" outlineLevelRow="2" outlineLevelCol="1" x14ac:dyDescent="0.25"/>
  <cols>
    <col min="1" max="1" width="35.140625" style="39" bestFit="1" customWidth="1"/>
    <col min="2" max="2" width="13" style="39" bestFit="1" customWidth="1"/>
    <col min="3" max="3" width="7" style="39" bestFit="1" customWidth="1"/>
    <col min="4" max="4" width="6.85546875" style="39" bestFit="1" customWidth="1"/>
    <col min="5" max="5" width="9" style="39" bestFit="1" customWidth="1"/>
    <col min="6" max="17" width="14.28515625" style="39" hidden="1" customWidth="1" outlineLevel="1"/>
    <col min="18" max="18" width="14.28515625" style="39" customWidth="1" collapsed="1"/>
    <col min="19" max="22" width="14.28515625" style="39" hidden="1" customWidth="1" outlineLevel="1"/>
    <col min="23" max="23" width="14.28515625" style="39" customWidth="1" collapsed="1"/>
    <col min="24" max="25" width="14.28515625" style="39" customWidth="1"/>
    <col min="26" max="16384" width="11.42578125" style="39"/>
  </cols>
  <sheetData>
    <row r="1" spans="1:25" ht="27" thickBot="1" x14ac:dyDescent="0.3">
      <c r="A1" s="764" t="s">
        <v>18</v>
      </c>
      <c r="B1" s="765"/>
      <c r="C1" s="765"/>
      <c r="D1" s="765"/>
      <c r="E1" s="765"/>
      <c r="F1" s="765"/>
      <c r="G1" s="765"/>
      <c r="H1" s="765"/>
      <c r="I1" s="765"/>
      <c r="J1" s="765"/>
      <c r="K1" s="765"/>
      <c r="L1" s="765"/>
      <c r="M1" s="765"/>
      <c r="N1" s="765"/>
      <c r="O1" s="765"/>
      <c r="P1" s="765"/>
      <c r="Q1" s="765"/>
      <c r="R1" s="765"/>
      <c r="S1" s="765"/>
      <c r="T1" s="765"/>
      <c r="U1" s="765"/>
      <c r="V1" s="765"/>
      <c r="W1" s="765"/>
      <c r="X1" s="765"/>
      <c r="Y1" s="766"/>
    </row>
    <row r="2" spans="1:25" ht="7.5" customHeight="1" thickBot="1" x14ac:dyDescent="0.3"/>
    <row r="3" spans="1:25" x14ac:dyDescent="0.25">
      <c r="A3" s="780" t="s">
        <v>263</v>
      </c>
      <c r="B3" s="784" t="s">
        <v>19</v>
      </c>
      <c r="C3" s="784" t="s">
        <v>31</v>
      </c>
      <c r="D3" s="784" t="s">
        <v>244</v>
      </c>
      <c r="E3" s="782" t="s">
        <v>245</v>
      </c>
      <c r="F3" s="771" t="s">
        <v>20</v>
      </c>
      <c r="G3" s="770"/>
      <c r="H3" s="770"/>
      <c r="I3" s="770"/>
      <c r="J3" s="770"/>
      <c r="K3" s="770"/>
      <c r="L3" s="770"/>
      <c r="M3" s="770"/>
      <c r="N3" s="770"/>
      <c r="O3" s="770"/>
      <c r="P3" s="770"/>
      <c r="Q3" s="770"/>
      <c r="R3" s="767" t="s">
        <v>20</v>
      </c>
      <c r="S3" s="769" t="s">
        <v>25</v>
      </c>
      <c r="T3" s="770"/>
      <c r="U3" s="770"/>
      <c r="V3" s="770"/>
      <c r="W3" s="767" t="s">
        <v>25</v>
      </c>
      <c r="X3" s="767" t="s">
        <v>26</v>
      </c>
      <c r="Y3" s="778" t="s">
        <v>27</v>
      </c>
    </row>
    <row r="4" spans="1:25" s="5" customFormat="1" ht="15" customHeight="1" thickBot="1" x14ac:dyDescent="0.3">
      <c r="A4" s="781"/>
      <c r="B4" s="785"/>
      <c r="C4" s="785"/>
      <c r="D4" s="785"/>
      <c r="E4" s="783"/>
      <c r="F4" s="1">
        <v>1</v>
      </c>
      <c r="G4" s="2">
        <v>2</v>
      </c>
      <c r="H4" s="2">
        <v>3</v>
      </c>
      <c r="I4" s="2">
        <v>4</v>
      </c>
      <c r="J4" s="2">
        <v>5</v>
      </c>
      <c r="K4" s="2">
        <v>6</v>
      </c>
      <c r="L4" s="2">
        <v>7</v>
      </c>
      <c r="M4" s="2">
        <v>8</v>
      </c>
      <c r="N4" s="2">
        <v>9</v>
      </c>
      <c r="O4" s="2">
        <v>10</v>
      </c>
      <c r="P4" s="2">
        <v>11</v>
      </c>
      <c r="Q4" s="3">
        <v>12</v>
      </c>
      <c r="R4" s="768"/>
      <c r="S4" s="4" t="s">
        <v>21</v>
      </c>
      <c r="T4" s="2" t="s">
        <v>22</v>
      </c>
      <c r="U4" s="2" t="s">
        <v>23</v>
      </c>
      <c r="V4" s="3" t="s">
        <v>24</v>
      </c>
      <c r="W4" s="768"/>
      <c r="X4" s="768"/>
      <c r="Y4" s="779"/>
    </row>
    <row r="5" spans="1:25" ht="18.75" customHeight="1" outlineLevel="2" thickTop="1" x14ac:dyDescent="0.25">
      <c r="A5" s="21" t="s">
        <v>59</v>
      </c>
      <c r="B5" s="105">
        <v>25000</v>
      </c>
      <c r="C5" s="19">
        <v>10</v>
      </c>
      <c r="D5" s="19">
        <v>1</v>
      </c>
      <c r="E5" s="20">
        <v>1</v>
      </c>
      <c r="F5" s="6">
        <f>IF($E5=F$4,$B5,"")</f>
        <v>25000</v>
      </c>
      <c r="G5" s="7" t="str">
        <f t="shared" ref="G5:Q13" si="0">IF($E5=G$4,$B5,"")</f>
        <v/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7" t="str">
        <f t="shared" si="0"/>
        <v/>
      </c>
      <c r="N5" s="7" t="str">
        <f t="shared" si="0"/>
        <v/>
      </c>
      <c r="O5" s="7" t="str">
        <f t="shared" si="0"/>
        <v/>
      </c>
      <c r="P5" s="7" t="str">
        <f t="shared" si="0"/>
        <v/>
      </c>
      <c r="Q5" s="180" t="str">
        <f t="shared" si="0"/>
        <v/>
      </c>
      <c r="R5" s="290">
        <f>SUM(F5:Q5)</f>
        <v>25000</v>
      </c>
      <c r="S5" s="71" t="str">
        <f>IF(AND($E5&gt;12,$E5&lt;=15),$B5,"")</f>
        <v/>
      </c>
      <c r="T5" s="72" t="str">
        <f>IF(AND($E5&gt;15,$E5&lt;=18),$B5,"")</f>
        <v/>
      </c>
      <c r="U5" s="72" t="str">
        <f>IF(AND($E5&gt;18,$E5&lt;=21),$B5,"")</f>
        <v/>
      </c>
      <c r="V5" s="649" t="str">
        <f>IF(AND($E5&gt;21,$E5&lt;=24),$B5,"")</f>
        <v/>
      </c>
      <c r="W5" s="290">
        <f>SUM(S5:V5)</f>
        <v>0</v>
      </c>
      <c r="X5" s="8">
        <f>IF(AND($E5&gt;24,$E5&lt;=36),$B5,0)</f>
        <v>0</v>
      </c>
      <c r="Y5" s="9">
        <f>IF(AND($E5&gt;36,$E5&lt;=48),$B5,0)</f>
        <v>0</v>
      </c>
    </row>
    <row r="6" spans="1:25" ht="18.75" customHeight="1" outlineLevel="2" x14ac:dyDescent="0.25">
      <c r="A6" s="22" t="s">
        <v>60</v>
      </c>
      <c r="B6" s="106">
        <v>3000</v>
      </c>
      <c r="C6" s="95">
        <v>5</v>
      </c>
      <c r="D6" s="95">
        <v>1</v>
      </c>
      <c r="E6" s="96">
        <v>1</v>
      </c>
      <c r="F6" s="10">
        <f t="shared" ref="F6:F13" si="1">IF($E6=F$4,$B6,"")</f>
        <v>3000</v>
      </c>
      <c r="G6" s="11" t="str">
        <f t="shared" si="0"/>
        <v/>
      </c>
      <c r="H6" s="11" t="str">
        <f t="shared" si="0"/>
        <v/>
      </c>
      <c r="I6" s="11" t="str">
        <f t="shared" si="0"/>
        <v/>
      </c>
      <c r="J6" s="11" t="str">
        <f t="shared" si="0"/>
        <v/>
      </c>
      <c r="K6" s="11" t="str">
        <f t="shared" si="0"/>
        <v/>
      </c>
      <c r="L6" s="11" t="str">
        <f t="shared" si="0"/>
        <v/>
      </c>
      <c r="M6" s="11" t="str">
        <f t="shared" si="0"/>
        <v/>
      </c>
      <c r="N6" s="11" t="str">
        <f t="shared" si="0"/>
        <v/>
      </c>
      <c r="O6" s="11" t="str">
        <f t="shared" si="0"/>
        <v/>
      </c>
      <c r="P6" s="11" t="str">
        <f t="shared" si="0"/>
        <v/>
      </c>
      <c r="Q6" s="185" t="str">
        <f t="shared" si="0"/>
        <v/>
      </c>
      <c r="R6" s="291">
        <f t="shared" ref="R6:R13" si="2">SUM(F6:Q6)</f>
        <v>3000</v>
      </c>
      <c r="S6" s="75" t="str">
        <f t="shared" ref="S6:S13" si="3">IF(AND($E6&gt;12,$E6&lt;=15),$B6,"")</f>
        <v/>
      </c>
      <c r="T6" s="76" t="str">
        <f t="shared" ref="T6:T13" si="4">IF(AND($E6&gt;15,$E6&lt;=18),$B6,"")</f>
        <v/>
      </c>
      <c r="U6" s="76" t="str">
        <f t="shared" ref="U6:U13" si="5">IF(AND($E6&gt;18,$E6&lt;=21),$B6,"")</f>
        <v/>
      </c>
      <c r="V6" s="298" t="str">
        <f t="shared" ref="V6:V13" si="6">IF(AND($E6&gt;21,$E6&lt;=24),$B6,"")</f>
        <v/>
      </c>
      <c r="W6" s="291">
        <f t="shared" ref="W6:W13" si="7">SUM(S6:V6)</f>
        <v>0</v>
      </c>
      <c r="X6" s="12">
        <f t="shared" ref="X6:X13" si="8">IF(AND($E6&gt;24,$E6&lt;=36),$B6,0)</f>
        <v>0</v>
      </c>
      <c r="Y6" s="13">
        <f t="shared" ref="Y6:Y13" si="9">IF(AND($E6&gt;36,$E6&lt;=48),$B6,0)</f>
        <v>0</v>
      </c>
    </row>
    <row r="7" spans="1:25" ht="18.75" customHeight="1" outlineLevel="2" x14ac:dyDescent="0.25">
      <c r="A7" s="22" t="s">
        <v>61</v>
      </c>
      <c r="B7" s="106">
        <v>10000</v>
      </c>
      <c r="C7" s="95">
        <v>4</v>
      </c>
      <c r="D7" s="95">
        <v>1</v>
      </c>
      <c r="E7" s="96">
        <v>1</v>
      </c>
      <c r="F7" s="10">
        <f t="shared" si="1"/>
        <v>10000</v>
      </c>
      <c r="G7" s="11" t="str">
        <f t="shared" si="0"/>
        <v/>
      </c>
      <c r="H7" s="11" t="str">
        <f t="shared" si="0"/>
        <v/>
      </c>
      <c r="I7" s="11" t="str">
        <f t="shared" si="0"/>
        <v/>
      </c>
      <c r="J7" s="11" t="str">
        <f t="shared" si="0"/>
        <v/>
      </c>
      <c r="K7" s="11" t="str">
        <f t="shared" si="0"/>
        <v/>
      </c>
      <c r="L7" s="11" t="str">
        <f t="shared" si="0"/>
        <v/>
      </c>
      <c r="M7" s="11" t="str">
        <f t="shared" si="0"/>
        <v/>
      </c>
      <c r="N7" s="11" t="str">
        <f t="shared" si="0"/>
        <v/>
      </c>
      <c r="O7" s="11" t="str">
        <f t="shared" si="0"/>
        <v/>
      </c>
      <c r="P7" s="11" t="str">
        <f t="shared" si="0"/>
        <v/>
      </c>
      <c r="Q7" s="185" t="str">
        <f t="shared" si="0"/>
        <v/>
      </c>
      <c r="R7" s="291">
        <f t="shared" ref="R7:R11" si="10">SUM(F7:Q7)</f>
        <v>10000</v>
      </c>
      <c r="S7" s="75" t="str">
        <f t="shared" si="3"/>
        <v/>
      </c>
      <c r="T7" s="76" t="str">
        <f t="shared" si="4"/>
        <v/>
      </c>
      <c r="U7" s="76" t="str">
        <f t="shared" si="5"/>
        <v/>
      </c>
      <c r="V7" s="298" t="str">
        <f t="shared" si="6"/>
        <v/>
      </c>
      <c r="W7" s="291">
        <f t="shared" ref="W7:W11" si="11">SUM(S7:V7)</f>
        <v>0</v>
      </c>
      <c r="X7" s="12">
        <f t="shared" si="8"/>
        <v>0</v>
      </c>
      <c r="Y7" s="13">
        <f t="shared" si="9"/>
        <v>0</v>
      </c>
    </row>
    <row r="8" spans="1:25" ht="18.75" customHeight="1" outlineLevel="2" x14ac:dyDescent="0.25">
      <c r="A8" s="22" t="s">
        <v>65</v>
      </c>
      <c r="B8" s="106">
        <v>12000</v>
      </c>
      <c r="C8" s="95">
        <v>4</v>
      </c>
      <c r="D8" s="95">
        <v>1</v>
      </c>
      <c r="E8" s="96">
        <v>1</v>
      </c>
      <c r="F8" s="10">
        <f t="shared" si="1"/>
        <v>12000</v>
      </c>
      <c r="G8" s="11" t="str">
        <f t="shared" si="0"/>
        <v/>
      </c>
      <c r="H8" s="11" t="str">
        <f t="shared" si="0"/>
        <v/>
      </c>
      <c r="I8" s="11" t="str">
        <f t="shared" si="0"/>
        <v/>
      </c>
      <c r="J8" s="11" t="str">
        <f t="shared" si="0"/>
        <v/>
      </c>
      <c r="K8" s="11" t="str">
        <f t="shared" si="0"/>
        <v/>
      </c>
      <c r="L8" s="11" t="str">
        <f t="shared" si="0"/>
        <v/>
      </c>
      <c r="M8" s="11" t="str">
        <f t="shared" si="0"/>
        <v/>
      </c>
      <c r="N8" s="11" t="str">
        <f t="shared" si="0"/>
        <v/>
      </c>
      <c r="O8" s="11" t="str">
        <f t="shared" si="0"/>
        <v/>
      </c>
      <c r="P8" s="11" t="str">
        <f t="shared" si="0"/>
        <v/>
      </c>
      <c r="Q8" s="185" t="str">
        <f t="shared" si="0"/>
        <v/>
      </c>
      <c r="R8" s="291">
        <f t="shared" si="10"/>
        <v>12000</v>
      </c>
      <c r="S8" s="75" t="str">
        <f t="shared" si="3"/>
        <v/>
      </c>
      <c r="T8" s="76" t="str">
        <f t="shared" si="4"/>
        <v/>
      </c>
      <c r="U8" s="76" t="str">
        <f t="shared" si="5"/>
        <v/>
      </c>
      <c r="V8" s="298" t="str">
        <f t="shared" si="6"/>
        <v/>
      </c>
      <c r="W8" s="291">
        <f t="shared" si="11"/>
        <v>0</v>
      </c>
      <c r="X8" s="12">
        <f t="shared" si="8"/>
        <v>0</v>
      </c>
      <c r="Y8" s="13">
        <f t="shared" si="9"/>
        <v>0</v>
      </c>
    </row>
    <row r="9" spans="1:25" ht="18.75" customHeight="1" outlineLevel="2" x14ac:dyDescent="0.25">
      <c r="A9" s="97" t="s">
        <v>62</v>
      </c>
      <c r="B9" s="106">
        <v>8000</v>
      </c>
      <c r="C9" s="95">
        <v>4</v>
      </c>
      <c r="D9" s="95">
        <v>1</v>
      </c>
      <c r="E9" s="96">
        <v>1</v>
      </c>
      <c r="F9" s="10">
        <f t="shared" si="1"/>
        <v>8000</v>
      </c>
      <c r="G9" s="11" t="str">
        <f t="shared" si="0"/>
        <v/>
      </c>
      <c r="H9" s="11" t="str">
        <f t="shared" si="0"/>
        <v/>
      </c>
      <c r="I9" s="11" t="str">
        <f t="shared" si="0"/>
        <v/>
      </c>
      <c r="J9" s="11" t="str">
        <f t="shared" si="0"/>
        <v/>
      </c>
      <c r="K9" s="11" t="str">
        <f t="shared" si="0"/>
        <v/>
      </c>
      <c r="L9" s="11" t="str">
        <f t="shared" si="0"/>
        <v/>
      </c>
      <c r="M9" s="11" t="str">
        <f t="shared" si="0"/>
        <v/>
      </c>
      <c r="N9" s="11" t="str">
        <f t="shared" si="0"/>
        <v/>
      </c>
      <c r="O9" s="11" t="str">
        <f t="shared" si="0"/>
        <v/>
      </c>
      <c r="P9" s="11" t="str">
        <f t="shared" si="0"/>
        <v/>
      </c>
      <c r="Q9" s="185" t="str">
        <f t="shared" si="0"/>
        <v/>
      </c>
      <c r="R9" s="291">
        <f t="shared" si="10"/>
        <v>8000</v>
      </c>
      <c r="S9" s="75" t="str">
        <f t="shared" si="3"/>
        <v/>
      </c>
      <c r="T9" s="76" t="str">
        <f t="shared" si="4"/>
        <v/>
      </c>
      <c r="U9" s="76" t="str">
        <f t="shared" si="5"/>
        <v/>
      </c>
      <c r="V9" s="298" t="str">
        <f t="shared" si="6"/>
        <v/>
      </c>
      <c r="W9" s="291">
        <f t="shared" si="11"/>
        <v>0</v>
      </c>
      <c r="X9" s="12">
        <f t="shared" si="8"/>
        <v>0</v>
      </c>
      <c r="Y9" s="13">
        <f t="shared" si="9"/>
        <v>0</v>
      </c>
    </row>
    <row r="10" spans="1:25" ht="18.75" customHeight="1" outlineLevel="2" x14ac:dyDescent="0.25">
      <c r="A10" s="97" t="s">
        <v>62</v>
      </c>
      <c r="B10" s="106">
        <v>2000</v>
      </c>
      <c r="C10" s="95">
        <v>4</v>
      </c>
      <c r="D10" s="95">
        <v>13</v>
      </c>
      <c r="E10" s="96">
        <v>13</v>
      </c>
      <c r="F10" s="10" t="str">
        <f t="shared" si="1"/>
        <v/>
      </c>
      <c r="G10" s="11" t="str">
        <f t="shared" si="0"/>
        <v/>
      </c>
      <c r="H10" s="11" t="str">
        <f t="shared" si="0"/>
        <v/>
      </c>
      <c r="I10" s="11" t="str">
        <f t="shared" si="0"/>
        <v/>
      </c>
      <c r="J10" s="11" t="str">
        <f t="shared" si="0"/>
        <v/>
      </c>
      <c r="K10" s="11" t="str">
        <f t="shared" si="0"/>
        <v/>
      </c>
      <c r="L10" s="11" t="str">
        <f t="shared" si="0"/>
        <v/>
      </c>
      <c r="M10" s="11" t="str">
        <f t="shared" si="0"/>
        <v/>
      </c>
      <c r="N10" s="11" t="str">
        <f t="shared" si="0"/>
        <v/>
      </c>
      <c r="O10" s="11" t="str">
        <f t="shared" si="0"/>
        <v/>
      </c>
      <c r="P10" s="11" t="str">
        <f t="shared" si="0"/>
        <v/>
      </c>
      <c r="Q10" s="185" t="str">
        <f t="shared" si="0"/>
        <v/>
      </c>
      <c r="R10" s="291">
        <f t="shared" ref="R10" si="12">SUM(F10:Q10)</f>
        <v>0</v>
      </c>
      <c r="S10" s="75">
        <f t="shared" si="3"/>
        <v>2000</v>
      </c>
      <c r="T10" s="76" t="str">
        <f t="shared" si="4"/>
        <v/>
      </c>
      <c r="U10" s="76" t="str">
        <f t="shared" si="5"/>
        <v/>
      </c>
      <c r="V10" s="298" t="str">
        <f t="shared" si="6"/>
        <v/>
      </c>
      <c r="W10" s="291">
        <f t="shared" ref="W10" si="13">SUM(S10:V10)</f>
        <v>2000</v>
      </c>
      <c r="X10" s="12">
        <f t="shared" si="8"/>
        <v>0</v>
      </c>
      <c r="Y10" s="13">
        <f t="shared" si="9"/>
        <v>0</v>
      </c>
    </row>
    <row r="11" spans="1:25" ht="18.75" customHeight="1" outlineLevel="2" x14ac:dyDescent="0.25">
      <c r="A11" s="22" t="s">
        <v>63</v>
      </c>
      <c r="B11" s="106">
        <v>10000</v>
      </c>
      <c r="C11" s="95">
        <v>4</v>
      </c>
      <c r="D11" s="95">
        <v>2</v>
      </c>
      <c r="E11" s="96">
        <v>3</v>
      </c>
      <c r="F11" s="10" t="str">
        <f t="shared" si="1"/>
        <v/>
      </c>
      <c r="G11" s="11" t="str">
        <f t="shared" si="0"/>
        <v/>
      </c>
      <c r="H11" s="11">
        <f t="shared" si="0"/>
        <v>10000</v>
      </c>
      <c r="I11" s="11" t="str">
        <f t="shared" si="0"/>
        <v/>
      </c>
      <c r="J11" s="11" t="str">
        <f t="shared" si="0"/>
        <v/>
      </c>
      <c r="K11" s="11" t="str">
        <f t="shared" si="0"/>
        <v/>
      </c>
      <c r="L11" s="11" t="str">
        <f t="shared" si="0"/>
        <v/>
      </c>
      <c r="M11" s="11" t="str">
        <f t="shared" si="0"/>
        <v/>
      </c>
      <c r="N11" s="11" t="str">
        <f t="shared" si="0"/>
        <v/>
      </c>
      <c r="O11" s="11" t="str">
        <f t="shared" si="0"/>
        <v/>
      </c>
      <c r="P11" s="11" t="str">
        <f t="shared" si="0"/>
        <v/>
      </c>
      <c r="Q11" s="185" t="str">
        <f t="shared" si="0"/>
        <v/>
      </c>
      <c r="R11" s="291">
        <f t="shared" si="10"/>
        <v>10000</v>
      </c>
      <c r="S11" s="75" t="str">
        <f t="shared" si="3"/>
        <v/>
      </c>
      <c r="T11" s="76" t="str">
        <f t="shared" si="4"/>
        <v/>
      </c>
      <c r="U11" s="76" t="str">
        <f t="shared" si="5"/>
        <v/>
      </c>
      <c r="V11" s="298" t="str">
        <f t="shared" si="6"/>
        <v/>
      </c>
      <c r="W11" s="291">
        <f t="shared" si="11"/>
        <v>0</v>
      </c>
      <c r="X11" s="12">
        <f t="shared" si="8"/>
        <v>0</v>
      </c>
      <c r="Y11" s="13">
        <f t="shared" si="9"/>
        <v>0</v>
      </c>
    </row>
    <row r="12" spans="1:25" ht="18.75" customHeight="1" outlineLevel="2" x14ac:dyDescent="0.25">
      <c r="A12" s="23" t="s">
        <v>66</v>
      </c>
      <c r="B12" s="107">
        <v>10000</v>
      </c>
      <c r="C12" s="99">
        <v>5</v>
      </c>
      <c r="D12" s="99">
        <v>5</v>
      </c>
      <c r="E12" s="100">
        <v>6</v>
      </c>
      <c r="F12" s="14" t="str">
        <f t="shared" si="1"/>
        <v/>
      </c>
      <c r="G12" s="15" t="str">
        <f t="shared" si="0"/>
        <v/>
      </c>
      <c r="H12" s="15" t="str">
        <f t="shared" si="0"/>
        <v/>
      </c>
      <c r="I12" s="15" t="str">
        <f t="shared" si="0"/>
        <v/>
      </c>
      <c r="J12" s="15" t="str">
        <f t="shared" si="0"/>
        <v/>
      </c>
      <c r="K12" s="15">
        <f t="shared" si="0"/>
        <v>10000</v>
      </c>
      <c r="L12" s="15" t="str">
        <f t="shared" si="0"/>
        <v/>
      </c>
      <c r="M12" s="15" t="str">
        <f t="shared" si="0"/>
        <v/>
      </c>
      <c r="N12" s="15" t="str">
        <f t="shared" si="0"/>
        <v/>
      </c>
      <c r="O12" s="15" t="str">
        <f t="shared" si="0"/>
        <v/>
      </c>
      <c r="P12" s="15" t="str">
        <f t="shared" si="0"/>
        <v/>
      </c>
      <c r="Q12" s="648" t="str">
        <f t="shared" si="0"/>
        <v/>
      </c>
      <c r="R12" s="345">
        <f t="shared" ref="R12" si="14">SUM(F12:Q12)</f>
        <v>10000</v>
      </c>
      <c r="S12" s="79" t="str">
        <f t="shared" si="3"/>
        <v/>
      </c>
      <c r="T12" s="80" t="str">
        <f t="shared" si="4"/>
        <v/>
      </c>
      <c r="U12" s="80" t="str">
        <f t="shared" si="5"/>
        <v/>
      </c>
      <c r="V12" s="382" t="str">
        <f t="shared" si="6"/>
        <v/>
      </c>
      <c r="W12" s="345">
        <f t="shared" ref="W12" si="15">SUM(S12:V12)</f>
        <v>0</v>
      </c>
      <c r="X12" s="16">
        <f t="shared" si="8"/>
        <v>0</v>
      </c>
      <c r="Y12" s="17">
        <f t="shared" si="9"/>
        <v>0</v>
      </c>
    </row>
    <row r="13" spans="1:25" ht="18.75" customHeight="1" outlineLevel="2" thickBot="1" x14ac:dyDescent="0.3">
      <c r="A13" s="23"/>
      <c r="B13" s="107"/>
      <c r="C13" s="99"/>
      <c r="D13" s="99"/>
      <c r="E13" s="100"/>
      <c r="F13" s="14" t="str">
        <f t="shared" si="1"/>
        <v/>
      </c>
      <c r="G13" s="15" t="str">
        <f t="shared" si="0"/>
        <v/>
      </c>
      <c r="H13" s="15" t="str">
        <f t="shared" si="0"/>
        <v/>
      </c>
      <c r="I13" s="15" t="str">
        <f t="shared" si="0"/>
        <v/>
      </c>
      <c r="J13" s="15" t="str">
        <f t="shared" si="0"/>
        <v/>
      </c>
      <c r="K13" s="15" t="str">
        <f t="shared" si="0"/>
        <v/>
      </c>
      <c r="L13" s="15" t="str">
        <f t="shared" si="0"/>
        <v/>
      </c>
      <c r="M13" s="15" t="str">
        <f t="shared" si="0"/>
        <v/>
      </c>
      <c r="N13" s="15" t="str">
        <f t="shared" si="0"/>
        <v/>
      </c>
      <c r="O13" s="15" t="str">
        <f t="shared" si="0"/>
        <v/>
      </c>
      <c r="P13" s="15" t="str">
        <f t="shared" si="0"/>
        <v/>
      </c>
      <c r="Q13" s="648" t="str">
        <f t="shared" si="0"/>
        <v/>
      </c>
      <c r="R13" s="345">
        <f t="shared" si="2"/>
        <v>0</v>
      </c>
      <c r="S13" s="79" t="str">
        <f t="shared" si="3"/>
        <v/>
      </c>
      <c r="T13" s="80" t="str">
        <f t="shared" si="4"/>
        <v/>
      </c>
      <c r="U13" s="80" t="str">
        <f t="shared" si="5"/>
        <v/>
      </c>
      <c r="V13" s="382" t="str">
        <f t="shared" si="6"/>
        <v/>
      </c>
      <c r="W13" s="345">
        <f t="shared" si="7"/>
        <v>0</v>
      </c>
      <c r="X13" s="16">
        <f t="shared" si="8"/>
        <v>0</v>
      </c>
      <c r="Y13" s="17">
        <f t="shared" si="9"/>
        <v>0</v>
      </c>
    </row>
    <row r="14" spans="1:25" ht="7.5" customHeight="1" outlineLevel="2" thickTop="1" thickBot="1" x14ac:dyDescent="0.3">
      <c r="A14" s="24"/>
      <c r="B14" s="25"/>
      <c r="C14" s="25"/>
      <c r="D14" s="25"/>
      <c r="E14" s="26"/>
      <c r="F14" s="27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9"/>
      <c r="R14" s="33"/>
      <c r="S14" s="31"/>
      <c r="T14" s="28"/>
      <c r="U14" s="28"/>
      <c r="V14" s="29"/>
      <c r="W14" s="33"/>
      <c r="X14" s="33"/>
      <c r="Y14" s="34"/>
    </row>
    <row r="15" spans="1:25" ht="18.75" customHeight="1" outlineLevel="1" thickBot="1" x14ac:dyDescent="0.3">
      <c r="A15" s="486" t="s">
        <v>28</v>
      </c>
      <c r="B15" s="538">
        <f>SUM(B5:B14)</f>
        <v>80000</v>
      </c>
      <c r="C15" s="40"/>
      <c r="D15" s="41"/>
      <c r="E15" s="42"/>
      <c r="F15" s="444">
        <f t="shared" ref="F15:Y15" si="16">SUM(F5:F14)</f>
        <v>58000</v>
      </c>
      <c r="G15" s="541">
        <f t="shared" si="16"/>
        <v>0</v>
      </c>
      <c r="H15" s="541">
        <f t="shared" si="16"/>
        <v>10000</v>
      </c>
      <c r="I15" s="541">
        <f t="shared" si="16"/>
        <v>0</v>
      </c>
      <c r="J15" s="541">
        <f t="shared" si="16"/>
        <v>0</v>
      </c>
      <c r="K15" s="541">
        <f t="shared" si="16"/>
        <v>10000</v>
      </c>
      <c r="L15" s="541">
        <f t="shared" si="16"/>
        <v>0</v>
      </c>
      <c r="M15" s="541">
        <f t="shared" si="16"/>
        <v>0</v>
      </c>
      <c r="N15" s="541">
        <f t="shared" si="16"/>
        <v>0</v>
      </c>
      <c r="O15" s="541">
        <f t="shared" si="16"/>
        <v>0</v>
      </c>
      <c r="P15" s="541">
        <f t="shared" si="16"/>
        <v>0</v>
      </c>
      <c r="Q15" s="538">
        <f t="shared" si="16"/>
        <v>0</v>
      </c>
      <c r="R15" s="543">
        <f t="shared" si="16"/>
        <v>78000</v>
      </c>
      <c r="S15" s="446">
        <f t="shared" si="16"/>
        <v>2000</v>
      </c>
      <c r="T15" s="541">
        <f t="shared" si="16"/>
        <v>0</v>
      </c>
      <c r="U15" s="541">
        <f t="shared" si="16"/>
        <v>0</v>
      </c>
      <c r="V15" s="538">
        <f t="shared" si="16"/>
        <v>0</v>
      </c>
      <c r="W15" s="543">
        <f t="shared" si="16"/>
        <v>2000</v>
      </c>
      <c r="X15" s="543">
        <f t="shared" si="16"/>
        <v>0</v>
      </c>
      <c r="Y15" s="498">
        <f t="shared" si="16"/>
        <v>0</v>
      </c>
    </row>
    <row r="16" spans="1:25" ht="7.5" customHeight="1" outlineLevel="1" thickBot="1" x14ac:dyDescent="0.3">
      <c r="A16" s="772"/>
      <c r="B16" s="773"/>
      <c r="C16" s="773"/>
      <c r="D16" s="773"/>
      <c r="E16" s="773"/>
      <c r="F16" s="773"/>
      <c r="G16" s="773"/>
      <c r="H16" s="773"/>
      <c r="I16" s="773"/>
      <c r="J16" s="773"/>
      <c r="K16" s="773"/>
      <c r="L16" s="773"/>
      <c r="M16" s="773"/>
      <c r="N16" s="773"/>
      <c r="O16" s="773"/>
      <c r="P16" s="773"/>
      <c r="Q16" s="773"/>
      <c r="R16" s="773"/>
      <c r="S16" s="773"/>
      <c r="T16" s="773"/>
      <c r="U16" s="773"/>
      <c r="V16" s="773"/>
      <c r="W16" s="773"/>
      <c r="X16" s="773"/>
      <c r="Y16" s="774"/>
    </row>
    <row r="17" spans="1:25" ht="18.75" customHeight="1" outlineLevel="1" thickBot="1" x14ac:dyDescent="0.3">
      <c r="A17" s="624" t="s">
        <v>29</v>
      </c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5"/>
    </row>
    <row r="18" spans="1:25" ht="18.75" customHeight="1" outlineLevel="2" thickTop="1" x14ac:dyDescent="0.25">
      <c r="A18" s="21" t="s">
        <v>141</v>
      </c>
      <c r="B18" s="551">
        <v>20000</v>
      </c>
      <c r="C18" s="552">
        <v>20</v>
      </c>
      <c r="D18" s="552">
        <v>1</v>
      </c>
      <c r="E18" s="553">
        <v>10</v>
      </c>
      <c r="F18" s="554" t="str">
        <f>IF($E18=F$4,$B18,"")</f>
        <v/>
      </c>
      <c r="G18" s="555" t="str">
        <f t="shared" ref="G18:Q19" si="17">IF($E18=G$4,$B18,"")</f>
        <v/>
      </c>
      <c r="H18" s="555" t="str">
        <f t="shared" si="17"/>
        <v/>
      </c>
      <c r="I18" s="555" t="str">
        <f t="shared" si="17"/>
        <v/>
      </c>
      <c r="J18" s="555" t="str">
        <f t="shared" si="17"/>
        <v/>
      </c>
      <c r="K18" s="555" t="str">
        <f t="shared" si="17"/>
        <v/>
      </c>
      <c r="L18" s="555" t="str">
        <f t="shared" si="17"/>
        <v/>
      </c>
      <c r="M18" s="555" t="str">
        <f t="shared" si="17"/>
        <v/>
      </c>
      <c r="N18" s="555" t="str">
        <f t="shared" si="17"/>
        <v/>
      </c>
      <c r="O18" s="555">
        <f t="shared" si="17"/>
        <v>20000</v>
      </c>
      <c r="P18" s="555" t="str">
        <f t="shared" si="17"/>
        <v/>
      </c>
      <c r="Q18" s="652" t="str">
        <f t="shared" si="17"/>
        <v/>
      </c>
      <c r="R18" s="654">
        <f>SUM(F18:Q18)</f>
        <v>20000</v>
      </c>
      <c r="S18" s="502" t="str">
        <f>IF(AND($E18&gt;12,$E18&lt;=15),$B18,"")</f>
        <v/>
      </c>
      <c r="T18" s="556" t="str">
        <f>IF(AND($E18&gt;15,$E18&lt;=18),$B18,"")</f>
        <v/>
      </c>
      <c r="U18" s="556" t="str">
        <f>IF(AND($E18&gt;18,$E18&lt;=21),$B18,"")</f>
        <v/>
      </c>
      <c r="V18" s="650" t="str">
        <f>IF(AND($E18&gt;21,$E18&lt;=24),$B18,"")</f>
        <v/>
      </c>
      <c r="W18" s="654">
        <f>SUM(S18:V18)</f>
        <v>0</v>
      </c>
      <c r="X18" s="557">
        <f>IF(AND($E18&gt;24,$E18&lt;=36),$B18,0)</f>
        <v>0</v>
      </c>
      <c r="Y18" s="235">
        <f>IF(AND($E18&gt;36,$E18&lt;=48),$B18,)</f>
        <v>0</v>
      </c>
    </row>
    <row r="19" spans="1:25" ht="18.75" customHeight="1" outlineLevel="2" thickBot="1" x14ac:dyDescent="0.3">
      <c r="A19" s="125"/>
      <c r="B19" s="139"/>
      <c r="C19" s="632"/>
      <c r="D19" s="632"/>
      <c r="E19" s="583"/>
      <c r="F19" s="128" t="str">
        <f>IF($E19=F$4,$B19,"")</f>
        <v/>
      </c>
      <c r="G19" s="129" t="str">
        <f t="shared" si="17"/>
        <v/>
      </c>
      <c r="H19" s="129" t="str">
        <f t="shared" si="17"/>
        <v/>
      </c>
      <c r="I19" s="129" t="str">
        <f t="shared" si="17"/>
        <v/>
      </c>
      <c r="J19" s="129" t="str">
        <f t="shared" si="17"/>
        <v/>
      </c>
      <c r="K19" s="129" t="str">
        <f t="shared" si="17"/>
        <v/>
      </c>
      <c r="L19" s="129" t="str">
        <f t="shared" si="17"/>
        <v/>
      </c>
      <c r="M19" s="129" t="str">
        <f t="shared" si="17"/>
        <v/>
      </c>
      <c r="N19" s="129" t="str">
        <f t="shared" si="17"/>
        <v/>
      </c>
      <c r="O19" s="129" t="str">
        <f t="shared" si="17"/>
        <v/>
      </c>
      <c r="P19" s="129" t="str">
        <f t="shared" si="17"/>
        <v/>
      </c>
      <c r="Q19" s="159" t="str">
        <f t="shared" si="17"/>
        <v/>
      </c>
      <c r="R19" s="346">
        <f>SUM(F19:Q19)</f>
        <v>0</v>
      </c>
      <c r="S19" s="131" t="str">
        <f>IF(AND($E19&gt;12,$E19&lt;=15),$B19,"")</f>
        <v/>
      </c>
      <c r="T19" s="132" t="str">
        <f>IF(AND($E19&gt;15,$E19&lt;=18),$B19,"")</f>
        <v/>
      </c>
      <c r="U19" s="132" t="str">
        <f>IF(AND($E19&gt;18,$E19&lt;=21),$B19,"")</f>
        <v/>
      </c>
      <c r="V19" s="651" t="str">
        <f>IF(AND($E19&gt;21,$E19&lt;=24),$B19,"")</f>
        <v/>
      </c>
      <c r="W19" s="346">
        <f>SUM(S19:V19)</f>
        <v>0</v>
      </c>
      <c r="X19" s="134">
        <f>IF(AND($E19&gt;24,$E19&lt;=36),$B19,0)</f>
        <v>0</v>
      </c>
      <c r="Y19" s="135">
        <f>IF(AND($E19&gt;36,$E19&lt;=48),$B19,0)</f>
        <v>0</v>
      </c>
    </row>
    <row r="20" spans="1:25" ht="7.5" customHeight="1" outlineLevel="2" thickTop="1" thickBot="1" x14ac:dyDescent="0.3">
      <c r="A20" s="24"/>
      <c r="B20" s="25"/>
      <c r="C20" s="25"/>
      <c r="D20" s="25"/>
      <c r="E20" s="26"/>
      <c r="F20" s="27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9"/>
      <c r="R20" s="33"/>
      <c r="S20" s="31"/>
      <c r="T20" s="28"/>
      <c r="U20" s="28"/>
      <c r="V20" s="29"/>
      <c r="W20" s="33"/>
      <c r="X20" s="33"/>
      <c r="Y20" s="34"/>
    </row>
    <row r="21" spans="1:25" ht="18.75" customHeight="1" outlineLevel="1" thickBot="1" x14ac:dyDescent="0.3">
      <c r="A21" s="486" t="s">
        <v>28</v>
      </c>
      <c r="B21" s="538">
        <f>SUM(B18:B20)</f>
        <v>20000</v>
      </c>
      <c r="C21" s="40"/>
      <c r="D21" s="41"/>
      <c r="E21" s="42"/>
      <c r="F21" s="444">
        <f t="shared" ref="F21:Y21" si="18">SUM(F18:F20)</f>
        <v>0</v>
      </c>
      <c r="G21" s="541">
        <f t="shared" si="18"/>
        <v>0</v>
      </c>
      <c r="H21" s="541">
        <f t="shared" si="18"/>
        <v>0</v>
      </c>
      <c r="I21" s="541">
        <f t="shared" si="18"/>
        <v>0</v>
      </c>
      <c r="J21" s="541">
        <f t="shared" si="18"/>
        <v>0</v>
      </c>
      <c r="K21" s="541">
        <f t="shared" si="18"/>
        <v>0</v>
      </c>
      <c r="L21" s="541">
        <f t="shared" si="18"/>
        <v>0</v>
      </c>
      <c r="M21" s="541">
        <f t="shared" si="18"/>
        <v>0</v>
      </c>
      <c r="N21" s="541">
        <f t="shared" si="18"/>
        <v>0</v>
      </c>
      <c r="O21" s="541">
        <f t="shared" si="18"/>
        <v>20000</v>
      </c>
      <c r="P21" s="541">
        <f t="shared" si="18"/>
        <v>0</v>
      </c>
      <c r="Q21" s="538">
        <f t="shared" si="18"/>
        <v>0</v>
      </c>
      <c r="R21" s="543">
        <f t="shared" si="18"/>
        <v>20000</v>
      </c>
      <c r="S21" s="446">
        <f t="shared" si="18"/>
        <v>0</v>
      </c>
      <c r="T21" s="541">
        <f t="shared" si="18"/>
        <v>0</v>
      </c>
      <c r="U21" s="541">
        <f t="shared" si="18"/>
        <v>0</v>
      </c>
      <c r="V21" s="538">
        <f t="shared" si="18"/>
        <v>0</v>
      </c>
      <c r="W21" s="543">
        <f t="shared" si="18"/>
        <v>0</v>
      </c>
      <c r="X21" s="543">
        <f t="shared" si="18"/>
        <v>0</v>
      </c>
      <c r="Y21" s="498">
        <f t="shared" si="18"/>
        <v>0</v>
      </c>
    </row>
    <row r="22" spans="1:25" ht="7.5" customHeight="1" outlineLevel="1" thickBot="1" x14ac:dyDescent="0.3">
      <c r="A22" s="46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5"/>
    </row>
    <row r="23" spans="1:25" s="47" customFormat="1" ht="18.75" customHeight="1" thickBot="1" x14ac:dyDescent="0.3">
      <c r="A23" s="544" t="s">
        <v>32</v>
      </c>
      <c r="B23" s="545">
        <f>B21+B15</f>
        <v>100000</v>
      </c>
      <c r="C23" s="50"/>
      <c r="D23" s="50"/>
      <c r="E23" s="124"/>
      <c r="F23" s="546">
        <f t="shared" ref="F23:Y23" si="19">F21+F15</f>
        <v>58000</v>
      </c>
      <c r="G23" s="547">
        <f t="shared" si="19"/>
        <v>0</v>
      </c>
      <c r="H23" s="547">
        <f t="shared" si="19"/>
        <v>10000</v>
      </c>
      <c r="I23" s="547">
        <f t="shared" si="19"/>
        <v>0</v>
      </c>
      <c r="J23" s="547">
        <f t="shared" si="19"/>
        <v>0</v>
      </c>
      <c r="K23" s="547">
        <f t="shared" si="19"/>
        <v>10000</v>
      </c>
      <c r="L23" s="547">
        <f t="shared" si="19"/>
        <v>0</v>
      </c>
      <c r="M23" s="547">
        <f t="shared" si="19"/>
        <v>0</v>
      </c>
      <c r="N23" s="547">
        <f t="shared" si="19"/>
        <v>0</v>
      </c>
      <c r="O23" s="547">
        <f t="shared" si="19"/>
        <v>20000</v>
      </c>
      <c r="P23" s="547">
        <f t="shared" si="19"/>
        <v>0</v>
      </c>
      <c r="Q23" s="607">
        <f t="shared" si="19"/>
        <v>0</v>
      </c>
      <c r="R23" s="333">
        <f t="shared" si="19"/>
        <v>98000</v>
      </c>
      <c r="S23" s="452">
        <f t="shared" si="19"/>
        <v>2000</v>
      </c>
      <c r="T23" s="547">
        <f t="shared" si="19"/>
        <v>0</v>
      </c>
      <c r="U23" s="547">
        <f t="shared" si="19"/>
        <v>0</v>
      </c>
      <c r="V23" s="607">
        <f t="shared" si="19"/>
        <v>0</v>
      </c>
      <c r="W23" s="333">
        <f t="shared" si="19"/>
        <v>2000</v>
      </c>
      <c r="X23" s="333">
        <f t="shared" si="19"/>
        <v>0</v>
      </c>
      <c r="Y23" s="334">
        <f t="shared" si="19"/>
        <v>0</v>
      </c>
    </row>
    <row r="24" spans="1:25" ht="7.5" customHeight="1" thickBot="1" x14ac:dyDescent="0.3">
      <c r="A24" s="775"/>
      <c r="B24" s="776"/>
      <c r="C24" s="776"/>
      <c r="D24" s="776"/>
      <c r="E24" s="776"/>
      <c r="F24" s="776"/>
      <c r="G24" s="776"/>
      <c r="H24" s="776"/>
      <c r="I24" s="776"/>
      <c r="J24" s="776"/>
      <c r="K24" s="776"/>
      <c r="L24" s="776"/>
      <c r="M24" s="776"/>
      <c r="N24" s="776"/>
      <c r="O24" s="776"/>
      <c r="P24" s="776"/>
      <c r="Q24" s="776"/>
      <c r="R24" s="776"/>
      <c r="S24" s="776"/>
      <c r="T24" s="776"/>
      <c r="U24" s="776"/>
      <c r="V24" s="776"/>
      <c r="W24" s="776"/>
      <c r="X24" s="776"/>
      <c r="Y24" s="777"/>
    </row>
    <row r="25" spans="1:25" ht="15" customHeight="1" x14ac:dyDescent="0.25">
      <c r="A25" s="780" t="s">
        <v>250</v>
      </c>
      <c r="B25" s="784" t="s">
        <v>19</v>
      </c>
      <c r="C25" s="784" t="s">
        <v>31</v>
      </c>
      <c r="D25" s="784" t="s">
        <v>244</v>
      </c>
      <c r="E25" s="782" t="s">
        <v>245</v>
      </c>
      <c r="F25" s="771" t="s">
        <v>20</v>
      </c>
      <c r="G25" s="770"/>
      <c r="H25" s="770"/>
      <c r="I25" s="770"/>
      <c r="J25" s="770"/>
      <c r="K25" s="770"/>
      <c r="L25" s="770"/>
      <c r="M25" s="770"/>
      <c r="N25" s="770"/>
      <c r="O25" s="770"/>
      <c r="P25" s="770"/>
      <c r="Q25" s="770"/>
      <c r="R25" s="767" t="s">
        <v>20</v>
      </c>
      <c r="S25" s="769" t="s">
        <v>25</v>
      </c>
      <c r="T25" s="770"/>
      <c r="U25" s="770"/>
      <c r="V25" s="770"/>
      <c r="W25" s="767" t="s">
        <v>25</v>
      </c>
      <c r="X25" s="767" t="s">
        <v>26</v>
      </c>
      <c r="Y25" s="778" t="s">
        <v>27</v>
      </c>
    </row>
    <row r="26" spans="1:25" ht="15" customHeight="1" thickBot="1" x14ac:dyDescent="0.3">
      <c r="A26" s="781"/>
      <c r="B26" s="785"/>
      <c r="C26" s="785"/>
      <c r="D26" s="785"/>
      <c r="E26" s="783"/>
      <c r="F26" s="1">
        <v>1</v>
      </c>
      <c r="G26" s="2">
        <v>2</v>
      </c>
      <c r="H26" s="2">
        <v>3</v>
      </c>
      <c r="I26" s="2">
        <v>4</v>
      </c>
      <c r="J26" s="2">
        <v>5</v>
      </c>
      <c r="K26" s="2">
        <v>6</v>
      </c>
      <c r="L26" s="2">
        <v>7</v>
      </c>
      <c r="M26" s="2">
        <v>8</v>
      </c>
      <c r="N26" s="2">
        <v>9</v>
      </c>
      <c r="O26" s="2">
        <v>10</v>
      </c>
      <c r="P26" s="2">
        <v>11</v>
      </c>
      <c r="Q26" s="3">
        <v>12</v>
      </c>
      <c r="R26" s="768"/>
      <c r="S26" s="4" t="s">
        <v>21</v>
      </c>
      <c r="T26" s="2" t="s">
        <v>22</v>
      </c>
      <c r="U26" s="2" t="s">
        <v>23</v>
      </c>
      <c r="V26" s="3" t="s">
        <v>24</v>
      </c>
      <c r="W26" s="768"/>
      <c r="X26" s="768"/>
      <c r="Y26" s="779"/>
    </row>
    <row r="27" spans="1:25" ht="18.75" customHeight="1" outlineLevel="1" thickTop="1" x14ac:dyDescent="0.25">
      <c r="A27" s="21" t="s">
        <v>95</v>
      </c>
      <c r="B27" s="551">
        <v>35000</v>
      </c>
      <c r="C27" s="552">
        <v>4</v>
      </c>
      <c r="D27" s="552">
        <v>2</v>
      </c>
      <c r="E27" s="553">
        <v>3</v>
      </c>
      <c r="F27" s="554" t="str">
        <f t="shared" ref="F27:Q30" si="20">IF($E27=F$26,$B27,"")</f>
        <v/>
      </c>
      <c r="G27" s="555" t="str">
        <f t="shared" si="20"/>
        <v/>
      </c>
      <c r="H27" s="555">
        <f t="shared" si="20"/>
        <v>35000</v>
      </c>
      <c r="I27" s="555" t="str">
        <f t="shared" si="20"/>
        <v/>
      </c>
      <c r="J27" s="555" t="str">
        <f t="shared" si="20"/>
        <v/>
      </c>
      <c r="K27" s="555" t="str">
        <f t="shared" si="20"/>
        <v/>
      </c>
      <c r="L27" s="555" t="str">
        <f t="shared" si="20"/>
        <v/>
      </c>
      <c r="M27" s="555" t="str">
        <f t="shared" si="20"/>
        <v/>
      </c>
      <c r="N27" s="555" t="str">
        <f t="shared" si="20"/>
        <v/>
      </c>
      <c r="O27" s="555" t="str">
        <f t="shared" si="20"/>
        <v/>
      </c>
      <c r="P27" s="555" t="str">
        <f t="shared" si="20"/>
        <v/>
      </c>
      <c r="Q27" s="652" t="str">
        <f t="shared" si="20"/>
        <v/>
      </c>
      <c r="R27" s="654">
        <f>SUM(F27:Q27)</f>
        <v>35000</v>
      </c>
      <c r="S27" s="502" t="str">
        <f>IF(AND($E27&gt;12,$E27&lt;=15),$B27,"")</f>
        <v/>
      </c>
      <c r="T27" s="556" t="str">
        <f>IF(AND($E27&gt;15,$E27&lt;=18),$B27,"")</f>
        <v/>
      </c>
      <c r="U27" s="556" t="str">
        <f>IF(AND($E27&gt;18,$E27&lt;=21),$B27,"")</f>
        <v/>
      </c>
      <c r="V27" s="650" t="str">
        <f>IF(AND($E27&gt;21,$E27&lt;=24),$B27,"")</f>
        <v/>
      </c>
      <c r="W27" s="654">
        <f>SUM(S27:V27)</f>
        <v>0</v>
      </c>
      <c r="X27" s="557">
        <f>IF(AND($E27&gt;24,$E27&lt;=36),$B27,0)</f>
        <v>0</v>
      </c>
      <c r="Y27" s="235">
        <f>IF(AND($E27&gt;36,$E27&lt;=48),$B27,0)</f>
        <v>0</v>
      </c>
    </row>
    <row r="28" spans="1:25" ht="18.75" customHeight="1" outlineLevel="1" x14ac:dyDescent="0.25">
      <c r="A28" s="22" t="s">
        <v>95</v>
      </c>
      <c r="B28" s="94">
        <v>35000</v>
      </c>
      <c r="C28" s="95">
        <v>4</v>
      </c>
      <c r="D28" s="95">
        <v>13</v>
      </c>
      <c r="E28" s="96">
        <v>14</v>
      </c>
      <c r="F28" s="10" t="str">
        <f t="shared" si="20"/>
        <v/>
      </c>
      <c r="G28" s="11" t="str">
        <f t="shared" si="20"/>
        <v/>
      </c>
      <c r="H28" s="11" t="str">
        <f t="shared" si="20"/>
        <v/>
      </c>
      <c r="I28" s="11" t="str">
        <f t="shared" si="20"/>
        <v/>
      </c>
      <c r="J28" s="11" t="str">
        <f t="shared" si="20"/>
        <v/>
      </c>
      <c r="K28" s="11" t="str">
        <f t="shared" si="20"/>
        <v/>
      </c>
      <c r="L28" s="11" t="str">
        <f t="shared" si="20"/>
        <v/>
      </c>
      <c r="M28" s="11" t="str">
        <f t="shared" si="20"/>
        <v/>
      </c>
      <c r="N28" s="11" t="str">
        <f t="shared" si="20"/>
        <v/>
      </c>
      <c r="O28" s="11" t="str">
        <f t="shared" si="20"/>
        <v/>
      </c>
      <c r="P28" s="11" t="str">
        <f t="shared" si="20"/>
        <v/>
      </c>
      <c r="Q28" s="185" t="str">
        <f t="shared" si="20"/>
        <v/>
      </c>
      <c r="R28" s="291">
        <f t="shared" ref="R28:R30" si="21">SUM(F28:Q28)</f>
        <v>0</v>
      </c>
      <c r="S28" s="75">
        <f t="shared" ref="S28:S30" si="22">IF(AND($E28&gt;12,$E28&lt;=15),$B28,"")</f>
        <v>35000</v>
      </c>
      <c r="T28" s="76" t="str">
        <f t="shared" ref="T28:T30" si="23">IF(AND($E28&gt;15,$E28&lt;=18),$B28,"")</f>
        <v/>
      </c>
      <c r="U28" s="76" t="str">
        <f t="shared" ref="U28:U30" si="24">IF(AND($E28&gt;18,$E28&lt;=21),$B28,"")</f>
        <v/>
      </c>
      <c r="V28" s="298" t="str">
        <f t="shared" ref="V28:V30" si="25">IF(AND($E28&gt;21,$E28&lt;=24),$B28,"")</f>
        <v/>
      </c>
      <c r="W28" s="291">
        <f t="shared" ref="W28:W30" si="26">SUM(S28:V28)</f>
        <v>35000</v>
      </c>
      <c r="X28" s="12">
        <f t="shared" ref="X28:X30" si="27">IF(AND($E28&gt;24,$E28&lt;=36),$B28,0)</f>
        <v>0</v>
      </c>
      <c r="Y28" s="13">
        <f t="shared" ref="Y28:Y30" si="28">IF(AND($E28&gt;36,$E28&lt;=48),$B28,0)</f>
        <v>0</v>
      </c>
    </row>
    <row r="29" spans="1:25" ht="18.75" customHeight="1" outlineLevel="1" x14ac:dyDescent="0.25">
      <c r="A29" s="22" t="s">
        <v>96</v>
      </c>
      <c r="B29" s="94">
        <v>25000</v>
      </c>
      <c r="C29" s="95">
        <v>4</v>
      </c>
      <c r="D29" s="95">
        <v>13</v>
      </c>
      <c r="E29" s="96">
        <v>14</v>
      </c>
      <c r="F29" s="10" t="str">
        <f t="shared" si="20"/>
        <v/>
      </c>
      <c r="G29" s="11" t="str">
        <f t="shared" si="20"/>
        <v/>
      </c>
      <c r="H29" s="11" t="str">
        <f t="shared" si="20"/>
        <v/>
      </c>
      <c r="I29" s="11" t="str">
        <f t="shared" si="20"/>
        <v/>
      </c>
      <c r="J29" s="11" t="str">
        <f t="shared" si="20"/>
        <v/>
      </c>
      <c r="K29" s="11" t="str">
        <f t="shared" si="20"/>
        <v/>
      </c>
      <c r="L29" s="11" t="str">
        <f t="shared" si="20"/>
        <v/>
      </c>
      <c r="M29" s="11" t="str">
        <f t="shared" si="20"/>
        <v/>
      </c>
      <c r="N29" s="11" t="str">
        <f t="shared" si="20"/>
        <v/>
      </c>
      <c r="O29" s="11" t="str">
        <f t="shared" si="20"/>
        <v/>
      </c>
      <c r="P29" s="11" t="str">
        <f t="shared" si="20"/>
        <v/>
      </c>
      <c r="Q29" s="185" t="str">
        <f t="shared" si="20"/>
        <v/>
      </c>
      <c r="R29" s="291">
        <f t="shared" si="21"/>
        <v>0</v>
      </c>
      <c r="S29" s="75">
        <f t="shared" si="22"/>
        <v>25000</v>
      </c>
      <c r="T29" s="76" t="str">
        <f t="shared" si="23"/>
        <v/>
      </c>
      <c r="U29" s="76" t="str">
        <f t="shared" si="24"/>
        <v/>
      </c>
      <c r="V29" s="298" t="str">
        <f t="shared" si="25"/>
        <v/>
      </c>
      <c r="W29" s="291">
        <f t="shared" si="26"/>
        <v>25000</v>
      </c>
      <c r="X29" s="12">
        <f t="shared" si="27"/>
        <v>0</v>
      </c>
      <c r="Y29" s="13">
        <f t="shared" si="28"/>
        <v>0</v>
      </c>
    </row>
    <row r="30" spans="1:25" ht="18.75" customHeight="1" outlineLevel="1" thickBot="1" x14ac:dyDescent="0.3">
      <c r="A30" s="125"/>
      <c r="B30" s="126"/>
      <c r="C30" s="126"/>
      <c r="D30" s="126"/>
      <c r="E30" s="127"/>
      <c r="F30" s="128" t="str">
        <f t="shared" si="20"/>
        <v/>
      </c>
      <c r="G30" s="129" t="str">
        <f t="shared" si="20"/>
        <v/>
      </c>
      <c r="H30" s="129" t="str">
        <f t="shared" si="20"/>
        <v/>
      </c>
      <c r="I30" s="129" t="str">
        <f t="shared" si="20"/>
        <v/>
      </c>
      <c r="J30" s="129" t="str">
        <f t="shared" si="20"/>
        <v/>
      </c>
      <c r="K30" s="129" t="str">
        <f t="shared" si="20"/>
        <v/>
      </c>
      <c r="L30" s="129" t="str">
        <f t="shared" si="20"/>
        <v/>
      </c>
      <c r="M30" s="129" t="str">
        <f t="shared" si="20"/>
        <v/>
      </c>
      <c r="N30" s="129" t="str">
        <f t="shared" si="20"/>
        <v/>
      </c>
      <c r="O30" s="129" t="str">
        <f t="shared" si="20"/>
        <v/>
      </c>
      <c r="P30" s="129" t="str">
        <f t="shared" si="20"/>
        <v/>
      </c>
      <c r="Q30" s="159" t="str">
        <f t="shared" si="20"/>
        <v/>
      </c>
      <c r="R30" s="346">
        <f t="shared" si="21"/>
        <v>0</v>
      </c>
      <c r="S30" s="131" t="str">
        <f t="shared" si="22"/>
        <v/>
      </c>
      <c r="T30" s="132" t="str">
        <f t="shared" si="23"/>
        <v/>
      </c>
      <c r="U30" s="132" t="str">
        <f t="shared" si="24"/>
        <v/>
      </c>
      <c r="V30" s="651" t="str">
        <f t="shared" si="25"/>
        <v/>
      </c>
      <c r="W30" s="346">
        <f t="shared" si="26"/>
        <v>0</v>
      </c>
      <c r="X30" s="134">
        <f t="shared" si="27"/>
        <v>0</v>
      </c>
      <c r="Y30" s="135">
        <f t="shared" si="28"/>
        <v>0</v>
      </c>
    </row>
    <row r="31" spans="1:25" ht="7.5" customHeight="1" outlineLevel="1" thickTop="1" thickBot="1" x14ac:dyDescent="0.3">
      <c r="A31" s="24"/>
      <c r="B31" s="25"/>
      <c r="C31" s="25"/>
      <c r="D31" s="25"/>
      <c r="E31" s="26"/>
      <c r="F31" s="27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9"/>
      <c r="R31" s="33"/>
      <c r="S31" s="31"/>
      <c r="T31" s="28"/>
      <c r="U31" s="28"/>
      <c r="V31" s="29"/>
      <c r="W31" s="33"/>
      <c r="X31" s="33"/>
      <c r="Y31" s="34"/>
    </row>
    <row r="32" spans="1:25" ht="18.75" customHeight="1" thickBot="1" x14ac:dyDescent="0.3">
      <c r="A32" s="35" t="s">
        <v>33</v>
      </c>
      <c r="B32" s="36">
        <f>SUM(B27:B31)</f>
        <v>95000</v>
      </c>
      <c r="C32" s="62"/>
      <c r="D32" s="63"/>
      <c r="E32" s="64"/>
      <c r="F32" s="548">
        <f t="shared" ref="F32:Y32" si="29">SUM(F27:F31)</f>
        <v>0</v>
      </c>
      <c r="G32" s="549">
        <f t="shared" si="29"/>
        <v>0</v>
      </c>
      <c r="H32" s="549">
        <f t="shared" si="29"/>
        <v>35000</v>
      </c>
      <c r="I32" s="549">
        <f t="shared" si="29"/>
        <v>0</v>
      </c>
      <c r="J32" s="549">
        <f t="shared" si="29"/>
        <v>0</v>
      </c>
      <c r="K32" s="549">
        <f t="shared" si="29"/>
        <v>0</v>
      </c>
      <c r="L32" s="549">
        <f t="shared" si="29"/>
        <v>0</v>
      </c>
      <c r="M32" s="549">
        <f t="shared" si="29"/>
        <v>0</v>
      </c>
      <c r="N32" s="549">
        <f t="shared" si="29"/>
        <v>0</v>
      </c>
      <c r="O32" s="549">
        <f t="shared" si="29"/>
        <v>0</v>
      </c>
      <c r="P32" s="549">
        <f t="shared" si="29"/>
        <v>0</v>
      </c>
      <c r="Q32" s="36">
        <f t="shared" si="29"/>
        <v>0</v>
      </c>
      <c r="R32" s="37">
        <f t="shared" si="29"/>
        <v>35000</v>
      </c>
      <c r="S32" s="550">
        <f t="shared" si="29"/>
        <v>60000</v>
      </c>
      <c r="T32" s="549">
        <f t="shared" si="29"/>
        <v>0</v>
      </c>
      <c r="U32" s="549">
        <f t="shared" si="29"/>
        <v>0</v>
      </c>
      <c r="V32" s="36">
        <f t="shared" si="29"/>
        <v>0</v>
      </c>
      <c r="W32" s="37">
        <f t="shared" si="29"/>
        <v>60000</v>
      </c>
      <c r="X32" s="37">
        <f t="shared" si="29"/>
        <v>0</v>
      </c>
      <c r="Y32" s="38">
        <f t="shared" si="29"/>
        <v>0</v>
      </c>
    </row>
    <row r="33" spans="1:25" ht="7.5" customHeight="1" thickBot="1" x14ac:dyDescent="0.3">
      <c r="A33" s="772"/>
      <c r="B33" s="773"/>
      <c r="C33" s="773"/>
      <c r="D33" s="773"/>
      <c r="E33" s="773"/>
      <c r="F33" s="773"/>
      <c r="G33" s="773"/>
      <c r="H33" s="773"/>
      <c r="I33" s="773"/>
      <c r="J33" s="773"/>
      <c r="K33" s="773"/>
      <c r="L33" s="773"/>
      <c r="M33" s="773"/>
      <c r="N33" s="773"/>
      <c r="O33" s="773"/>
      <c r="P33" s="773"/>
      <c r="Q33" s="773"/>
      <c r="R33" s="773"/>
      <c r="S33" s="773"/>
      <c r="T33" s="773"/>
      <c r="U33" s="773"/>
      <c r="V33" s="773"/>
      <c r="W33" s="773"/>
      <c r="X33" s="773"/>
      <c r="Y33" s="774"/>
    </row>
    <row r="34" spans="1:25" ht="22.5" customHeight="1" thickBot="1" x14ac:dyDescent="0.3">
      <c r="A34" s="640" t="s">
        <v>34</v>
      </c>
      <c r="B34" s="60">
        <f>B32+B23</f>
        <v>195000</v>
      </c>
      <c r="C34" s="61"/>
      <c r="D34" s="61"/>
      <c r="E34" s="136"/>
      <c r="F34" s="54">
        <f t="shared" ref="F34:Y34" si="30">F32+F23</f>
        <v>58000</v>
      </c>
      <c r="G34" s="55">
        <f t="shared" si="30"/>
        <v>0</v>
      </c>
      <c r="H34" s="55">
        <f t="shared" si="30"/>
        <v>45000</v>
      </c>
      <c r="I34" s="55">
        <f t="shared" si="30"/>
        <v>0</v>
      </c>
      <c r="J34" s="55">
        <f t="shared" si="30"/>
        <v>0</v>
      </c>
      <c r="K34" s="55">
        <f t="shared" si="30"/>
        <v>10000</v>
      </c>
      <c r="L34" s="55">
        <f t="shared" si="30"/>
        <v>0</v>
      </c>
      <c r="M34" s="55">
        <f t="shared" si="30"/>
        <v>0</v>
      </c>
      <c r="N34" s="55">
        <f t="shared" si="30"/>
        <v>0</v>
      </c>
      <c r="O34" s="55">
        <f t="shared" si="30"/>
        <v>20000</v>
      </c>
      <c r="P34" s="55">
        <f t="shared" si="30"/>
        <v>0</v>
      </c>
      <c r="Q34" s="653">
        <f t="shared" si="30"/>
        <v>0</v>
      </c>
      <c r="R34" s="58">
        <f t="shared" si="30"/>
        <v>133000</v>
      </c>
      <c r="S34" s="57">
        <f t="shared" si="30"/>
        <v>62000</v>
      </c>
      <c r="T34" s="55">
        <f t="shared" si="30"/>
        <v>0</v>
      </c>
      <c r="U34" s="55">
        <f t="shared" si="30"/>
        <v>0</v>
      </c>
      <c r="V34" s="653">
        <f t="shared" si="30"/>
        <v>0</v>
      </c>
      <c r="W34" s="58">
        <f t="shared" si="30"/>
        <v>62000</v>
      </c>
      <c r="X34" s="58">
        <f t="shared" si="30"/>
        <v>0</v>
      </c>
      <c r="Y34" s="59">
        <f t="shared" si="30"/>
        <v>0</v>
      </c>
    </row>
  </sheetData>
  <sheetProtection algorithmName="SHA-512" hashValue="LCZ/LAz1v6jVMS+UpBDOsSHldpJlG5AFGObar7lLp9sA18v6APngT8eDK7hEzYFMhZ3u9ssEhYOWcQk8tB692Q==" saltValue="/1HgpSWkeUA+Uula85strw==" spinCount="100000" sheet="1" objects="1" scenarios="1"/>
  <mergeCells count="26">
    <mergeCell ref="S25:V25"/>
    <mergeCell ref="W25:W26"/>
    <mergeCell ref="X25:X26"/>
    <mergeCell ref="Y25:Y26"/>
    <mergeCell ref="A25:A26"/>
    <mergeCell ref="A16:Y16"/>
    <mergeCell ref="A24:Y24"/>
    <mergeCell ref="A33:Y33"/>
    <mergeCell ref="X3:X4"/>
    <mergeCell ref="Y3:Y4"/>
    <mergeCell ref="A3:A4"/>
    <mergeCell ref="E3:E4"/>
    <mergeCell ref="D3:D4"/>
    <mergeCell ref="C3:C4"/>
    <mergeCell ref="B3:B4"/>
    <mergeCell ref="B25:B26"/>
    <mergeCell ref="C25:C26"/>
    <mergeCell ref="D25:D26"/>
    <mergeCell ref="E25:E26"/>
    <mergeCell ref="F25:Q25"/>
    <mergeCell ref="R25:R26"/>
    <mergeCell ref="A1:Y1"/>
    <mergeCell ref="R3:R4"/>
    <mergeCell ref="W3:W4"/>
    <mergeCell ref="S3:V3"/>
    <mergeCell ref="F3:Q3"/>
  </mergeCells>
  <dataValidations count="1">
    <dataValidation type="whole" allowBlank="1" showInputMessage="1" showErrorMessage="1" sqref="D5:E14 D27:E31 D18:E20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fitToHeight="0" orientation="landscape" blackAndWhite="1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pageSetUpPr fitToPage="1"/>
  </sheetPr>
  <dimension ref="A1:Z141"/>
  <sheetViews>
    <sheetView showGridLines="0" view="pageBreakPreview" zoomScaleNormal="100" zoomScaleSheetLayoutView="100" workbookViewId="0">
      <pane xSplit="4" ySplit="1" topLeftCell="Q9" activePane="bottomRight" state="frozen"/>
      <selection pane="topRight" activeCell="E1" sqref="E1"/>
      <selection pane="bottomLeft" activeCell="A2" sqref="A2"/>
      <selection pane="bottomRight" activeCell="D9" sqref="D9"/>
    </sheetView>
  </sheetViews>
  <sheetFormatPr baseColWidth="10" defaultRowHeight="15" outlineLevelCol="1" x14ac:dyDescent="0.25"/>
  <cols>
    <col min="1" max="1" width="51.42578125" style="39" bestFit="1" customWidth="1"/>
    <col min="2" max="2" width="11.42578125" style="39"/>
    <col min="3" max="3" width="8.140625" style="39" bestFit="1" customWidth="1"/>
    <col min="4" max="4" width="9.28515625" style="39" bestFit="1" customWidth="1"/>
    <col min="5" max="15" width="11.42578125" style="39" hidden="1" customWidth="1" outlineLevel="1"/>
    <col min="16" max="16" width="10.5703125" style="39" hidden="1" customWidth="1" outlineLevel="1"/>
    <col min="17" max="17" width="13" style="39" bestFit="1" customWidth="1" collapsed="1"/>
    <col min="18" max="21" width="11.42578125" style="39" hidden="1" customWidth="1" outlineLevel="1"/>
    <col min="22" max="22" width="13" style="39" bestFit="1" customWidth="1" collapsed="1"/>
    <col min="23" max="24" width="13" style="39" bestFit="1" customWidth="1"/>
    <col min="25" max="25" width="11.42578125" style="39"/>
    <col min="26" max="26" width="16.5703125" style="39" bestFit="1" customWidth="1"/>
    <col min="27" max="16384" width="11.42578125" style="39"/>
  </cols>
  <sheetData>
    <row r="1" spans="1:24" ht="27" thickBot="1" x14ac:dyDescent="0.3">
      <c r="A1" s="764" t="s">
        <v>42</v>
      </c>
      <c r="B1" s="765"/>
      <c r="C1" s="765"/>
      <c r="D1" s="765"/>
      <c r="E1" s="765"/>
      <c r="F1" s="765"/>
      <c r="G1" s="765"/>
      <c r="H1" s="765"/>
      <c r="I1" s="765"/>
      <c r="J1" s="765"/>
      <c r="K1" s="765"/>
      <c r="L1" s="765"/>
      <c r="M1" s="765"/>
      <c r="N1" s="765"/>
      <c r="O1" s="765"/>
      <c r="P1" s="765"/>
      <c r="Q1" s="765"/>
      <c r="R1" s="765"/>
      <c r="S1" s="765"/>
      <c r="T1" s="765"/>
      <c r="U1" s="765"/>
      <c r="V1" s="765"/>
      <c r="W1" s="765"/>
      <c r="X1" s="766"/>
    </row>
    <row r="2" spans="1:24" ht="15.75" thickBot="1" x14ac:dyDescent="0.3"/>
    <row r="3" spans="1:24" x14ac:dyDescent="0.25">
      <c r="A3" s="558" t="s">
        <v>94</v>
      </c>
      <c r="B3" s="576">
        <v>30</v>
      </c>
    </row>
    <row r="4" spans="1:24" x14ac:dyDescent="0.25">
      <c r="A4" s="559" t="s">
        <v>92</v>
      </c>
      <c r="B4" s="149">
        <v>0.34</v>
      </c>
    </row>
    <row r="5" spans="1:24" ht="15.75" thickBot="1" x14ac:dyDescent="0.3">
      <c r="A5" s="560" t="s">
        <v>88</v>
      </c>
      <c r="B5" s="150">
        <v>0.05</v>
      </c>
    </row>
    <row r="6" spans="1:24" ht="22.5" customHeight="1" thickBot="1" x14ac:dyDescent="0.3">
      <c r="A6" s="561" t="s">
        <v>89</v>
      </c>
      <c r="B6" s="796" t="s">
        <v>53</v>
      </c>
      <c r="C6" s="797"/>
      <c r="D6" s="809" t="s">
        <v>246</v>
      </c>
      <c r="E6" s="770" t="s">
        <v>20</v>
      </c>
      <c r="F6" s="770"/>
      <c r="G6" s="770"/>
      <c r="H6" s="770"/>
      <c r="I6" s="770"/>
      <c r="J6" s="770"/>
      <c r="K6" s="770"/>
      <c r="L6" s="770"/>
      <c r="M6" s="770"/>
      <c r="N6" s="770"/>
      <c r="O6" s="770"/>
      <c r="P6" s="770"/>
      <c r="Q6" s="767" t="s">
        <v>20</v>
      </c>
      <c r="R6" s="769" t="s">
        <v>25</v>
      </c>
      <c r="S6" s="770"/>
      <c r="T6" s="770"/>
      <c r="U6" s="770"/>
      <c r="V6" s="767" t="s">
        <v>25</v>
      </c>
      <c r="W6" s="767" t="s">
        <v>26</v>
      </c>
      <c r="X6" s="778" t="s">
        <v>27</v>
      </c>
    </row>
    <row r="7" spans="1:24" ht="18.75" customHeight="1" thickBot="1" x14ac:dyDescent="0.3">
      <c r="A7" s="562" t="s">
        <v>51</v>
      </c>
      <c r="B7" s="798"/>
      <c r="C7" s="798"/>
      <c r="D7" s="810"/>
      <c r="E7" s="111">
        <v>1</v>
      </c>
      <c r="F7" s="2">
        <v>2</v>
      </c>
      <c r="G7" s="2">
        <v>3</v>
      </c>
      <c r="H7" s="2">
        <v>4</v>
      </c>
      <c r="I7" s="2">
        <v>5</v>
      </c>
      <c r="J7" s="2">
        <v>6</v>
      </c>
      <c r="K7" s="2">
        <v>7</v>
      </c>
      <c r="L7" s="2">
        <v>8</v>
      </c>
      <c r="M7" s="2">
        <v>9</v>
      </c>
      <c r="N7" s="2">
        <v>10</v>
      </c>
      <c r="O7" s="2">
        <v>11</v>
      </c>
      <c r="P7" s="3">
        <v>12</v>
      </c>
      <c r="Q7" s="768"/>
      <c r="R7" s="4" t="s">
        <v>21</v>
      </c>
      <c r="S7" s="2" t="s">
        <v>22</v>
      </c>
      <c r="T7" s="2" t="s">
        <v>23</v>
      </c>
      <c r="U7" s="3" t="s">
        <v>24</v>
      </c>
      <c r="V7" s="768"/>
      <c r="W7" s="768"/>
      <c r="X7" s="779"/>
    </row>
    <row r="8" spans="1:24" ht="18.75" customHeight="1" thickTop="1" x14ac:dyDescent="0.25">
      <c r="A8" s="92" t="s">
        <v>1</v>
      </c>
      <c r="B8" s="803">
        <v>2000</v>
      </c>
      <c r="C8" s="803"/>
      <c r="D8" s="577">
        <v>1</v>
      </c>
      <c r="E8" s="6">
        <f>IF($D8="","",IF($D8&lt;=E$7,$B8,""))</f>
        <v>2000</v>
      </c>
      <c r="F8" s="7">
        <f t="shared" ref="F8:P11" si="0">IF($D8="","",IF($D8&lt;=F$7,$B8,""))</f>
        <v>2000</v>
      </c>
      <c r="G8" s="7">
        <f t="shared" si="0"/>
        <v>2000</v>
      </c>
      <c r="H8" s="7">
        <f t="shared" si="0"/>
        <v>2000</v>
      </c>
      <c r="I8" s="7">
        <f t="shared" si="0"/>
        <v>2000</v>
      </c>
      <c r="J8" s="7">
        <f t="shared" si="0"/>
        <v>2000</v>
      </c>
      <c r="K8" s="7">
        <f t="shared" si="0"/>
        <v>2000</v>
      </c>
      <c r="L8" s="7">
        <f t="shared" si="0"/>
        <v>2000</v>
      </c>
      <c r="M8" s="7">
        <f t="shared" si="0"/>
        <v>2000</v>
      </c>
      <c r="N8" s="7">
        <f t="shared" si="0"/>
        <v>2000</v>
      </c>
      <c r="O8" s="7">
        <f t="shared" si="0"/>
        <v>2000</v>
      </c>
      <c r="P8" s="180">
        <f t="shared" si="0"/>
        <v>2000</v>
      </c>
      <c r="Q8" s="8">
        <f>SUM(E8:P8)</f>
        <v>24000</v>
      </c>
      <c r="R8" s="307">
        <f t="shared" ref="R8:R11" si="1">IF($D8="","",IF(AND($D8&lt;=15,$D8&gt;12),(15-$D8+1)*$B8*(1+$B$5)^1,IF(AND($D8&lt;=15,$D8&lt;=12),3*$B8*(1+$B$5)^1,"")))</f>
        <v>6300</v>
      </c>
      <c r="S8" s="7">
        <f t="shared" ref="S8:S11" si="2">IF($D8="","",IF(AND($D8&lt;=18,$D8&gt;15),(18-$D8+1)*$B8*(1+$B$5)^1,IF(AND($D8&lt;=18,$D8&lt;=15),3*$B8*(1+$B$5)^1,"")))</f>
        <v>6300</v>
      </c>
      <c r="T8" s="7">
        <f t="shared" ref="T8:T11" si="3">IF($D8="","",IF(AND($D8&lt;=21,$D8&gt;18),(21-$D8+1)*$B8*(1+$B$5)^1,IF(AND($D8&lt;=21,$D8&lt;=18),3*$B8*(1+$B$5)^1,"")))</f>
        <v>6300</v>
      </c>
      <c r="U8" s="180">
        <f t="shared" ref="U8:U11" si="4">IF($D8="","",IF(AND($D8&lt;=24,$D8&gt;21),(24-$D8+1)*$B8*(1+$B$5)^1,IF(AND($D8&lt;=24,$D8&lt;=21),3*$B8*(1+$B$5)^1,"")))</f>
        <v>6300</v>
      </c>
      <c r="V8" s="8">
        <f>SUM(R8:U8)</f>
        <v>25200</v>
      </c>
      <c r="W8" s="8">
        <f>IF($D8="","",IF(AND($D8&lt;=36,$D8&gt;24),(36-$D8+1)*$B8*(1+$B$5)^2,IF(AND($D8&lt;=36,$D8&lt;=24),(36-24)*$B8*(1+$B$5)^2,"")))</f>
        <v>26460</v>
      </c>
      <c r="X8" s="9">
        <f>IF($D8="","",IF(AND($D8&lt;=48,$D8&gt;36),(48-$D8+1)*$B8*(1+$B$5)^3,IF(AND($D8&lt;=48,$D8&lt;=36),(48-36)*$B8*(1+$B$5)^3,"")))</f>
        <v>27783.000000000004</v>
      </c>
    </row>
    <row r="9" spans="1:24" ht="18.75" customHeight="1" x14ac:dyDescent="0.25">
      <c r="A9" s="93" t="s">
        <v>2</v>
      </c>
      <c r="B9" s="802">
        <v>2000</v>
      </c>
      <c r="C9" s="802"/>
      <c r="D9" s="578">
        <v>1</v>
      </c>
      <c r="E9" s="10">
        <f t="shared" ref="E9:E11" si="5">IF($D9="","",IF($D9&lt;=E$7,$B9,""))</f>
        <v>2000</v>
      </c>
      <c r="F9" s="11">
        <f t="shared" si="0"/>
        <v>2000</v>
      </c>
      <c r="G9" s="11">
        <f t="shared" si="0"/>
        <v>2000</v>
      </c>
      <c r="H9" s="11">
        <f t="shared" si="0"/>
        <v>2000</v>
      </c>
      <c r="I9" s="11">
        <f t="shared" si="0"/>
        <v>2000</v>
      </c>
      <c r="J9" s="11">
        <f t="shared" si="0"/>
        <v>2000</v>
      </c>
      <c r="K9" s="11">
        <f t="shared" si="0"/>
        <v>2000</v>
      </c>
      <c r="L9" s="11">
        <f t="shared" si="0"/>
        <v>2000</v>
      </c>
      <c r="M9" s="11">
        <f t="shared" si="0"/>
        <v>2000</v>
      </c>
      <c r="N9" s="11">
        <f t="shared" si="0"/>
        <v>2000</v>
      </c>
      <c r="O9" s="11">
        <f t="shared" si="0"/>
        <v>2000</v>
      </c>
      <c r="P9" s="185">
        <f t="shared" si="0"/>
        <v>2000</v>
      </c>
      <c r="Q9" s="12">
        <f t="shared" ref="Q9:Q11" si="6">SUM(E9:P9)</f>
        <v>24000</v>
      </c>
      <c r="R9" s="308">
        <f t="shared" si="1"/>
        <v>6300</v>
      </c>
      <c r="S9" s="11">
        <f t="shared" si="2"/>
        <v>6300</v>
      </c>
      <c r="T9" s="11">
        <f t="shared" si="3"/>
        <v>6300</v>
      </c>
      <c r="U9" s="185">
        <f t="shared" si="4"/>
        <v>6300</v>
      </c>
      <c r="V9" s="12">
        <f t="shared" ref="V9:V11" si="7">SUM(R9:U9)</f>
        <v>25200</v>
      </c>
      <c r="W9" s="12">
        <f t="shared" ref="W9:W11" si="8">IF($D9="","",IF(AND($D9&lt;=36,$D9&gt;24),(36-$D9+1)*$B9*(1+$B$5)^2,IF(AND($D9&lt;=36,$D9&lt;=24),(36-24)*$B9*(1+$B$5)^2,"")))</f>
        <v>26460</v>
      </c>
      <c r="X9" s="13">
        <f t="shared" ref="X9:X11" si="9">IF($D9="","",IF(AND($D9&lt;=48,$D9&gt;36),(48-$D9+1)*$B9*(1+$B$5)^3,IF(AND($D9&lt;=48,$D9&lt;=36),(48-36)*$B9*(1+$B$5)^3,"")))</f>
        <v>27783.000000000004</v>
      </c>
    </row>
    <row r="10" spans="1:24" ht="18.75" customHeight="1" x14ac:dyDescent="0.25">
      <c r="A10" s="93" t="s">
        <v>3</v>
      </c>
      <c r="B10" s="802">
        <v>2000</v>
      </c>
      <c r="C10" s="802"/>
      <c r="D10" s="578">
        <v>1</v>
      </c>
      <c r="E10" s="10">
        <f t="shared" si="5"/>
        <v>2000</v>
      </c>
      <c r="F10" s="11">
        <f t="shared" si="0"/>
        <v>2000</v>
      </c>
      <c r="G10" s="11">
        <f t="shared" si="0"/>
        <v>2000</v>
      </c>
      <c r="H10" s="11">
        <f t="shared" si="0"/>
        <v>2000</v>
      </c>
      <c r="I10" s="11">
        <f t="shared" si="0"/>
        <v>2000</v>
      </c>
      <c r="J10" s="11">
        <f t="shared" si="0"/>
        <v>2000</v>
      </c>
      <c r="K10" s="11">
        <f t="shared" si="0"/>
        <v>2000</v>
      </c>
      <c r="L10" s="11">
        <f t="shared" si="0"/>
        <v>2000</v>
      </c>
      <c r="M10" s="11">
        <f t="shared" si="0"/>
        <v>2000</v>
      </c>
      <c r="N10" s="11">
        <f t="shared" si="0"/>
        <v>2000</v>
      </c>
      <c r="O10" s="11">
        <f t="shared" si="0"/>
        <v>2000</v>
      </c>
      <c r="P10" s="185">
        <f t="shared" si="0"/>
        <v>2000</v>
      </c>
      <c r="Q10" s="12">
        <f t="shared" si="6"/>
        <v>24000</v>
      </c>
      <c r="R10" s="308">
        <f t="shared" si="1"/>
        <v>6300</v>
      </c>
      <c r="S10" s="11">
        <f t="shared" si="2"/>
        <v>6300</v>
      </c>
      <c r="T10" s="11">
        <f t="shared" si="3"/>
        <v>6300</v>
      </c>
      <c r="U10" s="185">
        <f t="shared" si="4"/>
        <v>6300</v>
      </c>
      <c r="V10" s="12">
        <f t="shared" si="7"/>
        <v>25200</v>
      </c>
      <c r="W10" s="12">
        <f t="shared" si="8"/>
        <v>26460</v>
      </c>
      <c r="X10" s="13">
        <f t="shared" si="9"/>
        <v>27783.000000000004</v>
      </c>
    </row>
    <row r="11" spans="1:24" ht="18.75" customHeight="1" thickBot="1" x14ac:dyDescent="0.3">
      <c r="A11" s="579" t="s">
        <v>4</v>
      </c>
      <c r="B11" s="801">
        <v>2000</v>
      </c>
      <c r="C11" s="801"/>
      <c r="D11" s="580">
        <v>1</v>
      </c>
      <c r="E11" s="128">
        <f t="shared" si="5"/>
        <v>2000</v>
      </c>
      <c r="F11" s="129">
        <f t="shared" si="0"/>
        <v>2000</v>
      </c>
      <c r="G11" s="129">
        <f t="shared" si="0"/>
        <v>2000</v>
      </c>
      <c r="H11" s="129">
        <f t="shared" si="0"/>
        <v>2000</v>
      </c>
      <c r="I11" s="129">
        <f t="shared" si="0"/>
        <v>2000</v>
      </c>
      <c r="J11" s="129">
        <f t="shared" si="0"/>
        <v>2000</v>
      </c>
      <c r="K11" s="129">
        <f t="shared" si="0"/>
        <v>2000</v>
      </c>
      <c r="L11" s="129">
        <f t="shared" si="0"/>
        <v>2000</v>
      </c>
      <c r="M11" s="129">
        <f t="shared" si="0"/>
        <v>2000</v>
      </c>
      <c r="N11" s="129">
        <f t="shared" si="0"/>
        <v>2000</v>
      </c>
      <c r="O11" s="129">
        <f t="shared" si="0"/>
        <v>2000</v>
      </c>
      <c r="P11" s="159">
        <f t="shared" si="0"/>
        <v>2000</v>
      </c>
      <c r="Q11" s="134">
        <f t="shared" si="6"/>
        <v>24000</v>
      </c>
      <c r="R11" s="160">
        <f t="shared" si="1"/>
        <v>6300</v>
      </c>
      <c r="S11" s="129">
        <f t="shared" si="2"/>
        <v>6300</v>
      </c>
      <c r="T11" s="129">
        <f t="shared" si="3"/>
        <v>6300</v>
      </c>
      <c r="U11" s="159">
        <f t="shared" si="4"/>
        <v>6300</v>
      </c>
      <c r="V11" s="134">
        <f t="shared" si="7"/>
        <v>25200</v>
      </c>
      <c r="W11" s="134">
        <f t="shared" si="8"/>
        <v>26460</v>
      </c>
      <c r="X11" s="135">
        <f t="shared" si="9"/>
        <v>27783.000000000004</v>
      </c>
    </row>
    <row r="12" spans="1:24" ht="7.5" customHeight="1" thickTop="1" thickBot="1" x14ac:dyDescent="0.3">
      <c r="A12" s="581"/>
      <c r="B12" s="808"/>
      <c r="C12" s="808"/>
      <c r="D12" s="582"/>
      <c r="E12" s="340"/>
      <c r="F12" s="109"/>
      <c r="G12" s="109"/>
      <c r="H12" s="109"/>
      <c r="I12" s="109"/>
      <c r="J12" s="109"/>
      <c r="K12" s="109"/>
      <c r="L12" s="109"/>
      <c r="M12" s="109"/>
      <c r="N12" s="109"/>
      <c r="O12" s="109"/>
      <c r="P12" s="341"/>
      <c r="Q12" s="327"/>
      <c r="R12" s="328"/>
      <c r="S12" s="325"/>
      <c r="T12" s="325"/>
      <c r="U12" s="343"/>
      <c r="V12" s="327"/>
      <c r="W12" s="327"/>
      <c r="X12" s="329"/>
    </row>
    <row r="13" spans="1:24" ht="18.75" customHeight="1" thickBot="1" x14ac:dyDescent="0.3">
      <c r="A13" s="629" t="s">
        <v>90</v>
      </c>
      <c r="B13" s="799">
        <f>SUM(Q13,V13,W13,X13)/48</f>
        <v>8620.25</v>
      </c>
      <c r="C13" s="800"/>
      <c r="D13" s="628"/>
      <c r="E13" s="601">
        <f>SUM(E8:E12)</f>
        <v>8000</v>
      </c>
      <c r="F13" s="541">
        <f t="shared" ref="F13:X13" si="10">SUM(F8:F12)</f>
        <v>8000</v>
      </c>
      <c r="G13" s="541">
        <f t="shared" si="10"/>
        <v>8000</v>
      </c>
      <c r="H13" s="541">
        <f t="shared" si="10"/>
        <v>8000</v>
      </c>
      <c r="I13" s="541">
        <f t="shared" si="10"/>
        <v>8000</v>
      </c>
      <c r="J13" s="541">
        <f t="shared" si="10"/>
        <v>8000</v>
      </c>
      <c r="K13" s="541">
        <f t="shared" si="10"/>
        <v>8000</v>
      </c>
      <c r="L13" s="541">
        <f t="shared" si="10"/>
        <v>8000</v>
      </c>
      <c r="M13" s="541">
        <f t="shared" si="10"/>
        <v>8000</v>
      </c>
      <c r="N13" s="541">
        <f t="shared" si="10"/>
        <v>8000</v>
      </c>
      <c r="O13" s="541">
        <f t="shared" si="10"/>
        <v>8000</v>
      </c>
      <c r="P13" s="538">
        <f t="shared" si="10"/>
        <v>8000</v>
      </c>
      <c r="Q13" s="543">
        <f t="shared" si="10"/>
        <v>96000</v>
      </c>
      <c r="R13" s="446">
        <f t="shared" si="10"/>
        <v>25200</v>
      </c>
      <c r="S13" s="541">
        <f t="shared" si="10"/>
        <v>25200</v>
      </c>
      <c r="T13" s="541">
        <f t="shared" si="10"/>
        <v>25200</v>
      </c>
      <c r="U13" s="538">
        <f t="shared" si="10"/>
        <v>25200</v>
      </c>
      <c r="V13" s="543">
        <f t="shared" si="10"/>
        <v>100800</v>
      </c>
      <c r="W13" s="543">
        <f t="shared" si="10"/>
        <v>105840</v>
      </c>
      <c r="X13" s="498">
        <f t="shared" si="10"/>
        <v>111132.00000000001</v>
      </c>
    </row>
    <row r="14" spans="1:24" ht="7.5" customHeight="1" thickBot="1" x14ac:dyDescent="0.3">
      <c r="A14" s="804"/>
      <c r="B14" s="805"/>
      <c r="C14" s="805"/>
      <c r="D14" s="805"/>
      <c r="E14" s="805"/>
      <c r="F14" s="805"/>
      <c r="G14" s="805"/>
      <c r="H14" s="805"/>
      <c r="I14" s="805"/>
      <c r="J14" s="805"/>
      <c r="K14" s="805"/>
      <c r="L14" s="805"/>
      <c r="M14" s="805"/>
      <c r="N14" s="805"/>
      <c r="O14" s="805"/>
      <c r="P14" s="805"/>
      <c r="Q14" s="805"/>
      <c r="R14" s="805"/>
      <c r="S14" s="805"/>
      <c r="T14" s="805"/>
      <c r="U14" s="805"/>
      <c r="V14" s="805"/>
      <c r="W14" s="805"/>
      <c r="X14" s="806"/>
    </row>
    <row r="15" spans="1:24" ht="18.75" customHeight="1" thickBot="1" x14ac:dyDescent="0.3">
      <c r="A15" s="563" t="s">
        <v>52</v>
      </c>
      <c r="B15" s="323"/>
      <c r="C15" s="323"/>
      <c r="D15" s="564"/>
    </row>
    <row r="16" spans="1:24" ht="15.75" thickTop="1" x14ac:dyDescent="0.25">
      <c r="A16" s="92" t="s">
        <v>64</v>
      </c>
      <c r="B16" s="803">
        <v>1700</v>
      </c>
      <c r="C16" s="803"/>
      <c r="D16" s="20">
        <v>2</v>
      </c>
      <c r="E16" s="6" t="str">
        <f t="shared" ref="E16:P16" si="11">IF($D16="","",IF($D16&lt;=E$7,$B16,""))</f>
        <v/>
      </c>
      <c r="F16" s="7">
        <f t="shared" si="11"/>
        <v>1700</v>
      </c>
      <c r="G16" s="7">
        <f t="shared" si="11"/>
        <v>1700</v>
      </c>
      <c r="H16" s="7">
        <f t="shared" si="11"/>
        <v>1700</v>
      </c>
      <c r="I16" s="7">
        <f t="shared" si="11"/>
        <v>1700</v>
      </c>
      <c r="J16" s="7">
        <f t="shared" si="11"/>
        <v>1700</v>
      </c>
      <c r="K16" s="7">
        <f t="shared" si="11"/>
        <v>1700</v>
      </c>
      <c r="L16" s="7">
        <f t="shared" si="11"/>
        <v>1700</v>
      </c>
      <c r="M16" s="7">
        <f t="shared" si="11"/>
        <v>1700</v>
      </c>
      <c r="N16" s="7">
        <f t="shared" si="11"/>
        <v>1700</v>
      </c>
      <c r="O16" s="7">
        <f t="shared" si="11"/>
        <v>1700</v>
      </c>
      <c r="P16" s="180">
        <f t="shared" si="11"/>
        <v>1700</v>
      </c>
      <c r="Q16" s="8">
        <f>SUM(E16:P16)</f>
        <v>18700</v>
      </c>
      <c r="R16" s="307">
        <f t="shared" ref="R16:R18" si="12">IF($D16="","",IF(AND($D16&lt;=15,$D16&gt;12),(15-$D16+1)*$B16*(1+$B$5)^1,IF(AND($D16&lt;=15,$D16&lt;=12),3*$B16*(1+$B$5)^1,"")))</f>
        <v>5355</v>
      </c>
      <c r="S16" s="7">
        <f t="shared" ref="S16:S18" si="13">IF($D16="","",IF(AND($D16&lt;=18,$D16&gt;15),(18-$D16+1)*$B16*(1+$B$5)^1,IF(AND($D16&lt;=18,$D16&lt;=15),3*$B16*(1+$B$5)^1,"")))</f>
        <v>5355</v>
      </c>
      <c r="T16" s="7">
        <f t="shared" ref="T16:T18" si="14">IF($D16="","",IF(AND($D16&lt;=21,$D16&gt;18),(21-$D16+1)*$B16*(1+$B$5)^1,IF(AND($D16&lt;=21,$D16&lt;=18),3*$B16*(1+$B$5)^1,"")))</f>
        <v>5355</v>
      </c>
      <c r="U16" s="180">
        <f t="shared" ref="U16:U18" si="15">IF($D16="","",IF(AND($D16&lt;=24,$D16&gt;21),(24-$D16+1)*$B16*(1+$B$5)^1,IF(AND($D16&lt;=24,$D16&lt;=21),3*$B16*(1+$B$5)^1,"")))</f>
        <v>5355</v>
      </c>
      <c r="V16" s="8">
        <f>SUM(R16:U16)</f>
        <v>21420</v>
      </c>
      <c r="W16" s="8">
        <f>IF($D16="","",IF(AND($D16&lt;=36,$D16&gt;24),(36-$D16+1)*$B16*(1+$B$5)^2,IF(AND($D16&lt;=36,$D16&lt;=24),(36-24)*$B16*(1+$B$5)^2,"")))</f>
        <v>22491</v>
      </c>
      <c r="X16" s="9">
        <f>IF($D16="","",IF(AND($D16&lt;=48,$D16&gt;36),(48-$D16+1)*$B16*(1+$B$5)^3,IF(AND($D16&lt;=48,$D16&lt;=36),(48-36)*$B16*(1+$B$5)^3,"")))</f>
        <v>23615.550000000003</v>
      </c>
    </row>
    <row r="17" spans="1:26" x14ac:dyDescent="0.25">
      <c r="A17" s="93" t="s">
        <v>73</v>
      </c>
      <c r="B17" s="802">
        <v>2700</v>
      </c>
      <c r="C17" s="802"/>
      <c r="D17" s="96">
        <v>3</v>
      </c>
      <c r="E17" s="10" t="str">
        <f t="shared" ref="E17:E19" si="16">IF($D17="","",IF($D17&lt;=E$7,$B17,""))</f>
        <v/>
      </c>
      <c r="F17" s="11" t="str">
        <f t="shared" ref="F17:P19" si="17">IF($D17="","",IF($D17&lt;=F$7,$B17,""))</f>
        <v/>
      </c>
      <c r="G17" s="11">
        <f t="shared" si="17"/>
        <v>2700</v>
      </c>
      <c r="H17" s="11">
        <f t="shared" si="17"/>
        <v>2700</v>
      </c>
      <c r="I17" s="11">
        <f t="shared" si="17"/>
        <v>2700</v>
      </c>
      <c r="J17" s="11">
        <f t="shared" si="17"/>
        <v>2700</v>
      </c>
      <c r="K17" s="11">
        <f t="shared" si="17"/>
        <v>2700</v>
      </c>
      <c r="L17" s="11">
        <f t="shared" si="17"/>
        <v>2700</v>
      </c>
      <c r="M17" s="11">
        <f t="shared" si="17"/>
        <v>2700</v>
      </c>
      <c r="N17" s="11">
        <f t="shared" si="17"/>
        <v>2700</v>
      </c>
      <c r="O17" s="11">
        <f t="shared" si="17"/>
        <v>2700</v>
      </c>
      <c r="P17" s="185">
        <f t="shared" si="17"/>
        <v>2700</v>
      </c>
      <c r="Q17" s="12">
        <f t="shared" ref="Q17:Q19" si="18">SUM(E17:P17)</f>
        <v>27000</v>
      </c>
      <c r="R17" s="308">
        <f t="shared" si="12"/>
        <v>8505</v>
      </c>
      <c r="S17" s="11">
        <f t="shared" si="13"/>
        <v>8505</v>
      </c>
      <c r="T17" s="11">
        <f t="shared" si="14"/>
        <v>8505</v>
      </c>
      <c r="U17" s="185">
        <f t="shared" si="15"/>
        <v>8505</v>
      </c>
      <c r="V17" s="12">
        <f t="shared" ref="V17:V19" si="19">SUM(R17:U17)</f>
        <v>34020</v>
      </c>
      <c r="W17" s="12">
        <f t="shared" ref="W17:W19" si="20">IF($D17="","",IF(AND($D17&lt;=36,$D17&gt;24),(36-$D17+1)*$B17*(1+$B$5)^2,IF(AND($D17&lt;=36,$D17&lt;=24),(36-24)*$B17*(1+$B$5)^2,"")))</f>
        <v>35721</v>
      </c>
      <c r="X17" s="13">
        <f t="shared" ref="X17:X19" si="21">IF($D17="","",IF(AND($D17&lt;=48,$D17&gt;36),(48-$D17+1)*$B17*(1+$B$5)^3,IF(AND($D17&lt;=48,$D17&lt;=36),(48-36)*$B17*(1+$B$5)^3,"")))</f>
        <v>37507.050000000003</v>
      </c>
    </row>
    <row r="18" spans="1:26" x14ac:dyDescent="0.25">
      <c r="A18" s="97" t="s">
        <v>74</v>
      </c>
      <c r="B18" s="802">
        <v>2700</v>
      </c>
      <c r="C18" s="802"/>
      <c r="D18" s="100">
        <v>4</v>
      </c>
      <c r="E18" s="14" t="str">
        <f t="shared" si="16"/>
        <v/>
      </c>
      <c r="F18" s="15" t="str">
        <f t="shared" si="17"/>
        <v/>
      </c>
      <c r="G18" s="15" t="str">
        <f t="shared" si="17"/>
        <v/>
      </c>
      <c r="H18" s="15">
        <f t="shared" si="17"/>
        <v>2700</v>
      </c>
      <c r="I18" s="15">
        <f t="shared" si="17"/>
        <v>2700</v>
      </c>
      <c r="J18" s="15">
        <f t="shared" si="17"/>
        <v>2700</v>
      </c>
      <c r="K18" s="15">
        <f t="shared" si="17"/>
        <v>2700</v>
      </c>
      <c r="L18" s="15">
        <f t="shared" si="17"/>
        <v>2700</v>
      </c>
      <c r="M18" s="15">
        <f t="shared" si="17"/>
        <v>2700</v>
      </c>
      <c r="N18" s="15">
        <f t="shared" si="17"/>
        <v>2700</v>
      </c>
      <c r="O18" s="15">
        <f t="shared" si="17"/>
        <v>2700</v>
      </c>
      <c r="P18" s="648">
        <f t="shared" si="17"/>
        <v>2700</v>
      </c>
      <c r="Q18" s="16">
        <f t="shared" si="18"/>
        <v>24300</v>
      </c>
      <c r="R18" s="565">
        <f t="shared" si="12"/>
        <v>8505</v>
      </c>
      <c r="S18" s="15">
        <f t="shared" si="13"/>
        <v>8505</v>
      </c>
      <c r="T18" s="15">
        <f t="shared" si="14"/>
        <v>8505</v>
      </c>
      <c r="U18" s="648">
        <f t="shared" si="15"/>
        <v>8505</v>
      </c>
      <c r="V18" s="16">
        <f t="shared" si="19"/>
        <v>34020</v>
      </c>
      <c r="W18" s="16">
        <f t="shared" si="20"/>
        <v>35721</v>
      </c>
      <c r="X18" s="17">
        <f t="shared" si="21"/>
        <v>37507.050000000003</v>
      </c>
    </row>
    <row r="19" spans="1:26" ht="15.75" thickBot="1" x14ac:dyDescent="0.3">
      <c r="A19" s="579" t="s">
        <v>91</v>
      </c>
      <c r="B19" s="801">
        <v>2500</v>
      </c>
      <c r="C19" s="801"/>
      <c r="D19" s="583">
        <v>13</v>
      </c>
      <c r="E19" s="128" t="str">
        <f t="shared" si="16"/>
        <v/>
      </c>
      <c r="F19" s="129" t="str">
        <f t="shared" si="17"/>
        <v/>
      </c>
      <c r="G19" s="129" t="str">
        <f t="shared" si="17"/>
        <v/>
      </c>
      <c r="H19" s="129" t="str">
        <f t="shared" si="17"/>
        <v/>
      </c>
      <c r="I19" s="129" t="str">
        <f t="shared" si="17"/>
        <v/>
      </c>
      <c r="J19" s="129" t="str">
        <f t="shared" si="17"/>
        <v/>
      </c>
      <c r="K19" s="129" t="str">
        <f t="shared" si="17"/>
        <v/>
      </c>
      <c r="L19" s="129" t="str">
        <f t="shared" si="17"/>
        <v/>
      </c>
      <c r="M19" s="129" t="str">
        <f t="shared" si="17"/>
        <v/>
      </c>
      <c r="N19" s="129" t="str">
        <f t="shared" si="17"/>
        <v/>
      </c>
      <c r="O19" s="129" t="str">
        <f t="shared" si="17"/>
        <v/>
      </c>
      <c r="P19" s="159" t="str">
        <f t="shared" si="17"/>
        <v/>
      </c>
      <c r="Q19" s="134">
        <f t="shared" si="18"/>
        <v>0</v>
      </c>
      <c r="R19" s="160">
        <f>IF($D19="","",IF(AND($D19&lt;=15,$D19&gt;12),(15-$D19+1)*$B19*(1+$B$5)^1,IF(AND($D19&lt;=15,$D19&lt;=12),3*$B19*(1+$B$5)^1,"")))</f>
        <v>7875</v>
      </c>
      <c r="S19" s="129">
        <f>IF($D19="","",IF(AND($D19&lt;=18,$D19&gt;15),(18-$D19+1)*$B19*(1+$B$5)^1,IF(AND($D19&lt;=18,$D19&lt;=15),3*$B19*(1+$B$5)^1,"")))</f>
        <v>7875</v>
      </c>
      <c r="T19" s="129">
        <f>IF($D19="","",IF(AND($D19&lt;=21,$D19&gt;18),(21-$D19+1)*$B19*(1+$B$5)^1,IF(AND($D19&lt;=21,$D19&lt;=18),3*$B19*(1+$B$5)^1,"")))</f>
        <v>7875</v>
      </c>
      <c r="U19" s="159">
        <f>IF($D19="","",IF(AND($D19&lt;=24,$D19&gt;21),(24-$D19+1)*$B19*(1+$B$5)^1,IF(AND($D19&lt;=24,$D19&lt;=21),3*$B19*(1+$B$5)^1,"")))</f>
        <v>7875</v>
      </c>
      <c r="V19" s="134">
        <f t="shared" si="19"/>
        <v>31500</v>
      </c>
      <c r="W19" s="134">
        <f t="shared" si="20"/>
        <v>33075</v>
      </c>
      <c r="X19" s="135">
        <f t="shared" si="21"/>
        <v>34728.750000000007</v>
      </c>
    </row>
    <row r="20" spans="1:26" ht="7.5" customHeight="1" thickTop="1" thickBot="1" x14ac:dyDescent="0.3">
      <c r="A20" s="581"/>
      <c r="B20" s="807"/>
      <c r="C20" s="807"/>
      <c r="D20" s="584"/>
      <c r="E20" s="340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341"/>
      <c r="Q20" s="327"/>
      <c r="R20" s="328"/>
      <c r="S20" s="325"/>
      <c r="T20" s="325"/>
      <c r="U20" s="343"/>
      <c r="V20" s="327"/>
      <c r="W20" s="327"/>
      <c r="X20" s="329"/>
    </row>
    <row r="21" spans="1:26" ht="18.75" customHeight="1" thickBot="1" x14ac:dyDescent="0.3">
      <c r="A21" s="629" t="s">
        <v>90</v>
      </c>
      <c r="B21" s="799">
        <f>SUM(Q21,V21,W21,X21)/48</f>
        <v>9402.6333333333332</v>
      </c>
      <c r="C21" s="800"/>
      <c r="D21" s="628"/>
      <c r="E21" s="602">
        <f t="shared" ref="E21:X21" si="22">SUM(E16:E20)</f>
        <v>0</v>
      </c>
      <c r="F21" s="603">
        <f t="shared" si="22"/>
        <v>1700</v>
      </c>
      <c r="G21" s="603">
        <f t="shared" si="22"/>
        <v>4400</v>
      </c>
      <c r="H21" s="603">
        <f t="shared" si="22"/>
        <v>7100</v>
      </c>
      <c r="I21" s="603">
        <f t="shared" si="22"/>
        <v>7100</v>
      </c>
      <c r="J21" s="603">
        <f t="shared" si="22"/>
        <v>7100</v>
      </c>
      <c r="K21" s="603">
        <f t="shared" si="22"/>
        <v>7100</v>
      </c>
      <c r="L21" s="603">
        <f t="shared" si="22"/>
        <v>7100</v>
      </c>
      <c r="M21" s="603">
        <f t="shared" si="22"/>
        <v>7100</v>
      </c>
      <c r="N21" s="603">
        <f t="shared" si="22"/>
        <v>7100</v>
      </c>
      <c r="O21" s="603">
        <f t="shared" si="22"/>
        <v>7100</v>
      </c>
      <c r="P21" s="604">
        <f t="shared" si="22"/>
        <v>7100</v>
      </c>
      <c r="Q21" s="543">
        <f t="shared" si="22"/>
        <v>70000</v>
      </c>
      <c r="R21" s="605">
        <f t="shared" si="22"/>
        <v>30240</v>
      </c>
      <c r="S21" s="603">
        <f t="shared" si="22"/>
        <v>30240</v>
      </c>
      <c r="T21" s="603">
        <f t="shared" si="22"/>
        <v>30240</v>
      </c>
      <c r="U21" s="604">
        <f t="shared" si="22"/>
        <v>30240</v>
      </c>
      <c r="V21" s="543">
        <f t="shared" si="22"/>
        <v>120960</v>
      </c>
      <c r="W21" s="630">
        <f t="shared" si="22"/>
        <v>127008</v>
      </c>
      <c r="X21" s="606">
        <f t="shared" si="22"/>
        <v>133358.40000000002</v>
      </c>
    </row>
    <row r="22" spans="1:26" ht="7.5" customHeight="1" thickBot="1" x14ac:dyDescent="0.3">
      <c r="A22" s="804"/>
      <c r="B22" s="805"/>
      <c r="C22" s="805"/>
      <c r="D22" s="805"/>
      <c r="E22" s="805"/>
      <c r="F22" s="805"/>
      <c r="G22" s="805"/>
      <c r="H22" s="805"/>
      <c r="I22" s="805"/>
      <c r="J22" s="805"/>
      <c r="K22" s="805"/>
      <c r="L22" s="805"/>
      <c r="M22" s="805"/>
      <c r="N22" s="805"/>
      <c r="O22" s="805"/>
      <c r="P22" s="805"/>
      <c r="Q22" s="805"/>
      <c r="R22" s="805"/>
      <c r="S22" s="805"/>
      <c r="T22" s="805"/>
      <c r="U22" s="805"/>
      <c r="V22" s="805"/>
      <c r="W22" s="805"/>
      <c r="X22" s="806"/>
    </row>
    <row r="23" spans="1:26" ht="18.75" customHeight="1" thickBot="1" x14ac:dyDescent="0.3">
      <c r="A23" s="566" t="s">
        <v>90</v>
      </c>
      <c r="B23" s="794">
        <f>SUM(Q23,V23,W23,X23)/48</f>
        <v>18022.883333333335</v>
      </c>
      <c r="C23" s="795"/>
      <c r="D23" s="631"/>
      <c r="E23" s="546">
        <f t="shared" ref="E23:X23" si="23">SUM(E13+E21)</f>
        <v>8000</v>
      </c>
      <c r="F23" s="547">
        <f t="shared" si="23"/>
        <v>9700</v>
      </c>
      <c r="G23" s="547">
        <f t="shared" si="23"/>
        <v>12400</v>
      </c>
      <c r="H23" s="547">
        <f t="shared" si="23"/>
        <v>15100</v>
      </c>
      <c r="I23" s="547">
        <f t="shared" si="23"/>
        <v>15100</v>
      </c>
      <c r="J23" s="547">
        <f t="shared" si="23"/>
        <v>15100</v>
      </c>
      <c r="K23" s="547">
        <f t="shared" si="23"/>
        <v>15100</v>
      </c>
      <c r="L23" s="547">
        <f t="shared" si="23"/>
        <v>15100</v>
      </c>
      <c r="M23" s="547">
        <f t="shared" si="23"/>
        <v>15100</v>
      </c>
      <c r="N23" s="547">
        <f t="shared" si="23"/>
        <v>15100</v>
      </c>
      <c r="O23" s="547">
        <f t="shared" si="23"/>
        <v>15100</v>
      </c>
      <c r="P23" s="607">
        <f t="shared" si="23"/>
        <v>15100</v>
      </c>
      <c r="Q23" s="333">
        <f t="shared" si="23"/>
        <v>166000</v>
      </c>
      <c r="R23" s="452">
        <f t="shared" si="23"/>
        <v>55440</v>
      </c>
      <c r="S23" s="547">
        <f t="shared" si="23"/>
        <v>55440</v>
      </c>
      <c r="T23" s="547">
        <f t="shared" si="23"/>
        <v>55440</v>
      </c>
      <c r="U23" s="607">
        <f t="shared" si="23"/>
        <v>55440</v>
      </c>
      <c r="V23" s="333">
        <f t="shared" si="23"/>
        <v>221760</v>
      </c>
      <c r="W23" s="333">
        <f t="shared" si="23"/>
        <v>232848</v>
      </c>
      <c r="X23" s="334">
        <f t="shared" si="23"/>
        <v>244490.40000000002</v>
      </c>
    </row>
    <row r="24" spans="1:26" ht="15.75" thickBot="1" x14ac:dyDescent="0.3">
      <c r="B24" s="567"/>
      <c r="C24" s="568"/>
    </row>
    <row r="25" spans="1:26" ht="15" customHeight="1" x14ac:dyDescent="0.25">
      <c r="A25" s="788" t="s">
        <v>113</v>
      </c>
      <c r="B25" s="790" t="s">
        <v>114</v>
      </c>
      <c r="C25" s="790" t="s">
        <v>44</v>
      </c>
      <c r="D25" s="792" t="s">
        <v>245</v>
      </c>
      <c r="E25" s="771" t="s">
        <v>20</v>
      </c>
      <c r="F25" s="770"/>
      <c r="G25" s="770"/>
      <c r="H25" s="770"/>
      <c r="I25" s="770"/>
      <c r="J25" s="770"/>
      <c r="K25" s="770"/>
      <c r="L25" s="770"/>
      <c r="M25" s="770"/>
      <c r="N25" s="770"/>
      <c r="O25" s="770"/>
      <c r="P25" s="770"/>
      <c r="Q25" s="767" t="s">
        <v>20</v>
      </c>
      <c r="R25" s="769" t="s">
        <v>25</v>
      </c>
      <c r="S25" s="770"/>
      <c r="T25" s="770"/>
      <c r="U25" s="770"/>
      <c r="V25" s="767" t="s">
        <v>25</v>
      </c>
      <c r="W25" s="767" t="s">
        <v>26</v>
      </c>
      <c r="X25" s="778" t="s">
        <v>27</v>
      </c>
      <c r="Z25" s="786" t="s">
        <v>49</v>
      </c>
    </row>
    <row r="26" spans="1:26" ht="15.75" thickBot="1" x14ac:dyDescent="0.3">
      <c r="A26" s="789"/>
      <c r="B26" s="791"/>
      <c r="C26" s="791"/>
      <c r="D26" s="793"/>
      <c r="E26" s="1">
        <v>1</v>
      </c>
      <c r="F26" s="2">
        <v>2</v>
      </c>
      <c r="G26" s="2">
        <v>3</v>
      </c>
      <c r="H26" s="2">
        <v>4</v>
      </c>
      <c r="I26" s="2">
        <v>5</v>
      </c>
      <c r="J26" s="2">
        <v>6</v>
      </c>
      <c r="K26" s="2">
        <v>7</v>
      </c>
      <c r="L26" s="2">
        <v>8</v>
      </c>
      <c r="M26" s="2">
        <v>9</v>
      </c>
      <c r="N26" s="2">
        <v>10</v>
      </c>
      <c r="O26" s="2">
        <v>11</v>
      </c>
      <c r="P26" s="3">
        <v>12</v>
      </c>
      <c r="Q26" s="768"/>
      <c r="R26" s="4" t="s">
        <v>21</v>
      </c>
      <c r="S26" s="2" t="s">
        <v>22</v>
      </c>
      <c r="T26" s="2" t="s">
        <v>23</v>
      </c>
      <c r="U26" s="3" t="s">
        <v>24</v>
      </c>
      <c r="V26" s="768"/>
      <c r="W26" s="768"/>
      <c r="X26" s="779"/>
      <c r="Z26" s="787"/>
    </row>
    <row r="27" spans="1:26" ht="18.75" customHeight="1" thickTop="1" x14ac:dyDescent="0.25">
      <c r="A27" s="117" t="s">
        <v>54</v>
      </c>
      <c r="B27" s="72">
        <f>Z27</f>
        <v>24150.663666666671</v>
      </c>
      <c r="C27" s="112" t="s">
        <v>45</v>
      </c>
      <c r="D27" s="113" t="s">
        <v>48</v>
      </c>
      <c r="E27" s="6">
        <f>E23*(1+$B$4)</f>
        <v>10720</v>
      </c>
      <c r="F27" s="7">
        <f t="shared" ref="F27:X27" si="24">F23*(1+$B$4)</f>
        <v>12998</v>
      </c>
      <c r="G27" s="7">
        <f t="shared" si="24"/>
        <v>16616</v>
      </c>
      <c r="H27" s="7">
        <f t="shared" si="24"/>
        <v>20234</v>
      </c>
      <c r="I27" s="7">
        <f t="shared" si="24"/>
        <v>20234</v>
      </c>
      <c r="J27" s="7">
        <f t="shared" si="24"/>
        <v>20234</v>
      </c>
      <c r="K27" s="7">
        <f t="shared" si="24"/>
        <v>20234</v>
      </c>
      <c r="L27" s="7">
        <f t="shared" si="24"/>
        <v>20234</v>
      </c>
      <c r="M27" s="7">
        <f t="shared" si="24"/>
        <v>20234</v>
      </c>
      <c r="N27" s="7">
        <f t="shared" si="24"/>
        <v>20234</v>
      </c>
      <c r="O27" s="7">
        <f t="shared" si="24"/>
        <v>20234</v>
      </c>
      <c r="P27" s="180">
        <f t="shared" si="24"/>
        <v>20234</v>
      </c>
      <c r="Q27" s="8">
        <f>SUM(E27:P27)</f>
        <v>222440</v>
      </c>
      <c r="R27" s="307">
        <f t="shared" si="24"/>
        <v>74289.600000000006</v>
      </c>
      <c r="S27" s="307">
        <f t="shared" si="24"/>
        <v>74289.600000000006</v>
      </c>
      <c r="T27" s="307">
        <f t="shared" si="24"/>
        <v>74289.600000000006</v>
      </c>
      <c r="U27" s="264">
        <f t="shared" si="24"/>
        <v>74289.600000000006</v>
      </c>
      <c r="V27" s="8">
        <f>SUM(R27:U27)</f>
        <v>297158.40000000002</v>
      </c>
      <c r="W27" s="8">
        <f t="shared" si="24"/>
        <v>312016.32</v>
      </c>
      <c r="X27" s="9">
        <f t="shared" si="24"/>
        <v>327617.13600000006</v>
      </c>
      <c r="Z27" s="569">
        <f>((Q27+V27+W27+X27)/4)/12</f>
        <v>24150.663666666671</v>
      </c>
    </row>
    <row r="28" spans="1:26" ht="18.75" customHeight="1" x14ac:dyDescent="0.25">
      <c r="A28" s="118" t="s">
        <v>55</v>
      </c>
      <c r="B28" s="76">
        <f>Z28</f>
        <v>4025.1106111111112</v>
      </c>
      <c r="C28" s="114" t="s">
        <v>46</v>
      </c>
      <c r="D28" s="96">
        <v>5</v>
      </c>
      <c r="E28" s="10">
        <f>($Q$27/12)*IF($D28=IF(MOD(E$26,6)=0,6,MOD(E$26,6)),1,0)</f>
        <v>0</v>
      </c>
      <c r="F28" s="11">
        <f t="shared" ref="F28:P28" si="25">($Q$27/12)*IF($D28=IF(MOD(F$26,6)=0,6,MOD(F$26,6)),1,0)</f>
        <v>0</v>
      </c>
      <c r="G28" s="11">
        <f t="shared" si="25"/>
        <v>0</v>
      </c>
      <c r="H28" s="11">
        <f t="shared" si="25"/>
        <v>0</v>
      </c>
      <c r="I28" s="11">
        <f t="shared" si="25"/>
        <v>18536.666666666668</v>
      </c>
      <c r="J28" s="11">
        <f t="shared" si="25"/>
        <v>0</v>
      </c>
      <c r="K28" s="11">
        <f t="shared" si="25"/>
        <v>0</v>
      </c>
      <c r="L28" s="11">
        <f t="shared" si="25"/>
        <v>0</v>
      </c>
      <c r="M28" s="11">
        <f t="shared" si="25"/>
        <v>0</v>
      </c>
      <c r="N28" s="11">
        <f t="shared" si="25"/>
        <v>0</v>
      </c>
      <c r="O28" s="11">
        <f t="shared" si="25"/>
        <v>18536.666666666668</v>
      </c>
      <c r="P28" s="185">
        <f t="shared" si="25"/>
        <v>0</v>
      </c>
      <c r="Q28" s="12">
        <f t="shared" ref="Q28" si="26">SUM(E28:P28)</f>
        <v>37073.333333333336</v>
      </c>
      <c r="R28" s="308" t="str">
        <f>IF(AND($D28&gt;=1,$D28&lt;=3),$V$27/12,"")</f>
        <v/>
      </c>
      <c r="S28" s="11">
        <f>IF(AND($D28&gt;=4,$D28&lt;=6),$V$27/12,"")</f>
        <v>24763.200000000001</v>
      </c>
      <c r="T28" s="11" t="str">
        <f>IF(AND($D28&gt;=1,$D28&lt;=3),$V$27/12,"")</f>
        <v/>
      </c>
      <c r="U28" s="185">
        <f>IF(AND($D28&gt;=4,$D28&lt;=6),$V$27/12,"")</f>
        <v>24763.200000000001</v>
      </c>
      <c r="V28" s="12">
        <f t="shared" ref="V28:V29" si="27">SUM(R28:U28)</f>
        <v>49526.400000000001</v>
      </c>
      <c r="W28" s="12">
        <f>W27/12*2</f>
        <v>52002.720000000001</v>
      </c>
      <c r="X28" s="13">
        <f>X27/12*2</f>
        <v>54602.856000000007</v>
      </c>
      <c r="Z28" s="570">
        <f>((Q28+V28+W28+X28)/4)/12</f>
        <v>4025.1106111111112</v>
      </c>
    </row>
    <row r="29" spans="1:26" ht="18.75" customHeight="1" thickBot="1" x14ac:dyDescent="0.3">
      <c r="A29" s="121" t="s">
        <v>93</v>
      </c>
      <c r="B29" s="110">
        <f>Z29</f>
        <v>228.75</v>
      </c>
      <c r="C29" s="122" t="s">
        <v>45</v>
      </c>
      <c r="D29" s="123" t="s">
        <v>48</v>
      </c>
      <c r="E29" s="14">
        <f t="shared" ref="E29:P29" si="28">COUNT(E$8:E$12,E$16:E$20)*$B$3</f>
        <v>120</v>
      </c>
      <c r="F29" s="15">
        <f t="shared" si="28"/>
        <v>150</v>
      </c>
      <c r="G29" s="15">
        <f t="shared" si="28"/>
        <v>180</v>
      </c>
      <c r="H29" s="15">
        <f t="shared" si="28"/>
        <v>210</v>
      </c>
      <c r="I29" s="15">
        <f t="shared" si="28"/>
        <v>210</v>
      </c>
      <c r="J29" s="15">
        <f t="shared" si="28"/>
        <v>210</v>
      </c>
      <c r="K29" s="15">
        <f t="shared" si="28"/>
        <v>210</v>
      </c>
      <c r="L29" s="15">
        <f t="shared" si="28"/>
        <v>210</v>
      </c>
      <c r="M29" s="15">
        <f t="shared" si="28"/>
        <v>210</v>
      </c>
      <c r="N29" s="15">
        <f t="shared" si="28"/>
        <v>210</v>
      </c>
      <c r="O29" s="15">
        <f t="shared" si="28"/>
        <v>210</v>
      </c>
      <c r="P29" s="648">
        <f t="shared" si="28"/>
        <v>210</v>
      </c>
      <c r="Q29" s="16">
        <f t="shared" ref="Q29" si="29">SUM(E29:P29)</f>
        <v>2340</v>
      </c>
      <c r="R29" s="565">
        <f>(COUNT(R$8:R$12,R$16:R$20)*3)*$B$3</f>
        <v>720</v>
      </c>
      <c r="S29" s="15">
        <f>(COUNT(S$8:S$12,S$16:S$20)*3)*$B$3</f>
        <v>720</v>
      </c>
      <c r="T29" s="15">
        <f>(COUNT(T$8:T$12,T$16:T$20)*3)*$B$3</f>
        <v>720</v>
      </c>
      <c r="U29" s="648">
        <f>(COUNT(U$8:U$12,U$16:U$20)*3)*$B$3</f>
        <v>720</v>
      </c>
      <c r="V29" s="16">
        <f t="shared" si="27"/>
        <v>2880</v>
      </c>
      <c r="W29" s="16">
        <f>(COUNT(W$8:W$12,W$16:W$20)*12)*$B$3</f>
        <v>2880</v>
      </c>
      <c r="X29" s="17">
        <f>(COUNT(X$8:X$12,X$16:X$20)*12)*$B$3</f>
        <v>2880</v>
      </c>
      <c r="Z29" s="570">
        <f>((Q29+V29+W29+X29)/4)/12</f>
        <v>228.75</v>
      </c>
    </row>
    <row r="30" spans="1:26" ht="7.5" customHeight="1" thickTop="1" thickBot="1" x14ac:dyDescent="0.3">
      <c r="A30" s="119"/>
      <c r="B30" s="120"/>
      <c r="C30" s="115"/>
      <c r="D30" s="116"/>
      <c r="E30" s="27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9"/>
      <c r="Q30" s="33"/>
      <c r="R30" s="31"/>
      <c r="S30" s="28"/>
      <c r="T30" s="28"/>
      <c r="U30" s="29"/>
      <c r="V30" s="33"/>
      <c r="W30" s="33"/>
      <c r="X30" s="34"/>
      <c r="Z30" s="571"/>
    </row>
    <row r="31" spans="1:26" s="625" customFormat="1" ht="18.75" customHeight="1" thickBot="1" x14ac:dyDescent="0.3">
      <c r="A31" s="572" t="s">
        <v>56</v>
      </c>
      <c r="B31" s="573">
        <f>Z31</f>
        <v>28404.524277777782</v>
      </c>
      <c r="D31" s="626"/>
      <c r="E31" s="627">
        <f>SUM(E27:E30)</f>
        <v>10840</v>
      </c>
      <c r="F31" s="549">
        <f t="shared" ref="F31:X31" si="30">SUM(F27:F30)</f>
        <v>13148</v>
      </c>
      <c r="G31" s="549">
        <f t="shared" si="30"/>
        <v>16796</v>
      </c>
      <c r="H31" s="549">
        <f t="shared" si="30"/>
        <v>20444</v>
      </c>
      <c r="I31" s="549">
        <f t="shared" si="30"/>
        <v>38980.666666666672</v>
      </c>
      <c r="J31" s="549">
        <f t="shared" si="30"/>
        <v>20444</v>
      </c>
      <c r="K31" s="549">
        <f t="shared" si="30"/>
        <v>20444</v>
      </c>
      <c r="L31" s="549">
        <f t="shared" si="30"/>
        <v>20444</v>
      </c>
      <c r="M31" s="549">
        <f t="shared" si="30"/>
        <v>20444</v>
      </c>
      <c r="N31" s="549">
        <f t="shared" si="30"/>
        <v>20444</v>
      </c>
      <c r="O31" s="549">
        <f t="shared" si="30"/>
        <v>38980.666666666672</v>
      </c>
      <c r="P31" s="36">
        <f t="shared" si="30"/>
        <v>20444</v>
      </c>
      <c r="Q31" s="37">
        <f t="shared" si="30"/>
        <v>261853.33333333334</v>
      </c>
      <c r="R31" s="548">
        <f t="shared" si="30"/>
        <v>75009.600000000006</v>
      </c>
      <c r="S31" s="549">
        <f t="shared" si="30"/>
        <v>99772.800000000003</v>
      </c>
      <c r="T31" s="549">
        <f t="shared" si="30"/>
        <v>75009.600000000006</v>
      </c>
      <c r="U31" s="36">
        <f t="shared" si="30"/>
        <v>99772.800000000003</v>
      </c>
      <c r="V31" s="37">
        <f t="shared" si="30"/>
        <v>349564.80000000005</v>
      </c>
      <c r="W31" s="37">
        <f t="shared" si="30"/>
        <v>366899.04000000004</v>
      </c>
      <c r="X31" s="38">
        <f t="shared" si="30"/>
        <v>385099.99200000009</v>
      </c>
      <c r="Z31" s="574">
        <f>SUM(Z27:Z30)</f>
        <v>28404.524277777782</v>
      </c>
    </row>
    <row r="32" spans="1:26" ht="15.75" thickBot="1" x14ac:dyDescent="0.3">
      <c r="B32" s="567"/>
      <c r="C32" s="568"/>
    </row>
    <row r="33" spans="1:26" ht="15" customHeight="1" x14ac:dyDescent="0.25">
      <c r="A33" s="788" t="s">
        <v>43</v>
      </c>
      <c r="B33" s="790" t="s">
        <v>19</v>
      </c>
      <c r="C33" s="790" t="s">
        <v>44</v>
      </c>
      <c r="D33" s="792" t="s">
        <v>245</v>
      </c>
      <c r="E33" s="771" t="s">
        <v>20</v>
      </c>
      <c r="F33" s="770"/>
      <c r="G33" s="770"/>
      <c r="H33" s="770"/>
      <c r="I33" s="770"/>
      <c r="J33" s="770"/>
      <c r="K33" s="770"/>
      <c r="L33" s="770"/>
      <c r="M33" s="770"/>
      <c r="N33" s="770"/>
      <c r="O33" s="770"/>
      <c r="P33" s="770"/>
      <c r="Q33" s="767" t="s">
        <v>20</v>
      </c>
      <c r="R33" s="769" t="s">
        <v>25</v>
      </c>
      <c r="S33" s="770"/>
      <c r="T33" s="770"/>
      <c r="U33" s="770"/>
      <c r="V33" s="767" t="s">
        <v>25</v>
      </c>
      <c r="W33" s="767" t="s">
        <v>26</v>
      </c>
      <c r="X33" s="778" t="s">
        <v>27</v>
      </c>
      <c r="Z33" s="786" t="s">
        <v>49</v>
      </c>
    </row>
    <row r="34" spans="1:26" ht="15.75" thickBot="1" x14ac:dyDescent="0.3">
      <c r="A34" s="789"/>
      <c r="B34" s="791"/>
      <c r="C34" s="791"/>
      <c r="D34" s="793"/>
      <c r="E34" s="1">
        <v>1</v>
      </c>
      <c r="F34" s="2">
        <v>2</v>
      </c>
      <c r="G34" s="2">
        <v>3</v>
      </c>
      <c r="H34" s="2">
        <v>4</v>
      </c>
      <c r="I34" s="2">
        <v>5</v>
      </c>
      <c r="J34" s="2">
        <v>6</v>
      </c>
      <c r="K34" s="2">
        <v>7</v>
      </c>
      <c r="L34" s="2">
        <v>8</v>
      </c>
      <c r="M34" s="2">
        <v>9</v>
      </c>
      <c r="N34" s="2">
        <v>10</v>
      </c>
      <c r="O34" s="2">
        <v>11</v>
      </c>
      <c r="P34" s="3">
        <v>12</v>
      </c>
      <c r="Q34" s="768"/>
      <c r="R34" s="4" t="s">
        <v>21</v>
      </c>
      <c r="S34" s="2" t="s">
        <v>22</v>
      </c>
      <c r="T34" s="2" t="s">
        <v>23</v>
      </c>
      <c r="U34" s="3" t="s">
        <v>24</v>
      </c>
      <c r="V34" s="768"/>
      <c r="W34" s="768"/>
      <c r="X34" s="779"/>
      <c r="Z34" s="787"/>
    </row>
    <row r="35" spans="1:26" ht="18.75" customHeight="1" thickTop="1" x14ac:dyDescent="0.25">
      <c r="A35" s="92"/>
      <c r="B35" s="18"/>
      <c r="C35" s="19"/>
      <c r="D35" s="20"/>
      <c r="E35" s="6">
        <f>IF(AND($C35="j",$D35=E$34),$B35,IF($C35="h",$B35*IF($D35=IF(MOD(E$34,6)=0,6,MOD(E$34,6)),1,0),IF($C35="q",$B35*IF($D35=IF(MOD(E$34,3)=0,3,MOD(E$34,3)),1,0),IF($C35="z",$B35*IF($D35=IF(MOD(E$34,2)=0,2,MOD(E$34,2)),1,0),IF($C35="m",$B35,0)))))</f>
        <v>0</v>
      </c>
      <c r="F35" s="7">
        <f t="shared" ref="F35:P36" si="31">IF(AND($C35="j",$D35=F$34),$B35,IF($C35="h",$B35*IF($D35=IF(MOD(F$34,6)=0,6,MOD(F$34,6)),1,0),IF($C35="q",$B35*IF($D35=IF(MOD(F$34,3)=0,3,MOD(F$34,3)),1,0),IF($C35="z",$B35*IF($D35=IF(MOD(F$34,2)=0,2,MOD(F$34,2)),1,0),IF($C35="m",$B35,0)))))</f>
        <v>0</v>
      </c>
      <c r="G35" s="7">
        <f t="shared" si="31"/>
        <v>0</v>
      </c>
      <c r="H35" s="7">
        <f t="shared" si="31"/>
        <v>0</v>
      </c>
      <c r="I35" s="7">
        <f t="shared" si="31"/>
        <v>0</v>
      </c>
      <c r="J35" s="7">
        <f t="shared" si="31"/>
        <v>0</v>
      </c>
      <c r="K35" s="7">
        <f t="shared" si="31"/>
        <v>0</v>
      </c>
      <c r="L35" s="7">
        <f t="shared" si="31"/>
        <v>0</v>
      </c>
      <c r="M35" s="7">
        <f t="shared" si="31"/>
        <v>0</v>
      </c>
      <c r="N35" s="7">
        <f t="shared" si="31"/>
        <v>0</v>
      </c>
      <c r="O35" s="7">
        <f t="shared" si="31"/>
        <v>0</v>
      </c>
      <c r="P35" s="180">
        <f t="shared" si="31"/>
        <v>0</v>
      </c>
      <c r="Q35" s="8">
        <f>SUM(E35:P35)</f>
        <v>0</v>
      </c>
      <c r="R35" s="307">
        <f>IF(AND($C35="j",$D35&gt;=1,$D35&lt;=3),$B35,IF(AND($C35="h",$D35&gt;=1,$D35&lt;=3),$B35,IF(AND($C35="q",$D35&gt;=1,$D35&lt;=3),$B35,IF($C35="z",IF($D35=1,2*$B35,$B35),IF($C35="m",3*$B35,0)))))</f>
        <v>0</v>
      </c>
      <c r="S35" s="7">
        <f>IF(AND($C35="j",$D35&gt;=4,$D35&lt;=6),$B35,IF(AND($C35="h",$D35&gt;=4,$D35&lt;=6),$B35,IF(AND($C35="q",$D35&gt;=1,$D35&lt;=3),$B35,IF($C35="z",IF($D35=2,2*$B35,$B35),IF($C35="m",3*$B35,0)))))</f>
        <v>0</v>
      </c>
      <c r="T35" s="7">
        <f>IF(AND($C35="j",$D35&gt;=7,$D35&lt;=9),$B35,IF(AND($C35="h",$D35&gt;=1,$D35&lt;=3),$B35,IF(AND($C35="q",$D35&gt;=1,$D35&lt;=3),$B35,IF($C35="z",IF($D35=1,2*$B35,$B35),IF($C35="m",3*$B35,0)))))</f>
        <v>0</v>
      </c>
      <c r="U35" s="180">
        <f>IF(AND($C35="j",$D35&gt;=10,$D35&lt;=12),$B35,IF(AND($C35="h",$D35&gt;=4,$D35&lt;=6),$B35,IF(AND($C35="q",$D35&gt;=1,$D35&lt;=3),$B35,IF($C35="z",IF($D35=2,2*$B35,$B35),IF($C35="m",3*$B35,0)))))</f>
        <v>0</v>
      </c>
      <c r="V35" s="8">
        <f>SUM(R35:U35)</f>
        <v>0</v>
      </c>
      <c r="W35" s="8">
        <f>IF($C35="j",$B35,IF($C35="h",2*$B35,IF($C35="q",4*$B35,IF($C35="z",6*$B35,12*$B35))))</f>
        <v>0</v>
      </c>
      <c r="X35" s="9">
        <f>IF($C35="j",$B35,IF($C35="h",2*$B35,IF($C35="q",4*$B35,IF($C35="z",6*$B35,12*$B35))))</f>
        <v>0</v>
      </c>
      <c r="Z35" s="569">
        <f>((Q35+V35+W35+X35)/4)/12</f>
        <v>0</v>
      </c>
    </row>
    <row r="36" spans="1:26" ht="18.75" customHeight="1" thickBot="1" x14ac:dyDescent="0.3">
      <c r="A36" s="97"/>
      <c r="B36" s="98"/>
      <c r="C36" s="99"/>
      <c r="D36" s="100"/>
      <c r="E36" s="14">
        <f t="shared" ref="E36" si="32">IF(AND($C36="j",$D36=E$34),$B36,IF($C36="h",$B36*IF($D36=IF(MOD(E$34,6)=0,6,MOD(E$34,6)),1,0),IF($C36="q",$B36*IF($D36=IF(MOD(E$34,3)=0,3,MOD(E$34,3)),1,0),IF($C36="z",$B36*IF($D36=IF(MOD(E$34,2)=0,2,MOD(E$34,2)),1,0),IF($C36="m",$B36,0)))))</f>
        <v>0</v>
      </c>
      <c r="F36" s="15">
        <f t="shared" si="31"/>
        <v>0</v>
      </c>
      <c r="G36" s="15">
        <f t="shared" si="31"/>
        <v>0</v>
      </c>
      <c r="H36" s="15">
        <f t="shared" si="31"/>
        <v>0</v>
      </c>
      <c r="I36" s="15">
        <f t="shared" si="31"/>
        <v>0</v>
      </c>
      <c r="J36" s="15">
        <f t="shared" si="31"/>
        <v>0</v>
      </c>
      <c r="K36" s="15">
        <f t="shared" si="31"/>
        <v>0</v>
      </c>
      <c r="L36" s="15">
        <f t="shared" si="31"/>
        <v>0</v>
      </c>
      <c r="M36" s="15">
        <f t="shared" si="31"/>
        <v>0</v>
      </c>
      <c r="N36" s="15">
        <f t="shared" si="31"/>
        <v>0</v>
      </c>
      <c r="O36" s="15">
        <f t="shared" si="31"/>
        <v>0</v>
      </c>
      <c r="P36" s="648">
        <f t="shared" si="31"/>
        <v>0</v>
      </c>
      <c r="Q36" s="16">
        <f t="shared" ref="Q36" si="33">SUM(E36:P36)</f>
        <v>0</v>
      </c>
      <c r="R36" s="565">
        <f t="shared" ref="R36" si="34">IF(AND($C36="j",$D36&gt;=1,$D36&lt;=3),$B36,IF(AND($C36="h",$D36&gt;=1,$D36&lt;=3),$B36,IF(AND($C36="q",$D36&gt;=1,$D36&lt;=3),$B36,IF($C36="z",IF($D36=1,2*$B36,$B36),IF($C36="m",3*$B36,0)))))</f>
        <v>0</v>
      </c>
      <c r="S36" s="15">
        <f t="shared" ref="S36" si="35">IF(AND($C36="j",$D36&gt;=4,$D36&lt;=6),$B36,IF(AND($C36="h",$D36&gt;=4,$D36&lt;=6),$B36,IF(AND($C36="q",$D36&gt;=1,$D36&lt;=3),$B36,IF($C36="z",IF($D36=2,2*$B36,$B36),IF($C36="m",3*$B36,0)))))</f>
        <v>0</v>
      </c>
      <c r="T36" s="15">
        <f t="shared" ref="T36" si="36">IF(AND($C36="j",$D36&gt;=7,$D36&lt;=9),$B36,IF(AND($C36="h",$D36&gt;=1,$D36&lt;=3),$B36,IF(AND($C36="q",$D36&gt;=1,$D36&lt;=3),$B36,IF($C36="z",IF($D36=1,2*$B36,$B36),IF($C36="m",3*$B36,0)))))</f>
        <v>0</v>
      </c>
      <c r="U36" s="648">
        <f t="shared" ref="U36" si="37">IF(AND($C36="j",$D36&gt;=10,$D36&lt;=12),$B36,IF(AND($C36="h",$D36&gt;=4,$D36&lt;=6),$B36,IF(AND($C36="q",$D36&gt;=1,$D36&lt;=3),$B36,IF($C36="z",IF($D36=2,2*$B36,$B36),IF($C36="m",3*$B36,0)))))</f>
        <v>0</v>
      </c>
      <c r="V36" s="16">
        <f t="shared" ref="V36" si="38">SUM(R36:U36)</f>
        <v>0</v>
      </c>
      <c r="W36" s="16">
        <f t="shared" ref="W36:X36" si="39">IF($C36="j",$B36,IF($C36="h",2*$B36,IF($C36="q",4*$B36,IF($C36="z",6*$B36,12*$B36))))</f>
        <v>0</v>
      </c>
      <c r="X36" s="17">
        <f t="shared" si="39"/>
        <v>0</v>
      </c>
      <c r="Z36" s="575">
        <f>((Q36+V36+W36+X36)/4)/12</f>
        <v>0</v>
      </c>
    </row>
    <row r="37" spans="1:26" ht="7.5" customHeight="1" thickTop="1" thickBot="1" x14ac:dyDescent="0.3">
      <c r="A37" s="101"/>
      <c r="B37" s="102"/>
      <c r="C37" s="103"/>
      <c r="D37" s="104"/>
      <c r="E37" s="27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9"/>
      <c r="Q37" s="33"/>
      <c r="R37" s="31"/>
      <c r="S37" s="28"/>
      <c r="T37" s="28"/>
      <c r="U37" s="29"/>
      <c r="V37" s="33"/>
      <c r="W37" s="33"/>
      <c r="X37" s="34"/>
      <c r="Z37" s="571"/>
    </row>
    <row r="38" spans="1:26" s="625" customFormat="1" ht="18.75" customHeight="1" thickBot="1" x14ac:dyDescent="0.3">
      <c r="A38" s="572" t="s">
        <v>50</v>
      </c>
      <c r="B38" s="573">
        <f>Z38</f>
        <v>0</v>
      </c>
      <c r="D38" s="626"/>
      <c r="E38" s="627">
        <f>SUM(E35:E37)</f>
        <v>0</v>
      </c>
      <c r="F38" s="549">
        <f t="shared" ref="F38:X38" si="40">SUM(F35:F37)</f>
        <v>0</v>
      </c>
      <c r="G38" s="549">
        <f t="shared" si="40"/>
        <v>0</v>
      </c>
      <c r="H38" s="549">
        <f t="shared" si="40"/>
        <v>0</v>
      </c>
      <c r="I38" s="549">
        <f t="shared" si="40"/>
        <v>0</v>
      </c>
      <c r="J38" s="549">
        <f t="shared" si="40"/>
        <v>0</v>
      </c>
      <c r="K38" s="549">
        <f t="shared" si="40"/>
        <v>0</v>
      </c>
      <c r="L38" s="549">
        <f t="shared" si="40"/>
        <v>0</v>
      </c>
      <c r="M38" s="549">
        <f t="shared" si="40"/>
        <v>0</v>
      </c>
      <c r="N38" s="549">
        <f t="shared" si="40"/>
        <v>0</v>
      </c>
      <c r="O38" s="549">
        <f t="shared" si="40"/>
        <v>0</v>
      </c>
      <c r="P38" s="36">
        <f t="shared" si="40"/>
        <v>0</v>
      </c>
      <c r="Q38" s="37">
        <f t="shared" si="40"/>
        <v>0</v>
      </c>
      <c r="R38" s="548">
        <f t="shared" si="40"/>
        <v>0</v>
      </c>
      <c r="S38" s="549">
        <f t="shared" si="40"/>
        <v>0</v>
      </c>
      <c r="T38" s="549">
        <f t="shared" si="40"/>
        <v>0</v>
      </c>
      <c r="U38" s="36">
        <f t="shared" si="40"/>
        <v>0</v>
      </c>
      <c r="V38" s="37">
        <f t="shared" si="40"/>
        <v>0</v>
      </c>
      <c r="W38" s="37">
        <f t="shared" si="40"/>
        <v>0</v>
      </c>
      <c r="X38" s="38">
        <f t="shared" si="40"/>
        <v>0</v>
      </c>
      <c r="Z38" s="574">
        <f>SUM(Z35:Z36)</f>
        <v>0</v>
      </c>
    </row>
    <row r="39" spans="1:26" ht="15.75" thickBot="1" x14ac:dyDescent="0.3"/>
    <row r="40" spans="1:26" ht="15" customHeight="1" x14ac:dyDescent="0.25">
      <c r="A40" s="788" t="s">
        <v>57</v>
      </c>
      <c r="B40" s="790" t="s">
        <v>19</v>
      </c>
      <c r="C40" s="790" t="s">
        <v>44</v>
      </c>
      <c r="D40" s="792" t="s">
        <v>245</v>
      </c>
      <c r="E40" s="771" t="s">
        <v>20</v>
      </c>
      <c r="F40" s="770"/>
      <c r="G40" s="770"/>
      <c r="H40" s="770"/>
      <c r="I40" s="770"/>
      <c r="J40" s="770"/>
      <c r="K40" s="770"/>
      <c r="L40" s="770"/>
      <c r="M40" s="770"/>
      <c r="N40" s="770"/>
      <c r="O40" s="770"/>
      <c r="P40" s="770"/>
      <c r="Q40" s="767" t="s">
        <v>20</v>
      </c>
      <c r="R40" s="769" t="s">
        <v>25</v>
      </c>
      <c r="S40" s="770"/>
      <c r="T40" s="770"/>
      <c r="U40" s="770"/>
      <c r="V40" s="767" t="s">
        <v>25</v>
      </c>
      <c r="W40" s="767" t="s">
        <v>26</v>
      </c>
      <c r="X40" s="778" t="s">
        <v>27</v>
      </c>
      <c r="Z40" s="786" t="s">
        <v>49</v>
      </c>
    </row>
    <row r="41" spans="1:26" ht="15.75" thickBot="1" x14ac:dyDescent="0.3">
      <c r="A41" s="789"/>
      <c r="B41" s="791"/>
      <c r="C41" s="791"/>
      <c r="D41" s="793"/>
      <c r="E41" s="1">
        <v>1</v>
      </c>
      <c r="F41" s="2">
        <v>2</v>
      </c>
      <c r="G41" s="2">
        <v>3</v>
      </c>
      <c r="H41" s="2">
        <v>4</v>
      </c>
      <c r="I41" s="2">
        <v>5</v>
      </c>
      <c r="J41" s="2">
        <v>6</v>
      </c>
      <c r="K41" s="2">
        <v>7</v>
      </c>
      <c r="L41" s="2">
        <v>8</v>
      </c>
      <c r="M41" s="2">
        <v>9</v>
      </c>
      <c r="N41" s="2">
        <v>10</v>
      </c>
      <c r="O41" s="2">
        <v>11</v>
      </c>
      <c r="P41" s="3">
        <v>12</v>
      </c>
      <c r="Q41" s="768"/>
      <c r="R41" s="4" t="s">
        <v>21</v>
      </c>
      <c r="S41" s="2" t="s">
        <v>22</v>
      </c>
      <c r="T41" s="2" t="s">
        <v>23</v>
      </c>
      <c r="U41" s="3" t="s">
        <v>24</v>
      </c>
      <c r="V41" s="768"/>
      <c r="W41" s="768"/>
      <c r="X41" s="779"/>
      <c r="Z41" s="787"/>
    </row>
    <row r="42" spans="1:26" ht="18.75" customHeight="1" thickTop="1" x14ac:dyDescent="0.25">
      <c r="A42" s="92"/>
      <c r="B42" s="18"/>
      <c r="C42" s="19"/>
      <c r="D42" s="20"/>
      <c r="E42" s="6">
        <f>IF(AND($C42="j",$D42=E$34),$B42,IF($C42="h",$B42*IF($D42=IF(MOD(E$34,6)=0,6,MOD(E$34,6)),1,0),IF($C42="q",$B42*IF($D42=IF(MOD(E$34,3)=0,3,MOD(E$34,3)),1,0),IF($C42="z",$B42*IF($D42=IF(MOD(E$34,2)=0,2,MOD(E$34,2)),1,0),IF($C42="m",$B42,0)))))</f>
        <v>0</v>
      </c>
      <c r="F42" s="7">
        <f t="shared" ref="F42:P43" si="41">IF(AND($C42="j",$D42=F$34),$B42,IF($C42="h",$B42*IF($D42=IF(MOD(F$34,6)=0,6,MOD(F$34,6)),1,0),IF($C42="q",$B42*IF($D42=IF(MOD(F$34,3)=0,3,MOD(F$34,3)),1,0),IF($C42="z",$B42*IF($D42=IF(MOD(F$34,2)=0,2,MOD(F$34,2)),1,0),IF($C42="m",$B42,0)))))</f>
        <v>0</v>
      </c>
      <c r="G42" s="7">
        <f t="shared" si="41"/>
        <v>0</v>
      </c>
      <c r="H42" s="7">
        <f t="shared" si="41"/>
        <v>0</v>
      </c>
      <c r="I42" s="7">
        <f t="shared" si="41"/>
        <v>0</v>
      </c>
      <c r="J42" s="7">
        <f t="shared" si="41"/>
        <v>0</v>
      </c>
      <c r="K42" s="7">
        <f t="shared" si="41"/>
        <v>0</v>
      </c>
      <c r="L42" s="7">
        <f t="shared" si="41"/>
        <v>0</v>
      </c>
      <c r="M42" s="7">
        <f t="shared" si="41"/>
        <v>0</v>
      </c>
      <c r="N42" s="7">
        <f t="shared" si="41"/>
        <v>0</v>
      </c>
      <c r="O42" s="7">
        <f t="shared" si="41"/>
        <v>0</v>
      </c>
      <c r="P42" s="180">
        <f t="shared" si="41"/>
        <v>0</v>
      </c>
      <c r="Q42" s="8">
        <f>SUM(E42:P42)</f>
        <v>0</v>
      </c>
      <c r="R42" s="307">
        <f>IF(AND($C42="j",$D42&gt;=1,$D42&lt;=3),$B42,IF(AND($C42="h",$D42&gt;=1,$D42&lt;=3),$B42,IF(AND($C42="q",$D42&gt;=1,$D42&lt;=3),$B42,IF($C42="z",IF($D42=1,2*$B42,$B42),IF($C42="m",3*$B42,0)))))</f>
        <v>0</v>
      </c>
      <c r="S42" s="7">
        <f>IF(AND($C42="j",$D42&gt;=4,$D42&lt;=6),$B42,IF(AND($C42="h",$D42&gt;=4,$D42&lt;=6),$B42,IF(AND($C42="q",$D42&gt;=1,$D42&lt;=3),$B42,IF($C42="z",IF($D42=2,2*$B42,$B42),IF($C42="m",3*$B42,0)))))</f>
        <v>0</v>
      </c>
      <c r="T42" s="7">
        <f>IF(AND($C42="j",$D42&gt;=7,$D42&lt;=9),$B42,IF(AND($C42="h",$D42&gt;=1,$D42&lt;=3),$B42,IF(AND($C42="q",$D42&gt;=1,$D42&lt;=3),$B42,IF($C42="z",IF($D42=1,2*$B42,$B42),IF($C42="m",3*$B42,0)))))</f>
        <v>0</v>
      </c>
      <c r="U42" s="180">
        <f>IF(AND($C42="j",$D42&gt;=10,$D42&lt;=12),$B42,IF(AND($C42="h",$D42&gt;=4,$D42&lt;=6),$B42,IF(AND($C42="q",$D42&gt;=1,$D42&lt;=3),$B42,IF($C42="z",IF($D42=2,2*$B42,$B42),IF($C42="m",3*$B42,0)))))</f>
        <v>0</v>
      </c>
      <c r="V42" s="8">
        <f>SUM(R42:U42)</f>
        <v>0</v>
      </c>
      <c r="W42" s="8">
        <f>IF($C42="j",$B42,IF($C42="h",2*$B42,IF($C42="q",4*$B42,IF($C42="z",6*$B42,12*$B42))))</f>
        <v>0</v>
      </c>
      <c r="X42" s="9">
        <f>IF($C42="j",$B42,IF($C42="h",2*$B42,IF($C42="q",4*$B42,IF($C42="z",6*$B42,12*$B42))))</f>
        <v>0</v>
      </c>
      <c r="Z42" s="569">
        <f>((Q42+V42+W42+X42)/4)/12</f>
        <v>0</v>
      </c>
    </row>
    <row r="43" spans="1:26" ht="18.75" customHeight="1" thickBot="1" x14ac:dyDescent="0.3">
      <c r="A43" s="97"/>
      <c r="B43" s="98"/>
      <c r="C43" s="99"/>
      <c r="D43" s="100"/>
      <c r="E43" s="14">
        <f t="shared" ref="E43" si="42">IF(AND($C43="j",$D43=E$34),$B43,IF($C43="h",$B43*IF($D43=IF(MOD(E$34,6)=0,6,MOD(E$34,6)),1,0),IF($C43="q",$B43*IF($D43=IF(MOD(E$34,3)=0,3,MOD(E$34,3)),1,0),IF($C43="z",$B43*IF($D43=IF(MOD(E$34,2)=0,2,MOD(E$34,2)),1,0),IF($C43="m",$B43,0)))))</f>
        <v>0</v>
      </c>
      <c r="F43" s="15">
        <f t="shared" si="41"/>
        <v>0</v>
      </c>
      <c r="G43" s="15">
        <f t="shared" si="41"/>
        <v>0</v>
      </c>
      <c r="H43" s="15">
        <f t="shared" si="41"/>
        <v>0</v>
      </c>
      <c r="I43" s="15">
        <f t="shared" si="41"/>
        <v>0</v>
      </c>
      <c r="J43" s="15">
        <f t="shared" si="41"/>
        <v>0</v>
      </c>
      <c r="K43" s="15">
        <f t="shared" si="41"/>
        <v>0</v>
      </c>
      <c r="L43" s="15">
        <f t="shared" si="41"/>
        <v>0</v>
      </c>
      <c r="M43" s="15">
        <f t="shared" si="41"/>
        <v>0</v>
      </c>
      <c r="N43" s="15">
        <f t="shared" si="41"/>
        <v>0</v>
      </c>
      <c r="O43" s="15">
        <f t="shared" si="41"/>
        <v>0</v>
      </c>
      <c r="P43" s="648">
        <f t="shared" si="41"/>
        <v>0</v>
      </c>
      <c r="Q43" s="16">
        <f t="shared" ref="Q43" si="43">SUM(E43:P43)</f>
        <v>0</v>
      </c>
      <c r="R43" s="565">
        <f t="shared" ref="R43" si="44">IF(AND($C43="j",$D43&gt;=1,$D43&lt;=3),$B43,IF(AND($C43="h",$D43&gt;=1,$D43&lt;=3),$B43,IF(AND($C43="q",$D43&gt;=1,$D43&lt;=3),$B43,IF($C43="z",IF($D43=1,2*$B43,$B43),IF($C43="m",3*$B43,0)))))</f>
        <v>0</v>
      </c>
      <c r="S43" s="15">
        <f t="shared" ref="S43" si="45">IF(AND($C43="j",$D43&gt;=4,$D43&lt;=6),$B43,IF(AND($C43="h",$D43&gt;=4,$D43&lt;=6),$B43,IF(AND($C43="q",$D43&gt;=1,$D43&lt;=3),$B43,IF($C43="z",IF($D43=2,2*$B43,$B43),IF($C43="m",3*$B43,0)))))</f>
        <v>0</v>
      </c>
      <c r="T43" s="15">
        <f t="shared" ref="T43" si="46">IF(AND($C43="j",$D43&gt;=7,$D43&lt;=9),$B43,IF(AND($C43="h",$D43&gt;=1,$D43&lt;=3),$B43,IF(AND($C43="q",$D43&gt;=1,$D43&lt;=3),$B43,IF($C43="z",IF($D43=1,2*$B43,$B43),IF($C43="m",3*$B43,0)))))</f>
        <v>0</v>
      </c>
      <c r="U43" s="648">
        <f t="shared" ref="U43" si="47">IF(AND($C43="j",$D43&gt;=10,$D43&lt;=12),$B43,IF(AND($C43="h",$D43&gt;=4,$D43&lt;=6),$B43,IF(AND($C43="q",$D43&gt;=1,$D43&lt;=3),$B43,IF($C43="z",IF($D43=2,2*$B43,$B43),IF($C43="m",3*$B43,0)))))</f>
        <v>0</v>
      </c>
      <c r="V43" s="16">
        <f t="shared" ref="V43" si="48">SUM(R43:U43)</f>
        <v>0</v>
      </c>
      <c r="W43" s="16">
        <f t="shared" ref="W43:X43" si="49">IF($C43="j",$B43,IF($C43="h",2*$B43,IF($C43="q",4*$B43,IF($C43="z",6*$B43,12*$B43))))</f>
        <v>0</v>
      </c>
      <c r="X43" s="17">
        <f t="shared" si="49"/>
        <v>0</v>
      </c>
      <c r="Z43" s="575">
        <f>((Q43+V43+W43+X43)/4)/12</f>
        <v>0</v>
      </c>
    </row>
    <row r="44" spans="1:26" ht="7.5" customHeight="1" thickTop="1" thickBot="1" x14ac:dyDescent="0.3">
      <c r="A44" s="101"/>
      <c r="B44" s="102"/>
      <c r="C44" s="103"/>
      <c r="D44" s="104"/>
      <c r="E44" s="27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9"/>
      <c r="Q44" s="33"/>
      <c r="R44" s="31"/>
      <c r="S44" s="28"/>
      <c r="T44" s="28"/>
      <c r="U44" s="29"/>
      <c r="V44" s="33"/>
      <c r="W44" s="33"/>
      <c r="X44" s="34"/>
      <c r="Z44" s="571"/>
    </row>
    <row r="45" spans="1:26" s="625" customFormat="1" ht="18.75" customHeight="1" thickBot="1" x14ac:dyDescent="0.3">
      <c r="A45" s="572" t="s">
        <v>50</v>
      </c>
      <c r="B45" s="573">
        <f>Z45</f>
        <v>0</v>
      </c>
      <c r="D45" s="626"/>
      <c r="E45" s="627">
        <f>SUM(E42:E44)</f>
        <v>0</v>
      </c>
      <c r="F45" s="549">
        <f t="shared" ref="F45:X45" si="50">SUM(F42:F43)</f>
        <v>0</v>
      </c>
      <c r="G45" s="549">
        <f t="shared" si="50"/>
        <v>0</v>
      </c>
      <c r="H45" s="549">
        <f t="shared" si="50"/>
        <v>0</v>
      </c>
      <c r="I45" s="549">
        <f t="shared" si="50"/>
        <v>0</v>
      </c>
      <c r="J45" s="549">
        <f t="shared" si="50"/>
        <v>0</v>
      </c>
      <c r="K45" s="549">
        <f t="shared" si="50"/>
        <v>0</v>
      </c>
      <c r="L45" s="549">
        <f t="shared" si="50"/>
        <v>0</v>
      </c>
      <c r="M45" s="549">
        <f t="shared" si="50"/>
        <v>0</v>
      </c>
      <c r="N45" s="549">
        <f t="shared" si="50"/>
        <v>0</v>
      </c>
      <c r="O45" s="549">
        <f t="shared" si="50"/>
        <v>0</v>
      </c>
      <c r="P45" s="36">
        <f t="shared" si="50"/>
        <v>0</v>
      </c>
      <c r="Q45" s="37">
        <f t="shared" si="50"/>
        <v>0</v>
      </c>
      <c r="R45" s="548">
        <f t="shared" si="50"/>
        <v>0</v>
      </c>
      <c r="S45" s="549">
        <f t="shared" si="50"/>
        <v>0</v>
      </c>
      <c r="T45" s="549">
        <f t="shared" si="50"/>
        <v>0</v>
      </c>
      <c r="U45" s="36">
        <f t="shared" si="50"/>
        <v>0</v>
      </c>
      <c r="V45" s="37">
        <f t="shared" si="50"/>
        <v>0</v>
      </c>
      <c r="W45" s="37">
        <f t="shared" si="50"/>
        <v>0</v>
      </c>
      <c r="X45" s="38">
        <f t="shared" si="50"/>
        <v>0</v>
      </c>
      <c r="Z45" s="574">
        <f>SUM(Z42:Z43)</f>
        <v>0</v>
      </c>
    </row>
    <row r="46" spans="1:26" ht="15.75" thickBot="1" x14ac:dyDescent="0.3"/>
    <row r="47" spans="1:26" ht="15" customHeight="1" x14ac:dyDescent="0.25">
      <c r="A47" s="788" t="s">
        <v>58</v>
      </c>
      <c r="B47" s="790" t="s">
        <v>19</v>
      </c>
      <c r="C47" s="790" t="s">
        <v>44</v>
      </c>
      <c r="D47" s="792" t="s">
        <v>245</v>
      </c>
      <c r="E47" s="771" t="s">
        <v>20</v>
      </c>
      <c r="F47" s="770"/>
      <c r="G47" s="770"/>
      <c r="H47" s="770"/>
      <c r="I47" s="770"/>
      <c r="J47" s="770"/>
      <c r="K47" s="770"/>
      <c r="L47" s="770"/>
      <c r="M47" s="770"/>
      <c r="N47" s="770"/>
      <c r="O47" s="770"/>
      <c r="P47" s="770"/>
      <c r="Q47" s="767" t="s">
        <v>20</v>
      </c>
      <c r="R47" s="769" t="s">
        <v>25</v>
      </c>
      <c r="S47" s="770"/>
      <c r="T47" s="770"/>
      <c r="U47" s="770"/>
      <c r="V47" s="767" t="s">
        <v>25</v>
      </c>
      <c r="W47" s="767" t="s">
        <v>26</v>
      </c>
      <c r="X47" s="778" t="s">
        <v>27</v>
      </c>
      <c r="Z47" s="786" t="s">
        <v>49</v>
      </c>
    </row>
    <row r="48" spans="1:26" ht="15.75" thickBot="1" x14ac:dyDescent="0.3">
      <c r="A48" s="789"/>
      <c r="B48" s="791"/>
      <c r="C48" s="791"/>
      <c r="D48" s="793"/>
      <c r="E48" s="1">
        <v>1</v>
      </c>
      <c r="F48" s="2">
        <v>2</v>
      </c>
      <c r="G48" s="2">
        <v>3</v>
      </c>
      <c r="H48" s="2">
        <v>4</v>
      </c>
      <c r="I48" s="2">
        <v>5</v>
      </c>
      <c r="J48" s="2">
        <v>6</v>
      </c>
      <c r="K48" s="2">
        <v>7</v>
      </c>
      <c r="L48" s="2">
        <v>8</v>
      </c>
      <c r="M48" s="2">
        <v>9</v>
      </c>
      <c r="N48" s="2">
        <v>10</v>
      </c>
      <c r="O48" s="2">
        <v>11</v>
      </c>
      <c r="P48" s="3">
        <v>12</v>
      </c>
      <c r="Q48" s="768"/>
      <c r="R48" s="4" t="s">
        <v>21</v>
      </c>
      <c r="S48" s="2" t="s">
        <v>22</v>
      </c>
      <c r="T48" s="2" t="s">
        <v>23</v>
      </c>
      <c r="U48" s="3" t="s">
        <v>24</v>
      </c>
      <c r="V48" s="768"/>
      <c r="W48" s="768"/>
      <c r="X48" s="779"/>
      <c r="Z48" s="787"/>
    </row>
    <row r="49" spans="1:26" ht="18.75" customHeight="1" thickTop="1" x14ac:dyDescent="0.25">
      <c r="A49" s="92" t="s">
        <v>67</v>
      </c>
      <c r="B49" s="18">
        <v>1026</v>
      </c>
      <c r="C49" s="19" t="s">
        <v>45</v>
      </c>
      <c r="D49" s="20" t="s">
        <v>48</v>
      </c>
      <c r="E49" s="6">
        <f>IF(AND($C49="j",$D49=E$34),$B49,IF($C49="h",$B49*IF($D49=IF(MOD(E$34,6)=0,6,MOD(E$34,6)),1,0),IF($C49="q",$B49*IF($D49=IF(MOD(E$34,3)=0,3,MOD(E$34,3)),1,0),IF($C49="z",$B49*IF($D49=IF(MOD(E$34,2)=0,2,MOD(E$34,2)),1,0),IF($C49="m",$B49,0)))))</f>
        <v>1026</v>
      </c>
      <c r="F49" s="7">
        <f t="shared" ref="F49:P52" si="51">IF(AND($C49="j",$D49=F$34),$B49,IF($C49="h",$B49*IF($D49=IF(MOD(F$34,6)=0,6,MOD(F$34,6)),1,0),IF($C49="q",$B49*IF($D49=IF(MOD(F$34,3)=0,3,MOD(F$34,3)),1,0),IF($C49="z",$B49*IF($D49=IF(MOD(F$34,2)=0,2,MOD(F$34,2)),1,0),IF($C49="m",$B49,0)))))</f>
        <v>1026</v>
      </c>
      <c r="G49" s="7">
        <f t="shared" si="51"/>
        <v>1026</v>
      </c>
      <c r="H49" s="7">
        <f t="shared" si="51"/>
        <v>1026</v>
      </c>
      <c r="I49" s="7">
        <f t="shared" si="51"/>
        <v>1026</v>
      </c>
      <c r="J49" s="7">
        <f t="shared" si="51"/>
        <v>1026</v>
      </c>
      <c r="K49" s="7">
        <f t="shared" si="51"/>
        <v>1026</v>
      </c>
      <c r="L49" s="7">
        <f t="shared" si="51"/>
        <v>1026</v>
      </c>
      <c r="M49" s="7">
        <f t="shared" si="51"/>
        <v>1026</v>
      </c>
      <c r="N49" s="7">
        <f t="shared" si="51"/>
        <v>1026</v>
      </c>
      <c r="O49" s="7">
        <f t="shared" si="51"/>
        <v>1026</v>
      </c>
      <c r="P49" s="180">
        <f t="shared" si="51"/>
        <v>1026</v>
      </c>
      <c r="Q49" s="8">
        <f>SUM(E49:P49)</f>
        <v>12312</v>
      </c>
      <c r="R49" s="307">
        <f>IF(AND($C49="j",$D49&gt;=1,$D49&lt;=3),$B49,IF(AND($C49="h",$D49&gt;=1,$D49&lt;=3),$B49,IF(AND($C49="q",$D49&gt;=1,$D49&lt;=3),$B49,IF($C49="z",IF($D49=1,2*$B49,$B49),IF($C49="m",3*$B49,0)))))</f>
        <v>3078</v>
      </c>
      <c r="S49" s="7">
        <f>IF(AND($C49="j",$D49&gt;=4,$D49&lt;=6),$B49,IF(AND($C49="h",$D49&gt;=4,$D49&lt;=6),$B49,IF(AND($C49="q",$D49&gt;=1,$D49&lt;=3),$B49,IF($C49="z",IF($D49=2,2*$B49,$B49),IF($C49="m",3*$B49,0)))))</f>
        <v>3078</v>
      </c>
      <c r="T49" s="7">
        <f>IF(AND($C49="j",$D49&gt;=7,$D49&lt;=9),$B49,IF(AND($C49="h",$D49&gt;=1,$D49&lt;=3),$B49,IF(AND($C49="q",$D49&gt;=1,$D49&lt;=3),$B49,IF($C49="z",IF($D49=1,2*$B49,$B49),IF($C49="m",3*$B49,0)))))</f>
        <v>3078</v>
      </c>
      <c r="U49" s="180">
        <f>IF(AND($C49="j",$D49&gt;=10,$D49&lt;=12),$B49,IF(AND($C49="h",$D49&gt;=4,$D49&lt;=6),$B49,IF(AND($C49="q",$D49&gt;=1,$D49&lt;=3),$B49,IF($C49="z",IF($D49=2,2*$B49,$B49),IF($C49="m",3*$B49,0)))))</f>
        <v>3078</v>
      </c>
      <c r="V49" s="8">
        <f>SUM(R49:U49)</f>
        <v>12312</v>
      </c>
      <c r="W49" s="8">
        <f>IF($C49="j",$B49,IF($C49="h",2*$B49,IF($C49="q",4*$B49,IF($C49="z",6*$B49,12*$B49))))</f>
        <v>12312</v>
      </c>
      <c r="X49" s="9">
        <f>IF($C49="j",$B49,IF($C49="h",2*$B49,IF($C49="q",4*$B49,IF($C49="z",6*$B49,12*$B49))))</f>
        <v>12312</v>
      </c>
      <c r="Z49" s="569">
        <f>((Q49+V49+W49+X49)/4)/12</f>
        <v>1026</v>
      </c>
    </row>
    <row r="50" spans="1:26" ht="18.75" customHeight="1" x14ac:dyDescent="0.25">
      <c r="A50" s="93" t="s">
        <v>68</v>
      </c>
      <c r="B50" s="94">
        <v>45</v>
      </c>
      <c r="C50" s="95" t="s">
        <v>45</v>
      </c>
      <c r="D50" s="96" t="s">
        <v>48</v>
      </c>
      <c r="E50" s="10">
        <f t="shared" ref="E50:E52" si="52">IF(AND($C50="j",$D50=E$34),$B50,IF($C50="h",$B50*IF($D50=IF(MOD(E$34,6)=0,6,MOD(E$34,6)),1,0),IF($C50="q",$B50*IF($D50=IF(MOD(E$34,3)=0,3,MOD(E$34,3)),1,0),IF($C50="z",$B50*IF($D50=IF(MOD(E$34,2)=0,2,MOD(E$34,2)),1,0),IF($C50="m",$B50,0)))))</f>
        <v>45</v>
      </c>
      <c r="F50" s="11">
        <f t="shared" si="51"/>
        <v>45</v>
      </c>
      <c r="G50" s="11">
        <f t="shared" si="51"/>
        <v>45</v>
      </c>
      <c r="H50" s="11">
        <f t="shared" si="51"/>
        <v>45</v>
      </c>
      <c r="I50" s="11">
        <f t="shared" si="51"/>
        <v>45</v>
      </c>
      <c r="J50" s="11">
        <f t="shared" si="51"/>
        <v>45</v>
      </c>
      <c r="K50" s="11">
        <f t="shared" si="51"/>
        <v>45</v>
      </c>
      <c r="L50" s="11">
        <f t="shared" si="51"/>
        <v>45</v>
      </c>
      <c r="M50" s="11">
        <f t="shared" si="51"/>
        <v>45</v>
      </c>
      <c r="N50" s="11">
        <f t="shared" si="51"/>
        <v>45</v>
      </c>
      <c r="O50" s="11">
        <f t="shared" si="51"/>
        <v>45</v>
      </c>
      <c r="P50" s="185">
        <f t="shared" si="51"/>
        <v>45</v>
      </c>
      <c r="Q50" s="12">
        <f t="shared" ref="Q50:Q52" si="53">SUM(E50:P50)</f>
        <v>540</v>
      </c>
      <c r="R50" s="308">
        <f t="shared" ref="R50:R52" si="54">IF(AND($C50="j",$D50&gt;=1,$D50&lt;=3),$B50,IF(AND($C50="h",$D50&gt;=1,$D50&lt;=3),$B50,IF(AND($C50="q",$D50&gt;=1,$D50&lt;=3),$B50,IF($C50="z",IF($D50=1,2*$B50,$B50),IF($C50="m",3*$B50,0)))))</f>
        <v>135</v>
      </c>
      <c r="S50" s="11">
        <f t="shared" ref="S50:S52" si="55">IF(AND($C50="j",$D50&gt;=4,$D50&lt;=6),$B50,IF(AND($C50="h",$D50&gt;=4,$D50&lt;=6),$B50,IF(AND($C50="q",$D50&gt;=1,$D50&lt;=3),$B50,IF($C50="z",IF($D50=2,2*$B50,$B50),IF($C50="m",3*$B50,0)))))</f>
        <v>135</v>
      </c>
      <c r="T50" s="11">
        <f t="shared" ref="T50:T52" si="56">IF(AND($C50="j",$D50&gt;=7,$D50&lt;=9),$B50,IF(AND($C50="h",$D50&gt;=1,$D50&lt;=3),$B50,IF(AND($C50="q",$D50&gt;=1,$D50&lt;=3),$B50,IF($C50="z",IF($D50=1,2*$B50,$B50),IF($C50="m",3*$B50,0)))))</f>
        <v>135</v>
      </c>
      <c r="U50" s="185">
        <f t="shared" ref="U50:U52" si="57">IF(AND($C50="j",$D50&gt;=10,$D50&lt;=12),$B50,IF(AND($C50="h",$D50&gt;=4,$D50&lt;=6),$B50,IF(AND($C50="q",$D50&gt;=1,$D50&lt;=3),$B50,IF($C50="z",IF($D50=2,2*$B50,$B50),IF($C50="m",3*$B50,0)))))</f>
        <v>135</v>
      </c>
      <c r="V50" s="12">
        <f t="shared" ref="V50:V52" si="58">SUM(R50:U50)</f>
        <v>540</v>
      </c>
      <c r="W50" s="12">
        <f t="shared" ref="W50:X52" si="59">IF($C50="j",$B50,IF($C50="h",2*$B50,IF($C50="q",4*$B50,IF($C50="z",6*$B50,12*$B50))))</f>
        <v>540</v>
      </c>
      <c r="X50" s="13">
        <f t="shared" si="59"/>
        <v>540</v>
      </c>
      <c r="Z50" s="570">
        <f t="shared" ref="Z50:Z52" si="60">((Q50+V50+W50+X50)/4)/12</f>
        <v>45</v>
      </c>
    </row>
    <row r="51" spans="1:26" ht="18.75" customHeight="1" x14ac:dyDescent="0.25">
      <c r="A51" s="93" t="s">
        <v>115</v>
      </c>
      <c r="B51" s="94">
        <v>200</v>
      </c>
      <c r="C51" s="95" t="s">
        <v>45</v>
      </c>
      <c r="D51" s="96" t="s">
        <v>48</v>
      </c>
      <c r="E51" s="10">
        <f t="shared" si="52"/>
        <v>200</v>
      </c>
      <c r="F51" s="11">
        <f t="shared" si="51"/>
        <v>200</v>
      </c>
      <c r="G51" s="11">
        <f t="shared" si="51"/>
        <v>200</v>
      </c>
      <c r="H51" s="11">
        <f t="shared" si="51"/>
        <v>200</v>
      </c>
      <c r="I51" s="11">
        <f t="shared" si="51"/>
        <v>200</v>
      </c>
      <c r="J51" s="11">
        <f t="shared" si="51"/>
        <v>200</v>
      </c>
      <c r="K51" s="11">
        <f t="shared" si="51"/>
        <v>200</v>
      </c>
      <c r="L51" s="11">
        <f t="shared" si="51"/>
        <v>200</v>
      </c>
      <c r="M51" s="11">
        <f t="shared" si="51"/>
        <v>200</v>
      </c>
      <c r="N51" s="11">
        <f t="shared" si="51"/>
        <v>200</v>
      </c>
      <c r="O51" s="11">
        <f t="shared" si="51"/>
        <v>200</v>
      </c>
      <c r="P51" s="185">
        <f t="shared" si="51"/>
        <v>200</v>
      </c>
      <c r="Q51" s="12">
        <f t="shared" si="53"/>
        <v>2400</v>
      </c>
      <c r="R51" s="308">
        <f t="shared" si="54"/>
        <v>600</v>
      </c>
      <c r="S51" s="11">
        <f t="shared" si="55"/>
        <v>600</v>
      </c>
      <c r="T51" s="11">
        <f t="shared" si="56"/>
        <v>600</v>
      </c>
      <c r="U51" s="185">
        <f t="shared" si="57"/>
        <v>600</v>
      </c>
      <c r="V51" s="12">
        <f t="shared" si="58"/>
        <v>2400</v>
      </c>
      <c r="W51" s="12">
        <f t="shared" si="59"/>
        <v>2400</v>
      </c>
      <c r="X51" s="13">
        <f t="shared" si="59"/>
        <v>2400</v>
      </c>
      <c r="Z51" s="570">
        <f t="shared" si="60"/>
        <v>200</v>
      </c>
    </row>
    <row r="52" spans="1:26" ht="18.75" customHeight="1" thickBot="1" x14ac:dyDescent="0.3">
      <c r="A52" s="97"/>
      <c r="B52" s="98"/>
      <c r="C52" s="99"/>
      <c r="D52" s="100"/>
      <c r="E52" s="14">
        <f t="shared" si="52"/>
        <v>0</v>
      </c>
      <c r="F52" s="15">
        <f t="shared" si="51"/>
        <v>0</v>
      </c>
      <c r="G52" s="15">
        <f t="shared" si="51"/>
        <v>0</v>
      </c>
      <c r="H52" s="15">
        <f t="shared" si="51"/>
        <v>0</v>
      </c>
      <c r="I52" s="15">
        <f t="shared" si="51"/>
        <v>0</v>
      </c>
      <c r="J52" s="15">
        <f t="shared" si="51"/>
        <v>0</v>
      </c>
      <c r="K52" s="15">
        <f t="shared" si="51"/>
        <v>0</v>
      </c>
      <c r="L52" s="15">
        <f t="shared" si="51"/>
        <v>0</v>
      </c>
      <c r="M52" s="15">
        <f t="shared" si="51"/>
        <v>0</v>
      </c>
      <c r="N52" s="15">
        <f t="shared" si="51"/>
        <v>0</v>
      </c>
      <c r="O52" s="15">
        <f t="shared" si="51"/>
        <v>0</v>
      </c>
      <c r="P52" s="648">
        <f t="shared" si="51"/>
        <v>0</v>
      </c>
      <c r="Q52" s="16">
        <f t="shared" si="53"/>
        <v>0</v>
      </c>
      <c r="R52" s="565">
        <f t="shared" si="54"/>
        <v>0</v>
      </c>
      <c r="S52" s="15">
        <f t="shared" si="55"/>
        <v>0</v>
      </c>
      <c r="T52" s="15">
        <f t="shared" si="56"/>
        <v>0</v>
      </c>
      <c r="U52" s="648">
        <f t="shared" si="57"/>
        <v>0</v>
      </c>
      <c r="V52" s="16">
        <f t="shared" si="58"/>
        <v>0</v>
      </c>
      <c r="W52" s="16">
        <f t="shared" si="59"/>
        <v>0</v>
      </c>
      <c r="X52" s="17">
        <f t="shared" si="59"/>
        <v>0</v>
      </c>
      <c r="Z52" s="575">
        <f t="shared" si="60"/>
        <v>0</v>
      </c>
    </row>
    <row r="53" spans="1:26" ht="7.5" customHeight="1" thickTop="1" thickBot="1" x14ac:dyDescent="0.3">
      <c r="A53" s="101"/>
      <c r="B53" s="102"/>
      <c r="C53" s="103"/>
      <c r="D53" s="104"/>
      <c r="E53" s="27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9"/>
      <c r="Q53" s="33"/>
      <c r="R53" s="31"/>
      <c r="S53" s="28"/>
      <c r="T53" s="28"/>
      <c r="U53" s="29"/>
      <c r="V53" s="33"/>
      <c r="W53" s="33"/>
      <c r="X53" s="34"/>
      <c r="Z53" s="571"/>
    </row>
    <row r="54" spans="1:26" s="625" customFormat="1" ht="18.75" customHeight="1" thickBot="1" x14ac:dyDescent="0.3">
      <c r="A54" s="572" t="s">
        <v>50</v>
      </c>
      <c r="B54" s="573">
        <f>Z54</f>
        <v>1271</v>
      </c>
      <c r="D54" s="626"/>
      <c r="E54" s="627">
        <f>SUM(E49:E53)</f>
        <v>1271</v>
      </c>
      <c r="F54" s="549">
        <f t="shared" ref="F54:X54" si="61">SUM(F49:F53)</f>
        <v>1271</v>
      </c>
      <c r="G54" s="549">
        <f t="shared" si="61"/>
        <v>1271</v>
      </c>
      <c r="H54" s="549">
        <f t="shared" si="61"/>
        <v>1271</v>
      </c>
      <c r="I54" s="549">
        <f t="shared" si="61"/>
        <v>1271</v>
      </c>
      <c r="J54" s="549">
        <f t="shared" si="61"/>
        <v>1271</v>
      </c>
      <c r="K54" s="549">
        <f t="shared" si="61"/>
        <v>1271</v>
      </c>
      <c r="L54" s="549">
        <f t="shared" si="61"/>
        <v>1271</v>
      </c>
      <c r="M54" s="549">
        <f t="shared" si="61"/>
        <v>1271</v>
      </c>
      <c r="N54" s="549">
        <f t="shared" si="61"/>
        <v>1271</v>
      </c>
      <c r="O54" s="549">
        <f t="shared" si="61"/>
        <v>1271</v>
      </c>
      <c r="P54" s="36">
        <f t="shared" si="61"/>
        <v>1271</v>
      </c>
      <c r="Q54" s="37">
        <f t="shared" si="61"/>
        <v>15252</v>
      </c>
      <c r="R54" s="548">
        <f t="shared" si="61"/>
        <v>3813</v>
      </c>
      <c r="S54" s="549">
        <f t="shared" si="61"/>
        <v>3813</v>
      </c>
      <c r="T54" s="549">
        <f t="shared" si="61"/>
        <v>3813</v>
      </c>
      <c r="U54" s="36">
        <f t="shared" si="61"/>
        <v>3813</v>
      </c>
      <c r="V54" s="37">
        <f t="shared" si="61"/>
        <v>15252</v>
      </c>
      <c r="W54" s="37">
        <f t="shared" si="61"/>
        <v>15252</v>
      </c>
      <c r="X54" s="38">
        <f t="shared" si="61"/>
        <v>15252</v>
      </c>
      <c r="Z54" s="574">
        <f>SUM(Z49:Z53)</f>
        <v>1271</v>
      </c>
    </row>
    <row r="55" spans="1:26" ht="15.75" thickBot="1" x14ac:dyDescent="0.3"/>
    <row r="56" spans="1:26" ht="15" customHeight="1" x14ac:dyDescent="0.25">
      <c r="A56" s="788" t="s">
        <v>69</v>
      </c>
      <c r="B56" s="790" t="s">
        <v>19</v>
      </c>
      <c r="C56" s="790" t="s">
        <v>44</v>
      </c>
      <c r="D56" s="792" t="s">
        <v>245</v>
      </c>
      <c r="E56" s="771" t="s">
        <v>20</v>
      </c>
      <c r="F56" s="770"/>
      <c r="G56" s="770"/>
      <c r="H56" s="770"/>
      <c r="I56" s="770"/>
      <c r="J56" s="770"/>
      <c r="K56" s="770"/>
      <c r="L56" s="770"/>
      <c r="M56" s="770"/>
      <c r="N56" s="770"/>
      <c r="O56" s="770"/>
      <c r="P56" s="770"/>
      <c r="Q56" s="767" t="s">
        <v>20</v>
      </c>
      <c r="R56" s="769" t="s">
        <v>25</v>
      </c>
      <c r="S56" s="770"/>
      <c r="T56" s="770"/>
      <c r="U56" s="770"/>
      <c r="V56" s="767" t="s">
        <v>25</v>
      </c>
      <c r="W56" s="767" t="s">
        <v>26</v>
      </c>
      <c r="X56" s="778" t="s">
        <v>27</v>
      </c>
      <c r="Z56" s="786" t="s">
        <v>49</v>
      </c>
    </row>
    <row r="57" spans="1:26" ht="15.75" thickBot="1" x14ac:dyDescent="0.3">
      <c r="A57" s="789"/>
      <c r="B57" s="791"/>
      <c r="C57" s="791"/>
      <c r="D57" s="793"/>
      <c r="E57" s="1">
        <v>1</v>
      </c>
      <c r="F57" s="2">
        <v>2</v>
      </c>
      <c r="G57" s="2">
        <v>3</v>
      </c>
      <c r="H57" s="2">
        <v>4</v>
      </c>
      <c r="I57" s="2">
        <v>5</v>
      </c>
      <c r="J57" s="2">
        <v>6</v>
      </c>
      <c r="K57" s="2">
        <v>7</v>
      </c>
      <c r="L57" s="2">
        <v>8</v>
      </c>
      <c r="M57" s="2">
        <v>9</v>
      </c>
      <c r="N57" s="2">
        <v>10</v>
      </c>
      <c r="O57" s="2">
        <v>11</v>
      </c>
      <c r="P57" s="3">
        <v>12</v>
      </c>
      <c r="Q57" s="768"/>
      <c r="R57" s="4" t="s">
        <v>21</v>
      </c>
      <c r="S57" s="2" t="s">
        <v>22</v>
      </c>
      <c r="T57" s="2" t="s">
        <v>23</v>
      </c>
      <c r="U57" s="3" t="s">
        <v>24</v>
      </c>
      <c r="V57" s="768"/>
      <c r="W57" s="768"/>
      <c r="X57" s="779"/>
      <c r="Z57" s="787"/>
    </row>
    <row r="58" spans="1:26" ht="18.75" customHeight="1" thickTop="1" x14ac:dyDescent="0.25">
      <c r="A58" s="92" t="s">
        <v>116</v>
      </c>
      <c r="B58" s="18">
        <v>2000</v>
      </c>
      <c r="C58" s="19" t="s">
        <v>47</v>
      </c>
      <c r="D58" s="20">
        <v>12</v>
      </c>
      <c r="E58" s="6">
        <f>IF(AND($C58="j",$D58=E$34),$B58,IF($C58="h",$B58*IF($D58=IF(MOD(E$34,6)=0,6,MOD(E$34,6)),1,0),IF($C58="q",$B58*IF($D58=IF(MOD(E$34,3)=0,3,MOD(E$34,3)),1,0),IF($C58="z",$B58*IF($D58=IF(MOD(E$34,2)=0,2,MOD(E$34,2)),1,0),IF($C58="m",$B58,0)))))</f>
        <v>0</v>
      </c>
      <c r="F58" s="7">
        <f t="shared" ref="F58:P59" si="62">IF(AND($C58="j",$D58=F$34),$B58,IF($C58="h",$B58*IF($D58=IF(MOD(F$34,6)=0,6,MOD(F$34,6)),1,0),IF($C58="q",$B58*IF($D58=IF(MOD(F$34,3)=0,3,MOD(F$34,3)),1,0),IF($C58="z",$B58*IF($D58=IF(MOD(F$34,2)=0,2,MOD(F$34,2)),1,0),IF($C58="m",$B58,0)))))</f>
        <v>0</v>
      </c>
      <c r="G58" s="7">
        <f t="shared" si="62"/>
        <v>0</v>
      </c>
      <c r="H58" s="7">
        <f t="shared" si="62"/>
        <v>0</v>
      </c>
      <c r="I58" s="7">
        <f t="shared" si="62"/>
        <v>0</v>
      </c>
      <c r="J58" s="7">
        <f t="shared" si="62"/>
        <v>0</v>
      </c>
      <c r="K58" s="7">
        <f t="shared" si="62"/>
        <v>0</v>
      </c>
      <c r="L58" s="7">
        <f t="shared" si="62"/>
        <v>0</v>
      </c>
      <c r="M58" s="7">
        <f t="shared" si="62"/>
        <v>0</v>
      </c>
      <c r="N58" s="7">
        <f t="shared" si="62"/>
        <v>0</v>
      </c>
      <c r="O58" s="7">
        <f t="shared" si="62"/>
        <v>0</v>
      </c>
      <c r="P58" s="180">
        <f t="shared" si="62"/>
        <v>2000</v>
      </c>
      <c r="Q58" s="8">
        <f>SUM(E58:P58)</f>
        <v>2000</v>
      </c>
      <c r="R58" s="307">
        <f>IF(AND($C58="j",$D58&gt;=1,$D58&lt;=3),$B58,IF(AND($C58="h",$D58&gt;=1,$D58&lt;=3),$B58,IF(AND($C58="q",$D58&gt;=1,$D58&lt;=3),$B58,IF($C58="z",IF($D58=1,2*$B58,$B58),IF($C58="m",3*$B58,0)))))</f>
        <v>0</v>
      </c>
      <c r="S58" s="7">
        <f>IF(AND($C58="j",$D58&gt;=4,$D58&lt;=6),$B58,IF(AND($C58="h",$D58&gt;=4,$D58&lt;=6),$B58,IF(AND($C58="q",$D58&gt;=1,$D58&lt;=3),$B58,IF($C58="z",IF($D58=2,2*$B58,$B58),IF($C58="m",3*$B58,0)))))</f>
        <v>0</v>
      </c>
      <c r="T58" s="7">
        <f>IF(AND($C58="j",$D58&gt;=7,$D58&lt;=9),$B58,IF(AND($C58="h",$D58&gt;=1,$D58&lt;=3),$B58,IF(AND($C58="q",$D58&gt;=1,$D58&lt;=3),$B58,IF($C58="z",IF($D58=1,2*$B58,$B58),IF($C58="m",3*$B58,0)))))</f>
        <v>0</v>
      </c>
      <c r="U58" s="180">
        <f>IF(AND($C58="j",$D58&gt;=10,$D58&lt;=12),$B58,IF(AND($C58="h",$D58&gt;=4,$D58&lt;=6),$B58,IF(AND($C58="q",$D58&gt;=1,$D58&lt;=3),$B58,IF($C58="z",IF($D58=2,2*$B58,$B58),IF($C58="m",3*$B58,0)))))</f>
        <v>2000</v>
      </c>
      <c r="V58" s="8">
        <f>SUM(R58:U58)</f>
        <v>2000</v>
      </c>
      <c r="W58" s="8">
        <f>IF($C58="j",$B58,IF($C58="h",2*$B58,IF($C58="q",4*$B58,IF($C58="z",6*$B58,12*$B58))))</f>
        <v>2000</v>
      </c>
      <c r="X58" s="9">
        <f>IF($C58="j",$B58,IF($C58="h",2*$B58,IF($C58="q",4*$B58,IF($C58="z",6*$B58,12*$B58))))</f>
        <v>2000</v>
      </c>
      <c r="Z58" s="569">
        <f>((Q58+V58+W58+X58)/4)/12</f>
        <v>166.66666666666666</v>
      </c>
    </row>
    <row r="59" spans="1:26" ht="18.75" customHeight="1" thickBot="1" x14ac:dyDescent="0.3">
      <c r="A59" s="97"/>
      <c r="B59" s="98"/>
      <c r="C59" s="99"/>
      <c r="D59" s="100"/>
      <c r="E59" s="14">
        <f t="shared" ref="E59" si="63">IF(AND($C59="j",$D59=E$34),$B59,IF($C59="h",$B59*IF($D59=IF(MOD(E$34,6)=0,6,MOD(E$34,6)),1,0),IF($C59="q",$B59*IF($D59=IF(MOD(E$34,3)=0,3,MOD(E$34,3)),1,0),IF($C59="z",$B59*IF($D59=IF(MOD(E$34,2)=0,2,MOD(E$34,2)),1,0),IF($C59="m",$B59,0)))))</f>
        <v>0</v>
      </c>
      <c r="F59" s="15">
        <f t="shared" si="62"/>
        <v>0</v>
      </c>
      <c r="G59" s="15">
        <f t="shared" si="62"/>
        <v>0</v>
      </c>
      <c r="H59" s="15">
        <f t="shared" si="62"/>
        <v>0</v>
      </c>
      <c r="I59" s="15">
        <f t="shared" si="62"/>
        <v>0</v>
      </c>
      <c r="J59" s="15">
        <f t="shared" si="62"/>
        <v>0</v>
      </c>
      <c r="K59" s="15">
        <f t="shared" si="62"/>
        <v>0</v>
      </c>
      <c r="L59" s="15">
        <f t="shared" si="62"/>
        <v>0</v>
      </c>
      <c r="M59" s="15">
        <f t="shared" si="62"/>
        <v>0</v>
      </c>
      <c r="N59" s="15">
        <f t="shared" si="62"/>
        <v>0</v>
      </c>
      <c r="O59" s="15">
        <f t="shared" si="62"/>
        <v>0</v>
      </c>
      <c r="P59" s="648">
        <f t="shared" si="62"/>
        <v>0</v>
      </c>
      <c r="Q59" s="16">
        <f t="shared" ref="Q59" si="64">SUM(E59:P59)</f>
        <v>0</v>
      </c>
      <c r="R59" s="565">
        <f t="shared" ref="R59" si="65">IF(AND($C59="j",$D59&gt;=1,$D59&lt;=3),$B59,IF(AND($C59="h",$D59&gt;=1,$D59&lt;=3),$B59,IF(AND($C59="q",$D59&gt;=1,$D59&lt;=3),$B59,IF($C59="z",IF($D59=1,2*$B59,$B59),IF($C59="m",3*$B59,0)))))</f>
        <v>0</v>
      </c>
      <c r="S59" s="15">
        <f t="shared" ref="S59" si="66">IF(AND($C59="j",$D59&gt;=4,$D59&lt;=6),$B59,IF(AND($C59="h",$D59&gt;=4,$D59&lt;=6),$B59,IF(AND($C59="q",$D59&gt;=1,$D59&lt;=3),$B59,IF($C59="z",IF($D59=2,2*$B59,$B59),IF($C59="m",3*$B59,0)))))</f>
        <v>0</v>
      </c>
      <c r="T59" s="15">
        <f t="shared" ref="T59" si="67">IF(AND($C59="j",$D59&gt;=7,$D59&lt;=9),$B59,IF(AND($C59="h",$D59&gt;=1,$D59&lt;=3),$B59,IF(AND($C59="q",$D59&gt;=1,$D59&lt;=3),$B59,IF($C59="z",IF($D59=1,2*$B59,$B59),IF($C59="m",3*$B59,0)))))</f>
        <v>0</v>
      </c>
      <c r="U59" s="648">
        <f t="shared" ref="U59" si="68">IF(AND($C59="j",$D59&gt;=10,$D59&lt;=12),$B59,IF(AND($C59="h",$D59&gt;=4,$D59&lt;=6),$B59,IF(AND($C59="q",$D59&gt;=1,$D59&lt;=3),$B59,IF($C59="z",IF($D59=2,2*$B59,$B59),IF($C59="m",3*$B59,0)))))</f>
        <v>0</v>
      </c>
      <c r="V59" s="16">
        <f t="shared" ref="V59" si="69">SUM(R59:U59)</f>
        <v>0</v>
      </c>
      <c r="W59" s="16">
        <f t="shared" ref="W59:X59" si="70">IF($C59="j",$B59,IF($C59="h",2*$B59,IF($C59="q",4*$B59,IF($C59="z",6*$B59,12*$B59))))</f>
        <v>0</v>
      </c>
      <c r="X59" s="17">
        <f t="shared" si="70"/>
        <v>0</v>
      </c>
      <c r="Z59" s="575">
        <f>((Q59+V59+W59+X59)/4)/12</f>
        <v>0</v>
      </c>
    </row>
    <row r="60" spans="1:26" ht="7.5" customHeight="1" thickTop="1" thickBot="1" x14ac:dyDescent="0.3">
      <c r="A60" s="101"/>
      <c r="B60" s="102"/>
      <c r="C60" s="103"/>
      <c r="D60" s="104"/>
      <c r="E60" s="27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9"/>
      <c r="Q60" s="33"/>
      <c r="R60" s="31"/>
      <c r="S60" s="28"/>
      <c r="T60" s="28"/>
      <c r="U60" s="29"/>
      <c r="V60" s="33"/>
      <c r="W60" s="33"/>
      <c r="X60" s="34"/>
      <c r="Z60" s="571"/>
    </row>
    <row r="61" spans="1:26" s="625" customFormat="1" ht="18.75" customHeight="1" thickBot="1" x14ac:dyDescent="0.3">
      <c r="A61" s="572" t="s">
        <v>50</v>
      </c>
      <c r="B61" s="573">
        <f>Z61</f>
        <v>166.66666666666666</v>
      </c>
      <c r="D61" s="626"/>
      <c r="E61" s="627">
        <f>SUM(E58:E60)</f>
        <v>0</v>
      </c>
      <c r="F61" s="549">
        <f t="shared" ref="F61:X61" si="71">SUM(F58:F60)</f>
        <v>0</v>
      </c>
      <c r="G61" s="549">
        <f t="shared" si="71"/>
        <v>0</v>
      </c>
      <c r="H61" s="549">
        <f t="shared" si="71"/>
        <v>0</v>
      </c>
      <c r="I61" s="549">
        <f t="shared" si="71"/>
        <v>0</v>
      </c>
      <c r="J61" s="549">
        <f t="shared" si="71"/>
        <v>0</v>
      </c>
      <c r="K61" s="549">
        <f t="shared" si="71"/>
        <v>0</v>
      </c>
      <c r="L61" s="549">
        <f t="shared" si="71"/>
        <v>0</v>
      </c>
      <c r="M61" s="549">
        <f t="shared" si="71"/>
        <v>0</v>
      </c>
      <c r="N61" s="549">
        <f t="shared" si="71"/>
        <v>0</v>
      </c>
      <c r="O61" s="549">
        <f t="shared" si="71"/>
        <v>0</v>
      </c>
      <c r="P61" s="36">
        <f t="shared" si="71"/>
        <v>2000</v>
      </c>
      <c r="Q61" s="37">
        <f t="shared" si="71"/>
        <v>2000</v>
      </c>
      <c r="R61" s="548">
        <f t="shared" si="71"/>
        <v>0</v>
      </c>
      <c r="S61" s="549">
        <f t="shared" si="71"/>
        <v>0</v>
      </c>
      <c r="T61" s="549">
        <f t="shared" si="71"/>
        <v>0</v>
      </c>
      <c r="U61" s="36">
        <f t="shared" si="71"/>
        <v>2000</v>
      </c>
      <c r="V61" s="37">
        <f t="shared" si="71"/>
        <v>2000</v>
      </c>
      <c r="W61" s="37">
        <f t="shared" si="71"/>
        <v>2000</v>
      </c>
      <c r="X61" s="38">
        <f t="shared" si="71"/>
        <v>2000</v>
      </c>
      <c r="Z61" s="574">
        <f>SUM(Z58:Z59)</f>
        <v>166.66666666666666</v>
      </c>
    </row>
    <row r="62" spans="1:26" ht="15.75" thickBot="1" x14ac:dyDescent="0.3"/>
    <row r="63" spans="1:26" ht="15" customHeight="1" x14ac:dyDescent="0.25">
      <c r="A63" s="788" t="s">
        <v>70</v>
      </c>
      <c r="B63" s="790" t="s">
        <v>71</v>
      </c>
      <c r="C63" s="790" t="s">
        <v>44</v>
      </c>
      <c r="D63" s="792" t="s">
        <v>245</v>
      </c>
      <c r="E63" s="771" t="s">
        <v>20</v>
      </c>
      <c r="F63" s="770"/>
      <c r="G63" s="770"/>
      <c r="H63" s="770"/>
      <c r="I63" s="770"/>
      <c r="J63" s="770"/>
      <c r="K63" s="770"/>
      <c r="L63" s="770"/>
      <c r="M63" s="770"/>
      <c r="N63" s="770"/>
      <c r="O63" s="770"/>
      <c r="P63" s="770"/>
      <c r="Q63" s="767" t="s">
        <v>20</v>
      </c>
      <c r="R63" s="769" t="s">
        <v>25</v>
      </c>
      <c r="S63" s="770"/>
      <c r="T63" s="770"/>
      <c r="U63" s="770"/>
      <c r="V63" s="767" t="s">
        <v>25</v>
      </c>
      <c r="W63" s="767" t="s">
        <v>26</v>
      </c>
      <c r="X63" s="778" t="s">
        <v>27</v>
      </c>
      <c r="Z63" s="786" t="s">
        <v>49</v>
      </c>
    </row>
    <row r="64" spans="1:26" ht="15.75" thickBot="1" x14ac:dyDescent="0.3">
      <c r="A64" s="789"/>
      <c r="B64" s="791"/>
      <c r="C64" s="791"/>
      <c r="D64" s="793"/>
      <c r="E64" s="1">
        <v>1</v>
      </c>
      <c r="F64" s="2">
        <v>2</v>
      </c>
      <c r="G64" s="2">
        <v>3</v>
      </c>
      <c r="H64" s="2">
        <v>4</v>
      </c>
      <c r="I64" s="2">
        <v>5</v>
      </c>
      <c r="J64" s="2">
        <v>6</v>
      </c>
      <c r="K64" s="2">
        <v>7</v>
      </c>
      <c r="L64" s="2">
        <v>8</v>
      </c>
      <c r="M64" s="2">
        <v>9</v>
      </c>
      <c r="N64" s="2">
        <v>10</v>
      </c>
      <c r="O64" s="2">
        <v>11</v>
      </c>
      <c r="P64" s="3">
        <v>12</v>
      </c>
      <c r="Q64" s="768"/>
      <c r="R64" s="4" t="s">
        <v>21</v>
      </c>
      <c r="S64" s="2" t="s">
        <v>22</v>
      </c>
      <c r="T64" s="2" t="s">
        <v>23</v>
      </c>
      <c r="U64" s="3" t="s">
        <v>24</v>
      </c>
      <c r="V64" s="768"/>
      <c r="W64" s="768"/>
      <c r="X64" s="779"/>
      <c r="Z64" s="787"/>
    </row>
    <row r="65" spans="1:26" ht="18.75" customHeight="1" thickTop="1" x14ac:dyDescent="0.25">
      <c r="A65" s="92" t="s">
        <v>274</v>
      </c>
      <c r="B65" s="18">
        <v>1500</v>
      </c>
      <c r="C65" s="19" t="s">
        <v>47</v>
      </c>
      <c r="D65" s="20">
        <v>1</v>
      </c>
      <c r="E65" s="6">
        <f t="shared" ref="E65:P68" si="72">IF(AND($C65="j",$D65=E$34),$B65,IF($C65="h",$B65*IF($D65=IF(MOD(E$34,6)=0,6,MOD(E$34,6)),1,0),IF($C65="q",$B65*IF($D65=IF(MOD(E$34,3)=0,3,MOD(E$34,3)),1,0),IF($C65="z",$B65*IF($D65=IF(MOD(E$34,2)=0,2,MOD(E$34,2)),1,0),IF($C65="m",$B65,0)))))</f>
        <v>1500</v>
      </c>
      <c r="F65" s="7">
        <f t="shared" si="72"/>
        <v>0</v>
      </c>
      <c r="G65" s="7">
        <f t="shared" si="72"/>
        <v>0</v>
      </c>
      <c r="H65" s="7">
        <f t="shared" si="72"/>
        <v>0</v>
      </c>
      <c r="I65" s="7">
        <f t="shared" si="72"/>
        <v>0</v>
      </c>
      <c r="J65" s="7">
        <f t="shared" si="72"/>
        <v>0</v>
      </c>
      <c r="K65" s="7">
        <f t="shared" si="72"/>
        <v>0</v>
      </c>
      <c r="L65" s="7">
        <f t="shared" si="72"/>
        <v>0</v>
      </c>
      <c r="M65" s="7">
        <f t="shared" si="72"/>
        <v>0</v>
      </c>
      <c r="N65" s="7">
        <f t="shared" si="72"/>
        <v>0</v>
      </c>
      <c r="O65" s="7">
        <f t="shared" si="72"/>
        <v>0</v>
      </c>
      <c r="P65" s="180">
        <f t="shared" si="72"/>
        <v>0</v>
      </c>
      <c r="Q65" s="8">
        <f>SUM(E65:P65)</f>
        <v>1500</v>
      </c>
      <c r="R65" s="307">
        <f>IF(AND($C65="j",$D65&gt;=1,$D65&lt;=3),$B65,IF(AND($C65="h",$D65&gt;=1,$D65&lt;=3),$B65,IF(AND($C65="q",$D65&gt;=1,$D65&lt;=3),$B65,IF($C65="z",IF($D65=1,2*$B65,$B65),IF($C65="m",3*$B65,0)))))</f>
        <v>1500</v>
      </c>
      <c r="S65" s="7">
        <f>IF(AND($C65="j",$D65&gt;=4,$D65&lt;=6),$B65,IF(AND($C65="h",$D65&gt;=4,$D65&lt;=6),$B65,IF(AND($C65="q",$D65&gt;=1,$D65&lt;=3),$B65,IF($C65="z",IF($D65=2,2*$B65,$B65),IF($C65="m",3*$B65,0)))))</f>
        <v>0</v>
      </c>
      <c r="T65" s="7">
        <f>IF(AND($C65="j",$D65&gt;=7,$D65&lt;=9),$B65,IF(AND($C65="h",$D65&gt;=1,$D65&lt;=3),$B65,IF(AND($C65="q",$D65&gt;=1,$D65&lt;=3),$B65,IF($C65="z",IF($D65=1,2*$B65,$B65),IF($C65="m",3*$B65,0)))))</f>
        <v>0</v>
      </c>
      <c r="U65" s="180">
        <f>IF(AND($C65="j",$D65&gt;=10,$D65&lt;=12),$B65,IF(AND($C65="h",$D65&gt;=4,$D65&lt;=6),$B65,IF(AND($C65="q",$D65&gt;=1,$D65&lt;=3),$B65,IF($C65="z",IF($D65=2,2*$B65,$B65),IF($C65="m",3*$B65,0)))))</f>
        <v>0</v>
      </c>
      <c r="V65" s="8">
        <f>SUM(R65:U65)</f>
        <v>1500</v>
      </c>
      <c r="W65" s="8">
        <f>IF($C65="j",$B65,IF($C65="h",2*$B65,IF($C65="q",4*$B65,IF($C65="z",6*$B65,12*$B65))))</f>
        <v>1500</v>
      </c>
      <c r="X65" s="9">
        <f>IF($C65="j",$B65,IF($C65="h",2*$B65,IF($C65="q",4*$B65,IF($C65="z",6*$B65,12*$B65))))</f>
        <v>1500</v>
      </c>
      <c r="Z65" s="569">
        <f>((Q65+V65+W65+X65)/4)/12</f>
        <v>125</v>
      </c>
    </row>
    <row r="66" spans="1:26" ht="18.75" customHeight="1" x14ac:dyDescent="0.25">
      <c r="A66" s="696" t="s">
        <v>275</v>
      </c>
      <c r="B66" s="697">
        <v>3000</v>
      </c>
      <c r="C66" s="698" t="s">
        <v>47</v>
      </c>
      <c r="D66" s="699">
        <v>1</v>
      </c>
      <c r="E66" s="335">
        <v>0</v>
      </c>
      <c r="F66" s="336">
        <f t="shared" si="72"/>
        <v>0</v>
      </c>
      <c r="G66" s="336">
        <f t="shared" si="72"/>
        <v>0</v>
      </c>
      <c r="H66" s="336">
        <f t="shared" si="72"/>
        <v>0</v>
      </c>
      <c r="I66" s="336">
        <f t="shared" si="72"/>
        <v>0</v>
      </c>
      <c r="J66" s="336">
        <f t="shared" si="72"/>
        <v>0</v>
      </c>
      <c r="K66" s="336">
        <f t="shared" si="72"/>
        <v>0</v>
      </c>
      <c r="L66" s="336">
        <f t="shared" si="72"/>
        <v>0</v>
      </c>
      <c r="M66" s="336">
        <f t="shared" si="72"/>
        <v>0</v>
      </c>
      <c r="N66" s="336">
        <f t="shared" si="72"/>
        <v>0</v>
      </c>
      <c r="O66" s="336">
        <f t="shared" si="72"/>
        <v>0</v>
      </c>
      <c r="P66" s="337">
        <f t="shared" si="72"/>
        <v>0</v>
      </c>
      <c r="Q66" s="331">
        <f>SUM(E66:P66)</f>
        <v>0</v>
      </c>
      <c r="R66" s="700">
        <f>IF(AND($C66="j",$D66&gt;=1,$D66&lt;=3),$B66,IF(AND($C66="h",$D66&gt;=1,$D66&lt;=3),$B66,IF(AND($C66="q",$D66&gt;=1,$D66&lt;=3),$B66,IF($C66="z",IF($D66=1,2*$B66,$B66),IF($C66="m",3*$B66,0)))))</f>
        <v>3000</v>
      </c>
      <c r="S66" s="336">
        <f>IF(AND($C66="j",$D66&gt;=4,$D66&lt;=6),$B66,IF(AND($C66="h",$D66&gt;=4,$D66&lt;=6),$B66,IF(AND($C66="q",$D66&gt;=1,$D66&lt;=3),$B66,IF($C66="z",IF($D66=2,2*$B66,$B66),IF($C66="m",3*$B66,0)))))</f>
        <v>0</v>
      </c>
      <c r="T66" s="336">
        <f>IF(AND($C66="j",$D66&gt;=7,$D66&lt;=9),$B66,IF(AND($C66="h",$D66&gt;=1,$D66&lt;=3),$B66,IF(AND($C66="q",$D66&gt;=1,$D66&lt;=3),$B66,IF($C66="z",IF($D66=1,2*$B66,$B66),IF($C66="m",3*$B66,0)))))</f>
        <v>0</v>
      </c>
      <c r="U66" s="337">
        <f>IF(AND($C66="j",$D66&gt;=10,$D66&lt;=12),$B66,IF(AND($C66="h",$D66&gt;=4,$D66&lt;=6),$B66,IF(AND($C66="q",$D66&gt;=1,$D66&lt;=3),$B66,IF($C66="z",IF($D66=2,2*$B66,$B66),IF($C66="m",3*$B66,0)))))</f>
        <v>0</v>
      </c>
      <c r="V66" s="331">
        <f>SUM(R66:U66)</f>
        <v>3000</v>
      </c>
      <c r="W66" s="331">
        <f>IF($C66="j",$B66,IF($C66="h",2*$B66,IF($C66="q",4*$B66,IF($C66="z",6*$B66,12*$B66))))</f>
        <v>3000</v>
      </c>
      <c r="X66" s="245">
        <f>IF($C66="j",$B66,IF($C66="h",2*$B66,IF($C66="q",4*$B66,IF($C66="z",6*$B66,12*$B66))))</f>
        <v>3000</v>
      </c>
      <c r="Z66" s="570">
        <f t="shared" ref="Z66:Z68" si="73">((Q66+V66+W66+X66)/4)/12</f>
        <v>187.5</v>
      </c>
    </row>
    <row r="67" spans="1:26" ht="18.75" customHeight="1" x14ac:dyDescent="0.25">
      <c r="A67" s="93" t="s">
        <v>79</v>
      </c>
      <c r="B67" s="94">
        <v>500</v>
      </c>
      <c r="C67" s="95" t="s">
        <v>45</v>
      </c>
      <c r="D67" s="96" t="s">
        <v>48</v>
      </c>
      <c r="E67" s="10">
        <f t="shared" si="72"/>
        <v>500</v>
      </c>
      <c r="F67" s="11">
        <f t="shared" si="72"/>
        <v>500</v>
      </c>
      <c r="G67" s="11">
        <f t="shared" si="72"/>
        <v>500</v>
      </c>
      <c r="H67" s="11">
        <f t="shared" si="72"/>
        <v>500</v>
      </c>
      <c r="I67" s="11">
        <f t="shared" si="72"/>
        <v>500</v>
      </c>
      <c r="J67" s="11">
        <f t="shared" si="72"/>
        <v>500</v>
      </c>
      <c r="K67" s="11">
        <f t="shared" si="72"/>
        <v>500</v>
      </c>
      <c r="L67" s="11">
        <f t="shared" si="72"/>
        <v>500</v>
      </c>
      <c r="M67" s="11">
        <f t="shared" si="72"/>
        <v>500</v>
      </c>
      <c r="N67" s="11">
        <f t="shared" si="72"/>
        <v>500</v>
      </c>
      <c r="O67" s="11">
        <f t="shared" si="72"/>
        <v>500</v>
      </c>
      <c r="P67" s="185">
        <f t="shared" si="72"/>
        <v>500</v>
      </c>
      <c r="Q67" s="12">
        <f t="shared" ref="Q67:Q68" si="74">SUM(E67:P67)</f>
        <v>6000</v>
      </c>
      <c r="R67" s="308">
        <f t="shared" ref="R67:R68" si="75">IF(AND($C67="j",$D67&gt;=1,$D67&lt;=3),$B67,IF(AND($C67="h",$D67&gt;=1,$D67&lt;=3),$B67,IF(AND($C67="q",$D67&gt;=1,$D67&lt;=3),$B67,IF($C67="z",IF($D67=1,2*$B67,$B67),IF($C67="m",3*$B67,0)))))</f>
        <v>1500</v>
      </c>
      <c r="S67" s="11">
        <f t="shared" ref="S67:S68" si="76">IF(AND($C67="j",$D67&gt;=4,$D67&lt;=6),$B67,IF(AND($C67="h",$D67&gt;=4,$D67&lt;=6),$B67,IF(AND($C67="q",$D67&gt;=1,$D67&lt;=3),$B67,IF($C67="z",IF($D67=2,2*$B67,$B67),IF($C67="m",3*$B67,0)))))</f>
        <v>1500</v>
      </c>
      <c r="T67" s="11">
        <f t="shared" ref="T67:T68" si="77">IF(AND($C67="j",$D67&gt;=7,$D67&lt;=9),$B67,IF(AND($C67="h",$D67&gt;=1,$D67&lt;=3),$B67,IF(AND($C67="q",$D67&gt;=1,$D67&lt;=3),$B67,IF($C67="z",IF($D67=1,2*$B67,$B67),IF($C67="m",3*$B67,0)))))</f>
        <v>1500</v>
      </c>
      <c r="U67" s="185">
        <f t="shared" ref="U67:U68" si="78">IF(AND($C67="j",$D67&gt;=10,$D67&lt;=12),$B67,IF(AND($C67="h",$D67&gt;=4,$D67&lt;=6),$B67,IF(AND($C67="q",$D67&gt;=1,$D67&lt;=3),$B67,IF($C67="z",IF($D67=2,2*$B67,$B67),IF($C67="m",3*$B67,0)))))</f>
        <v>1500</v>
      </c>
      <c r="V67" s="12">
        <f t="shared" ref="V67:V68" si="79">SUM(R67:U67)</f>
        <v>6000</v>
      </c>
      <c r="W67" s="12">
        <f t="shared" ref="W67:X68" si="80">IF($C67="j",$B67,IF($C67="h",2*$B67,IF($C67="q",4*$B67,IF($C67="z",6*$B67,12*$B67))))</f>
        <v>6000</v>
      </c>
      <c r="X67" s="13">
        <f t="shared" si="80"/>
        <v>6000</v>
      </c>
      <c r="Z67" s="570">
        <f t="shared" si="73"/>
        <v>500</v>
      </c>
    </row>
    <row r="68" spans="1:26" ht="18.75" customHeight="1" thickBot="1" x14ac:dyDescent="0.3">
      <c r="A68" s="97"/>
      <c r="B68" s="98"/>
      <c r="C68" s="99"/>
      <c r="D68" s="100"/>
      <c r="E68" s="14">
        <f t="shared" si="72"/>
        <v>0</v>
      </c>
      <c r="F68" s="15">
        <f t="shared" si="72"/>
        <v>0</v>
      </c>
      <c r="G68" s="15">
        <f t="shared" si="72"/>
        <v>0</v>
      </c>
      <c r="H68" s="15">
        <f t="shared" si="72"/>
        <v>0</v>
      </c>
      <c r="I68" s="15">
        <f t="shared" si="72"/>
        <v>0</v>
      </c>
      <c r="J68" s="15">
        <f t="shared" si="72"/>
        <v>0</v>
      </c>
      <c r="K68" s="15">
        <f t="shared" si="72"/>
        <v>0</v>
      </c>
      <c r="L68" s="15">
        <f t="shared" si="72"/>
        <v>0</v>
      </c>
      <c r="M68" s="15">
        <f t="shared" si="72"/>
        <v>0</v>
      </c>
      <c r="N68" s="15">
        <f t="shared" si="72"/>
        <v>0</v>
      </c>
      <c r="O68" s="15">
        <f t="shared" si="72"/>
        <v>0</v>
      </c>
      <c r="P68" s="648">
        <f t="shared" si="72"/>
        <v>0</v>
      </c>
      <c r="Q68" s="16">
        <f t="shared" si="74"/>
        <v>0</v>
      </c>
      <c r="R68" s="565">
        <f t="shared" si="75"/>
        <v>0</v>
      </c>
      <c r="S68" s="15">
        <f t="shared" si="76"/>
        <v>0</v>
      </c>
      <c r="T68" s="15">
        <f t="shared" si="77"/>
        <v>0</v>
      </c>
      <c r="U68" s="648">
        <f t="shared" si="78"/>
        <v>0</v>
      </c>
      <c r="V68" s="16">
        <f t="shared" si="79"/>
        <v>0</v>
      </c>
      <c r="W68" s="16">
        <f t="shared" si="80"/>
        <v>0</v>
      </c>
      <c r="X68" s="17">
        <f t="shared" si="80"/>
        <v>0</v>
      </c>
      <c r="Z68" s="575">
        <f t="shared" si="73"/>
        <v>0</v>
      </c>
    </row>
    <row r="69" spans="1:26" ht="7.5" customHeight="1" thickTop="1" thickBot="1" x14ac:dyDescent="0.3">
      <c r="A69" s="101"/>
      <c r="B69" s="102"/>
      <c r="C69" s="103"/>
      <c r="D69" s="104"/>
      <c r="E69" s="27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9"/>
      <c r="Q69" s="33"/>
      <c r="R69" s="31"/>
      <c r="S69" s="28"/>
      <c r="T69" s="28"/>
      <c r="U69" s="29"/>
      <c r="V69" s="33"/>
      <c r="W69" s="33"/>
      <c r="X69" s="34"/>
      <c r="Z69" s="571"/>
    </row>
    <row r="70" spans="1:26" s="625" customFormat="1" ht="18.75" customHeight="1" thickBot="1" x14ac:dyDescent="0.3">
      <c r="A70" s="572" t="s">
        <v>50</v>
      </c>
      <c r="B70" s="573">
        <f>Z70</f>
        <v>812.5</v>
      </c>
      <c r="D70" s="626"/>
      <c r="E70" s="627">
        <f t="shared" ref="E70:X70" si="81">SUM(E65:E69)</f>
        <v>2000</v>
      </c>
      <c r="F70" s="549">
        <f t="shared" si="81"/>
        <v>500</v>
      </c>
      <c r="G70" s="549">
        <f t="shared" si="81"/>
        <v>500</v>
      </c>
      <c r="H70" s="549">
        <f t="shared" si="81"/>
        <v>500</v>
      </c>
      <c r="I70" s="549">
        <f t="shared" si="81"/>
        <v>500</v>
      </c>
      <c r="J70" s="549">
        <f t="shared" si="81"/>
        <v>500</v>
      </c>
      <c r="K70" s="549">
        <f t="shared" si="81"/>
        <v>500</v>
      </c>
      <c r="L70" s="549">
        <f t="shared" si="81"/>
        <v>500</v>
      </c>
      <c r="M70" s="549">
        <f t="shared" si="81"/>
        <v>500</v>
      </c>
      <c r="N70" s="549">
        <f t="shared" si="81"/>
        <v>500</v>
      </c>
      <c r="O70" s="549">
        <f t="shared" si="81"/>
        <v>500</v>
      </c>
      <c r="P70" s="36">
        <f t="shared" si="81"/>
        <v>500</v>
      </c>
      <c r="Q70" s="37">
        <f t="shared" si="81"/>
        <v>7500</v>
      </c>
      <c r="R70" s="548">
        <f t="shared" si="81"/>
        <v>6000</v>
      </c>
      <c r="S70" s="549">
        <f t="shared" si="81"/>
        <v>1500</v>
      </c>
      <c r="T70" s="549">
        <f t="shared" si="81"/>
        <v>1500</v>
      </c>
      <c r="U70" s="36">
        <f t="shared" si="81"/>
        <v>1500</v>
      </c>
      <c r="V70" s="37">
        <f t="shared" si="81"/>
        <v>10500</v>
      </c>
      <c r="W70" s="37">
        <f t="shared" si="81"/>
        <v>10500</v>
      </c>
      <c r="X70" s="38">
        <f t="shared" si="81"/>
        <v>10500</v>
      </c>
      <c r="Z70" s="574">
        <f>SUM(Z65:Z68)</f>
        <v>812.5</v>
      </c>
    </row>
    <row r="71" spans="1:26" ht="15.75" thickBot="1" x14ac:dyDescent="0.3"/>
    <row r="72" spans="1:26" ht="15" customHeight="1" x14ac:dyDescent="0.25">
      <c r="A72" s="788" t="s">
        <v>72</v>
      </c>
      <c r="B72" s="790" t="s">
        <v>19</v>
      </c>
      <c r="C72" s="790" t="s">
        <v>44</v>
      </c>
      <c r="D72" s="792" t="s">
        <v>245</v>
      </c>
      <c r="E72" s="771" t="s">
        <v>20</v>
      </c>
      <c r="F72" s="770"/>
      <c r="G72" s="770"/>
      <c r="H72" s="770"/>
      <c r="I72" s="770"/>
      <c r="J72" s="770"/>
      <c r="K72" s="770"/>
      <c r="L72" s="770"/>
      <c r="M72" s="770"/>
      <c r="N72" s="770"/>
      <c r="O72" s="770"/>
      <c r="P72" s="770"/>
      <c r="Q72" s="767" t="s">
        <v>20</v>
      </c>
      <c r="R72" s="769" t="s">
        <v>25</v>
      </c>
      <c r="S72" s="770"/>
      <c r="T72" s="770"/>
      <c r="U72" s="770"/>
      <c r="V72" s="767" t="s">
        <v>25</v>
      </c>
      <c r="W72" s="767" t="s">
        <v>26</v>
      </c>
      <c r="X72" s="778" t="s">
        <v>27</v>
      </c>
      <c r="Z72" s="786" t="s">
        <v>49</v>
      </c>
    </row>
    <row r="73" spans="1:26" ht="15.75" thickBot="1" x14ac:dyDescent="0.3">
      <c r="A73" s="789"/>
      <c r="B73" s="791"/>
      <c r="C73" s="791"/>
      <c r="D73" s="793"/>
      <c r="E73" s="1">
        <v>1</v>
      </c>
      <c r="F73" s="2">
        <v>2</v>
      </c>
      <c r="G73" s="2">
        <v>3</v>
      </c>
      <c r="H73" s="2">
        <v>4</v>
      </c>
      <c r="I73" s="2">
        <v>5</v>
      </c>
      <c r="J73" s="2">
        <v>6</v>
      </c>
      <c r="K73" s="2">
        <v>7</v>
      </c>
      <c r="L73" s="2">
        <v>8</v>
      </c>
      <c r="M73" s="2">
        <v>9</v>
      </c>
      <c r="N73" s="2">
        <v>10</v>
      </c>
      <c r="O73" s="2">
        <v>11</v>
      </c>
      <c r="P73" s="3">
        <v>12</v>
      </c>
      <c r="Q73" s="768"/>
      <c r="R73" s="4" t="s">
        <v>21</v>
      </c>
      <c r="S73" s="2" t="s">
        <v>22</v>
      </c>
      <c r="T73" s="2" t="s">
        <v>23</v>
      </c>
      <c r="U73" s="3" t="s">
        <v>24</v>
      </c>
      <c r="V73" s="768"/>
      <c r="W73" s="768"/>
      <c r="X73" s="779"/>
      <c r="Z73" s="787"/>
    </row>
    <row r="74" spans="1:26" ht="18.75" customHeight="1" thickTop="1" x14ac:dyDescent="0.25">
      <c r="A74" s="92" t="s">
        <v>133</v>
      </c>
      <c r="B74" s="18">
        <v>2000</v>
      </c>
      <c r="C74" s="19" t="s">
        <v>45</v>
      </c>
      <c r="D74" s="20" t="s">
        <v>48</v>
      </c>
      <c r="E74" s="6">
        <f t="shared" ref="E74:P76" si="82">IF(AND($C74="j",$D74=E$34),$B74,IF($C74="h",$B74*IF($D74=IF(MOD(E$34,6)=0,6,MOD(E$34,6)),1,0),IF($C74="q",$B74*IF($D74=IF(MOD(E$34,3)=0,3,MOD(E$34,3)),1,0),IF($C74="z",$B74*IF($D74=IF(MOD(E$34,2)=0,2,MOD(E$34,2)),1,0),IF($C74="m",$B74,0)))))</f>
        <v>2000</v>
      </c>
      <c r="F74" s="7">
        <f t="shared" si="82"/>
        <v>2000</v>
      </c>
      <c r="G74" s="7">
        <f t="shared" si="82"/>
        <v>2000</v>
      </c>
      <c r="H74" s="7">
        <f t="shared" si="82"/>
        <v>2000</v>
      </c>
      <c r="I74" s="7">
        <f t="shared" si="82"/>
        <v>2000</v>
      </c>
      <c r="J74" s="7">
        <f t="shared" si="82"/>
        <v>2000</v>
      </c>
      <c r="K74" s="7">
        <f t="shared" si="82"/>
        <v>2000</v>
      </c>
      <c r="L74" s="7">
        <f t="shared" si="82"/>
        <v>2000</v>
      </c>
      <c r="M74" s="7">
        <f t="shared" si="82"/>
        <v>2000</v>
      </c>
      <c r="N74" s="7">
        <f t="shared" si="82"/>
        <v>2000</v>
      </c>
      <c r="O74" s="7">
        <f t="shared" si="82"/>
        <v>2000</v>
      </c>
      <c r="P74" s="180">
        <f t="shared" si="82"/>
        <v>2000</v>
      </c>
      <c r="Q74" s="8">
        <f>SUM(E74:P74)</f>
        <v>24000</v>
      </c>
      <c r="R74" s="307">
        <f>IF(AND($C74="j",$D74&gt;=1,$D74&lt;=3),$B74,IF(AND($C74="h",$D74&gt;=1,$D74&lt;=3),$B74,IF(AND($C74="q",$D74&gt;=1,$D74&lt;=3),$B74,IF($C74="z",IF($D74=1,2*$B74,$B74),IF($C74="m",3*$B74,0)))))</f>
        <v>6000</v>
      </c>
      <c r="S74" s="7">
        <f>IF(AND($C74="j",$D74&gt;=4,$D74&lt;=6),$B74,IF(AND($C74="h",$D74&gt;=4,$D74&lt;=6),$B74,IF(AND($C74="q",$D74&gt;=1,$D74&lt;=3),$B74,IF($C74="z",IF($D74=2,2*$B74,$B74),IF($C74="m",3*$B74,0)))))</f>
        <v>6000</v>
      </c>
      <c r="T74" s="7">
        <f>IF(AND($C74="j",$D74&gt;=7,$D74&lt;=9),$B74,IF(AND($C74="h",$D74&gt;=1,$D74&lt;=3),$B74,IF(AND($C74="q",$D74&gt;=1,$D74&lt;=3),$B74,IF($C74="z",IF($D74=1,2*$B74,$B74),IF($C74="m",3*$B74,0)))))</f>
        <v>6000</v>
      </c>
      <c r="U74" s="180">
        <f>IF(AND($C74="j",$D74&gt;=10,$D74&lt;=12),$B74,IF(AND($C74="h",$D74&gt;=4,$D74&lt;=6),$B74,IF(AND($C74="q",$D74&gt;=1,$D74&lt;=3),$B74,IF($C74="z",IF($D74=2,2*$B74,$B74),IF($C74="m",3*$B74,0)))))</f>
        <v>6000</v>
      </c>
      <c r="V74" s="8">
        <f>SUM(R74:U74)</f>
        <v>24000</v>
      </c>
      <c r="W74" s="8">
        <f>IF($C74="j",$B74,IF($C74="h",2*$B74,IF($C74="q",4*$B74,IF($C74="z",6*$B74,12*$B74))))</f>
        <v>24000</v>
      </c>
      <c r="X74" s="9">
        <f>IF($C74="j",$B74,IF($C74="h",2*$B74,IF($C74="q",4*$B74,IF($C74="z",6*$B74,12*$B74))))</f>
        <v>24000</v>
      </c>
      <c r="Z74" s="569">
        <f>((Q74+V74+W74+X74)/4)/12</f>
        <v>2000</v>
      </c>
    </row>
    <row r="75" spans="1:26" ht="18.75" customHeight="1" x14ac:dyDescent="0.25">
      <c r="A75" s="93" t="s">
        <v>116</v>
      </c>
      <c r="B75" s="94">
        <v>200</v>
      </c>
      <c r="C75" s="95" t="s">
        <v>45</v>
      </c>
      <c r="D75" s="96" t="s">
        <v>48</v>
      </c>
      <c r="E75" s="10">
        <f t="shared" si="82"/>
        <v>200</v>
      </c>
      <c r="F75" s="11">
        <f t="shared" si="82"/>
        <v>200</v>
      </c>
      <c r="G75" s="11">
        <f t="shared" si="82"/>
        <v>200</v>
      </c>
      <c r="H75" s="11">
        <f t="shared" si="82"/>
        <v>200</v>
      </c>
      <c r="I75" s="11">
        <f t="shared" si="82"/>
        <v>200</v>
      </c>
      <c r="J75" s="11">
        <f t="shared" si="82"/>
        <v>200</v>
      </c>
      <c r="K75" s="11">
        <f t="shared" si="82"/>
        <v>200</v>
      </c>
      <c r="L75" s="11">
        <f t="shared" si="82"/>
        <v>200</v>
      </c>
      <c r="M75" s="11">
        <f t="shared" si="82"/>
        <v>200</v>
      </c>
      <c r="N75" s="11">
        <f t="shared" si="82"/>
        <v>200</v>
      </c>
      <c r="O75" s="11">
        <f t="shared" si="82"/>
        <v>200</v>
      </c>
      <c r="P75" s="185">
        <f t="shared" si="82"/>
        <v>200</v>
      </c>
      <c r="Q75" s="12">
        <f t="shared" ref="Q75:Q76" si="83">SUM(E75:P75)</f>
        <v>2400</v>
      </c>
      <c r="R75" s="308">
        <f t="shared" ref="R75:R76" si="84">IF(AND($C75="j",$D75&gt;=1,$D75&lt;=3),$B75,IF(AND($C75="h",$D75&gt;=1,$D75&lt;=3),$B75,IF(AND($C75="q",$D75&gt;=1,$D75&lt;=3),$B75,IF($C75="z",IF($D75=1,2*$B75,$B75),IF($C75="m",3*$B75,0)))))</f>
        <v>600</v>
      </c>
      <c r="S75" s="11">
        <f t="shared" ref="S75:S76" si="85">IF(AND($C75="j",$D75&gt;=4,$D75&lt;=6),$B75,IF(AND($C75="h",$D75&gt;=4,$D75&lt;=6),$B75,IF(AND($C75="q",$D75&gt;=1,$D75&lt;=3),$B75,IF($C75="z",IF($D75=2,2*$B75,$B75),IF($C75="m",3*$B75,0)))))</f>
        <v>600</v>
      </c>
      <c r="T75" s="11">
        <f t="shared" ref="T75:T76" si="86">IF(AND($C75="j",$D75&gt;=7,$D75&lt;=9),$B75,IF(AND($C75="h",$D75&gt;=1,$D75&lt;=3),$B75,IF(AND($C75="q",$D75&gt;=1,$D75&lt;=3),$B75,IF($C75="z",IF($D75=1,2*$B75,$B75),IF($C75="m",3*$B75,0)))))</f>
        <v>600</v>
      </c>
      <c r="U75" s="185">
        <f t="shared" ref="U75:U76" si="87">IF(AND($C75="j",$D75&gt;=10,$D75&lt;=12),$B75,IF(AND($C75="h",$D75&gt;=4,$D75&lt;=6),$B75,IF(AND($C75="q",$D75&gt;=1,$D75&lt;=3),$B75,IF($C75="z",IF($D75=2,2*$B75,$B75),IF($C75="m",3*$B75,0)))))</f>
        <v>600</v>
      </c>
      <c r="V75" s="12">
        <f t="shared" ref="V75:V76" si="88">SUM(R75:U75)</f>
        <v>2400</v>
      </c>
      <c r="W75" s="12">
        <f t="shared" ref="W75:X76" si="89">IF($C75="j",$B75,IF($C75="h",2*$B75,IF($C75="q",4*$B75,IF($C75="z",6*$B75,12*$B75))))</f>
        <v>2400</v>
      </c>
      <c r="X75" s="13">
        <f t="shared" si="89"/>
        <v>2400</v>
      </c>
      <c r="Z75" s="570">
        <f t="shared" ref="Z75:Z76" si="90">((Q75+V75+W75+X75)/4)/12</f>
        <v>200</v>
      </c>
    </row>
    <row r="76" spans="1:26" ht="18.75" customHeight="1" thickBot="1" x14ac:dyDescent="0.3">
      <c r="A76" s="97"/>
      <c r="B76" s="98"/>
      <c r="C76" s="99"/>
      <c r="D76" s="100"/>
      <c r="E76" s="14">
        <f t="shared" si="82"/>
        <v>0</v>
      </c>
      <c r="F76" s="15">
        <f t="shared" si="82"/>
        <v>0</v>
      </c>
      <c r="G76" s="15">
        <f t="shared" si="82"/>
        <v>0</v>
      </c>
      <c r="H76" s="15">
        <f t="shared" si="82"/>
        <v>0</v>
      </c>
      <c r="I76" s="15">
        <f t="shared" si="82"/>
        <v>0</v>
      </c>
      <c r="J76" s="15">
        <f t="shared" si="82"/>
        <v>0</v>
      </c>
      <c r="K76" s="15">
        <f t="shared" si="82"/>
        <v>0</v>
      </c>
      <c r="L76" s="15">
        <f t="shared" si="82"/>
        <v>0</v>
      </c>
      <c r="M76" s="15">
        <f t="shared" si="82"/>
        <v>0</v>
      </c>
      <c r="N76" s="15">
        <f t="shared" si="82"/>
        <v>0</v>
      </c>
      <c r="O76" s="15">
        <f t="shared" si="82"/>
        <v>0</v>
      </c>
      <c r="P76" s="648">
        <f t="shared" si="82"/>
        <v>0</v>
      </c>
      <c r="Q76" s="16">
        <f t="shared" si="83"/>
        <v>0</v>
      </c>
      <c r="R76" s="565">
        <f t="shared" si="84"/>
        <v>0</v>
      </c>
      <c r="S76" s="15">
        <f t="shared" si="85"/>
        <v>0</v>
      </c>
      <c r="T76" s="15">
        <f t="shared" si="86"/>
        <v>0</v>
      </c>
      <c r="U76" s="648">
        <f t="shared" si="87"/>
        <v>0</v>
      </c>
      <c r="V76" s="16">
        <f t="shared" si="88"/>
        <v>0</v>
      </c>
      <c r="W76" s="16">
        <f t="shared" si="89"/>
        <v>0</v>
      </c>
      <c r="X76" s="17">
        <f t="shared" si="89"/>
        <v>0</v>
      </c>
      <c r="Z76" s="575">
        <f t="shared" si="90"/>
        <v>0</v>
      </c>
    </row>
    <row r="77" spans="1:26" ht="7.5" customHeight="1" thickTop="1" thickBot="1" x14ac:dyDescent="0.3">
      <c r="A77" s="101"/>
      <c r="B77" s="102"/>
      <c r="C77" s="103"/>
      <c r="D77" s="104"/>
      <c r="E77" s="27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9"/>
      <c r="Q77" s="33"/>
      <c r="R77" s="31"/>
      <c r="S77" s="28"/>
      <c r="T77" s="28"/>
      <c r="U77" s="29"/>
      <c r="V77" s="33"/>
      <c r="W77" s="33"/>
      <c r="X77" s="34"/>
      <c r="Z77" s="571"/>
    </row>
    <row r="78" spans="1:26" s="625" customFormat="1" ht="18.75" customHeight="1" thickBot="1" x14ac:dyDescent="0.3">
      <c r="A78" s="572" t="s">
        <v>50</v>
      </c>
      <c r="B78" s="573">
        <f>Z78</f>
        <v>2200</v>
      </c>
      <c r="D78" s="626"/>
      <c r="E78" s="627">
        <f t="shared" ref="E78:X78" si="91">SUM(E74:E77)</f>
        <v>2200</v>
      </c>
      <c r="F78" s="549">
        <f t="shared" si="91"/>
        <v>2200</v>
      </c>
      <c r="G78" s="549">
        <f t="shared" si="91"/>
        <v>2200</v>
      </c>
      <c r="H78" s="549">
        <f t="shared" si="91"/>
        <v>2200</v>
      </c>
      <c r="I78" s="549">
        <f t="shared" si="91"/>
        <v>2200</v>
      </c>
      <c r="J78" s="549">
        <f t="shared" si="91"/>
        <v>2200</v>
      </c>
      <c r="K78" s="549">
        <f t="shared" si="91"/>
        <v>2200</v>
      </c>
      <c r="L78" s="549">
        <f t="shared" si="91"/>
        <v>2200</v>
      </c>
      <c r="M78" s="549">
        <f t="shared" si="91"/>
        <v>2200</v>
      </c>
      <c r="N78" s="549">
        <f t="shared" si="91"/>
        <v>2200</v>
      </c>
      <c r="O78" s="549">
        <f t="shared" si="91"/>
        <v>2200</v>
      </c>
      <c r="P78" s="36">
        <f t="shared" si="91"/>
        <v>2200</v>
      </c>
      <c r="Q78" s="37">
        <f t="shared" si="91"/>
        <v>26400</v>
      </c>
      <c r="R78" s="548">
        <f t="shared" si="91"/>
        <v>6600</v>
      </c>
      <c r="S78" s="549">
        <f t="shared" si="91"/>
        <v>6600</v>
      </c>
      <c r="T78" s="549">
        <f t="shared" si="91"/>
        <v>6600</v>
      </c>
      <c r="U78" s="36">
        <f t="shared" si="91"/>
        <v>6600</v>
      </c>
      <c r="V78" s="37">
        <f t="shared" si="91"/>
        <v>26400</v>
      </c>
      <c r="W78" s="37">
        <f t="shared" si="91"/>
        <v>26400</v>
      </c>
      <c r="X78" s="38">
        <f t="shared" si="91"/>
        <v>26400</v>
      </c>
      <c r="Z78" s="574">
        <f>SUM(Z74:Z76)</f>
        <v>2200</v>
      </c>
    </row>
    <row r="79" spans="1:26" ht="15.75" thickBot="1" x14ac:dyDescent="0.3"/>
    <row r="80" spans="1:26" ht="15" customHeight="1" x14ac:dyDescent="0.25">
      <c r="A80" s="788" t="s">
        <v>75</v>
      </c>
      <c r="B80" s="790" t="s">
        <v>19</v>
      </c>
      <c r="C80" s="790" t="s">
        <v>44</v>
      </c>
      <c r="D80" s="792" t="s">
        <v>245</v>
      </c>
      <c r="E80" s="771" t="s">
        <v>20</v>
      </c>
      <c r="F80" s="770"/>
      <c r="G80" s="770"/>
      <c r="H80" s="770"/>
      <c r="I80" s="770"/>
      <c r="J80" s="770"/>
      <c r="K80" s="770"/>
      <c r="L80" s="770"/>
      <c r="M80" s="770"/>
      <c r="N80" s="770"/>
      <c r="O80" s="770"/>
      <c r="P80" s="770"/>
      <c r="Q80" s="767" t="s">
        <v>20</v>
      </c>
      <c r="R80" s="769" t="s">
        <v>25</v>
      </c>
      <c r="S80" s="770"/>
      <c r="T80" s="770"/>
      <c r="U80" s="770"/>
      <c r="V80" s="767" t="s">
        <v>25</v>
      </c>
      <c r="W80" s="767" t="s">
        <v>26</v>
      </c>
      <c r="X80" s="778" t="s">
        <v>27</v>
      </c>
      <c r="Z80" s="786" t="s">
        <v>49</v>
      </c>
    </row>
    <row r="81" spans="1:26" ht="15.75" thickBot="1" x14ac:dyDescent="0.3">
      <c r="A81" s="789"/>
      <c r="B81" s="791"/>
      <c r="C81" s="791"/>
      <c r="D81" s="793"/>
      <c r="E81" s="1">
        <v>1</v>
      </c>
      <c r="F81" s="2">
        <v>2</v>
      </c>
      <c r="G81" s="2">
        <v>3</v>
      </c>
      <c r="H81" s="2">
        <v>4</v>
      </c>
      <c r="I81" s="2">
        <v>5</v>
      </c>
      <c r="J81" s="2">
        <v>6</v>
      </c>
      <c r="K81" s="2">
        <v>7</v>
      </c>
      <c r="L81" s="2">
        <v>8</v>
      </c>
      <c r="M81" s="2">
        <v>9</v>
      </c>
      <c r="N81" s="2">
        <v>10</v>
      </c>
      <c r="O81" s="2">
        <v>11</v>
      </c>
      <c r="P81" s="3">
        <v>12</v>
      </c>
      <c r="Q81" s="768"/>
      <c r="R81" s="4" t="s">
        <v>21</v>
      </c>
      <c r="S81" s="2" t="s">
        <v>22</v>
      </c>
      <c r="T81" s="2" t="s">
        <v>23</v>
      </c>
      <c r="U81" s="3" t="s">
        <v>24</v>
      </c>
      <c r="V81" s="768"/>
      <c r="W81" s="768"/>
      <c r="X81" s="779"/>
      <c r="Z81" s="787"/>
    </row>
    <row r="82" spans="1:26" ht="18.75" customHeight="1" thickTop="1" x14ac:dyDescent="0.25">
      <c r="A82" s="92" t="s">
        <v>76</v>
      </c>
      <c r="B82" s="18">
        <v>88</v>
      </c>
      <c r="C82" s="19" t="s">
        <v>45</v>
      </c>
      <c r="D82" s="20" t="s">
        <v>48</v>
      </c>
      <c r="E82" s="6">
        <f t="shared" ref="E82:P84" si="92">IF(AND($C82="j",$D82=E$34),$B82,IF($C82="h",$B82*IF($D82=IF(MOD(E$34,6)=0,6,MOD(E$34,6)),1,0),IF($C82="q",$B82*IF($D82=IF(MOD(E$34,3)=0,3,MOD(E$34,3)),1,0),IF($C82="z",$B82*IF($D82=IF(MOD(E$34,2)=0,2,MOD(E$34,2)),1,0),IF($C82="m",$B82,0)))))</f>
        <v>88</v>
      </c>
      <c r="F82" s="7">
        <f t="shared" si="92"/>
        <v>88</v>
      </c>
      <c r="G82" s="7">
        <f t="shared" si="92"/>
        <v>88</v>
      </c>
      <c r="H82" s="7">
        <f t="shared" si="92"/>
        <v>88</v>
      </c>
      <c r="I82" s="7">
        <f t="shared" si="92"/>
        <v>88</v>
      </c>
      <c r="J82" s="7">
        <f t="shared" si="92"/>
        <v>88</v>
      </c>
      <c r="K82" s="7">
        <f t="shared" si="92"/>
        <v>88</v>
      </c>
      <c r="L82" s="7">
        <f t="shared" si="92"/>
        <v>88</v>
      </c>
      <c r="M82" s="7">
        <f t="shared" si="92"/>
        <v>88</v>
      </c>
      <c r="N82" s="7">
        <f t="shared" si="92"/>
        <v>88</v>
      </c>
      <c r="O82" s="7">
        <f t="shared" si="92"/>
        <v>88</v>
      </c>
      <c r="P82" s="180">
        <f t="shared" si="92"/>
        <v>88</v>
      </c>
      <c r="Q82" s="8">
        <f>SUM(E82:P82)</f>
        <v>1056</v>
      </c>
      <c r="R82" s="307">
        <f>IF(AND($C82="j",$D82&gt;=1,$D82&lt;=3),$B82,IF(AND($C82="h",$D82&gt;=1,$D82&lt;=3),$B82,IF(AND($C82="q",$D82&gt;=1,$D82&lt;=3),$B82,IF($C82="z",IF($D82=1,2*$B82,$B82),IF($C82="m",3*$B82,0)))))</f>
        <v>264</v>
      </c>
      <c r="S82" s="7">
        <f>IF(AND($C82="j",$D82&gt;=4,$D82&lt;=6),$B82,IF(AND($C82="h",$D82&gt;=4,$D82&lt;=6),$B82,IF(AND($C82="q",$D82&gt;=1,$D82&lt;=3),$B82,IF($C82="z",IF($D82=2,2*$B82,$B82),IF($C82="m",3*$B82,0)))))</f>
        <v>264</v>
      </c>
      <c r="T82" s="7">
        <f>IF(AND($C82="j",$D82&gt;=7,$D82&lt;=9),$B82,IF(AND($C82="h",$D82&gt;=1,$D82&lt;=3),$B82,IF(AND($C82="q",$D82&gt;=1,$D82&lt;=3),$B82,IF($C82="z",IF($D82=1,2*$B82,$B82),IF($C82="m",3*$B82,0)))))</f>
        <v>264</v>
      </c>
      <c r="U82" s="180">
        <f>IF(AND($C82="j",$D82&gt;=10,$D82&lt;=12),$B82,IF(AND($C82="h",$D82&gt;=4,$D82&lt;=6),$B82,IF(AND($C82="q",$D82&gt;=1,$D82&lt;=3),$B82,IF($C82="z",IF($D82=2,2*$B82,$B82),IF($C82="m",3*$B82,0)))))</f>
        <v>264</v>
      </c>
      <c r="V82" s="8">
        <f>SUM(R82:U82)</f>
        <v>1056</v>
      </c>
      <c r="W82" s="8">
        <f>IF($C82="j",$B82,IF($C82="h",2*$B82,IF($C82="q",4*$B82,IF($C82="z",6*$B82,12*$B82))))</f>
        <v>1056</v>
      </c>
      <c r="X82" s="9">
        <f>IF($C82="j",$B82,IF($C82="h",2*$B82,IF($C82="q",4*$B82,IF($C82="z",6*$B82,12*$B82))))</f>
        <v>1056</v>
      </c>
      <c r="Z82" s="569">
        <f>((Q82+V82+W82+X82)/4)/12</f>
        <v>88</v>
      </c>
    </row>
    <row r="83" spans="1:26" ht="18.75" customHeight="1" x14ac:dyDescent="0.25">
      <c r="A83" s="93" t="s">
        <v>77</v>
      </c>
      <c r="B83" s="94">
        <v>300</v>
      </c>
      <c r="C83" s="95" t="s">
        <v>45</v>
      </c>
      <c r="D83" s="96" t="s">
        <v>48</v>
      </c>
      <c r="E83" s="10">
        <f t="shared" si="92"/>
        <v>300</v>
      </c>
      <c r="F83" s="11">
        <f t="shared" si="92"/>
        <v>300</v>
      </c>
      <c r="G83" s="11">
        <f t="shared" si="92"/>
        <v>300</v>
      </c>
      <c r="H83" s="11">
        <f t="shared" si="92"/>
        <v>300</v>
      </c>
      <c r="I83" s="11">
        <f t="shared" si="92"/>
        <v>300</v>
      </c>
      <c r="J83" s="11">
        <f t="shared" si="92"/>
        <v>300</v>
      </c>
      <c r="K83" s="11">
        <f t="shared" si="92"/>
        <v>300</v>
      </c>
      <c r="L83" s="11">
        <f t="shared" si="92"/>
        <v>300</v>
      </c>
      <c r="M83" s="11">
        <f t="shared" si="92"/>
        <v>300</v>
      </c>
      <c r="N83" s="11">
        <f t="shared" si="92"/>
        <v>300</v>
      </c>
      <c r="O83" s="11">
        <f t="shared" si="92"/>
        <v>300</v>
      </c>
      <c r="P83" s="185">
        <f t="shared" si="92"/>
        <v>300</v>
      </c>
      <c r="Q83" s="12">
        <f t="shared" ref="Q83:Q84" si="93">SUM(E83:P83)</f>
        <v>3600</v>
      </c>
      <c r="R83" s="308">
        <f t="shared" ref="R83:R84" si="94">IF(AND($C83="j",$D83&gt;=1,$D83&lt;=3),$B83,IF(AND($C83="h",$D83&gt;=1,$D83&lt;=3),$B83,IF(AND($C83="q",$D83&gt;=1,$D83&lt;=3),$B83,IF($C83="z",IF($D83=1,2*$B83,$B83),IF($C83="m",3*$B83,0)))))</f>
        <v>900</v>
      </c>
      <c r="S83" s="11">
        <f t="shared" ref="S83:S84" si="95">IF(AND($C83="j",$D83&gt;=4,$D83&lt;=6),$B83,IF(AND($C83="h",$D83&gt;=4,$D83&lt;=6),$B83,IF(AND($C83="q",$D83&gt;=1,$D83&lt;=3),$B83,IF($C83="z",IF($D83=2,2*$B83,$B83),IF($C83="m",3*$B83,0)))))</f>
        <v>900</v>
      </c>
      <c r="T83" s="11">
        <f t="shared" ref="T83:T84" si="96">IF(AND($C83="j",$D83&gt;=7,$D83&lt;=9),$B83,IF(AND($C83="h",$D83&gt;=1,$D83&lt;=3),$B83,IF(AND($C83="q",$D83&gt;=1,$D83&lt;=3),$B83,IF($C83="z",IF($D83=1,2*$B83,$B83),IF($C83="m",3*$B83,0)))))</f>
        <v>900</v>
      </c>
      <c r="U83" s="185">
        <f t="shared" ref="U83:U84" si="97">IF(AND($C83="j",$D83&gt;=10,$D83&lt;=12),$B83,IF(AND($C83="h",$D83&gt;=4,$D83&lt;=6),$B83,IF(AND($C83="q",$D83&gt;=1,$D83&lt;=3),$B83,IF($C83="z",IF($D83=2,2*$B83,$B83),IF($C83="m",3*$B83,0)))))</f>
        <v>900</v>
      </c>
      <c r="V83" s="12">
        <f t="shared" ref="V83:V84" si="98">SUM(R83:U83)</f>
        <v>3600</v>
      </c>
      <c r="W83" s="12">
        <f t="shared" ref="W83:X84" si="99">IF($C83="j",$B83,IF($C83="h",2*$B83,IF($C83="q",4*$B83,IF($C83="z",6*$B83,12*$B83))))</f>
        <v>3600</v>
      </c>
      <c r="X83" s="13">
        <f t="shared" si="99"/>
        <v>3600</v>
      </c>
      <c r="Z83" s="570">
        <f t="shared" ref="Z83:Z84" si="100">((Q83+V83+W83+X83)/4)/12</f>
        <v>300</v>
      </c>
    </row>
    <row r="84" spans="1:26" ht="18.75" customHeight="1" thickBot="1" x14ac:dyDescent="0.3">
      <c r="A84" s="97"/>
      <c r="B84" s="98"/>
      <c r="C84" s="99"/>
      <c r="D84" s="100"/>
      <c r="E84" s="14">
        <f t="shared" si="92"/>
        <v>0</v>
      </c>
      <c r="F84" s="15">
        <f t="shared" si="92"/>
        <v>0</v>
      </c>
      <c r="G84" s="15">
        <f t="shared" si="92"/>
        <v>0</v>
      </c>
      <c r="H84" s="15">
        <f t="shared" si="92"/>
        <v>0</v>
      </c>
      <c r="I84" s="15">
        <f t="shared" si="92"/>
        <v>0</v>
      </c>
      <c r="J84" s="15">
        <f t="shared" si="92"/>
        <v>0</v>
      </c>
      <c r="K84" s="15">
        <f t="shared" si="92"/>
        <v>0</v>
      </c>
      <c r="L84" s="15">
        <f t="shared" si="92"/>
        <v>0</v>
      </c>
      <c r="M84" s="15">
        <f t="shared" si="92"/>
        <v>0</v>
      </c>
      <c r="N84" s="15">
        <f t="shared" si="92"/>
        <v>0</v>
      </c>
      <c r="O84" s="15">
        <f t="shared" si="92"/>
        <v>0</v>
      </c>
      <c r="P84" s="648">
        <f t="shared" si="92"/>
        <v>0</v>
      </c>
      <c r="Q84" s="16">
        <f t="shared" si="93"/>
        <v>0</v>
      </c>
      <c r="R84" s="565">
        <f t="shared" si="94"/>
        <v>0</v>
      </c>
      <c r="S84" s="15">
        <f t="shared" si="95"/>
        <v>0</v>
      </c>
      <c r="T84" s="15">
        <f t="shared" si="96"/>
        <v>0</v>
      </c>
      <c r="U84" s="648">
        <f t="shared" si="97"/>
        <v>0</v>
      </c>
      <c r="V84" s="16">
        <f t="shared" si="98"/>
        <v>0</v>
      </c>
      <c r="W84" s="16">
        <f t="shared" si="99"/>
        <v>0</v>
      </c>
      <c r="X84" s="17">
        <f t="shared" si="99"/>
        <v>0</v>
      </c>
      <c r="Z84" s="575">
        <f t="shared" si="100"/>
        <v>0</v>
      </c>
    </row>
    <row r="85" spans="1:26" ht="7.5" customHeight="1" thickTop="1" thickBot="1" x14ac:dyDescent="0.3">
      <c r="A85" s="101"/>
      <c r="B85" s="102"/>
      <c r="C85" s="103"/>
      <c r="D85" s="104"/>
      <c r="E85" s="27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9"/>
      <c r="Q85" s="33"/>
      <c r="R85" s="31"/>
      <c r="S85" s="28"/>
      <c r="T85" s="28"/>
      <c r="U85" s="29"/>
      <c r="V85" s="33"/>
      <c r="W85" s="33"/>
      <c r="X85" s="34"/>
      <c r="Z85" s="571"/>
    </row>
    <row r="86" spans="1:26" s="625" customFormat="1" ht="18.75" customHeight="1" thickBot="1" x14ac:dyDescent="0.3">
      <c r="A86" s="572" t="s">
        <v>50</v>
      </c>
      <c r="B86" s="573">
        <f>Z86</f>
        <v>388</v>
      </c>
      <c r="D86" s="626"/>
      <c r="E86" s="627">
        <f t="shared" ref="E86:X86" si="101">SUM(E82:E85)</f>
        <v>388</v>
      </c>
      <c r="F86" s="549">
        <f t="shared" si="101"/>
        <v>388</v>
      </c>
      <c r="G86" s="549">
        <f t="shared" si="101"/>
        <v>388</v>
      </c>
      <c r="H86" s="549">
        <f t="shared" si="101"/>
        <v>388</v>
      </c>
      <c r="I86" s="549">
        <f t="shared" si="101"/>
        <v>388</v>
      </c>
      <c r="J86" s="549">
        <f t="shared" si="101"/>
        <v>388</v>
      </c>
      <c r="K86" s="549">
        <f t="shared" si="101"/>
        <v>388</v>
      </c>
      <c r="L86" s="549">
        <f t="shared" si="101"/>
        <v>388</v>
      </c>
      <c r="M86" s="549">
        <f t="shared" si="101"/>
        <v>388</v>
      </c>
      <c r="N86" s="549">
        <f t="shared" si="101"/>
        <v>388</v>
      </c>
      <c r="O86" s="549">
        <f t="shared" si="101"/>
        <v>388</v>
      </c>
      <c r="P86" s="36">
        <f t="shared" si="101"/>
        <v>388</v>
      </c>
      <c r="Q86" s="37">
        <f t="shared" si="101"/>
        <v>4656</v>
      </c>
      <c r="R86" s="548">
        <f t="shared" si="101"/>
        <v>1164</v>
      </c>
      <c r="S86" s="549">
        <f t="shared" si="101"/>
        <v>1164</v>
      </c>
      <c r="T86" s="549">
        <f t="shared" si="101"/>
        <v>1164</v>
      </c>
      <c r="U86" s="36">
        <f t="shared" si="101"/>
        <v>1164</v>
      </c>
      <c r="V86" s="37">
        <f t="shared" si="101"/>
        <v>4656</v>
      </c>
      <c r="W86" s="37">
        <f t="shared" si="101"/>
        <v>4656</v>
      </c>
      <c r="X86" s="38">
        <f t="shared" si="101"/>
        <v>4656</v>
      </c>
      <c r="Z86" s="574">
        <f>SUM(Z82:Z84)</f>
        <v>388</v>
      </c>
    </row>
    <row r="87" spans="1:26" ht="15.75" thickBot="1" x14ac:dyDescent="0.3">
      <c r="V87" s="655"/>
    </row>
    <row r="88" spans="1:26" ht="15" customHeight="1" x14ac:dyDescent="0.25">
      <c r="A88" s="788" t="s">
        <v>78</v>
      </c>
      <c r="B88" s="790" t="s">
        <v>19</v>
      </c>
      <c r="C88" s="790" t="s">
        <v>44</v>
      </c>
      <c r="D88" s="792" t="s">
        <v>245</v>
      </c>
      <c r="E88" s="771" t="s">
        <v>20</v>
      </c>
      <c r="F88" s="770"/>
      <c r="G88" s="770"/>
      <c r="H88" s="770"/>
      <c r="I88" s="770"/>
      <c r="J88" s="770"/>
      <c r="K88" s="770"/>
      <c r="L88" s="770"/>
      <c r="M88" s="770"/>
      <c r="N88" s="770"/>
      <c r="O88" s="770"/>
      <c r="P88" s="770"/>
      <c r="Q88" s="767" t="s">
        <v>20</v>
      </c>
      <c r="R88" s="769" t="s">
        <v>25</v>
      </c>
      <c r="S88" s="770"/>
      <c r="T88" s="770"/>
      <c r="U88" s="770"/>
      <c r="V88" s="767" t="s">
        <v>25</v>
      </c>
      <c r="W88" s="767" t="s">
        <v>26</v>
      </c>
      <c r="X88" s="778" t="s">
        <v>27</v>
      </c>
      <c r="Z88" s="786" t="s">
        <v>49</v>
      </c>
    </row>
    <row r="89" spans="1:26" ht="15.75" thickBot="1" x14ac:dyDescent="0.3">
      <c r="A89" s="789"/>
      <c r="B89" s="791"/>
      <c r="C89" s="791"/>
      <c r="D89" s="793"/>
      <c r="E89" s="1">
        <v>1</v>
      </c>
      <c r="F89" s="2">
        <v>2</v>
      </c>
      <c r="G89" s="2">
        <v>3</v>
      </c>
      <c r="H89" s="2">
        <v>4</v>
      </c>
      <c r="I89" s="2">
        <v>5</v>
      </c>
      <c r="J89" s="2">
        <v>6</v>
      </c>
      <c r="K89" s="2">
        <v>7</v>
      </c>
      <c r="L89" s="2">
        <v>8</v>
      </c>
      <c r="M89" s="2">
        <v>9</v>
      </c>
      <c r="N89" s="2">
        <v>10</v>
      </c>
      <c r="O89" s="2">
        <v>11</v>
      </c>
      <c r="P89" s="3">
        <v>12</v>
      </c>
      <c r="Q89" s="768"/>
      <c r="R89" s="4" t="s">
        <v>21</v>
      </c>
      <c r="S89" s="2" t="s">
        <v>22</v>
      </c>
      <c r="T89" s="2" t="s">
        <v>23</v>
      </c>
      <c r="U89" s="3" t="s">
        <v>24</v>
      </c>
      <c r="V89" s="768"/>
      <c r="W89" s="768"/>
      <c r="X89" s="779"/>
      <c r="Z89" s="787"/>
    </row>
    <row r="90" spans="1:26" ht="18.75" customHeight="1" thickTop="1" x14ac:dyDescent="0.25">
      <c r="A90" s="117" t="s">
        <v>86</v>
      </c>
      <c r="B90" s="18">
        <v>2000</v>
      </c>
      <c r="C90" s="112" t="s">
        <v>47</v>
      </c>
      <c r="D90" s="113">
        <v>3</v>
      </c>
      <c r="E90" s="6">
        <f>IF(AND($C90="j",$D90=E$34),$B90,IF($C90="h",$B90*IF($D90=IF(MOD(E$34,6)=0,6,MOD(E$34,6)),1,0),IF($C90="q",$B90*IF($D90=IF(MOD(E$34,3)=0,3,MOD(E$34,3)),1,0),IF($C90="z",$B90*IF($D90=IF(MOD(E$34,2)=0,2,MOD(E$34,2)),1,0),IF($C90="m",$B90,0)))))</f>
        <v>0</v>
      </c>
      <c r="F90" s="7">
        <f t="shared" ref="F90:P93" si="102">IF(AND($C90="j",$D90=F$34),$B90,IF($C90="h",$B90*IF($D90=IF(MOD(F$34,6)=0,6,MOD(F$34,6)),1,0),IF($C90="q",$B90*IF($D90=IF(MOD(F$34,3)=0,3,MOD(F$34,3)),1,0),IF($C90="z",$B90*IF($D90=IF(MOD(F$34,2)=0,2,MOD(F$34,2)),1,0),IF($C90="m",$B90,0)))))</f>
        <v>0</v>
      </c>
      <c r="G90" s="7">
        <f t="shared" si="102"/>
        <v>2000</v>
      </c>
      <c r="H90" s="7">
        <f t="shared" si="102"/>
        <v>0</v>
      </c>
      <c r="I90" s="7">
        <f t="shared" si="102"/>
        <v>0</v>
      </c>
      <c r="J90" s="7">
        <f t="shared" si="102"/>
        <v>0</v>
      </c>
      <c r="K90" s="7">
        <f t="shared" si="102"/>
        <v>0</v>
      </c>
      <c r="L90" s="7">
        <f t="shared" si="102"/>
        <v>0</v>
      </c>
      <c r="M90" s="7">
        <f t="shared" si="102"/>
        <v>0</v>
      </c>
      <c r="N90" s="7">
        <f t="shared" si="102"/>
        <v>0</v>
      </c>
      <c r="O90" s="7">
        <f t="shared" si="102"/>
        <v>0</v>
      </c>
      <c r="P90" s="180">
        <f t="shared" si="102"/>
        <v>0</v>
      </c>
      <c r="Q90" s="8">
        <f>SUM(E90:P90)</f>
        <v>2000</v>
      </c>
      <c r="R90" s="307">
        <v>0</v>
      </c>
      <c r="S90" s="7">
        <v>0</v>
      </c>
      <c r="T90" s="7">
        <v>0</v>
      </c>
      <c r="U90" s="180">
        <v>0</v>
      </c>
      <c r="V90" s="8">
        <f>SUM(R90:U90)</f>
        <v>0</v>
      </c>
      <c r="W90" s="8">
        <v>0</v>
      </c>
      <c r="X90" s="9">
        <v>0</v>
      </c>
      <c r="Z90" s="569">
        <f>((Q90+V90+W90+X90)/4)/12</f>
        <v>41.666666666666664</v>
      </c>
    </row>
    <row r="91" spans="1:26" ht="18.75" customHeight="1" x14ac:dyDescent="0.25">
      <c r="A91" s="93" t="s">
        <v>87</v>
      </c>
      <c r="B91" s="94">
        <v>3000</v>
      </c>
      <c r="C91" s="95" t="s">
        <v>47</v>
      </c>
      <c r="D91" s="96">
        <v>10</v>
      </c>
      <c r="E91" s="10">
        <f t="shared" ref="E91:P93" si="103">IF(AND($C91="j",$D91=E$34),$B91,IF($C91="h",$B91*IF($D91=IF(MOD(E$34,6)=0,6,MOD(E$34,6)),1,0),IF($C91="q",$B91*IF($D91=IF(MOD(E$34,3)=0,3,MOD(E$34,3)),1,0),IF($C91="z",$B91*IF($D91=IF(MOD(E$34,2)=0,2,MOD(E$34,2)),1,0),IF($C91="m",$B91,0)))))</f>
        <v>0</v>
      </c>
      <c r="F91" s="11">
        <f t="shared" si="102"/>
        <v>0</v>
      </c>
      <c r="G91" s="11">
        <f t="shared" si="102"/>
        <v>0</v>
      </c>
      <c r="H91" s="11">
        <f t="shared" si="102"/>
        <v>0</v>
      </c>
      <c r="I91" s="11">
        <f t="shared" si="102"/>
        <v>0</v>
      </c>
      <c r="J91" s="11">
        <f t="shared" si="102"/>
        <v>0</v>
      </c>
      <c r="K91" s="11">
        <f t="shared" si="102"/>
        <v>0</v>
      </c>
      <c r="L91" s="11">
        <f t="shared" si="102"/>
        <v>0</v>
      </c>
      <c r="M91" s="11">
        <f t="shared" si="102"/>
        <v>0</v>
      </c>
      <c r="N91" s="11">
        <f t="shared" si="102"/>
        <v>3000</v>
      </c>
      <c r="O91" s="11">
        <f t="shared" si="102"/>
        <v>0</v>
      </c>
      <c r="P91" s="185">
        <f t="shared" si="102"/>
        <v>0</v>
      </c>
      <c r="Q91" s="12">
        <f t="shared" ref="Q91:Q93" si="104">SUM(E91:P91)</f>
        <v>3000</v>
      </c>
      <c r="R91" s="308">
        <f t="shared" ref="R91:R93" si="105">IF(AND($C91="j",$D91&gt;=1,$D91&lt;=3),$B91,IF(AND($C91="h",$D91&gt;=1,$D91&lt;=3),$B91,IF(AND($C91="q",$D91&gt;=1,$D91&lt;=3),$B91,IF($C91="z",IF($D91=1,2*$B91,$B91),IF($C91="m",3*$B91,0)))))</f>
        <v>0</v>
      </c>
      <c r="S91" s="11">
        <f t="shared" ref="S91:S93" si="106">IF(AND($C91="j",$D91&gt;=4,$D91&lt;=6),$B91,IF(AND($C91="h",$D91&gt;=4,$D91&lt;=6),$B91,IF(AND($C91="q",$D91&gt;=1,$D91&lt;=3),$B91,IF($C91="z",IF($D91=2,2*$B91,$B91),IF($C91="m",3*$B91,0)))))</f>
        <v>0</v>
      </c>
      <c r="T91" s="11">
        <f t="shared" ref="T91:T93" si="107">IF(AND($C91="j",$D91&gt;=7,$D91&lt;=9),$B91,IF(AND($C91="h",$D91&gt;=1,$D91&lt;=3),$B91,IF(AND($C91="q",$D91&gt;=1,$D91&lt;=3),$B91,IF($C91="z",IF($D91=1,2*$B91,$B91),IF($C91="m",3*$B91,0)))))</f>
        <v>0</v>
      </c>
      <c r="U91" s="185">
        <f t="shared" ref="U91:U93" si="108">IF(AND($C91="j",$D91&gt;=10,$D91&lt;=12),$B91,IF(AND($C91="h",$D91&gt;=4,$D91&lt;=6),$B91,IF(AND($C91="q",$D91&gt;=1,$D91&lt;=3),$B91,IF($C91="z",IF($D91=2,2*$B91,$B91),IF($C91="m",3*$B91,0)))))</f>
        <v>3000</v>
      </c>
      <c r="V91" s="12">
        <f t="shared" ref="V91:V93" si="109">SUM(R91:U91)</f>
        <v>3000</v>
      </c>
      <c r="W91" s="12">
        <f t="shared" ref="W91:X93" si="110">IF($C91="j",$B91,IF($C91="h",2*$B91,IF($C91="q",4*$B91,IF($C91="z",6*$B91,12*$B91))))</f>
        <v>3000</v>
      </c>
      <c r="X91" s="13">
        <f t="shared" si="110"/>
        <v>3000</v>
      </c>
      <c r="Z91" s="570">
        <f t="shared" ref="Z91:Z93" si="111">((Q91+V91+W91+X91)/4)/12</f>
        <v>250</v>
      </c>
    </row>
    <row r="92" spans="1:26" ht="18.75" customHeight="1" x14ac:dyDescent="0.25">
      <c r="A92" s="97" t="s">
        <v>93</v>
      </c>
      <c r="B92" s="98">
        <v>300</v>
      </c>
      <c r="C92" s="99" t="s">
        <v>45</v>
      </c>
      <c r="D92" s="100" t="s">
        <v>48</v>
      </c>
      <c r="E92" s="10">
        <f t="shared" si="103"/>
        <v>300</v>
      </c>
      <c r="F92" s="15">
        <f t="shared" si="103"/>
        <v>300</v>
      </c>
      <c r="G92" s="15">
        <f t="shared" si="103"/>
        <v>300</v>
      </c>
      <c r="H92" s="15">
        <f t="shared" si="103"/>
        <v>300</v>
      </c>
      <c r="I92" s="15">
        <f t="shared" si="103"/>
        <v>300</v>
      </c>
      <c r="J92" s="15">
        <f t="shared" si="103"/>
        <v>300</v>
      </c>
      <c r="K92" s="15">
        <f t="shared" si="103"/>
        <v>300</v>
      </c>
      <c r="L92" s="15">
        <f t="shared" si="103"/>
        <v>300</v>
      </c>
      <c r="M92" s="15">
        <f t="shared" si="103"/>
        <v>300</v>
      </c>
      <c r="N92" s="15">
        <f t="shared" si="103"/>
        <v>300</v>
      </c>
      <c r="O92" s="15">
        <f t="shared" si="103"/>
        <v>300</v>
      </c>
      <c r="P92" s="648">
        <f t="shared" si="103"/>
        <v>300</v>
      </c>
      <c r="Q92" s="12">
        <f t="shared" si="104"/>
        <v>3600</v>
      </c>
      <c r="R92" s="308">
        <f t="shared" si="105"/>
        <v>900</v>
      </c>
      <c r="S92" s="11">
        <f t="shared" si="106"/>
        <v>900</v>
      </c>
      <c r="T92" s="11">
        <f t="shared" si="107"/>
        <v>900</v>
      </c>
      <c r="U92" s="185">
        <f t="shared" si="108"/>
        <v>900</v>
      </c>
      <c r="V92" s="12">
        <f t="shared" si="109"/>
        <v>3600</v>
      </c>
      <c r="W92" s="12">
        <f t="shared" si="110"/>
        <v>3600</v>
      </c>
      <c r="X92" s="13">
        <f t="shared" si="110"/>
        <v>3600</v>
      </c>
      <c r="Z92" s="570">
        <f t="shared" si="111"/>
        <v>300</v>
      </c>
    </row>
    <row r="93" spans="1:26" ht="18.75" customHeight="1" thickBot="1" x14ac:dyDescent="0.3">
      <c r="A93" s="97"/>
      <c r="B93" s="98"/>
      <c r="C93" s="99"/>
      <c r="D93" s="100"/>
      <c r="E93" s="14">
        <f t="shared" si="103"/>
        <v>0</v>
      </c>
      <c r="F93" s="15">
        <f t="shared" si="102"/>
        <v>0</v>
      </c>
      <c r="G93" s="15">
        <f t="shared" si="102"/>
        <v>0</v>
      </c>
      <c r="H93" s="15">
        <f t="shared" si="102"/>
        <v>0</v>
      </c>
      <c r="I93" s="15">
        <f t="shared" si="102"/>
        <v>0</v>
      </c>
      <c r="J93" s="15">
        <f t="shared" si="102"/>
        <v>0</v>
      </c>
      <c r="K93" s="15">
        <f t="shared" si="102"/>
        <v>0</v>
      </c>
      <c r="L93" s="15">
        <f t="shared" si="102"/>
        <v>0</v>
      </c>
      <c r="M93" s="15">
        <f t="shared" si="102"/>
        <v>0</v>
      </c>
      <c r="N93" s="15">
        <f t="shared" si="102"/>
        <v>0</v>
      </c>
      <c r="O93" s="15">
        <f t="shared" si="102"/>
        <v>0</v>
      </c>
      <c r="P93" s="648">
        <f t="shared" si="102"/>
        <v>0</v>
      </c>
      <c r="Q93" s="16">
        <f t="shared" si="104"/>
        <v>0</v>
      </c>
      <c r="R93" s="565">
        <f t="shared" si="105"/>
        <v>0</v>
      </c>
      <c r="S93" s="15">
        <f t="shared" si="106"/>
        <v>0</v>
      </c>
      <c r="T93" s="15">
        <f t="shared" si="107"/>
        <v>0</v>
      </c>
      <c r="U93" s="648">
        <f t="shared" si="108"/>
        <v>0</v>
      </c>
      <c r="V93" s="16">
        <f t="shared" si="109"/>
        <v>0</v>
      </c>
      <c r="W93" s="16">
        <f t="shared" si="110"/>
        <v>0</v>
      </c>
      <c r="X93" s="17">
        <f t="shared" si="110"/>
        <v>0</v>
      </c>
      <c r="Z93" s="575">
        <f t="shared" si="111"/>
        <v>0</v>
      </c>
    </row>
    <row r="94" spans="1:26" ht="7.5" customHeight="1" thickTop="1" thickBot="1" x14ac:dyDescent="0.3">
      <c r="A94" s="101"/>
      <c r="B94" s="102"/>
      <c r="C94" s="103"/>
      <c r="D94" s="104"/>
      <c r="E94" s="27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9"/>
      <c r="Q94" s="33"/>
      <c r="R94" s="31"/>
      <c r="S94" s="28"/>
      <c r="T94" s="28"/>
      <c r="U94" s="29"/>
      <c r="V94" s="33"/>
      <c r="W94" s="33"/>
      <c r="X94" s="34"/>
      <c r="Z94" s="571"/>
    </row>
    <row r="95" spans="1:26" s="625" customFormat="1" ht="18.75" customHeight="1" thickBot="1" x14ac:dyDescent="0.3">
      <c r="A95" s="572" t="s">
        <v>50</v>
      </c>
      <c r="B95" s="573">
        <f>Z95</f>
        <v>591.66666666666674</v>
      </c>
      <c r="D95" s="626"/>
      <c r="E95" s="627">
        <f>SUM(E90:E94)</f>
        <v>300</v>
      </c>
      <c r="F95" s="549">
        <f t="shared" ref="F95:X95" si="112">SUM(F90:F94)</f>
        <v>300</v>
      </c>
      <c r="G95" s="549">
        <f t="shared" si="112"/>
        <v>2300</v>
      </c>
      <c r="H95" s="549">
        <f t="shared" si="112"/>
        <v>300</v>
      </c>
      <c r="I95" s="549">
        <f t="shared" si="112"/>
        <v>300</v>
      </c>
      <c r="J95" s="549">
        <f t="shared" si="112"/>
        <v>300</v>
      </c>
      <c r="K95" s="549">
        <f t="shared" si="112"/>
        <v>300</v>
      </c>
      <c r="L95" s="549">
        <f t="shared" si="112"/>
        <v>300</v>
      </c>
      <c r="M95" s="549">
        <f t="shared" si="112"/>
        <v>300</v>
      </c>
      <c r="N95" s="549">
        <f t="shared" si="112"/>
        <v>3300</v>
      </c>
      <c r="O95" s="549">
        <f t="shared" si="112"/>
        <v>300</v>
      </c>
      <c r="P95" s="36">
        <f t="shared" si="112"/>
        <v>300</v>
      </c>
      <c r="Q95" s="37">
        <f t="shared" si="112"/>
        <v>8600</v>
      </c>
      <c r="R95" s="548">
        <f t="shared" si="112"/>
        <v>900</v>
      </c>
      <c r="S95" s="549">
        <f t="shared" si="112"/>
        <v>900</v>
      </c>
      <c r="T95" s="549">
        <f t="shared" si="112"/>
        <v>900</v>
      </c>
      <c r="U95" s="36">
        <f t="shared" si="112"/>
        <v>3900</v>
      </c>
      <c r="V95" s="37">
        <f t="shared" si="112"/>
        <v>6600</v>
      </c>
      <c r="W95" s="37">
        <f t="shared" si="112"/>
        <v>6600</v>
      </c>
      <c r="X95" s="38">
        <f t="shared" si="112"/>
        <v>6600</v>
      </c>
      <c r="Z95" s="574">
        <f>SUM(Z90:Z93)</f>
        <v>591.66666666666674</v>
      </c>
    </row>
    <row r="96" spans="1:26" ht="15.75" thickBot="1" x14ac:dyDescent="0.3"/>
    <row r="97" spans="1:26" ht="15" customHeight="1" x14ac:dyDescent="0.25">
      <c r="A97" s="788" t="s">
        <v>80</v>
      </c>
      <c r="B97" s="790" t="s">
        <v>19</v>
      </c>
      <c r="C97" s="790" t="s">
        <v>44</v>
      </c>
      <c r="D97" s="792" t="s">
        <v>245</v>
      </c>
      <c r="E97" s="771" t="s">
        <v>20</v>
      </c>
      <c r="F97" s="770"/>
      <c r="G97" s="770"/>
      <c r="H97" s="770"/>
      <c r="I97" s="770"/>
      <c r="J97" s="770"/>
      <c r="K97" s="770"/>
      <c r="L97" s="770"/>
      <c r="M97" s="770"/>
      <c r="N97" s="770"/>
      <c r="O97" s="770"/>
      <c r="P97" s="770"/>
      <c r="Q97" s="767" t="s">
        <v>20</v>
      </c>
      <c r="R97" s="769" t="s">
        <v>25</v>
      </c>
      <c r="S97" s="770"/>
      <c r="T97" s="770"/>
      <c r="U97" s="770"/>
      <c r="V97" s="767" t="s">
        <v>25</v>
      </c>
      <c r="W97" s="767" t="s">
        <v>26</v>
      </c>
      <c r="X97" s="778" t="s">
        <v>27</v>
      </c>
      <c r="Z97" s="786" t="s">
        <v>49</v>
      </c>
    </row>
    <row r="98" spans="1:26" ht="15.75" thickBot="1" x14ac:dyDescent="0.3">
      <c r="A98" s="789"/>
      <c r="B98" s="791"/>
      <c r="C98" s="791"/>
      <c r="D98" s="793"/>
      <c r="E98" s="1">
        <v>1</v>
      </c>
      <c r="F98" s="2">
        <v>2</v>
      </c>
      <c r="G98" s="2">
        <v>3</v>
      </c>
      <c r="H98" s="2">
        <v>4</v>
      </c>
      <c r="I98" s="2">
        <v>5</v>
      </c>
      <c r="J98" s="2">
        <v>6</v>
      </c>
      <c r="K98" s="2">
        <v>7</v>
      </c>
      <c r="L98" s="2">
        <v>8</v>
      </c>
      <c r="M98" s="2">
        <v>9</v>
      </c>
      <c r="N98" s="2">
        <v>10</v>
      </c>
      <c r="O98" s="2">
        <v>11</v>
      </c>
      <c r="P98" s="3">
        <v>12</v>
      </c>
      <c r="Q98" s="768"/>
      <c r="R98" s="4" t="s">
        <v>21</v>
      </c>
      <c r="S98" s="2" t="s">
        <v>22</v>
      </c>
      <c r="T98" s="2" t="s">
        <v>23</v>
      </c>
      <c r="U98" s="3" t="s">
        <v>24</v>
      </c>
      <c r="V98" s="768"/>
      <c r="W98" s="768"/>
      <c r="X98" s="779"/>
      <c r="Z98" s="787"/>
    </row>
    <row r="99" spans="1:26" ht="18.75" customHeight="1" thickTop="1" x14ac:dyDescent="0.25">
      <c r="A99" s="92" t="s">
        <v>272</v>
      </c>
      <c r="B99" s="18">
        <v>20000</v>
      </c>
      <c r="C99" s="19" t="s">
        <v>47</v>
      </c>
      <c r="D99" s="20">
        <v>12</v>
      </c>
      <c r="E99" s="6">
        <f t="shared" ref="E99:P101" si="113">IF(AND($C99="j",$D99=E$34),$B99,IF($C99="h",$B99*IF($D99=IF(MOD(E$34,6)=0,6,MOD(E$34,6)),1,0),IF($C99="q",$B99*IF($D99=IF(MOD(E$34,3)=0,3,MOD(E$34,3)),1,0),IF($C99="z",$B99*IF($D99=IF(MOD(E$34,2)=0,2,MOD(E$34,2)),1,0),IF($C99="m",$B99,0)))))</f>
        <v>0</v>
      </c>
      <c r="F99" s="7">
        <f t="shared" si="113"/>
        <v>0</v>
      </c>
      <c r="G99" s="7">
        <f t="shared" si="113"/>
        <v>0</v>
      </c>
      <c r="H99" s="7">
        <f t="shared" si="113"/>
        <v>0</v>
      </c>
      <c r="I99" s="7">
        <f t="shared" si="113"/>
        <v>0</v>
      </c>
      <c r="J99" s="7">
        <f t="shared" si="113"/>
        <v>0</v>
      </c>
      <c r="K99" s="7">
        <f t="shared" si="113"/>
        <v>0</v>
      </c>
      <c r="L99" s="7">
        <f t="shared" si="113"/>
        <v>0</v>
      </c>
      <c r="M99" s="7">
        <f t="shared" si="113"/>
        <v>0</v>
      </c>
      <c r="N99" s="7">
        <f t="shared" si="113"/>
        <v>0</v>
      </c>
      <c r="O99" s="7">
        <f t="shared" si="113"/>
        <v>0</v>
      </c>
      <c r="P99" s="180">
        <f t="shared" si="113"/>
        <v>20000</v>
      </c>
      <c r="Q99" s="8">
        <f>SUM(E99:P99)</f>
        <v>20000</v>
      </c>
      <c r="R99" s="307">
        <f>IF(AND($C99="j",$D99&gt;=1,$D99&lt;=3),$B99,IF(AND($C99="h",$D99&gt;=1,$D99&lt;=3),$B99,IF(AND($C99="q",$D99&gt;=1,$D99&lt;=3),$B99,IF($C99="z",IF($D99=1,2*$B99,$B99),IF($C99="m",3*$B99,0)))))</f>
        <v>0</v>
      </c>
      <c r="S99" s="7">
        <f>IF(AND($C99="j",$D99&gt;=4,$D99&lt;=6),$B99,IF(AND($C99="h",$D99&gt;=4,$D99&lt;=6),$B99,IF(AND($C99="q",$D99&gt;=1,$D99&lt;=3),$B99,IF($C99="z",IF($D99=2,2*$B99,$B99),IF($C99="m",3*$B99,0)))))</f>
        <v>0</v>
      </c>
      <c r="T99" s="7">
        <f>IF(AND($C99="j",$D99&gt;=7,$D99&lt;=9),$B99,IF(AND($C99="h",$D99&gt;=1,$D99&lt;=3),$B99,IF(AND($C99="q",$D99&gt;=1,$D99&lt;=3),$B99,IF($C99="z",IF($D99=1,2*$B99,$B99),IF($C99="m",3*$B99,0)))))</f>
        <v>0</v>
      </c>
      <c r="U99" s="180">
        <f>IF(AND($C99="j",$D99&gt;=10,$D99&lt;=12),$B99,IF(AND($C99="h",$D99&gt;=4,$D99&lt;=6),$B99,IF(AND($C99="q",$D99&gt;=1,$D99&lt;=3),$B99,IF($C99="z",IF($D99=2,2*$B99,$B99),IF($C99="m",3*$B99,0)))))</f>
        <v>20000</v>
      </c>
      <c r="V99" s="8">
        <f>SUM(R99:U99)</f>
        <v>20000</v>
      </c>
      <c r="W99" s="8">
        <f>IF($C99="j",$B99,IF($C99="h",2*$B99,IF($C99="q",4*$B99,IF($C99="z",6*$B99,12*$B99))))</f>
        <v>20000</v>
      </c>
      <c r="X99" s="9">
        <f>IF($C99="j",$B99,IF($C99="h",2*$B99,IF($C99="q",4*$B99,IF($C99="z",6*$B99,12*$B99))))</f>
        <v>20000</v>
      </c>
      <c r="Z99" s="569">
        <f>((Q99+V99+W99+X99)/4)/12</f>
        <v>1666.6666666666667</v>
      </c>
    </row>
    <row r="100" spans="1:26" ht="18.75" customHeight="1" x14ac:dyDescent="0.25">
      <c r="A100" s="581" t="s">
        <v>273</v>
      </c>
      <c r="B100" s="108">
        <v>5000</v>
      </c>
      <c r="C100" s="690" t="s">
        <v>47</v>
      </c>
      <c r="D100" s="691">
        <v>12</v>
      </c>
      <c r="E100" s="692">
        <f t="shared" si="113"/>
        <v>0</v>
      </c>
      <c r="F100" s="109">
        <f t="shared" si="113"/>
        <v>0</v>
      </c>
      <c r="G100" s="109">
        <f t="shared" si="113"/>
        <v>0</v>
      </c>
      <c r="H100" s="109">
        <f t="shared" si="113"/>
        <v>0</v>
      </c>
      <c r="I100" s="109">
        <f t="shared" si="113"/>
        <v>0</v>
      </c>
      <c r="J100" s="109">
        <f t="shared" si="113"/>
        <v>0</v>
      </c>
      <c r="K100" s="109">
        <f t="shared" si="113"/>
        <v>0</v>
      </c>
      <c r="L100" s="109">
        <f t="shared" si="113"/>
        <v>0</v>
      </c>
      <c r="M100" s="109">
        <f t="shared" si="113"/>
        <v>0</v>
      </c>
      <c r="N100" s="109">
        <f t="shared" si="113"/>
        <v>0</v>
      </c>
      <c r="O100" s="109">
        <f t="shared" si="113"/>
        <v>0</v>
      </c>
      <c r="P100" s="341">
        <f t="shared" si="113"/>
        <v>5000</v>
      </c>
      <c r="Q100" s="693">
        <f>SUM(E100:P100)</f>
        <v>5000</v>
      </c>
      <c r="R100" s="694">
        <f>IF(AND($C100="j",$D100&gt;=1,$D100&lt;=3),$B100,IF(AND($C100="h",$D100&gt;=1,$D100&lt;=3),$B100,IF(AND($C100="q",$D100&gt;=1,$D100&lt;=3),$B100,IF($C100="z",IF($D100=1,2*$B100,$B100),IF($C100="m",3*$B100,0)))))</f>
        <v>0</v>
      </c>
      <c r="S100" s="109">
        <f>IF(AND($C100="j",$D100&gt;=4,$D100&lt;=6),$B100,IF(AND($C100="h",$D100&gt;=4,$D100&lt;=6),$B100,IF(AND($C100="q",$D100&gt;=1,$D100&lt;=3),$B100,IF($C100="z",IF($D100=2,2*$B100,$B100),IF($C100="m",3*$B100,0)))))</f>
        <v>0</v>
      </c>
      <c r="T100" s="109">
        <f>IF(AND($C100="j",$D100&gt;=7,$D100&lt;=9),$B100,IF(AND($C100="h",$D100&gt;=1,$D100&lt;=3),$B100,IF(AND($C100="q",$D100&gt;=1,$D100&lt;=3),$B100,IF($C100="z",IF($D100=1,2*$B100,$B100),IF($C100="m",3*$B100,0)))))</f>
        <v>0</v>
      </c>
      <c r="U100" s="341">
        <f>IF(AND($C100="j",$D100&gt;=10,$D100&lt;=12),$B100,IF(AND($C100="h",$D100&gt;=4,$D100&lt;=6),$B100,IF(AND($C100="q",$D100&gt;=1,$D100&lt;=3),$B100,IF($C100="z",IF($D100=2,2*$B100,$B100),IF($C100="m",3*$B100,0)))))</f>
        <v>5000</v>
      </c>
      <c r="V100" s="693">
        <f>SUM(R100:U100)</f>
        <v>5000</v>
      </c>
      <c r="W100" s="693">
        <f>IF($C100="j",$B100,IF($C100="h",2*$B100,IF($C100="q",4*$B100,IF($C100="z",6*$B100,12*$B100))))</f>
        <v>5000</v>
      </c>
      <c r="X100" s="695">
        <f>IF($C100="j",$B100,IF($C100="h",2*$B100,IF($C100="q",4*$B100,IF($C100="z",6*$B100,12*$B100))))</f>
        <v>5000</v>
      </c>
      <c r="Z100" s="570">
        <f t="shared" ref="Z100:Z101" si="114">((Q100+V100+W100+X100)/4)/12</f>
        <v>416.66666666666669</v>
      </c>
    </row>
    <row r="101" spans="1:26" ht="18.75" customHeight="1" thickBot="1" x14ac:dyDescent="0.3">
      <c r="A101" s="97"/>
      <c r="B101" s="98"/>
      <c r="C101" s="99"/>
      <c r="D101" s="100"/>
      <c r="E101" s="14">
        <f t="shared" si="113"/>
        <v>0</v>
      </c>
      <c r="F101" s="15">
        <f t="shared" si="113"/>
        <v>0</v>
      </c>
      <c r="G101" s="15">
        <f t="shared" si="113"/>
        <v>0</v>
      </c>
      <c r="H101" s="15">
        <f t="shared" si="113"/>
        <v>0</v>
      </c>
      <c r="I101" s="15">
        <f t="shared" si="113"/>
        <v>0</v>
      </c>
      <c r="J101" s="15">
        <f t="shared" si="113"/>
        <v>0</v>
      </c>
      <c r="K101" s="15">
        <f t="shared" si="113"/>
        <v>0</v>
      </c>
      <c r="L101" s="15">
        <f t="shared" si="113"/>
        <v>0</v>
      </c>
      <c r="M101" s="15">
        <f t="shared" si="113"/>
        <v>0</v>
      </c>
      <c r="N101" s="15">
        <f t="shared" si="113"/>
        <v>0</v>
      </c>
      <c r="O101" s="15">
        <f t="shared" si="113"/>
        <v>0</v>
      </c>
      <c r="P101" s="648">
        <f t="shared" si="113"/>
        <v>0</v>
      </c>
      <c r="Q101" s="16">
        <f t="shared" ref="Q101" si="115">SUM(E101:P101)</f>
        <v>0</v>
      </c>
      <c r="R101" s="565">
        <f t="shared" ref="R101" si="116">IF(AND($C101="j",$D101&gt;=1,$D101&lt;=3),$B101,IF(AND($C101="h",$D101&gt;=1,$D101&lt;=3),$B101,IF(AND($C101="q",$D101&gt;=1,$D101&lt;=3),$B101,IF($C101="z",IF($D101=1,2*$B101,$B101),IF($C101="m",3*$B101,0)))))</f>
        <v>0</v>
      </c>
      <c r="S101" s="15">
        <f t="shared" ref="S101" si="117">IF(AND($C101="j",$D101&gt;=4,$D101&lt;=6),$B101,IF(AND($C101="h",$D101&gt;=4,$D101&lt;=6),$B101,IF(AND($C101="q",$D101&gt;=1,$D101&lt;=3),$B101,IF($C101="z",IF($D101=2,2*$B101,$B101),IF($C101="m",3*$B101,0)))))</f>
        <v>0</v>
      </c>
      <c r="T101" s="15">
        <f t="shared" ref="T101" si="118">IF(AND($C101="j",$D101&gt;=7,$D101&lt;=9),$B101,IF(AND($C101="h",$D101&gt;=1,$D101&lt;=3),$B101,IF(AND($C101="q",$D101&gt;=1,$D101&lt;=3),$B101,IF($C101="z",IF($D101=1,2*$B101,$B101),IF($C101="m",3*$B101,0)))))</f>
        <v>0</v>
      </c>
      <c r="U101" s="648">
        <f t="shared" ref="U101" si="119">IF(AND($C101="j",$D101&gt;=10,$D101&lt;=12),$B101,IF(AND($C101="h",$D101&gt;=4,$D101&lt;=6),$B101,IF(AND($C101="q",$D101&gt;=1,$D101&lt;=3),$B101,IF($C101="z",IF($D101=2,2*$B101,$B101),IF($C101="m",3*$B101,0)))))</f>
        <v>0</v>
      </c>
      <c r="V101" s="16">
        <f t="shared" ref="V101" si="120">SUM(R101:U101)</f>
        <v>0</v>
      </c>
      <c r="W101" s="16">
        <f t="shared" ref="W101:X101" si="121">IF($C101="j",$B101,IF($C101="h",2*$B101,IF($C101="q",4*$B101,IF($C101="z",6*$B101,12*$B101))))</f>
        <v>0</v>
      </c>
      <c r="X101" s="17">
        <f t="shared" si="121"/>
        <v>0</v>
      </c>
      <c r="Z101" s="575">
        <f t="shared" si="114"/>
        <v>0</v>
      </c>
    </row>
    <row r="102" spans="1:26" ht="7.5" customHeight="1" thickTop="1" thickBot="1" x14ac:dyDescent="0.3">
      <c r="A102" s="101"/>
      <c r="B102" s="102"/>
      <c r="C102" s="103"/>
      <c r="D102" s="104"/>
      <c r="E102" s="27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9"/>
      <c r="Q102" s="33"/>
      <c r="R102" s="31"/>
      <c r="S102" s="28"/>
      <c r="T102" s="28"/>
      <c r="U102" s="29"/>
      <c r="V102" s="33"/>
      <c r="W102" s="33"/>
      <c r="X102" s="34"/>
      <c r="Z102" s="571"/>
    </row>
    <row r="103" spans="1:26" s="625" customFormat="1" ht="18.75" customHeight="1" thickBot="1" x14ac:dyDescent="0.3">
      <c r="A103" s="572" t="s">
        <v>50</v>
      </c>
      <c r="B103" s="573">
        <f>Z103</f>
        <v>2083.3333333333335</v>
      </c>
      <c r="D103" s="626"/>
      <c r="E103" s="627">
        <f t="shared" ref="E103:X103" si="122">SUM(E99:E102)</f>
        <v>0</v>
      </c>
      <c r="F103" s="549">
        <f t="shared" si="122"/>
        <v>0</v>
      </c>
      <c r="G103" s="549">
        <f t="shared" si="122"/>
        <v>0</v>
      </c>
      <c r="H103" s="549">
        <f t="shared" si="122"/>
        <v>0</v>
      </c>
      <c r="I103" s="549">
        <f t="shared" si="122"/>
        <v>0</v>
      </c>
      <c r="J103" s="549">
        <f t="shared" si="122"/>
        <v>0</v>
      </c>
      <c r="K103" s="549">
        <f t="shared" si="122"/>
        <v>0</v>
      </c>
      <c r="L103" s="549">
        <f t="shared" si="122"/>
        <v>0</v>
      </c>
      <c r="M103" s="549">
        <f t="shared" si="122"/>
        <v>0</v>
      </c>
      <c r="N103" s="549">
        <f t="shared" si="122"/>
        <v>0</v>
      </c>
      <c r="O103" s="549">
        <f t="shared" si="122"/>
        <v>0</v>
      </c>
      <c r="P103" s="36">
        <f t="shared" si="122"/>
        <v>25000</v>
      </c>
      <c r="Q103" s="37">
        <f t="shared" si="122"/>
        <v>25000</v>
      </c>
      <c r="R103" s="548">
        <f t="shared" si="122"/>
        <v>0</v>
      </c>
      <c r="S103" s="549">
        <f t="shared" si="122"/>
        <v>0</v>
      </c>
      <c r="T103" s="549">
        <f t="shared" si="122"/>
        <v>0</v>
      </c>
      <c r="U103" s="36">
        <f t="shared" si="122"/>
        <v>25000</v>
      </c>
      <c r="V103" s="37">
        <f t="shared" si="122"/>
        <v>25000</v>
      </c>
      <c r="W103" s="37">
        <f t="shared" si="122"/>
        <v>25000</v>
      </c>
      <c r="X103" s="38">
        <f t="shared" si="122"/>
        <v>25000</v>
      </c>
      <c r="Z103" s="574">
        <f>SUM(Z99:Z101)</f>
        <v>2083.3333333333335</v>
      </c>
    </row>
    <row r="104" spans="1:26" ht="15.75" thickBot="1" x14ac:dyDescent="0.3"/>
    <row r="105" spans="1:26" ht="15" customHeight="1" x14ac:dyDescent="0.25">
      <c r="A105" s="788" t="s">
        <v>81</v>
      </c>
      <c r="B105" s="790" t="s">
        <v>19</v>
      </c>
      <c r="C105" s="790" t="s">
        <v>44</v>
      </c>
      <c r="D105" s="792" t="s">
        <v>245</v>
      </c>
      <c r="E105" s="771" t="s">
        <v>20</v>
      </c>
      <c r="F105" s="770"/>
      <c r="G105" s="770"/>
      <c r="H105" s="770"/>
      <c r="I105" s="770"/>
      <c r="J105" s="770"/>
      <c r="K105" s="770"/>
      <c r="L105" s="770"/>
      <c r="M105" s="770"/>
      <c r="N105" s="770"/>
      <c r="O105" s="770"/>
      <c r="P105" s="770"/>
      <c r="Q105" s="767" t="s">
        <v>20</v>
      </c>
      <c r="R105" s="769" t="s">
        <v>25</v>
      </c>
      <c r="S105" s="770"/>
      <c r="T105" s="770"/>
      <c r="U105" s="770"/>
      <c r="V105" s="767" t="s">
        <v>25</v>
      </c>
      <c r="W105" s="767" t="s">
        <v>26</v>
      </c>
      <c r="X105" s="778" t="s">
        <v>27</v>
      </c>
      <c r="Z105" s="786" t="s">
        <v>49</v>
      </c>
    </row>
    <row r="106" spans="1:26" ht="15.75" thickBot="1" x14ac:dyDescent="0.3">
      <c r="A106" s="789"/>
      <c r="B106" s="791"/>
      <c r="C106" s="791"/>
      <c r="D106" s="793"/>
      <c r="E106" s="1">
        <v>1</v>
      </c>
      <c r="F106" s="2">
        <v>2</v>
      </c>
      <c r="G106" s="2">
        <v>3</v>
      </c>
      <c r="H106" s="2">
        <v>4</v>
      </c>
      <c r="I106" s="2">
        <v>5</v>
      </c>
      <c r="J106" s="2">
        <v>6</v>
      </c>
      <c r="K106" s="2">
        <v>7</v>
      </c>
      <c r="L106" s="2">
        <v>8</v>
      </c>
      <c r="M106" s="2">
        <v>9</v>
      </c>
      <c r="N106" s="2">
        <v>10</v>
      </c>
      <c r="O106" s="2">
        <v>11</v>
      </c>
      <c r="P106" s="3">
        <v>12</v>
      </c>
      <c r="Q106" s="768"/>
      <c r="R106" s="4" t="s">
        <v>21</v>
      </c>
      <c r="S106" s="2" t="s">
        <v>22</v>
      </c>
      <c r="T106" s="2" t="s">
        <v>23</v>
      </c>
      <c r="U106" s="3" t="s">
        <v>24</v>
      </c>
      <c r="V106" s="768"/>
      <c r="W106" s="768"/>
      <c r="X106" s="779"/>
      <c r="Z106" s="787"/>
    </row>
    <row r="107" spans="1:26" ht="18.75" customHeight="1" thickTop="1" x14ac:dyDescent="0.25">
      <c r="A107" s="92" t="s">
        <v>118</v>
      </c>
      <c r="B107" s="18">
        <v>200</v>
      </c>
      <c r="C107" s="19" t="s">
        <v>121</v>
      </c>
      <c r="D107" s="20">
        <v>2</v>
      </c>
      <c r="E107" s="6">
        <f>IF(AND($C107="j",$D107=E$34),$B107,IF($C107="h",$B107*IF($D107=IF(MOD(E$34,6)=0,6,MOD(E$34,6)),1,0),IF($C107="q",$B107*IF($D107=IF(MOD(E$34,3)=0,3,MOD(E$34,3)),1,0),IF($C107="z",$B107*IF($D107=IF(MOD(E$34,2)=0,2,MOD(E$34,2)),1,0),IF($C107="m",$B107,0)))))</f>
        <v>0</v>
      </c>
      <c r="F107" s="7">
        <f t="shared" ref="F107:P110" si="123">IF(AND($C107="j",$D107=F$34),$B107,IF($C107="h",$B107*IF($D107=IF(MOD(F$34,6)=0,6,MOD(F$34,6)),1,0),IF($C107="q",$B107*IF($D107=IF(MOD(F$34,3)=0,3,MOD(F$34,3)),1,0),IF($C107="z",$B107*IF($D107=IF(MOD(F$34,2)=0,2,MOD(F$34,2)),1,0),IF($C107="m",$B107,0)))))</f>
        <v>200</v>
      </c>
      <c r="G107" s="7">
        <f t="shared" si="123"/>
        <v>0</v>
      </c>
      <c r="H107" s="7">
        <f t="shared" si="123"/>
        <v>0</v>
      </c>
      <c r="I107" s="7">
        <f t="shared" si="123"/>
        <v>200</v>
      </c>
      <c r="J107" s="7">
        <f t="shared" si="123"/>
        <v>0</v>
      </c>
      <c r="K107" s="7">
        <f t="shared" si="123"/>
        <v>0</v>
      </c>
      <c r="L107" s="7">
        <f t="shared" si="123"/>
        <v>200</v>
      </c>
      <c r="M107" s="7">
        <f t="shared" si="123"/>
        <v>0</v>
      </c>
      <c r="N107" s="7">
        <f t="shared" si="123"/>
        <v>0</v>
      </c>
      <c r="O107" s="7">
        <f t="shared" si="123"/>
        <v>200</v>
      </c>
      <c r="P107" s="180">
        <f t="shared" si="123"/>
        <v>0</v>
      </c>
      <c r="Q107" s="8">
        <f>SUM(E107:P107)</f>
        <v>800</v>
      </c>
      <c r="R107" s="307">
        <f>IF(AND($C107="j",$D107&gt;=1,$D107&lt;=3),$B107,IF(AND($C107="h",$D107&gt;=1,$D107&lt;=3),$B107,IF(AND($C107="q",$D107&gt;=1,$D107&lt;=3),$B107,IF($C107="z",IF($D107=1,2*$B107,$B107),IF($C107="m",3*$B107,0)))))</f>
        <v>200</v>
      </c>
      <c r="S107" s="7">
        <f>IF(AND($C107="j",$D107&gt;=4,$D107&lt;=6),$B107,IF(AND($C107="h",$D107&gt;=4,$D107&lt;=6),$B107,IF(AND($C107="q",$D107&gt;=1,$D107&lt;=3),$B107,IF($C107="z",IF($D107=2,2*$B107,$B107),IF($C107="m",3*$B107,0)))))</f>
        <v>200</v>
      </c>
      <c r="T107" s="7">
        <f>IF(AND($C107="j",$D107&gt;=7,$D107&lt;=9),$B107,IF(AND($C107="h",$D107&gt;=1,$D107&lt;=3),$B107,IF(AND($C107="q",$D107&gt;=1,$D107&lt;=3),$B107,IF($C107="z",IF($D107=1,2*$B107,$B107),IF($C107="m",3*$B107,0)))))</f>
        <v>200</v>
      </c>
      <c r="U107" s="180">
        <f>IF(AND($C107="j",$D107&gt;=10,$D107&lt;=12),$B107,IF(AND($C107="h",$D107&gt;=4,$D107&lt;=6),$B107,IF(AND($C107="q",$D107&gt;=1,$D107&lt;=3),$B107,IF($C107="z",IF($D107=2,2*$B107,$B107),IF($C107="m",3*$B107,0)))))</f>
        <v>200</v>
      </c>
      <c r="V107" s="8">
        <f>SUM(R107:U107)</f>
        <v>800</v>
      </c>
      <c r="W107" s="8">
        <f>IF($C107="j",$B107,IF($C107="h",2*$B107,IF($C107="q",4*$B107,IF($C107="z",6*$B107,12*$B107))))</f>
        <v>800</v>
      </c>
      <c r="X107" s="9">
        <f>IF($C107="j",$B107,IF($C107="h",2*$B107,IF($C107="q",4*$B107,IF($C107="z",6*$B107,12*$B107))))</f>
        <v>800</v>
      </c>
      <c r="Z107" s="569">
        <f>((Q107+V107+W107+X107)/4)/12</f>
        <v>66.666666666666671</v>
      </c>
    </row>
    <row r="108" spans="1:26" ht="18.75" customHeight="1" x14ac:dyDescent="0.25">
      <c r="A108" s="93" t="s">
        <v>119</v>
      </c>
      <c r="B108" s="94">
        <f>B27*0.36%</f>
        <v>86.942389200000008</v>
      </c>
      <c r="C108" s="95" t="s">
        <v>45</v>
      </c>
      <c r="D108" s="96" t="s">
        <v>48</v>
      </c>
      <c r="E108" s="10">
        <f t="shared" ref="E108:E110" si="124">IF(AND($C108="j",$D108=E$34),$B108,IF($C108="h",$B108*IF($D108=IF(MOD(E$34,6)=0,6,MOD(E$34,6)),1,0),IF($C108="q",$B108*IF($D108=IF(MOD(E$34,3)=0,3,MOD(E$34,3)),1,0),IF($C108="z",$B108*IF($D108=IF(MOD(E$34,2)=0,2,MOD(E$34,2)),1,0),IF($C108="m",$B108,0)))))</f>
        <v>86.942389200000008</v>
      </c>
      <c r="F108" s="11">
        <f t="shared" si="123"/>
        <v>86.942389200000008</v>
      </c>
      <c r="G108" s="11">
        <f t="shared" si="123"/>
        <v>86.942389200000008</v>
      </c>
      <c r="H108" s="11">
        <f t="shared" si="123"/>
        <v>86.942389200000008</v>
      </c>
      <c r="I108" s="11">
        <f t="shared" si="123"/>
        <v>86.942389200000008</v>
      </c>
      <c r="J108" s="11">
        <f t="shared" si="123"/>
        <v>86.942389200000008</v>
      </c>
      <c r="K108" s="11">
        <f t="shared" si="123"/>
        <v>86.942389200000008</v>
      </c>
      <c r="L108" s="11">
        <f t="shared" si="123"/>
        <v>86.942389200000008</v>
      </c>
      <c r="M108" s="11">
        <f t="shared" si="123"/>
        <v>86.942389200000008</v>
      </c>
      <c r="N108" s="11">
        <f t="shared" si="123"/>
        <v>86.942389200000008</v>
      </c>
      <c r="O108" s="11">
        <f t="shared" si="123"/>
        <v>86.942389200000008</v>
      </c>
      <c r="P108" s="185">
        <f t="shared" si="123"/>
        <v>86.942389200000008</v>
      </c>
      <c r="Q108" s="12">
        <f t="shared" ref="Q108:Q110" si="125">SUM(E108:P108)</f>
        <v>1043.3086704</v>
      </c>
      <c r="R108" s="308">
        <f t="shared" ref="R108:R110" si="126">IF(AND($C108="j",$D108&gt;=1,$D108&lt;=3),$B108,IF(AND($C108="h",$D108&gt;=1,$D108&lt;=3),$B108,IF(AND($C108="q",$D108&gt;=1,$D108&lt;=3),$B108,IF($C108="z",IF($D108=1,2*$B108,$B108),IF($C108="m",3*$B108,0)))))</f>
        <v>260.82716760000005</v>
      </c>
      <c r="S108" s="11">
        <f t="shared" ref="S108:S110" si="127">IF(AND($C108="j",$D108&gt;=4,$D108&lt;=6),$B108,IF(AND($C108="h",$D108&gt;=4,$D108&lt;=6),$B108,IF(AND($C108="q",$D108&gt;=1,$D108&lt;=3),$B108,IF($C108="z",IF($D108=2,2*$B108,$B108),IF($C108="m",3*$B108,0)))))</f>
        <v>260.82716760000005</v>
      </c>
      <c r="T108" s="11">
        <f t="shared" ref="T108:T110" si="128">IF(AND($C108="j",$D108&gt;=7,$D108&lt;=9),$B108,IF(AND($C108="h",$D108&gt;=1,$D108&lt;=3),$B108,IF(AND($C108="q",$D108&gt;=1,$D108&lt;=3),$B108,IF($C108="z",IF($D108=1,2*$B108,$B108),IF($C108="m",3*$B108,0)))))</f>
        <v>260.82716760000005</v>
      </c>
      <c r="U108" s="185">
        <f t="shared" ref="U108:U110" si="129">IF(AND($C108="j",$D108&gt;=10,$D108&lt;=12),$B108,IF(AND($C108="h",$D108&gt;=4,$D108&lt;=6),$B108,IF(AND($C108="q",$D108&gt;=1,$D108&lt;=3),$B108,IF($C108="z",IF($D108=2,2*$B108,$B108),IF($C108="m",3*$B108,0)))))</f>
        <v>260.82716760000005</v>
      </c>
      <c r="V108" s="12">
        <f t="shared" ref="V108:V110" si="130">SUM(R108:U108)</f>
        <v>1043.3086704000002</v>
      </c>
      <c r="W108" s="12">
        <f t="shared" ref="W108:X110" si="131">IF($C108="j",$B108,IF($C108="h",2*$B108,IF($C108="q",4*$B108,IF($C108="z",6*$B108,12*$B108))))</f>
        <v>1043.3086704000002</v>
      </c>
      <c r="X108" s="13">
        <f t="shared" si="131"/>
        <v>1043.3086704000002</v>
      </c>
      <c r="Z108" s="570">
        <f t="shared" ref="Z108:Z110" si="132">((Q108+V108+W108+X108)/4)/12</f>
        <v>86.942389200000022</v>
      </c>
    </row>
    <row r="109" spans="1:26" ht="18.75" customHeight="1" x14ac:dyDescent="0.25">
      <c r="A109" s="93" t="s">
        <v>120</v>
      </c>
      <c r="B109" s="94">
        <f>B27*0.043%</f>
        <v>10.384785376666668</v>
      </c>
      <c r="C109" s="95" t="s">
        <v>45</v>
      </c>
      <c r="D109" s="96" t="s">
        <v>48</v>
      </c>
      <c r="E109" s="10">
        <f t="shared" si="124"/>
        <v>10.384785376666668</v>
      </c>
      <c r="F109" s="11">
        <f t="shared" si="123"/>
        <v>10.384785376666668</v>
      </c>
      <c r="G109" s="11">
        <f t="shared" si="123"/>
        <v>10.384785376666668</v>
      </c>
      <c r="H109" s="11">
        <f t="shared" si="123"/>
        <v>10.384785376666668</v>
      </c>
      <c r="I109" s="11">
        <f t="shared" si="123"/>
        <v>10.384785376666668</v>
      </c>
      <c r="J109" s="11">
        <f t="shared" si="123"/>
        <v>10.384785376666668</v>
      </c>
      <c r="K109" s="11">
        <f t="shared" si="123"/>
        <v>10.384785376666668</v>
      </c>
      <c r="L109" s="11">
        <f t="shared" si="123"/>
        <v>10.384785376666668</v>
      </c>
      <c r="M109" s="11">
        <f t="shared" si="123"/>
        <v>10.384785376666668</v>
      </c>
      <c r="N109" s="11">
        <f t="shared" si="123"/>
        <v>10.384785376666668</v>
      </c>
      <c r="O109" s="11">
        <f t="shared" si="123"/>
        <v>10.384785376666668</v>
      </c>
      <c r="P109" s="185">
        <f t="shared" si="123"/>
        <v>10.384785376666668</v>
      </c>
      <c r="Q109" s="12">
        <f t="shared" si="125"/>
        <v>124.61742452000003</v>
      </c>
      <c r="R109" s="308">
        <f t="shared" si="126"/>
        <v>31.154356130000004</v>
      </c>
      <c r="S109" s="11">
        <f t="shared" si="127"/>
        <v>31.154356130000004</v>
      </c>
      <c r="T109" s="11">
        <f t="shared" si="128"/>
        <v>31.154356130000004</v>
      </c>
      <c r="U109" s="185">
        <f t="shared" si="129"/>
        <v>31.154356130000004</v>
      </c>
      <c r="V109" s="12">
        <f t="shared" si="130"/>
        <v>124.61742452000001</v>
      </c>
      <c r="W109" s="12">
        <f t="shared" si="131"/>
        <v>124.61742452000001</v>
      </c>
      <c r="X109" s="13">
        <f t="shared" si="131"/>
        <v>124.61742452000001</v>
      </c>
      <c r="Z109" s="570">
        <f t="shared" si="132"/>
        <v>10.384785376666668</v>
      </c>
    </row>
    <row r="110" spans="1:26" ht="18.75" customHeight="1" thickBot="1" x14ac:dyDescent="0.3">
      <c r="A110" s="97"/>
      <c r="B110" s="98"/>
      <c r="C110" s="99"/>
      <c r="D110" s="100"/>
      <c r="E110" s="14">
        <f t="shared" si="124"/>
        <v>0</v>
      </c>
      <c r="F110" s="15">
        <f t="shared" si="123"/>
        <v>0</v>
      </c>
      <c r="G110" s="15">
        <f t="shared" si="123"/>
        <v>0</v>
      </c>
      <c r="H110" s="15">
        <f t="shared" si="123"/>
        <v>0</v>
      </c>
      <c r="I110" s="15">
        <f t="shared" si="123"/>
        <v>0</v>
      </c>
      <c r="J110" s="15">
        <f t="shared" si="123"/>
        <v>0</v>
      </c>
      <c r="K110" s="15">
        <f t="shared" si="123"/>
        <v>0</v>
      </c>
      <c r="L110" s="15">
        <f t="shared" si="123"/>
        <v>0</v>
      </c>
      <c r="M110" s="15">
        <f t="shared" si="123"/>
        <v>0</v>
      </c>
      <c r="N110" s="15">
        <f t="shared" si="123"/>
        <v>0</v>
      </c>
      <c r="O110" s="15">
        <f t="shared" si="123"/>
        <v>0</v>
      </c>
      <c r="P110" s="648">
        <f t="shared" si="123"/>
        <v>0</v>
      </c>
      <c r="Q110" s="16">
        <f t="shared" si="125"/>
        <v>0</v>
      </c>
      <c r="R110" s="565">
        <f t="shared" si="126"/>
        <v>0</v>
      </c>
      <c r="S110" s="15">
        <f t="shared" si="127"/>
        <v>0</v>
      </c>
      <c r="T110" s="15">
        <f t="shared" si="128"/>
        <v>0</v>
      </c>
      <c r="U110" s="648">
        <f t="shared" si="129"/>
        <v>0</v>
      </c>
      <c r="V110" s="16">
        <f t="shared" si="130"/>
        <v>0</v>
      </c>
      <c r="W110" s="16">
        <f t="shared" si="131"/>
        <v>0</v>
      </c>
      <c r="X110" s="17">
        <f t="shared" si="131"/>
        <v>0</v>
      </c>
      <c r="Z110" s="575">
        <f t="shared" si="132"/>
        <v>0</v>
      </c>
    </row>
    <row r="111" spans="1:26" ht="7.5" customHeight="1" thickTop="1" thickBot="1" x14ac:dyDescent="0.3">
      <c r="A111" s="101"/>
      <c r="B111" s="102"/>
      <c r="C111" s="103"/>
      <c r="D111" s="104"/>
      <c r="E111" s="27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9"/>
      <c r="Q111" s="33"/>
      <c r="R111" s="31"/>
      <c r="S111" s="28"/>
      <c r="T111" s="28"/>
      <c r="U111" s="29"/>
      <c r="V111" s="33"/>
      <c r="W111" s="33"/>
      <c r="X111" s="34"/>
      <c r="Z111" s="571"/>
    </row>
    <row r="112" spans="1:26" s="625" customFormat="1" ht="18.75" customHeight="1" thickBot="1" x14ac:dyDescent="0.3">
      <c r="A112" s="572" t="s">
        <v>50</v>
      </c>
      <c r="B112" s="573">
        <f>Z112</f>
        <v>163.99384124333335</v>
      </c>
      <c r="D112" s="626"/>
      <c r="E112" s="627">
        <f>SUM(E107:E111)</f>
        <v>97.327174576666678</v>
      </c>
      <c r="F112" s="549">
        <f t="shared" ref="F112:X112" si="133">SUM(F107:F111)</f>
        <v>297.32717457666666</v>
      </c>
      <c r="G112" s="549">
        <f t="shared" si="133"/>
        <v>97.327174576666678</v>
      </c>
      <c r="H112" s="549">
        <f t="shared" si="133"/>
        <v>97.327174576666678</v>
      </c>
      <c r="I112" s="549">
        <f t="shared" si="133"/>
        <v>297.32717457666666</v>
      </c>
      <c r="J112" s="549">
        <f t="shared" si="133"/>
        <v>97.327174576666678</v>
      </c>
      <c r="K112" s="549">
        <f t="shared" si="133"/>
        <v>97.327174576666678</v>
      </c>
      <c r="L112" s="549">
        <f t="shared" si="133"/>
        <v>297.32717457666666</v>
      </c>
      <c r="M112" s="549">
        <f t="shared" si="133"/>
        <v>97.327174576666678</v>
      </c>
      <c r="N112" s="549">
        <f t="shared" si="133"/>
        <v>97.327174576666678</v>
      </c>
      <c r="O112" s="549">
        <f t="shared" si="133"/>
        <v>297.32717457666666</v>
      </c>
      <c r="P112" s="36">
        <f t="shared" si="133"/>
        <v>97.327174576666678</v>
      </c>
      <c r="Q112" s="37">
        <f t="shared" si="133"/>
        <v>1967.92609492</v>
      </c>
      <c r="R112" s="548">
        <f t="shared" si="133"/>
        <v>491.98152373000005</v>
      </c>
      <c r="S112" s="549">
        <f t="shared" si="133"/>
        <v>491.98152373000005</v>
      </c>
      <c r="T112" s="549">
        <f t="shared" si="133"/>
        <v>491.98152373000005</v>
      </c>
      <c r="U112" s="36">
        <f t="shared" si="133"/>
        <v>491.98152373000005</v>
      </c>
      <c r="V112" s="37">
        <f t="shared" si="133"/>
        <v>1967.9260949200002</v>
      </c>
      <c r="W112" s="37">
        <f t="shared" si="133"/>
        <v>1967.9260949200002</v>
      </c>
      <c r="X112" s="38">
        <f t="shared" si="133"/>
        <v>1967.9260949200002</v>
      </c>
      <c r="Z112" s="574">
        <f>SUM(Z107:Z110)</f>
        <v>163.99384124333335</v>
      </c>
    </row>
    <row r="113" spans="1:26" ht="15.75" thickBot="1" x14ac:dyDescent="0.3"/>
    <row r="114" spans="1:26" ht="15" customHeight="1" x14ac:dyDescent="0.25">
      <c r="A114" s="788" t="s">
        <v>82</v>
      </c>
      <c r="B114" s="790" t="s">
        <v>19</v>
      </c>
      <c r="C114" s="790" t="s">
        <v>44</v>
      </c>
      <c r="D114" s="792" t="s">
        <v>245</v>
      </c>
      <c r="E114" s="771" t="s">
        <v>20</v>
      </c>
      <c r="F114" s="770"/>
      <c r="G114" s="770"/>
      <c r="H114" s="770"/>
      <c r="I114" s="770"/>
      <c r="J114" s="770"/>
      <c r="K114" s="770"/>
      <c r="L114" s="770"/>
      <c r="M114" s="770"/>
      <c r="N114" s="770"/>
      <c r="O114" s="770"/>
      <c r="P114" s="770"/>
      <c r="Q114" s="767" t="s">
        <v>20</v>
      </c>
      <c r="R114" s="769" t="s">
        <v>25</v>
      </c>
      <c r="S114" s="770"/>
      <c r="T114" s="770"/>
      <c r="U114" s="770"/>
      <c r="V114" s="767" t="s">
        <v>25</v>
      </c>
      <c r="W114" s="767" t="s">
        <v>26</v>
      </c>
      <c r="X114" s="778" t="s">
        <v>27</v>
      </c>
      <c r="Z114" s="786" t="s">
        <v>49</v>
      </c>
    </row>
    <row r="115" spans="1:26" ht="15.75" thickBot="1" x14ac:dyDescent="0.3">
      <c r="A115" s="789"/>
      <c r="B115" s="791"/>
      <c r="C115" s="791"/>
      <c r="D115" s="793"/>
      <c r="E115" s="1">
        <v>1</v>
      </c>
      <c r="F115" s="2">
        <v>2</v>
      </c>
      <c r="G115" s="2">
        <v>3</v>
      </c>
      <c r="H115" s="2">
        <v>4</v>
      </c>
      <c r="I115" s="2">
        <v>5</v>
      </c>
      <c r="J115" s="2">
        <v>6</v>
      </c>
      <c r="K115" s="2">
        <v>7</v>
      </c>
      <c r="L115" s="2">
        <v>8</v>
      </c>
      <c r="M115" s="2">
        <v>9</v>
      </c>
      <c r="N115" s="2">
        <v>10</v>
      </c>
      <c r="O115" s="2">
        <v>11</v>
      </c>
      <c r="P115" s="3">
        <v>12</v>
      </c>
      <c r="Q115" s="768"/>
      <c r="R115" s="4" t="s">
        <v>21</v>
      </c>
      <c r="S115" s="2" t="s">
        <v>22</v>
      </c>
      <c r="T115" s="2" t="s">
        <v>23</v>
      </c>
      <c r="U115" s="3" t="s">
        <v>24</v>
      </c>
      <c r="V115" s="768"/>
      <c r="W115" s="768"/>
      <c r="X115" s="779"/>
      <c r="Z115" s="787"/>
    </row>
    <row r="116" spans="1:26" ht="18.75" customHeight="1" thickTop="1" x14ac:dyDescent="0.25">
      <c r="A116" s="92"/>
      <c r="B116" s="18"/>
      <c r="C116" s="19"/>
      <c r="D116" s="20"/>
      <c r="E116" s="6">
        <f t="shared" ref="E116:P117" si="134">IF(AND($C116="j",$D116=E$34),$B116,IF($C116="h",$B116*IF($D116=IF(MOD(E$34,6)=0,6,MOD(E$34,6)),1,0),IF($C116="q",$B116*IF($D116=IF(MOD(E$34,3)=0,3,MOD(E$34,3)),1,0),IF($C116="z",$B116*IF($D116=IF(MOD(E$34,2)=0,2,MOD(E$34,2)),1,0),IF($C116="m",$B116,0)))))</f>
        <v>0</v>
      </c>
      <c r="F116" s="7">
        <f t="shared" si="134"/>
        <v>0</v>
      </c>
      <c r="G116" s="7">
        <f t="shared" si="134"/>
        <v>0</v>
      </c>
      <c r="H116" s="7">
        <f t="shared" si="134"/>
        <v>0</v>
      </c>
      <c r="I116" s="7">
        <f t="shared" si="134"/>
        <v>0</v>
      </c>
      <c r="J116" s="7">
        <f t="shared" si="134"/>
        <v>0</v>
      </c>
      <c r="K116" s="7">
        <f t="shared" si="134"/>
        <v>0</v>
      </c>
      <c r="L116" s="7">
        <f t="shared" si="134"/>
        <v>0</v>
      </c>
      <c r="M116" s="7">
        <f t="shared" si="134"/>
        <v>0</v>
      </c>
      <c r="N116" s="7">
        <f t="shared" si="134"/>
        <v>0</v>
      </c>
      <c r="O116" s="7">
        <f t="shared" si="134"/>
        <v>0</v>
      </c>
      <c r="P116" s="180">
        <f t="shared" si="134"/>
        <v>0</v>
      </c>
      <c r="Q116" s="8">
        <f>SUM(E116:P116)</f>
        <v>0</v>
      </c>
      <c r="R116" s="307">
        <f>IF(AND($C116="j",$D116&gt;=1,$D116&lt;=3),$B116,IF(AND($C116="h",$D116&gt;=1,$D116&lt;=3),$B116,IF(AND($C116="q",$D116&gt;=1,$D116&lt;=3),$B116,IF($C116="z",IF($D116=1,2*$B116,$B116),IF($C116="m",3*$B116,0)))))</f>
        <v>0</v>
      </c>
      <c r="S116" s="7">
        <f>IF(AND($C116="j",$D116&gt;=4,$D116&lt;=6),$B116,IF(AND($C116="h",$D116&gt;=4,$D116&lt;=6),$B116,IF(AND($C116="q",$D116&gt;=1,$D116&lt;=3),$B116,IF($C116="z",IF($D116=2,2*$B116,$B116),IF($C116="m",3*$B116,0)))))</f>
        <v>0</v>
      </c>
      <c r="T116" s="7">
        <f>IF(AND($C116="j",$D116&gt;=7,$D116&lt;=9),$B116,IF(AND($C116="h",$D116&gt;=1,$D116&lt;=3),$B116,IF(AND($C116="q",$D116&gt;=1,$D116&lt;=3),$B116,IF($C116="z",IF($D116=1,2*$B116,$B116),IF($C116="m",3*$B116,0)))))</f>
        <v>0</v>
      </c>
      <c r="U116" s="180">
        <f>IF(AND($C116="j",$D116&gt;=10,$D116&lt;=12),$B116,IF(AND($C116="h",$D116&gt;=4,$D116&lt;=6),$B116,IF(AND($C116="q",$D116&gt;=1,$D116&lt;=3),$B116,IF($C116="z",IF($D116=2,2*$B116,$B116),IF($C116="m",3*$B116,0)))))</f>
        <v>0</v>
      </c>
      <c r="V116" s="8">
        <f>SUM(R116:U116)</f>
        <v>0</v>
      </c>
      <c r="W116" s="8">
        <f>IF($C116="j",$B116,IF($C116="h",2*$B116,IF($C116="q",4*$B116,IF($C116="z",6*$B116,12*$B116))))</f>
        <v>0</v>
      </c>
      <c r="X116" s="9">
        <f>IF($C116="j",$B116,IF($C116="h",2*$B116,IF($C116="q",4*$B116,IF($C116="z",6*$B116,12*$B116))))</f>
        <v>0</v>
      </c>
      <c r="Z116" s="569">
        <f>((Q116+V116+W116+X116)/4)/12</f>
        <v>0</v>
      </c>
    </row>
    <row r="117" spans="1:26" ht="18.75" customHeight="1" thickBot="1" x14ac:dyDescent="0.3">
      <c r="A117" s="97"/>
      <c r="B117" s="98"/>
      <c r="C117" s="99"/>
      <c r="D117" s="100"/>
      <c r="E117" s="14">
        <f t="shared" si="134"/>
        <v>0</v>
      </c>
      <c r="F117" s="15">
        <f t="shared" si="134"/>
        <v>0</v>
      </c>
      <c r="G117" s="15">
        <f t="shared" si="134"/>
        <v>0</v>
      </c>
      <c r="H117" s="15">
        <f t="shared" si="134"/>
        <v>0</v>
      </c>
      <c r="I117" s="15">
        <f t="shared" si="134"/>
        <v>0</v>
      </c>
      <c r="J117" s="15">
        <f t="shared" si="134"/>
        <v>0</v>
      </c>
      <c r="K117" s="15">
        <f t="shared" si="134"/>
        <v>0</v>
      </c>
      <c r="L117" s="15">
        <f t="shared" si="134"/>
        <v>0</v>
      </c>
      <c r="M117" s="15">
        <f t="shared" si="134"/>
        <v>0</v>
      </c>
      <c r="N117" s="15">
        <f t="shared" si="134"/>
        <v>0</v>
      </c>
      <c r="O117" s="15">
        <f t="shared" si="134"/>
        <v>0</v>
      </c>
      <c r="P117" s="648">
        <f t="shared" si="134"/>
        <v>0</v>
      </c>
      <c r="Q117" s="16">
        <f t="shared" ref="Q117" si="135">SUM(E117:P117)</f>
        <v>0</v>
      </c>
      <c r="R117" s="565">
        <f t="shared" ref="R117" si="136">IF(AND($C117="j",$D117&gt;=1,$D117&lt;=3),$B117,IF(AND($C117="h",$D117&gt;=1,$D117&lt;=3),$B117,IF(AND($C117="q",$D117&gt;=1,$D117&lt;=3),$B117,IF($C117="z",IF($D117=1,2*$B117,$B117),IF($C117="m",3*$B117,0)))))</f>
        <v>0</v>
      </c>
      <c r="S117" s="15">
        <f t="shared" ref="S117" si="137">IF(AND($C117="j",$D117&gt;=4,$D117&lt;=6),$B117,IF(AND($C117="h",$D117&gt;=4,$D117&lt;=6),$B117,IF(AND($C117="q",$D117&gt;=1,$D117&lt;=3),$B117,IF($C117="z",IF($D117=2,2*$B117,$B117),IF($C117="m",3*$B117,0)))))</f>
        <v>0</v>
      </c>
      <c r="T117" s="15">
        <f t="shared" ref="T117" si="138">IF(AND($C117="j",$D117&gt;=7,$D117&lt;=9),$B117,IF(AND($C117="h",$D117&gt;=1,$D117&lt;=3),$B117,IF(AND($C117="q",$D117&gt;=1,$D117&lt;=3),$B117,IF($C117="z",IF($D117=1,2*$B117,$B117),IF($C117="m",3*$B117,0)))))</f>
        <v>0</v>
      </c>
      <c r="U117" s="648">
        <f t="shared" ref="U117" si="139">IF(AND($C117="j",$D117&gt;=10,$D117&lt;=12),$B117,IF(AND($C117="h",$D117&gt;=4,$D117&lt;=6),$B117,IF(AND($C117="q",$D117&gt;=1,$D117&lt;=3),$B117,IF($C117="z",IF($D117=2,2*$B117,$B117),IF($C117="m",3*$B117,0)))))</f>
        <v>0</v>
      </c>
      <c r="V117" s="16">
        <f t="shared" ref="V117" si="140">SUM(R117:U117)</f>
        <v>0</v>
      </c>
      <c r="W117" s="16">
        <f t="shared" ref="W117:X117" si="141">IF($C117="j",$B117,IF($C117="h",2*$B117,IF($C117="q",4*$B117,IF($C117="z",6*$B117,12*$B117))))</f>
        <v>0</v>
      </c>
      <c r="X117" s="17">
        <f t="shared" si="141"/>
        <v>0</v>
      </c>
      <c r="Z117" s="575">
        <f>((Q117+V117+W117+X117)/4)/12</f>
        <v>0</v>
      </c>
    </row>
    <row r="118" spans="1:26" ht="7.5" customHeight="1" thickTop="1" thickBot="1" x14ac:dyDescent="0.3">
      <c r="A118" s="101"/>
      <c r="B118" s="102"/>
      <c r="C118" s="103"/>
      <c r="D118" s="104"/>
      <c r="E118" s="27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9"/>
      <c r="Q118" s="33"/>
      <c r="R118" s="31"/>
      <c r="S118" s="28"/>
      <c r="T118" s="28"/>
      <c r="U118" s="29"/>
      <c r="V118" s="33"/>
      <c r="W118" s="33"/>
      <c r="X118" s="34"/>
      <c r="Z118" s="571"/>
    </row>
    <row r="119" spans="1:26" s="625" customFormat="1" ht="18.75" customHeight="1" thickBot="1" x14ac:dyDescent="0.3">
      <c r="A119" s="572" t="s">
        <v>50</v>
      </c>
      <c r="B119" s="573">
        <f>Z119</f>
        <v>0</v>
      </c>
      <c r="D119" s="626"/>
      <c r="E119" s="627">
        <f t="shared" ref="E119:X119" si="142">SUM(E116:E118)</f>
        <v>0</v>
      </c>
      <c r="F119" s="549">
        <f t="shared" si="142"/>
        <v>0</v>
      </c>
      <c r="G119" s="549">
        <f t="shared" si="142"/>
        <v>0</v>
      </c>
      <c r="H119" s="549">
        <f t="shared" si="142"/>
        <v>0</v>
      </c>
      <c r="I119" s="549">
        <f t="shared" si="142"/>
        <v>0</v>
      </c>
      <c r="J119" s="549">
        <f t="shared" si="142"/>
        <v>0</v>
      </c>
      <c r="K119" s="549">
        <f t="shared" si="142"/>
        <v>0</v>
      </c>
      <c r="L119" s="549">
        <f t="shared" si="142"/>
        <v>0</v>
      </c>
      <c r="M119" s="549">
        <f t="shared" si="142"/>
        <v>0</v>
      </c>
      <c r="N119" s="549">
        <f t="shared" si="142"/>
        <v>0</v>
      </c>
      <c r="O119" s="549">
        <f t="shared" si="142"/>
        <v>0</v>
      </c>
      <c r="P119" s="36">
        <f t="shared" si="142"/>
        <v>0</v>
      </c>
      <c r="Q119" s="37">
        <f t="shared" si="142"/>
        <v>0</v>
      </c>
      <c r="R119" s="548">
        <f t="shared" si="142"/>
        <v>0</v>
      </c>
      <c r="S119" s="549">
        <f t="shared" si="142"/>
        <v>0</v>
      </c>
      <c r="T119" s="549">
        <f t="shared" si="142"/>
        <v>0</v>
      </c>
      <c r="U119" s="36">
        <f t="shared" si="142"/>
        <v>0</v>
      </c>
      <c r="V119" s="37">
        <f t="shared" si="142"/>
        <v>0</v>
      </c>
      <c r="W119" s="37">
        <f t="shared" si="142"/>
        <v>0</v>
      </c>
      <c r="X119" s="38">
        <f t="shared" si="142"/>
        <v>0</v>
      </c>
      <c r="Z119" s="574">
        <f>SUM(Z116:Z117)</f>
        <v>0</v>
      </c>
    </row>
    <row r="120" spans="1:26" ht="15.75" thickBot="1" x14ac:dyDescent="0.3"/>
    <row r="121" spans="1:26" ht="15" customHeight="1" x14ac:dyDescent="0.25">
      <c r="A121" s="788" t="s">
        <v>83</v>
      </c>
      <c r="B121" s="790" t="s">
        <v>19</v>
      </c>
      <c r="C121" s="790" t="s">
        <v>44</v>
      </c>
      <c r="D121" s="792" t="s">
        <v>245</v>
      </c>
      <c r="E121" s="771" t="s">
        <v>20</v>
      </c>
      <c r="F121" s="770"/>
      <c r="G121" s="770"/>
      <c r="H121" s="770"/>
      <c r="I121" s="770"/>
      <c r="J121" s="770"/>
      <c r="K121" s="770"/>
      <c r="L121" s="770"/>
      <c r="M121" s="770"/>
      <c r="N121" s="770"/>
      <c r="O121" s="770"/>
      <c r="P121" s="770"/>
      <c r="Q121" s="767" t="s">
        <v>20</v>
      </c>
      <c r="R121" s="769" t="s">
        <v>25</v>
      </c>
      <c r="S121" s="770"/>
      <c r="T121" s="770"/>
      <c r="U121" s="770"/>
      <c r="V121" s="767" t="s">
        <v>25</v>
      </c>
      <c r="W121" s="767" t="s">
        <v>26</v>
      </c>
      <c r="X121" s="778" t="s">
        <v>27</v>
      </c>
      <c r="Z121" s="786" t="s">
        <v>49</v>
      </c>
    </row>
    <row r="122" spans="1:26" ht="15.75" thickBot="1" x14ac:dyDescent="0.3">
      <c r="A122" s="789"/>
      <c r="B122" s="791"/>
      <c r="C122" s="791"/>
      <c r="D122" s="793"/>
      <c r="E122" s="1">
        <v>1</v>
      </c>
      <c r="F122" s="2">
        <v>2</v>
      </c>
      <c r="G122" s="2">
        <v>3</v>
      </c>
      <c r="H122" s="2">
        <v>4</v>
      </c>
      <c r="I122" s="2">
        <v>5</v>
      </c>
      <c r="J122" s="2">
        <v>6</v>
      </c>
      <c r="K122" s="2">
        <v>7</v>
      </c>
      <c r="L122" s="2">
        <v>8</v>
      </c>
      <c r="M122" s="2">
        <v>9</v>
      </c>
      <c r="N122" s="2">
        <v>10</v>
      </c>
      <c r="O122" s="2">
        <v>11</v>
      </c>
      <c r="P122" s="3">
        <v>12</v>
      </c>
      <c r="Q122" s="768"/>
      <c r="R122" s="4" t="s">
        <v>21</v>
      </c>
      <c r="S122" s="2" t="s">
        <v>22</v>
      </c>
      <c r="T122" s="2" t="s">
        <v>23</v>
      </c>
      <c r="U122" s="3" t="s">
        <v>24</v>
      </c>
      <c r="V122" s="768"/>
      <c r="W122" s="768"/>
      <c r="X122" s="779"/>
      <c r="Z122" s="787"/>
    </row>
    <row r="123" spans="1:26" ht="18.75" customHeight="1" thickTop="1" x14ac:dyDescent="0.25">
      <c r="A123" s="92" t="s">
        <v>134</v>
      </c>
      <c r="B123" s="18">
        <v>1500</v>
      </c>
      <c r="C123" s="19" t="s">
        <v>45</v>
      </c>
      <c r="D123" s="20" t="s">
        <v>48</v>
      </c>
      <c r="E123" s="6">
        <f t="shared" ref="E123:P124" si="143">IF(AND($C123="j",$D123=E$34),$B123,IF($C123="h",$B123*IF($D123=IF(MOD(E$34,6)=0,6,MOD(E$34,6)),1,0),IF($C123="q",$B123*IF($D123=IF(MOD(E$34,3)=0,3,MOD(E$34,3)),1,0),IF($C123="z",$B123*IF($D123=IF(MOD(E$34,2)=0,2,MOD(E$34,2)),1,0),IF($C123="m",$B123,0)))))</f>
        <v>1500</v>
      </c>
      <c r="F123" s="7">
        <f t="shared" si="143"/>
        <v>1500</v>
      </c>
      <c r="G123" s="7">
        <f t="shared" si="143"/>
        <v>1500</v>
      </c>
      <c r="H123" s="7">
        <f t="shared" si="143"/>
        <v>1500</v>
      </c>
      <c r="I123" s="7">
        <f t="shared" si="143"/>
        <v>1500</v>
      </c>
      <c r="J123" s="7">
        <f t="shared" si="143"/>
        <v>1500</v>
      </c>
      <c r="K123" s="7">
        <f t="shared" si="143"/>
        <v>1500</v>
      </c>
      <c r="L123" s="7">
        <f t="shared" si="143"/>
        <v>1500</v>
      </c>
      <c r="M123" s="7">
        <f t="shared" si="143"/>
        <v>1500</v>
      </c>
      <c r="N123" s="7">
        <f t="shared" si="143"/>
        <v>1500</v>
      </c>
      <c r="O123" s="7">
        <f t="shared" si="143"/>
        <v>1500</v>
      </c>
      <c r="P123" s="180">
        <f t="shared" si="143"/>
        <v>1500</v>
      </c>
      <c r="Q123" s="8">
        <f>SUM(E123:P123)</f>
        <v>18000</v>
      </c>
      <c r="R123" s="307">
        <f>IF(AND($C123="j",$D123&gt;=1,$D123&lt;=3),$B123,IF(AND($C123="h",$D123&gt;=1,$D123&lt;=3),$B123,IF(AND($C123="q",$D123&gt;=1,$D123&lt;=3),$B123,IF($C123="z",IF($D123=1,2*$B123,$B123),IF($C123="m",3*$B123,0)))))</f>
        <v>4500</v>
      </c>
      <c r="S123" s="7">
        <f>IF(AND($C123="j",$D123&gt;=4,$D123&lt;=6),$B123,IF(AND($C123="h",$D123&gt;=4,$D123&lt;=6),$B123,IF(AND($C123="q",$D123&gt;=1,$D123&lt;=3),$B123,IF($C123="z",IF($D123=2,2*$B123,$B123),IF($C123="m",3*$B123,0)))))</f>
        <v>4500</v>
      </c>
      <c r="T123" s="7">
        <f>IF(AND($C123="j",$D123&gt;=7,$D123&lt;=9),$B123,IF(AND($C123="h",$D123&gt;=1,$D123&lt;=3),$B123,IF(AND($C123="q",$D123&gt;=1,$D123&lt;=3),$B123,IF($C123="z",IF($D123=1,2*$B123,$B123),IF($C123="m",3*$B123,0)))))</f>
        <v>4500</v>
      </c>
      <c r="U123" s="180">
        <f>IF(AND($C123="j",$D123&gt;=10,$D123&lt;=12),$B123,IF(AND($C123="h",$D123&gt;=4,$D123&lt;=6),$B123,IF(AND($C123="q",$D123&gt;=1,$D123&lt;=3),$B123,IF($C123="z",IF($D123=2,2*$B123,$B123),IF($C123="m",3*$B123,0)))))</f>
        <v>4500</v>
      </c>
      <c r="V123" s="8">
        <v>0</v>
      </c>
      <c r="W123" s="8">
        <v>0</v>
      </c>
      <c r="X123" s="9">
        <v>0</v>
      </c>
      <c r="Z123" s="569">
        <f>((Q123+V123+W123+X123)/4)/12</f>
        <v>375</v>
      </c>
    </row>
    <row r="124" spans="1:26" ht="18.75" customHeight="1" thickBot="1" x14ac:dyDescent="0.3">
      <c r="A124" s="97"/>
      <c r="B124" s="98"/>
      <c r="C124" s="99"/>
      <c r="D124" s="100"/>
      <c r="E124" s="14">
        <f t="shared" si="143"/>
        <v>0</v>
      </c>
      <c r="F124" s="15">
        <f t="shared" si="143"/>
        <v>0</v>
      </c>
      <c r="G124" s="15">
        <f t="shared" si="143"/>
        <v>0</v>
      </c>
      <c r="H124" s="15">
        <f t="shared" si="143"/>
        <v>0</v>
      </c>
      <c r="I124" s="15">
        <f t="shared" si="143"/>
        <v>0</v>
      </c>
      <c r="J124" s="15">
        <f t="shared" si="143"/>
        <v>0</v>
      </c>
      <c r="K124" s="15">
        <f t="shared" si="143"/>
        <v>0</v>
      </c>
      <c r="L124" s="15">
        <f t="shared" si="143"/>
        <v>0</v>
      </c>
      <c r="M124" s="15">
        <f t="shared" si="143"/>
        <v>0</v>
      </c>
      <c r="N124" s="15">
        <f t="shared" si="143"/>
        <v>0</v>
      </c>
      <c r="O124" s="15">
        <f t="shared" si="143"/>
        <v>0</v>
      </c>
      <c r="P124" s="648">
        <f t="shared" si="143"/>
        <v>0</v>
      </c>
      <c r="Q124" s="16">
        <f t="shared" ref="Q124" si="144">SUM(E124:P124)</f>
        <v>0</v>
      </c>
      <c r="R124" s="565">
        <f t="shared" ref="R124" si="145">IF(AND($C124="j",$D124&gt;=1,$D124&lt;=3),$B124,IF(AND($C124="h",$D124&gt;=1,$D124&lt;=3),$B124,IF(AND($C124="q",$D124&gt;=1,$D124&lt;=3),$B124,IF($C124="z",IF($D124=1,2*$B124,$B124),IF($C124="m",3*$B124,0)))))</f>
        <v>0</v>
      </c>
      <c r="S124" s="15">
        <f t="shared" ref="S124" si="146">IF(AND($C124="j",$D124&gt;=4,$D124&lt;=6),$B124,IF(AND($C124="h",$D124&gt;=4,$D124&lt;=6),$B124,IF(AND($C124="q",$D124&gt;=1,$D124&lt;=3),$B124,IF($C124="z",IF($D124=2,2*$B124,$B124),IF($C124="m",3*$B124,0)))))</f>
        <v>0</v>
      </c>
      <c r="T124" s="15">
        <f t="shared" ref="T124" si="147">IF(AND($C124="j",$D124&gt;=7,$D124&lt;=9),$B124,IF(AND($C124="h",$D124&gt;=1,$D124&lt;=3),$B124,IF(AND($C124="q",$D124&gt;=1,$D124&lt;=3),$B124,IF($C124="z",IF($D124=1,2*$B124,$B124),IF($C124="m",3*$B124,0)))))</f>
        <v>0</v>
      </c>
      <c r="U124" s="648">
        <f t="shared" ref="U124" si="148">IF(AND($C124="j",$D124&gt;=10,$D124&lt;=12),$B124,IF(AND($C124="h",$D124&gt;=4,$D124&lt;=6),$B124,IF(AND($C124="q",$D124&gt;=1,$D124&lt;=3),$B124,IF($C124="z",IF($D124=2,2*$B124,$B124),IF($C124="m",3*$B124,0)))))</f>
        <v>0</v>
      </c>
      <c r="V124" s="16">
        <f t="shared" ref="V124" si="149">SUM(R124:U124)</f>
        <v>0</v>
      </c>
      <c r="W124" s="16">
        <f t="shared" ref="W124:X124" si="150">IF($C124="j",$B124,IF($C124="h",2*$B124,IF($C124="q",4*$B124,IF($C124="z",6*$B124,12*$B124))))</f>
        <v>0</v>
      </c>
      <c r="X124" s="17">
        <f t="shared" si="150"/>
        <v>0</v>
      </c>
      <c r="Z124" s="575">
        <f>((Q124+V124+W124+X124)/4)/12</f>
        <v>0</v>
      </c>
    </row>
    <row r="125" spans="1:26" ht="7.5" customHeight="1" thickTop="1" thickBot="1" x14ac:dyDescent="0.3">
      <c r="A125" s="101"/>
      <c r="B125" s="102"/>
      <c r="C125" s="103"/>
      <c r="D125" s="104"/>
      <c r="E125" s="27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9"/>
      <c r="Q125" s="33"/>
      <c r="R125" s="31"/>
      <c r="S125" s="28"/>
      <c r="T125" s="28"/>
      <c r="U125" s="29"/>
      <c r="V125" s="33"/>
      <c r="W125" s="33"/>
      <c r="X125" s="34"/>
      <c r="Z125" s="571"/>
    </row>
    <row r="126" spans="1:26" s="625" customFormat="1" ht="18.75" customHeight="1" thickBot="1" x14ac:dyDescent="0.3">
      <c r="A126" s="572" t="s">
        <v>50</v>
      </c>
      <c r="B126" s="573">
        <f>Z126</f>
        <v>375</v>
      </c>
      <c r="D126" s="626"/>
      <c r="E126" s="627">
        <f>SUM(E123:E125)</f>
        <v>1500</v>
      </c>
      <c r="F126" s="549">
        <f t="shared" ref="F126:X126" si="151">SUM(F123:F125)</f>
        <v>1500</v>
      </c>
      <c r="G126" s="549">
        <f t="shared" si="151"/>
        <v>1500</v>
      </c>
      <c r="H126" s="549">
        <f t="shared" si="151"/>
        <v>1500</v>
      </c>
      <c r="I126" s="549">
        <f t="shared" si="151"/>
        <v>1500</v>
      </c>
      <c r="J126" s="549">
        <f t="shared" si="151"/>
        <v>1500</v>
      </c>
      <c r="K126" s="549">
        <f t="shared" si="151"/>
        <v>1500</v>
      </c>
      <c r="L126" s="549">
        <f t="shared" si="151"/>
        <v>1500</v>
      </c>
      <c r="M126" s="549">
        <f t="shared" si="151"/>
        <v>1500</v>
      </c>
      <c r="N126" s="549">
        <f t="shared" si="151"/>
        <v>1500</v>
      </c>
      <c r="O126" s="549">
        <f t="shared" si="151"/>
        <v>1500</v>
      </c>
      <c r="P126" s="36">
        <f t="shared" si="151"/>
        <v>1500</v>
      </c>
      <c r="Q126" s="37">
        <f t="shared" si="151"/>
        <v>18000</v>
      </c>
      <c r="R126" s="548">
        <f t="shared" si="151"/>
        <v>4500</v>
      </c>
      <c r="S126" s="549">
        <f t="shared" si="151"/>
        <v>4500</v>
      </c>
      <c r="T126" s="549">
        <f t="shared" si="151"/>
        <v>4500</v>
      </c>
      <c r="U126" s="36">
        <f t="shared" si="151"/>
        <v>4500</v>
      </c>
      <c r="V126" s="37">
        <f t="shared" si="151"/>
        <v>0</v>
      </c>
      <c r="W126" s="37">
        <f t="shared" si="151"/>
        <v>0</v>
      </c>
      <c r="X126" s="38">
        <f t="shared" si="151"/>
        <v>0</v>
      </c>
      <c r="Z126" s="574">
        <f>SUM(Z123:Z124)</f>
        <v>375</v>
      </c>
    </row>
    <row r="127" spans="1:26" ht="15.75" thickBot="1" x14ac:dyDescent="0.3"/>
    <row r="128" spans="1:26" ht="15" customHeight="1" x14ac:dyDescent="0.25">
      <c r="A128" s="788" t="s">
        <v>84</v>
      </c>
      <c r="B128" s="790" t="s">
        <v>19</v>
      </c>
      <c r="C128" s="790" t="s">
        <v>44</v>
      </c>
      <c r="D128" s="792" t="s">
        <v>245</v>
      </c>
      <c r="E128" s="771" t="s">
        <v>20</v>
      </c>
      <c r="F128" s="770"/>
      <c r="G128" s="770"/>
      <c r="H128" s="770"/>
      <c r="I128" s="770"/>
      <c r="J128" s="770"/>
      <c r="K128" s="770"/>
      <c r="L128" s="770"/>
      <c r="M128" s="770"/>
      <c r="N128" s="770"/>
      <c r="O128" s="770"/>
      <c r="P128" s="770"/>
      <c r="Q128" s="767" t="s">
        <v>20</v>
      </c>
      <c r="R128" s="769" t="s">
        <v>25</v>
      </c>
      <c r="S128" s="770"/>
      <c r="T128" s="770"/>
      <c r="U128" s="770"/>
      <c r="V128" s="767" t="s">
        <v>25</v>
      </c>
      <c r="W128" s="767" t="s">
        <v>26</v>
      </c>
      <c r="X128" s="778" t="s">
        <v>27</v>
      </c>
      <c r="Z128" s="786" t="s">
        <v>49</v>
      </c>
    </row>
    <row r="129" spans="1:26" ht="15.75" thickBot="1" x14ac:dyDescent="0.3">
      <c r="A129" s="789"/>
      <c r="B129" s="791"/>
      <c r="C129" s="791"/>
      <c r="D129" s="793"/>
      <c r="E129" s="1">
        <v>1</v>
      </c>
      <c r="F129" s="2">
        <v>2</v>
      </c>
      <c r="G129" s="2">
        <v>3</v>
      </c>
      <c r="H129" s="2">
        <v>4</v>
      </c>
      <c r="I129" s="2">
        <v>5</v>
      </c>
      <c r="J129" s="2">
        <v>6</v>
      </c>
      <c r="K129" s="2">
        <v>7</v>
      </c>
      <c r="L129" s="2">
        <v>8</v>
      </c>
      <c r="M129" s="2">
        <v>9</v>
      </c>
      <c r="N129" s="2">
        <v>10</v>
      </c>
      <c r="O129" s="2">
        <v>11</v>
      </c>
      <c r="P129" s="3">
        <v>12</v>
      </c>
      <c r="Q129" s="768"/>
      <c r="R129" s="4" t="s">
        <v>21</v>
      </c>
      <c r="S129" s="2" t="s">
        <v>22</v>
      </c>
      <c r="T129" s="2" t="s">
        <v>23</v>
      </c>
      <c r="U129" s="3" t="s">
        <v>24</v>
      </c>
      <c r="V129" s="768"/>
      <c r="W129" s="768"/>
      <c r="X129" s="779"/>
      <c r="Z129" s="787"/>
    </row>
    <row r="130" spans="1:26" ht="18.75" customHeight="1" thickTop="1" x14ac:dyDescent="0.25">
      <c r="A130" s="92" t="s">
        <v>146</v>
      </c>
      <c r="B130" s="18">
        <v>50</v>
      </c>
      <c r="C130" s="19" t="s">
        <v>121</v>
      </c>
      <c r="D130" s="20">
        <v>1</v>
      </c>
      <c r="E130" s="6">
        <f>IF(AND($C130="j",$D130=E$34),$B130,IF($C130="h",$B130*IF($D130=IF(MOD(E$34,6)=0,6,MOD(E$34,6)),1,0),IF($C130="q",$B130*IF($D130=IF(MOD(E$34,3)=0,3,MOD(E$34,3)),1,0),IF($C130="z",$B130*IF($D130=IF(MOD(E$34,2)=0,2,MOD(E$34,2)),1,0),IF($C130="m",$B130,0)))))</f>
        <v>50</v>
      </c>
      <c r="F130" s="7">
        <f t="shared" ref="F130:P131" si="152">IF(AND($C130="j",$D130=F$34),$B130,IF($C130="h",$B130*IF($D130=IF(MOD(F$34,6)=0,6,MOD(F$34,6)),1,0),IF($C130="q",$B130*IF($D130=IF(MOD(F$34,3)=0,3,MOD(F$34,3)),1,0),IF($C130="z",$B130*IF($D130=IF(MOD(F$34,2)=0,2,MOD(F$34,2)),1,0),IF($C130="m",$B130,0)))))</f>
        <v>0</v>
      </c>
      <c r="G130" s="7">
        <f t="shared" si="152"/>
        <v>0</v>
      </c>
      <c r="H130" s="7">
        <f t="shared" si="152"/>
        <v>50</v>
      </c>
      <c r="I130" s="7">
        <f t="shared" si="152"/>
        <v>0</v>
      </c>
      <c r="J130" s="7">
        <f t="shared" si="152"/>
        <v>0</v>
      </c>
      <c r="K130" s="7">
        <f t="shared" si="152"/>
        <v>50</v>
      </c>
      <c r="L130" s="7">
        <f t="shared" si="152"/>
        <v>0</v>
      </c>
      <c r="M130" s="7">
        <f t="shared" si="152"/>
        <v>0</v>
      </c>
      <c r="N130" s="7">
        <f t="shared" si="152"/>
        <v>50</v>
      </c>
      <c r="O130" s="7">
        <f t="shared" si="152"/>
        <v>0</v>
      </c>
      <c r="P130" s="180">
        <f t="shared" si="152"/>
        <v>0</v>
      </c>
      <c r="Q130" s="8">
        <f>SUM(E130:P130)</f>
        <v>200</v>
      </c>
      <c r="R130" s="307">
        <f>IF(AND($C130="j",$D130&gt;=1,$D130&lt;=3),$B130,IF(AND($C130="h",$D130&gt;=1,$D130&lt;=3),$B130,IF(AND($C130="q",$D130&gt;=1,$D130&lt;=3),$B130,IF($C130="z",IF($D130=1,2*$B130,$B130),IF($C130="m",3*$B130,0)))))</f>
        <v>50</v>
      </c>
      <c r="S130" s="7">
        <f>IF(AND($C130="j",$D130&gt;=4,$D130&lt;=6),$B130,IF(AND($C130="h",$D130&gt;=4,$D130&lt;=6),$B130,IF(AND($C130="q",$D130&gt;=1,$D130&lt;=3),$B130,IF($C130="z",IF($D130=2,2*$B130,$B130),IF($C130="m",3*$B130,0)))))</f>
        <v>50</v>
      </c>
      <c r="T130" s="7">
        <f>IF(AND($C130="j",$D130&gt;=7,$D130&lt;=9),$B130,IF(AND($C130="h",$D130&gt;=1,$D130&lt;=3),$B130,IF(AND($C130="q",$D130&gt;=1,$D130&lt;=3),$B130,IF($C130="z",IF($D130=1,2*$B130,$B130),IF($C130="m",3*$B130,0)))))</f>
        <v>50</v>
      </c>
      <c r="U130" s="180">
        <f>IF(AND($C130="j",$D130&gt;=10,$D130&lt;=12),$B130,IF(AND($C130="h",$D130&gt;=4,$D130&lt;=6),$B130,IF(AND($C130="q",$D130&gt;=1,$D130&lt;=3),$B130,IF($C130="z",IF($D130=2,2*$B130,$B130),IF($C130="m",3*$B130,0)))))</f>
        <v>50</v>
      </c>
      <c r="V130" s="8">
        <f>SUM(R130:U130)</f>
        <v>200</v>
      </c>
      <c r="W130" s="8">
        <f>IF($C130="j",$B130,IF($C130="h",2*$B130,IF($C130="q",4*$B130,IF($C130="z",6*$B130,12*$B130))))</f>
        <v>200</v>
      </c>
      <c r="X130" s="9">
        <f>IF($C130="j",$B130,IF($C130="h",2*$B130,IF($C130="q",4*$B130,IF($C130="z",6*$B130,12*$B130))))</f>
        <v>200</v>
      </c>
      <c r="Z130" s="569">
        <f>((Q130+V130+W130+X130)/4)/12</f>
        <v>16.666666666666668</v>
      </c>
    </row>
    <row r="131" spans="1:26" ht="18.75" customHeight="1" thickBot="1" x14ac:dyDescent="0.3">
      <c r="A131" s="97"/>
      <c r="B131" s="98"/>
      <c r="C131" s="99"/>
      <c r="D131" s="100"/>
      <c r="E131" s="14">
        <f t="shared" ref="E131" si="153">IF(AND($C131="j",$D131=E$34),$B131,IF($C131="h",$B131*IF($D131=IF(MOD(E$34,6)=0,6,MOD(E$34,6)),1,0),IF($C131="q",$B131*IF($D131=IF(MOD(E$34,3)=0,3,MOD(E$34,3)),1,0),IF($C131="z",$B131*IF($D131=IF(MOD(E$34,2)=0,2,MOD(E$34,2)),1,0),IF($C131="m",$B131,0)))))</f>
        <v>0</v>
      </c>
      <c r="F131" s="15">
        <f t="shared" si="152"/>
        <v>0</v>
      </c>
      <c r="G131" s="15">
        <f t="shared" si="152"/>
        <v>0</v>
      </c>
      <c r="H131" s="15">
        <f t="shared" si="152"/>
        <v>0</v>
      </c>
      <c r="I131" s="15">
        <f t="shared" si="152"/>
        <v>0</v>
      </c>
      <c r="J131" s="15">
        <f t="shared" si="152"/>
        <v>0</v>
      </c>
      <c r="K131" s="15">
        <f t="shared" si="152"/>
        <v>0</v>
      </c>
      <c r="L131" s="15">
        <f t="shared" si="152"/>
        <v>0</v>
      </c>
      <c r="M131" s="15">
        <f t="shared" si="152"/>
        <v>0</v>
      </c>
      <c r="N131" s="15">
        <f t="shared" si="152"/>
        <v>0</v>
      </c>
      <c r="O131" s="15">
        <f t="shared" si="152"/>
        <v>0</v>
      </c>
      <c r="P131" s="648">
        <f t="shared" si="152"/>
        <v>0</v>
      </c>
      <c r="Q131" s="16">
        <f t="shared" ref="Q131" si="154">SUM(E131:P131)</f>
        <v>0</v>
      </c>
      <c r="R131" s="565">
        <f t="shared" ref="R131" si="155">IF(AND($C131="j",$D131&gt;=1,$D131&lt;=3),$B131,IF(AND($C131="h",$D131&gt;=1,$D131&lt;=3),$B131,IF(AND($C131="q",$D131&gt;=1,$D131&lt;=3),$B131,IF($C131="z",IF($D131=1,2*$B131,$B131),IF($C131="m",3*$B131,0)))))</f>
        <v>0</v>
      </c>
      <c r="S131" s="15">
        <f t="shared" ref="S131" si="156">IF(AND($C131="j",$D131&gt;=4,$D131&lt;=6),$B131,IF(AND($C131="h",$D131&gt;=4,$D131&lt;=6),$B131,IF(AND($C131="q",$D131&gt;=1,$D131&lt;=3),$B131,IF($C131="z",IF($D131=2,2*$B131,$B131),IF($C131="m",3*$B131,0)))))</f>
        <v>0</v>
      </c>
      <c r="T131" s="15">
        <f t="shared" ref="T131" si="157">IF(AND($C131="j",$D131&gt;=7,$D131&lt;=9),$B131,IF(AND($C131="h",$D131&gt;=1,$D131&lt;=3),$B131,IF(AND($C131="q",$D131&gt;=1,$D131&lt;=3),$B131,IF($C131="z",IF($D131=1,2*$B131,$B131),IF($C131="m",3*$B131,0)))))</f>
        <v>0</v>
      </c>
      <c r="U131" s="648">
        <f t="shared" ref="U131" si="158">IF(AND($C131="j",$D131&gt;=10,$D131&lt;=12),$B131,IF(AND($C131="h",$D131&gt;=4,$D131&lt;=6),$B131,IF(AND($C131="q",$D131&gt;=1,$D131&lt;=3),$B131,IF($C131="z",IF($D131=2,2*$B131,$B131),IF($C131="m",3*$B131,0)))))</f>
        <v>0</v>
      </c>
      <c r="V131" s="16">
        <f t="shared" ref="V131" si="159">SUM(R131:U131)</f>
        <v>0</v>
      </c>
      <c r="W131" s="16">
        <f t="shared" ref="W131:X131" si="160">IF($C131="j",$B131,IF($C131="h",2*$B131,IF($C131="q",4*$B131,IF($C131="z",6*$B131,12*$B131))))</f>
        <v>0</v>
      </c>
      <c r="X131" s="17">
        <f t="shared" si="160"/>
        <v>0</v>
      </c>
      <c r="Z131" s="575">
        <f>((Q131+V131+W131+X131)/4)/12</f>
        <v>0</v>
      </c>
    </row>
    <row r="132" spans="1:26" ht="7.5" customHeight="1" thickTop="1" thickBot="1" x14ac:dyDescent="0.3">
      <c r="A132" s="101"/>
      <c r="B132" s="102"/>
      <c r="C132" s="103"/>
      <c r="D132" s="104"/>
      <c r="E132" s="27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9"/>
      <c r="Q132" s="33"/>
      <c r="R132" s="31"/>
      <c r="S132" s="28"/>
      <c r="T132" s="28"/>
      <c r="U132" s="29"/>
      <c r="V132" s="33"/>
      <c r="W132" s="33"/>
      <c r="X132" s="34"/>
      <c r="Z132" s="571"/>
    </row>
    <row r="133" spans="1:26" s="625" customFormat="1" ht="18.75" customHeight="1" thickBot="1" x14ac:dyDescent="0.3">
      <c r="A133" s="572" t="s">
        <v>50</v>
      </c>
      <c r="B133" s="573">
        <f>Z133</f>
        <v>16.666666666666668</v>
      </c>
      <c r="D133" s="626"/>
      <c r="E133" s="627">
        <f>SUM(E130:E132)</f>
        <v>50</v>
      </c>
      <c r="F133" s="549">
        <f t="shared" ref="F133:X133" si="161">SUM(F130:F132)</f>
        <v>0</v>
      </c>
      <c r="G133" s="549">
        <f t="shared" si="161"/>
        <v>0</v>
      </c>
      <c r="H133" s="549">
        <f t="shared" si="161"/>
        <v>50</v>
      </c>
      <c r="I133" s="549">
        <f t="shared" si="161"/>
        <v>0</v>
      </c>
      <c r="J133" s="549">
        <f t="shared" si="161"/>
        <v>0</v>
      </c>
      <c r="K133" s="549">
        <f t="shared" si="161"/>
        <v>50</v>
      </c>
      <c r="L133" s="549">
        <f t="shared" si="161"/>
        <v>0</v>
      </c>
      <c r="M133" s="549">
        <f t="shared" si="161"/>
        <v>0</v>
      </c>
      <c r="N133" s="549">
        <f t="shared" si="161"/>
        <v>50</v>
      </c>
      <c r="O133" s="549">
        <f t="shared" si="161"/>
        <v>0</v>
      </c>
      <c r="P133" s="36">
        <f t="shared" si="161"/>
        <v>0</v>
      </c>
      <c r="Q133" s="37">
        <f t="shared" si="161"/>
        <v>200</v>
      </c>
      <c r="R133" s="548">
        <f t="shared" si="161"/>
        <v>50</v>
      </c>
      <c r="S133" s="549">
        <f t="shared" si="161"/>
        <v>50</v>
      </c>
      <c r="T133" s="549">
        <f t="shared" si="161"/>
        <v>50</v>
      </c>
      <c r="U133" s="36">
        <f t="shared" si="161"/>
        <v>50</v>
      </c>
      <c r="V133" s="37">
        <f t="shared" si="161"/>
        <v>200</v>
      </c>
      <c r="W133" s="37">
        <f t="shared" si="161"/>
        <v>200</v>
      </c>
      <c r="X133" s="38">
        <f t="shared" si="161"/>
        <v>200</v>
      </c>
      <c r="Z133" s="574">
        <f>SUM(Z130:Z131)</f>
        <v>16.666666666666668</v>
      </c>
    </row>
    <row r="134" spans="1:26" ht="15.75" thickBot="1" x14ac:dyDescent="0.3"/>
    <row r="135" spans="1:26" ht="15" customHeight="1" x14ac:dyDescent="0.25">
      <c r="A135" s="788" t="s">
        <v>85</v>
      </c>
      <c r="B135" s="790" t="s">
        <v>19</v>
      </c>
      <c r="C135" s="790" t="s">
        <v>44</v>
      </c>
      <c r="D135" s="792" t="s">
        <v>245</v>
      </c>
      <c r="E135" s="771" t="s">
        <v>20</v>
      </c>
      <c r="F135" s="770"/>
      <c r="G135" s="770"/>
      <c r="H135" s="770"/>
      <c r="I135" s="770"/>
      <c r="J135" s="770"/>
      <c r="K135" s="770"/>
      <c r="L135" s="770"/>
      <c r="M135" s="770"/>
      <c r="N135" s="770"/>
      <c r="O135" s="770"/>
      <c r="P135" s="770"/>
      <c r="Q135" s="767" t="s">
        <v>20</v>
      </c>
      <c r="R135" s="769" t="s">
        <v>25</v>
      </c>
      <c r="S135" s="770"/>
      <c r="T135" s="770"/>
      <c r="U135" s="770"/>
      <c r="V135" s="767" t="s">
        <v>25</v>
      </c>
      <c r="W135" s="767" t="s">
        <v>26</v>
      </c>
      <c r="X135" s="778" t="s">
        <v>27</v>
      </c>
      <c r="Z135" s="786" t="s">
        <v>49</v>
      </c>
    </row>
    <row r="136" spans="1:26" ht="15.75" thickBot="1" x14ac:dyDescent="0.3">
      <c r="A136" s="789"/>
      <c r="B136" s="791"/>
      <c r="C136" s="791"/>
      <c r="D136" s="793"/>
      <c r="E136" s="1">
        <v>1</v>
      </c>
      <c r="F136" s="2">
        <v>2</v>
      </c>
      <c r="G136" s="2">
        <v>3</v>
      </c>
      <c r="H136" s="2">
        <v>4</v>
      </c>
      <c r="I136" s="2">
        <v>5</v>
      </c>
      <c r="J136" s="2">
        <v>6</v>
      </c>
      <c r="K136" s="2">
        <v>7</v>
      </c>
      <c r="L136" s="2">
        <v>8</v>
      </c>
      <c r="M136" s="2">
        <v>9</v>
      </c>
      <c r="N136" s="2">
        <v>10</v>
      </c>
      <c r="O136" s="2">
        <v>11</v>
      </c>
      <c r="P136" s="3">
        <v>12</v>
      </c>
      <c r="Q136" s="768"/>
      <c r="R136" s="4" t="s">
        <v>21</v>
      </c>
      <c r="S136" s="2" t="s">
        <v>22</v>
      </c>
      <c r="T136" s="2" t="s">
        <v>23</v>
      </c>
      <c r="U136" s="3" t="s">
        <v>24</v>
      </c>
      <c r="V136" s="768"/>
      <c r="W136" s="768"/>
      <c r="X136" s="779"/>
      <c r="Z136" s="787"/>
    </row>
    <row r="137" spans="1:26" ht="18.75" customHeight="1" thickTop="1" x14ac:dyDescent="0.25">
      <c r="A137" s="92" t="s">
        <v>139</v>
      </c>
      <c r="B137" s="18">
        <v>5000</v>
      </c>
      <c r="C137" s="19" t="s">
        <v>47</v>
      </c>
      <c r="D137" s="20">
        <v>5</v>
      </c>
      <c r="E137" s="6">
        <f>IF(AND($C137="j",$D137=E$34),$B137,IF($C137="h",$B137*IF($D137=IF(MOD(E$34,6)=0,6,MOD(E$34,6)),1,0),IF($C137="q",$B137*IF($D137=IF(MOD(E$34,3)=0,3,MOD(E$34,3)),1,0),IF($C137="z",$B137*IF($D137=IF(MOD(E$34,2)=0,2,MOD(E$34,2)),1,0),IF($C137="m",$B137,0)))))</f>
        <v>0</v>
      </c>
      <c r="F137" s="7">
        <f t="shared" ref="F137:P139" si="162">IF(AND($C137="j",$D137=F$34),$B137,IF($C137="h",$B137*IF($D137=IF(MOD(F$34,6)=0,6,MOD(F$34,6)),1,0),IF($C137="q",$B137*IF($D137=IF(MOD(F$34,3)=0,3,MOD(F$34,3)),1,0),IF($C137="z",$B137*IF($D137=IF(MOD(F$34,2)=0,2,MOD(F$34,2)),1,0),IF($C137="m",$B137,0)))))</f>
        <v>0</v>
      </c>
      <c r="G137" s="7">
        <f t="shared" si="162"/>
        <v>0</v>
      </c>
      <c r="H137" s="7">
        <f t="shared" si="162"/>
        <v>0</v>
      </c>
      <c r="I137" s="7">
        <f t="shared" si="162"/>
        <v>5000</v>
      </c>
      <c r="J137" s="7">
        <f t="shared" si="162"/>
        <v>0</v>
      </c>
      <c r="K137" s="7">
        <f t="shared" si="162"/>
        <v>0</v>
      </c>
      <c r="L137" s="7">
        <f t="shared" si="162"/>
        <v>0</v>
      </c>
      <c r="M137" s="7">
        <f t="shared" si="162"/>
        <v>0</v>
      </c>
      <c r="N137" s="7">
        <f t="shared" si="162"/>
        <v>0</v>
      </c>
      <c r="O137" s="7">
        <f t="shared" si="162"/>
        <v>0</v>
      </c>
      <c r="P137" s="180">
        <f t="shared" si="162"/>
        <v>0</v>
      </c>
      <c r="Q137" s="8">
        <f>SUM(E137:P137)</f>
        <v>5000</v>
      </c>
      <c r="R137" s="307">
        <f>IF(AND($C137="j",$D137&gt;=1,$D137&lt;=3),$B137,IF(AND($C137="h",$D137&gt;=1,$D137&lt;=3),$B137,IF(AND($C137="q",$D137&gt;=1,$D137&lt;=3),$B137,IF($C137="z",IF($D137=1,2*$B137,$B137),IF($C137="m",3*$B137,0)))))</f>
        <v>0</v>
      </c>
      <c r="S137" s="7">
        <f>IF(AND($C137="j",$D137&gt;=4,$D137&lt;=6),$B137,IF(AND($C137="h",$D137&gt;=4,$D137&lt;=6),$B137,IF(AND($C137="q",$D137&gt;=1,$D137&lt;=3),$B137,IF($C137="z",IF($D137=2,2*$B137,$B137),IF($C137="m",3*$B137,0)))))</f>
        <v>5000</v>
      </c>
      <c r="T137" s="7">
        <f>IF(AND($C137="j",$D137&gt;=7,$D137&lt;=9),$B137,IF(AND($C137="h",$D137&gt;=1,$D137&lt;=3),$B137,IF(AND($C137="q",$D137&gt;=1,$D137&lt;=3),$B137,IF($C137="z",IF($D137=1,2*$B137,$B137),IF($C137="m",3*$B137,0)))))</f>
        <v>0</v>
      </c>
      <c r="U137" s="180">
        <f>IF(AND($C137="j",$D137&gt;=10,$D137&lt;=12),$B137,IF(AND($C137="h",$D137&gt;=4,$D137&lt;=6),$B137,IF(AND($C137="q",$D137&gt;=1,$D137&lt;=3),$B137,IF($C137="z",IF($D137=2,2*$B137,$B137),IF($C137="m",3*$B137,0)))))</f>
        <v>0</v>
      </c>
      <c r="V137" s="8">
        <f>SUM(R137:U137)</f>
        <v>5000</v>
      </c>
      <c r="W137" s="8">
        <f>IF($C137="j",$B137,IF($C137="h",2*$B137,IF($C137="q",4*$B137,IF($C137="z",6*$B137,12*$B137))))</f>
        <v>5000</v>
      </c>
      <c r="X137" s="9">
        <f>IF($C137="j",$B137,IF($C137="h",2*$B137,IF($C137="q",4*$B137,IF($C137="z",6*$B137,12*$B137))))</f>
        <v>5000</v>
      </c>
      <c r="Z137" s="569">
        <f>((Q137+V137+W137+X137)/4)/12</f>
        <v>416.66666666666669</v>
      </c>
    </row>
    <row r="138" spans="1:26" ht="18.75" customHeight="1" x14ac:dyDescent="0.25">
      <c r="A138" s="93" t="s">
        <v>140</v>
      </c>
      <c r="B138" s="94">
        <v>10000</v>
      </c>
      <c r="C138" s="95" t="s">
        <v>47</v>
      </c>
      <c r="D138" s="96">
        <v>5</v>
      </c>
      <c r="E138" s="10">
        <f t="shared" ref="E138:E139" si="163">IF(AND($C138="j",$D138=E$34),$B138,IF($C138="h",$B138*IF($D138=IF(MOD(E$34,6)=0,6,MOD(E$34,6)),1,0),IF($C138="q",$B138*IF($D138=IF(MOD(E$34,3)=0,3,MOD(E$34,3)),1,0),IF($C138="z",$B138*IF($D138=IF(MOD(E$34,2)=0,2,MOD(E$34,2)),1,0),IF($C138="m",$B138,0)))))</f>
        <v>0</v>
      </c>
      <c r="F138" s="11">
        <f t="shared" si="162"/>
        <v>0</v>
      </c>
      <c r="G138" s="11">
        <f t="shared" si="162"/>
        <v>0</v>
      </c>
      <c r="H138" s="11">
        <f t="shared" si="162"/>
        <v>0</v>
      </c>
      <c r="I138" s="11">
        <f t="shared" si="162"/>
        <v>10000</v>
      </c>
      <c r="J138" s="11">
        <f t="shared" si="162"/>
        <v>0</v>
      </c>
      <c r="K138" s="11">
        <f t="shared" si="162"/>
        <v>0</v>
      </c>
      <c r="L138" s="11">
        <f t="shared" si="162"/>
        <v>0</v>
      </c>
      <c r="M138" s="11">
        <f t="shared" si="162"/>
        <v>0</v>
      </c>
      <c r="N138" s="11">
        <f t="shared" si="162"/>
        <v>0</v>
      </c>
      <c r="O138" s="11">
        <f t="shared" si="162"/>
        <v>0</v>
      </c>
      <c r="P138" s="185">
        <f t="shared" si="162"/>
        <v>0</v>
      </c>
      <c r="Q138" s="12">
        <f t="shared" ref="Q138:Q139" si="164">SUM(E138:P138)</f>
        <v>10000</v>
      </c>
      <c r="R138" s="308">
        <f t="shared" ref="R138:R139" si="165">IF(AND($C138="j",$D138&gt;=1,$D138&lt;=3),$B138,IF(AND($C138="h",$D138&gt;=1,$D138&lt;=3),$B138,IF(AND($C138="q",$D138&gt;=1,$D138&lt;=3),$B138,IF($C138="z",IF($D138=1,2*$B138,$B138),IF($C138="m",3*$B138,0)))))</f>
        <v>0</v>
      </c>
      <c r="S138" s="11">
        <f t="shared" ref="S138:S139" si="166">IF(AND($C138="j",$D138&gt;=4,$D138&lt;=6),$B138,IF(AND($C138="h",$D138&gt;=4,$D138&lt;=6),$B138,IF(AND($C138="q",$D138&gt;=1,$D138&lt;=3),$B138,IF($C138="z",IF($D138=2,2*$B138,$B138),IF($C138="m",3*$B138,0)))))</f>
        <v>10000</v>
      </c>
      <c r="T138" s="11">
        <f t="shared" ref="T138:T139" si="167">IF(AND($C138="j",$D138&gt;=7,$D138&lt;=9),$B138,IF(AND($C138="h",$D138&gt;=1,$D138&lt;=3),$B138,IF(AND($C138="q",$D138&gt;=1,$D138&lt;=3),$B138,IF($C138="z",IF($D138=1,2*$B138,$B138),IF($C138="m",3*$B138,0)))))</f>
        <v>0</v>
      </c>
      <c r="U138" s="185">
        <f t="shared" ref="U138:U139" si="168">IF(AND($C138="j",$D138&gt;=10,$D138&lt;=12),$B138,IF(AND($C138="h",$D138&gt;=4,$D138&lt;=6),$B138,IF(AND($C138="q",$D138&gt;=1,$D138&lt;=3),$B138,IF($C138="z",IF($D138=2,2*$B138,$B138),IF($C138="m",3*$B138,0)))))</f>
        <v>0</v>
      </c>
      <c r="V138" s="12">
        <f t="shared" ref="V138:V139" si="169">SUM(R138:U138)</f>
        <v>10000</v>
      </c>
      <c r="W138" s="12">
        <f t="shared" ref="W138:X139" si="170">IF($C138="j",$B138,IF($C138="h",2*$B138,IF($C138="q",4*$B138,IF($C138="z",6*$B138,12*$B138))))</f>
        <v>10000</v>
      </c>
      <c r="X138" s="13">
        <f t="shared" si="170"/>
        <v>10000</v>
      </c>
      <c r="Z138" s="570">
        <f>((Q138+V138+W138+X138)/4)/12</f>
        <v>833.33333333333337</v>
      </c>
    </row>
    <row r="139" spans="1:26" ht="18.75" customHeight="1" thickBot="1" x14ac:dyDescent="0.3">
      <c r="A139" s="97"/>
      <c r="B139" s="98"/>
      <c r="C139" s="99"/>
      <c r="D139" s="100"/>
      <c r="E139" s="14">
        <f t="shared" si="163"/>
        <v>0</v>
      </c>
      <c r="F139" s="15">
        <f t="shared" si="162"/>
        <v>0</v>
      </c>
      <c r="G139" s="15">
        <f t="shared" si="162"/>
        <v>0</v>
      </c>
      <c r="H139" s="15">
        <f t="shared" si="162"/>
        <v>0</v>
      </c>
      <c r="I139" s="15">
        <f t="shared" si="162"/>
        <v>0</v>
      </c>
      <c r="J139" s="15">
        <f t="shared" si="162"/>
        <v>0</v>
      </c>
      <c r="K139" s="15">
        <f t="shared" si="162"/>
        <v>0</v>
      </c>
      <c r="L139" s="15">
        <f t="shared" si="162"/>
        <v>0</v>
      </c>
      <c r="M139" s="15">
        <f t="shared" si="162"/>
        <v>0</v>
      </c>
      <c r="N139" s="15">
        <f t="shared" si="162"/>
        <v>0</v>
      </c>
      <c r="O139" s="15">
        <f t="shared" si="162"/>
        <v>0</v>
      </c>
      <c r="P139" s="648">
        <f t="shared" si="162"/>
        <v>0</v>
      </c>
      <c r="Q139" s="16">
        <f t="shared" si="164"/>
        <v>0</v>
      </c>
      <c r="R139" s="565">
        <f t="shared" si="165"/>
        <v>0</v>
      </c>
      <c r="S139" s="15">
        <f t="shared" si="166"/>
        <v>0</v>
      </c>
      <c r="T139" s="15">
        <f t="shared" si="167"/>
        <v>0</v>
      </c>
      <c r="U139" s="648">
        <f t="shared" si="168"/>
        <v>0</v>
      </c>
      <c r="V139" s="16">
        <f t="shared" si="169"/>
        <v>0</v>
      </c>
      <c r="W139" s="16">
        <f t="shared" si="170"/>
        <v>0</v>
      </c>
      <c r="X139" s="17">
        <f t="shared" si="170"/>
        <v>0</v>
      </c>
      <c r="Z139" s="575">
        <f>((Q139+V139+W139+X139)/4)/12</f>
        <v>0</v>
      </c>
    </row>
    <row r="140" spans="1:26" ht="7.5" customHeight="1" thickTop="1" thickBot="1" x14ac:dyDescent="0.3">
      <c r="A140" s="101"/>
      <c r="B140" s="102"/>
      <c r="C140" s="103"/>
      <c r="D140" s="104"/>
      <c r="E140" s="27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9"/>
      <c r="Q140" s="33"/>
      <c r="R140" s="31"/>
      <c r="S140" s="28"/>
      <c r="T140" s="28"/>
      <c r="U140" s="29"/>
      <c r="V140" s="33"/>
      <c r="W140" s="33"/>
      <c r="X140" s="34"/>
      <c r="Z140" s="571"/>
    </row>
    <row r="141" spans="1:26" ht="18.75" customHeight="1" thickBot="1" x14ac:dyDescent="0.3">
      <c r="A141" s="572" t="s">
        <v>50</v>
      </c>
      <c r="B141" s="573">
        <f>Z141</f>
        <v>1250</v>
      </c>
      <c r="C141" s="625"/>
      <c r="D141" s="626"/>
      <c r="E141" s="627">
        <f>SUM(E137:E140)</f>
        <v>0</v>
      </c>
      <c r="F141" s="549">
        <f t="shared" ref="F141:L141" si="171">SUM(F137:F140)</f>
        <v>0</v>
      </c>
      <c r="G141" s="549">
        <f>SUM(G137:G140)</f>
        <v>0</v>
      </c>
      <c r="H141" s="549">
        <f t="shared" si="171"/>
        <v>0</v>
      </c>
      <c r="I141" s="549">
        <f t="shared" si="171"/>
        <v>15000</v>
      </c>
      <c r="J141" s="549">
        <f t="shared" si="171"/>
        <v>0</v>
      </c>
      <c r="K141" s="549">
        <f t="shared" si="171"/>
        <v>0</v>
      </c>
      <c r="L141" s="549">
        <f t="shared" si="171"/>
        <v>0</v>
      </c>
      <c r="M141" s="549">
        <f t="shared" ref="M141" si="172">SUM(M137:M140)</f>
        <v>0</v>
      </c>
      <c r="N141" s="549">
        <f t="shared" ref="N141" si="173">SUM(N137:N140)</f>
        <v>0</v>
      </c>
      <c r="O141" s="549">
        <f t="shared" ref="O141" si="174">SUM(O137:O140)</f>
        <v>0</v>
      </c>
      <c r="P141" s="36">
        <f t="shared" ref="P141" si="175">SUM(P137:P140)</f>
        <v>0</v>
      </c>
      <c r="Q141" s="37">
        <f t="shared" ref="Q141" si="176">SUM(Q137:Q140)</f>
        <v>15000</v>
      </c>
      <c r="R141" s="548">
        <f t="shared" ref="R141" si="177">SUM(R137:R140)</f>
        <v>0</v>
      </c>
      <c r="S141" s="549">
        <f t="shared" ref="S141" si="178">SUM(S137:S140)</f>
        <v>15000</v>
      </c>
      <c r="T141" s="549">
        <f t="shared" ref="T141" si="179">SUM(T137:T140)</f>
        <v>0</v>
      </c>
      <c r="U141" s="36">
        <f t="shared" ref="U141" si="180">SUM(U137:U140)</f>
        <v>0</v>
      </c>
      <c r="V141" s="37">
        <f t="shared" ref="V141" si="181">SUM(V137:V140)</f>
        <v>15000</v>
      </c>
      <c r="W141" s="37">
        <f t="shared" ref="W141" si="182">SUM(W137:W140)</f>
        <v>15000</v>
      </c>
      <c r="X141" s="38">
        <f t="shared" ref="X141" si="183">SUM(X137:X140)</f>
        <v>15000</v>
      </c>
      <c r="Z141" s="574">
        <f>SUM(Z137:Z139)</f>
        <v>1250</v>
      </c>
    </row>
  </sheetData>
  <sheetProtection algorithmName="SHA-512" hashValue="bk78qRZYd0mdUJ6xhfAI1Ox5FKvcwZUzCpv+KCrjGGy93X0dcQn5W4341SEV13rWq0aAm5E4YAymDGR8Xea7yg==" saltValue="mYCP/mpFq3zbXFpULZLvXg==" spinCount="100000" sheet="1" objects="1" scenarios="1"/>
  <mergeCells count="189">
    <mergeCell ref="E6:P6"/>
    <mergeCell ref="Q6:Q7"/>
    <mergeCell ref="R6:U6"/>
    <mergeCell ref="V6:V7"/>
    <mergeCell ref="W6:W7"/>
    <mergeCell ref="X6:X7"/>
    <mergeCell ref="A14:X14"/>
    <mergeCell ref="A22:X22"/>
    <mergeCell ref="B18:C18"/>
    <mergeCell ref="B19:C19"/>
    <mergeCell ref="B20:C20"/>
    <mergeCell ref="B21:C21"/>
    <mergeCell ref="B17:C17"/>
    <mergeCell ref="B12:C12"/>
    <mergeCell ref="D6:D7"/>
    <mergeCell ref="B23:C23"/>
    <mergeCell ref="B25:B26"/>
    <mergeCell ref="C25:C26"/>
    <mergeCell ref="W33:W34"/>
    <mergeCell ref="X33:X34"/>
    <mergeCell ref="A1:X1"/>
    <mergeCell ref="A33:A34"/>
    <mergeCell ref="B33:B34"/>
    <mergeCell ref="C33:C34"/>
    <mergeCell ref="D33:D34"/>
    <mergeCell ref="E33:P33"/>
    <mergeCell ref="Q33:Q34"/>
    <mergeCell ref="R33:U33"/>
    <mergeCell ref="V33:V34"/>
    <mergeCell ref="A25:A26"/>
    <mergeCell ref="D25:D26"/>
    <mergeCell ref="E25:P25"/>
    <mergeCell ref="B6:C7"/>
    <mergeCell ref="B13:C13"/>
    <mergeCell ref="B11:C11"/>
    <mergeCell ref="B10:C10"/>
    <mergeCell ref="B9:C9"/>
    <mergeCell ref="B8:C8"/>
    <mergeCell ref="B16:C16"/>
    <mergeCell ref="Z25:Z26"/>
    <mergeCell ref="A40:A41"/>
    <mergeCell ref="B40:B41"/>
    <mergeCell ref="C40:C41"/>
    <mergeCell ref="D40:D41"/>
    <mergeCell ref="E40:P40"/>
    <mergeCell ref="Q40:Q41"/>
    <mergeCell ref="R40:U40"/>
    <mergeCell ref="V40:V41"/>
    <mergeCell ref="W40:W41"/>
    <mergeCell ref="X40:X41"/>
    <mergeCell ref="Z40:Z41"/>
    <mergeCell ref="Q25:Q26"/>
    <mergeCell ref="R25:U25"/>
    <mergeCell ref="V25:V26"/>
    <mergeCell ref="W25:W26"/>
    <mergeCell ref="X25:X26"/>
    <mergeCell ref="Z33:Z34"/>
    <mergeCell ref="Z47:Z48"/>
    <mergeCell ref="A56:A57"/>
    <mergeCell ref="B56:B57"/>
    <mergeCell ref="C56:C57"/>
    <mergeCell ref="D56:D57"/>
    <mergeCell ref="E56:P56"/>
    <mergeCell ref="Q56:Q57"/>
    <mergeCell ref="R56:U56"/>
    <mergeCell ref="V56:V57"/>
    <mergeCell ref="W56:W57"/>
    <mergeCell ref="X56:X57"/>
    <mergeCell ref="Z56:Z57"/>
    <mergeCell ref="Q47:Q48"/>
    <mergeCell ref="R47:U47"/>
    <mergeCell ref="V47:V48"/>
    <mergeCell ref="W47:W48"/>
    <mergeCell ref="X47:X48"/>
    <mergeCell ref="A47:A48"/>
    <mergeCell ref="B47:B48"/>
    <mergeCell ref="C47:C48"/>
    <mergeCell ref="D47:D48"/>
    <mergeCell ref="E47:P47"/>
    <mergeCell ref="Z63:Z64"/>
    <mergeCell ref="A72:A73"/>
    <mergeCell ref="B72:B73"/>
    <mergeCell ref="C72:C73"/>
    <mergeCell ref="D72:D73"/>
    <mergeCell ref="E72:P72"/>
    <mergeCell ref="Q72:Q73"/>
    <mergeCell ref="R72:U72"/>
    <mergeCell ref="V72:V73"/>
    <mergeCell ref="W72:W73"/>
    <mergeCell ref="X72:X73"/>
    <mergeCell ref="Z72:Z73"/>
    <mergeCell ref="Q63:Q64"/>
    <mergeCell ref="R63:U63"/>
    <mergeCell ref="V63:V64"/>
    <mergeCell ref="W63:W64"/>
    <mergeCell ref="X63:X64"/>
    <mergeCell ref="A63:A64"/>
    <mergeCell ref="B63:B64"/>
    <mergeCell ref="C63:C64"/>
    <mergeCell ref="D63:D64"/>
    <mergeCell ref="E63:P63"/>
    <mergeCell ref="Z80:Z81"/>
    <mergeCell ref="A88:A89"/>
    <mergeCell ref="B88:B89"/>
    <mergeCell ref="C88:C89"/>
    <mergeCell ref="D88:D89"/>
    <mergeCell ref="E88:P88"/>
    <mergeCell ref="Q88:Q89"/>
    <mergeCell ref="R88:U88"/>
    <mergeCell ref="V88:V89"/>
    <mergeCell ref="W88:W89"/>
    <mergeCell ref="X88:X89"/>
    <mergeCell ref="Z88:Z89"/>
    <mergeCell ref="E80:P80"/>
    <mergeCell ref="Q80:Q81"/>
    <mergeCell ref="R80:U80"/>
    <mergeCell ref="V80:V81"/>
    <mergeCell ref="W80:W81"/>
    <mergeCell ref="A80:A81"/>
    <mergeCell ref="B80:B81"/>
    <mergeCell ref="C80:C81"/>
    <mergeCell ref="D80:D81"/>
    <mergeCell ref="X80:X81"/>
    <mergeCell ref="Z97:Z98"/>
    <mergeCell ref="A105:A106"/>
    <mergeCell ref="B105:B106"/>
    <mergeCell ref="C105:C106"/>
    <mergeCell ref="D105:D106"/>
    <mergeCell ref="E105:P105"/>
    <mergeCell ref="Q105:Q106"/>
    <mergeCell ref="R105:U105"/>
    <mergeCell ref="V105:V106"/>
    <mergeCell ref="W105:W106"/>
    <mergeCell ref="X105:X106"/>
    <mergeCell ref="Z105:Z106"/>
    <mergeCell ref="Q97:Q98"/>
    <mergeCell ref="R97:U97"/>
    <mergeCell ref="V97:V98"/>
    <mergeCell ref="W97:W98"/>
    <mergeCell ref="X97:X98"/>
    <mergeCell ref="A97:A98"/>
    <mergeCell ref="B97:B98"/>
    <mergeCell ref="C97:C98"/>
    <mergeCell ref="D97:D98"/>
    <mergeCell ref="E97:P97"/>
    <mergeCell ref="X121:X122"/>
    <mergeCell ref="Z121:Z122"/>
    <mergeCell ref="Q114:Q115"/>
    <mergeCell ref="R114:U114"/>
    <mergeCell ref="V114:V115"/>
    <mergeCell ref="W114:W115"/>
    <mergeCell ref="X114:X115"/>
    <mergeCell ref="A114:A115"/>
    <mergeCell ref="B114:B115"/>
    <mergeCell ref="C114:C115"/>
    <mergeCell ref="D114:D115"/>
    <mergeCell ref="E114:P114"/>
    <mergeCell ref="A121:A122"/>
    <mergeCell ref="B121:B122"/>
    <mergeCell ref="C121:C122"/>
    <mergeCell ref="D121:D122"/>
    <mergeCell ref="E121:P121"/>
    <mergeCell ref="Q121:Q122"/>
    <mergeCell ref="R121:U121"/>
    <mergeCell ref="V121:V122"/>
    <mergeCell ref="W121:W122"/>
    <mergeCell ref="Z114:Z115"/>
    <mergeCell ref="Z128:Z129"/>
    <mergeCell ref="A135:A136"/>
    <mergeCell ref="B135:B136"/>
    <mergeCell ref="C135:C136"/>
    <mergeCell ref="D135:D136"/>
    <mergeCell ref="E135:P135"/>
    <mergeCell ref="Q135:Q136"/>
    <mergeCell ref="R135:U135"/>
    <mergeCell ref="V135:V136"/>
    <mergeCell ref="W135:W136"/>
    <mergeCell ref="X135:X136"/>
    <mergeCell ref="Z135:Z136"/>
    <mergeCell ref="Q128:Q129"/>
    <mergeCell ref="R128:U128"/>
    <mergeCell ref="V128:V129"/>
    <mergeCell ref="W128:W129"/>
    <mergeCell ref="X128:X129"/>
    <mergeCell ref="A128:A129"/>
    <mergeCell ref="B128:B129"/>
    <mergeCell ref="C128:C129"/>
    <mergeCell ref="D128:D129"/>
    <mergeCell ref="E128:P128"/>
  </mergeCells>
  <dataValidations count="3">
    <dataValidation type="list" allowBlank="1" showInputMessage="1" showErrorMessage="1" sqref="C27:C29 C49:C52 C107:C110 C90:C93 C130:C131 C137:C139 C35:C36 C42:C43 C58:C59 C116:C117 C123:C124 C99:C101 C82:C84 C74:C76 C65:C68">
      <formula1>"j,h,q,z,m"</formula1>
    </dataValidation>
    <dataValidation type="list" allowBlank="1" showInputMessage="1" showErrorMessage="1" sqref="D27:D29 D49:D52 D107:D110 D90:D93 D130:D131 D137:D139 D35:D36 D42:D43 D58:D59 D116:D117 D123:D124 D99:D101 D82:D84 D74:D76 D65:D68">
      <formula1>IF($C27="j",Anually,IF($C27="h",SemiAnually,IF($C27="q",Quaterly,IF($C27="z",Bimonthly,Monthly))))</formula1>
    </dataValidation>
    <dataValidation type="whole" allowBlank="1" showInputMessage="1" showErrorMessage="1" sqref="D8:D12 D16:D20">
      <formula1>1</formula1>
      <formula2>48</formula2>
    </dataValidation>
  </dataValidations>
  <pageMargins left="0.70866141732283472" right="0.70866141732283472" top="0.78740157480314965" bottom="0.78740157480314965" header="0.31496062992125984" footer="0.31496062992125984"/>
  <pageSetup paperSize="8" fitToHeight="0" orientation="landscape" blackAndWhite="1" horizontalDpi="300" verticalDpi="300" r:id="rId1"/>
  <rowBreaks count="1" manualBreakCount="1">
    <brk id="71" max="2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pageSetUpPr fitToPage="1"/>
  </sheetPr>
  <dimension ref="A1:M34"/>
  <sheetViews>
    <sheetView showGridLines="0" view="pageBreakPreview"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27" sqref="A27"/>
    </sheetView>
  </sheetViews>
  <sheetFormatPr baseColWidth="10" defaultRowHeight="15" outlineLevelRow="2" x14ac:dyDescent="0.25"/>
  <cols>
    <col min="1" max="1" width="35.140625" style="39" bestFit="1" customWidth="1"/>
    <col min="2" max="2" width="12.140625" style="39" bestFit="1" customWidth="1"/>
    <col min="3" max="3" width="6.28515625" style="39" bestFit="1" customWidth="1"/>
    <col min="4" max="4" width="9" style="39" bestFit="1" customWidth="1"/>
    <col min="5" max="5" width="6.7109375" style="39" bestFit="1" customWidth="1"/>
    <col min="6" max="6" width="11.85546875" style="39" bestFit="1" customWidth="1"/>
    <col min="7" max="7" width="13" style="39" bestFit="1" customWidth="1"/>
    <col min="8" max="8" width="11.85546875" style="39" bestFit="1" customWidth="1"/>
    <col min="9" max="9" width="13" style="39" bestFit="1" customWidth="1"/>
    <col min="10" max="10" width="11.85546875" style="39" bestFit="1" customWidth="1"/>
    <col min="11" max="11" width="13" style="39" bestFit="1" customWidth="1"/>
    <col min="12" max="13" width="11.85546875" style="39" bestFit="1" customWidth="1"/>
    <col min="14" max="16384" width="11.42578125" style="39"/>
  </cols>
  <sheetData>
    <row r="1" spans="1:13" ht="27" thickBot="1" x14ac:dyDescent="0.3">
      <c r="A1" s="764" t="s">
        <v>135</v>
      </c>
      <c r="B1" s="765"/>
      <c r="C1" s="765"/>
      <c r="D1" s="765"/>
      <c r="E1" s="765"/>
      <c r="F1" s="765"/>
      <c r="G1" s="765"/>
      <c r="H1" s="765"/>
      <c r="I1" s="765"/>
      <c r="J1" s="765"/>
      <c r="K1" s="765"/>
      <c r="L1" s="765"/>
      <c r="M1" s="766"/>
    </row>
    <row r="2" spans="1:13" ht="7.5" customHeight="1" thickBot="1" x14ac:dyDescent="0.3"/>
    <row r="3" spans="1:13" ht="15" customHeight="1" x14ac:dyDescent="0.25">
      <c r="A3" s="780" t="s">
        <v>180</v>
      </c>
      <c r="B3" s="784" t="s">
        <v>182</v>
      </c>
      <c r="C3" s="784" t="s">
        <v>31</v>
      </c>
      <c r="D3" s="784" t="s">
        <v>30</v>
      </c>
      <c r="E3" s="782" t="s">
        <v>181</v>
      </c>
      <c r="F3" s="815" t="s">
        <v>20</v>
      </c>
      <c r="G3" s="816"/>
      <c r="H3" s="769" t="s">
        <v>25</v>
      </c>
      <c r="I3" s="817"/>
      <c r="J3" s="769" t="s">
        <v>26</v>
      </c>
      <c r="K3" s="817"/>
      <c r="L3" s="769" t="s">
        <v>27</v>
      </c>
      <c r="M3" s="811"/>
    </row>
    <row r="4" spans="1:13" s="5" customFormat="1" ht="15" customHeight="1" thickBot="1" x14ac:dyDescent="0.3">
      <c r="A4" s="781"/>
      <c r="B4" s="785"/>
      <c r="C4" s="785"/>
      <c r="D4" s="785"/>
      <c r="E4" s="783"/>
      <c r="F4" s="260" t="s">
        <v>136</v>
      </c>
      <c r="G4" s="261" t="s">
        <v>137</v>
      </c>
      <c r="H4" s="262" t="s">
        <v>136</v>
      </c>
      <c r="I4" s="269" t="s">
        <v>137</v>
      </c>
      <c r="J4" s="262" t="s">
        <v>136</v>
      </c>
      <c r="K4" s="269" t="s">
        <v>137</v>
      </c>
      <c r="L4" s="262" t="s">
        <v>136</v>
      </c>
      <c r="M4" s="383" t="s">
        <v>137</v>
      </c>
    </row>
    <row r="5" spans="1:13" ht="18.75" customHeight="1" outlineLevel="2" thickTop="1" x14ac:dyDescent="0.25">
      <c r="A5" s="485" t="str">
        <f t="array" ref="A5:D14">IF(Investitionsplan!A5:D14="","",Investitionsplan!A5:D14)</f>
        <v>Büroeinrichtung</v>
      </c>
      <c r="B5" s="250">
        <v>25000</v>
      </c>
      <c r="C5" s="112">
        <v>10</v>
      </c>
      <c r="D5" s="112">
        <v>1</v>
      </c>
      <c r="E5" s="113">
        <f>IF($D5="","",IF(OR($D5&lt;=6,AND($D5&gt;12,$D5&lt;=18),AND($D5&gt;24,$D5&lt;=30),AND($D5&gt;36,$D5&lt;=42)),1,2))</f>
        <v>1</v>
      </c>
      <c r="F5" s="6">
        <f>IF($D5&lt;=12,$B5/$C5/$E5,0)</f>
        <v>2500</v>
      </c>
      <c r="G5" s="70">
        <f>IF($D5&lt;=12,$B5-$F5,0)</f>
        <v>22500</v>
      </c>
      <c r="H5" s="71">
        <f>IF($D5&lt;=24,IF($D5&lt;=12,$B5/$C5,$B5/$C5/$E5),0)</f>
        <v>2500</v>
      </c>
      <c r="I5" s="73">
        <f>IF($D5&lt;=24,IF($D5&lt;=12,G5-H5,$B5-H5),0)</f>
        <v>20000</v>
      </c>
      <c r="J5" s="71">
        <f>IF($D5&lt;=36,IF($D5&lt;=24,$B5/$C5,$B5/$C5/$E5),0)</f>
        <v>2500</v>
      </c>
      <c r="K5" s="73">
        <f>IF($D5&lt;=36,IF($D5&lt;=24,I5-J5,$B5-J5),0)</f>
        <v>17500</v>
      </c>
      <c r="L5" s="71">
        <f t="shared" ref="L5:L6" si="0">IFERROR(IF($C5*12+$D5-1&lt;=36,0,IF(IF($D5&lt;=48,IF($D5&lt;=36,$B5/$C5,$B5/$C5/$E5),0)&gt;$K5,$K5,IF($D5&lt;=48,IF($D5&lt;=36,$B5/$C5,$B5/$C5/$E5),0))),0)</f>
        <v>2500</v>
      </c>
      <c r="M5" s="384">
        <f>IF($D5&lt;=48,IF($D5&lt;=36,K5-L5,$B5-L5),0)</f>
        <v>15000</v>
      </c>
    </row>
    <row r="6" spans="1:13" ht="18.75" customHeight="1" outlineLevel="2" x14ac:dyDescent="0.25">
      <c r="A6" s="484" t="str">
        <v>Küchenausstattung</v>
      </c>
      <c r="B6" s="251">
        <v>3000</v>
      </c>
      <c r="C6" s="114">
        <v>5</v>
      </c>
      <c r="D6" s="114">
        <v>1</v>
      </c>
      <c r="E6" s="252">
        <f t="shared" ref="E6:E14" si="1">IF($D6="","",IF(OR($D6&lt;=6,AND($D6&gt;12,$D6&lt;=18),AND($D6&gt;24,$D6&lt;=30),AND($D6&gt;36,$D6&lt;=42)),1,2))</f>
        <v>1</v>
      </c>
      <c r="F6" s="10">
        <f t="shared" ref="F6:F13" si="2">IF($D6&lt;=12,$B6/$C6/$E6,0)</f>
        <v>600</v>
      </c>
      <c r="G6" s="74">
        <f t="shared" ref="G6:G13" si="3">IF($D6&lt;=12,$B6-$F6,0)</f>
        <v>2400</v>
      </c>
      <c r="H6" s="75">
        <f t="shared" ref="H6:H13" si="4">IF($D6&lt;=24,IF($D6&lt;=12,$B6/$C6,$B6/$C6/$E6),0)</f>
        <v>600</v>
      </c>
      <c r="I6" s="77">
        <f t="shared" ref="I6:I13" si="5">IF($D6&lt;=24,IF($D6&lt;=12,G6-H6,$B6-H6),0)</f>
        <v>1800</v>
      </c>
      <c r="J6" s="75">
        <f t="shared" ref="J6:J13" si="6">IF($D6&lt;=36,IF($D6&lt;=24,$B6/$C6,$B6/$C6/$E6),0)</f>
        <v>600</v>
      </c>
      <c r="K6" s="77">
        <f t="shared" ref="K6:K13" si="7">IF($D6&lt;=36,IF($D6&lt;=24,I6-J6,$B6-J6),0)</f>
        <v>1200</v>
      </c>
      <c r="L6" s="75">
        <f t="shared" si="0"/>
        <v>600</v>
      </c>
      <c r="M6" s="385">
        <f t="shared" ref="M6:M13" si="8">IF($D6&lt;=48,IF($D6&lt;=36,K6-L6,$B6-L6),0)</f>
        <v>600</v>
      </c>
    </row>
    <row r="7" spans="1:13" ht="18.75" customHeight="1" outlineLevel="2" x14ac:dyDescent="0.25">
      <c r="A7" s="484" t="str">
        <v>EDV - Ausstattung (allgemein)</v>
      </c>
      <c r="B7" s="251">
        <v>10000</v>
      </c>
      <c r="C7" s="114">
        <v>4</v>
      </c>
      <c r="D7" s="114">
        <v>1</v>
      </c>
      <c r="E7" s="252">
        <f t="shared" si="1"/>
        <v>1</v>
      </c>
      <c r="F7" s="10">
        <f t="shared" si="2"/>
        <v>2500</v>
      </c>
      <c r="G7" s="74">
        <f t="shared" si="3"/>
        <v>7500</v>
      </c>
      <c r="H7" s="75">
        <f t="shared" si="4"/>
        <v>2500</v>
      </c>
      <c r="I7" s="77">
        <f t="shared" si="5"/>
        <v>5000</v>
      </c>
      <c r="J7" s="75">
        <f t="shared" si="6"/>
        <v>2500</v>
      </c>
      <c r="K7" s="77">
        <f t="shared" si="7"/>
        <v>2500</v>
      </c>
      <c r="L7" s="75">
        <f>IFERROR(IF($C7*12+$D7-1&lt;=36,0,IF(IF($D7&lt;=48,IF($D7&lt;=36,$B7/$C7,$B7/$C7/$E7),0)&gt;$K7,$K7,IF($D7&lt;=48,IF($D7&lt;=36,$B7/$C7,$B7/$C7/$E7),0))),0)</f>
        <v>2500</v>
      </c>
      <c r="M7" s="385">
        <f t="shared" si="8"/>
        <v>0</v>
      </c>
    </row>
    <row r="8" spans="1:13" ht="18.75" customHeight="1" outlineLevel="2" x14ac:dyDescent="0.25">
      <c r="A8" s="484" t="str">
        <v>EDV - Ausstattung (Gründer)</v>
      </c>
      <c r="B8" s="251">
        <v>12000</v>
      </c>
      <c r="C8" s="114">
        <v>4</v>
      </c>
      <c r="D8" s="114">
        <v>1</v>
      </c>
      <c r="E8" s="252">
        <f t="shared" si="1"/>
        <v>1</v>
      </c>
      <c r="F8" s="10">
        <f t="shared" si="2"/>
        <v>3000</v>
      </c>
      <c r="G8" s="74">
        <f t="shared" si="3"/>
        <v>9000</v>
      </c>
      <c r="H8" s="75">
        <f t="shared" si="4"/>
        <v>3000</v>
      </c>
      <c r="I8" s="77">
        <f t="shared" si="5"/>
        <v>6000</v>
      </c>
      <c r="J8" s="75">
        <f t="shared" si="6"/>
        <v>3000</v>
      </c>
      <c r="K8" s="77">
        <f t="shared" si="7"/>
        <v>3000</v>
      </c>
      <c r="L8" s="75">
        <f t="shared" ref="L8:L13" si="9">IFERROR(IF($C8*12+$D8-1&lt;=36,0,IF(IF($D8&lt;=48,IF($D8&lt;=36,$B8/$C8,$B8/$C8/$E8),0)&gt;$K8,$K8,IF($D8&lt;=48,IF($D8&lt;=36,$B8/$C8,$B8/$C8/$E8),0))),0)</f>
        <v>3000</v>
      </c>
      <c r="M8" s="385">
        <f t="shared" si="8"/>
        <v>0</v>
      </c>
    </row>
    <row r="9" spans="1:13" ht="18.75" customHeight="1" outlineLevel="2" x14ac:dyDescent="0.25">
      <c r="A9" s="484" t="str">
        <v>EDV - Ausstattung (Mitarbeiter)</v>
      </c>
      <c r="B9" s="251">
        <v>8000</v>
      </c>
      <c r="C9" s="114">
        <v>4</v>
      </c>
      <c r="D9" s="114">
        <v>1</v>
      </c>
      <c r="E9" s="252">
        <f t="shared" si="1"/>
        <v>1</v>
      </c>
      <c r="F9" s="10">
        <f t="shared" si="2"/>
        <v>2000</v>
      </c>
      <c r="G9" s="74">
        <f t="shared" si="3"/>
        <v>6000</v>
      </c>
      <c r="H9" s="75">
        <f t="shared" si="4"/>
        <v>2000</v>
      </c>
      <c r="I9" s="77">
        <f t="shared" si="5"/>
        <v>4000</v>
      </c>
      <c r="J9" s="75">
        <f t="shared" si="6"/>
        <v>2000</v>
      </c>
      <c r="K9" s="77">
        <f t="shared" si="7"/>
        <v>2000</v>
      </c>
      <c r="L9" s="75">
        <f t="shared" si="9"/>
        <v>2000</v>
      </c>
      <c r="M9" s="385">
        <f t="shared" si="8"/>
        <v>0</v>
      </c>
    </row>
    <row r="10" spans="1:13" ht="18.75" customHeight="1" outlineLevel="2" x14ac:dyDescent="0.25">
      <c r="A10" s="484" t="str">
        <v>EDV - Ausstattung (Mitarbeiter)</v>
      </c>
      <c r="B10" s="251">
        <v>2000</v>
      </c>
      <c r="C10" s="114">
        <v>4</v>
      </c>
      <c r="D10" s="114">
        <v>13</v>
      </c>
      <c r="E10" s="252">
        <f t="shared" si="1"/>
        <v>1</v>
      </c>
      <c r="F10" s="10">
        <f t="shared" si="2"/>
        <v>0</v>
      </c>
      <c r="G10" s="74">
        <f t="shared" si="3"/>
        <v>0</v>
      </c>
      <c r="H10" s="75">
        <f t="shared" si="4"/>
        <v>500</v>
      </c>
      <c r="I10" s="77">
        <f t="shared" si="5"/>
        <v>1500</v>
      </c>
      <c r="J10" s="75">
        <f t="shared" si="6"/>
        <v>500</v>
      </c>
      <c r="K10" s="77">
        <f t="shared" si="7"/>
        <v>1000</v>
      </c>
      <c r="L10" s="75">
        <f t="shared" si="9"/>
        <v>500</v>
      </c>
      <c r="M10" s="385">
        <f t="shared" si="8"/>
        <v>500</v>
      </c>
    </row>
    <row r="11" spans="1:13" ht="18.75" customHeight="1" outlineLevel="2" x14ac:dyDescent="0.25">
      <c r="A11" s="253" t="str">
        <v>Server</v>
      </c>
      <c r="B11" s="254">
        <v>10000</v>
      </c>
      <c r="C11" s="255">
        <v>4</v>
      </c>
      <c r="D11" s="255">
        <v>2</v>
      </c>
      <c r="E11" s="256">
        <f t="shared" si="1"/>
        <v>1</v>
      </c>
      <c r="F11" s="14">
        <f t="shared" si="2"/>
        <v>2500</v>
      </c>
      <c r="G11" s="78">
        <f t="shared" si="3"/>
        <v>7500</v>
      </c>
      <c r="H11" s="79">
        <f t="shared" si="4"/>
        <v>2500</v>
      </c>
      <c r="I11" s="81">
        <f t="shared" si="5"/>
        <v>5000</v>
      </c>
      <c r="J11" s="79">
        <f t="shared" si="6"/>
        <v>2500</v>
      </c>
      <c r="K11" s="81">
        <f t="shared" si="7"/>
        <v>2500</v>
      </c>
      <c r="L11" s="75">
        <f t="shared" si="9"/>
        <v>2500</v>
      </c>
      <c r="M11" s="386">
        <f t="shared" si="8"/>
        <v>0</v>
      </c>
    </row>
    <row r="12" spans="1:13" ht="18.75" customHeight="1" outlineLevel="2" x14ac:dyDescent="0.25">
      <c r="A12" s="253" t="str">
        <v>Messaufbau</v>
      </c>
      <c r="B12" s="254">
        <v>10000</v>
      </c>
      <c r="C12" s="255">
        <v>5</v>
      </c>
      <c r="D12" s="255">
        <v>5</v>
      </c>
      <c r="E12" s="256">
        <f t="shared" si="1"/>
        <v>1</v>
      </c>
      <c r="F12" s="14">
        <f t="shared" si="2"/>
        <v>2000</v>
      </c>
      <c r="G12" s="78">
        <f t="shared" si="3"/>
        <v>8000</v>
      </c>
      <c r="H12" s="79">
        <f t="shared" si="4"/>
        <v>2000</v>
      </c>
      <c r="I12" s="81">
        <f t="shared" si="5"/>
        <v>6000</v>
      </c>
      <c r="J12" s="79">
        <f t="shared" si="6"/>
        <v>2000</v>
      </c>
      <c r="K12" s="81">
        <f t="shared" si="7"/>
        <v>4000</v>
      </c>
      <c r="L12" s="75">
        <f t="shared" si="9"/>
        <v>2000</v>
      </c>
      <c r="M12" s="386">
        <f t="shared" si="8"/>
        <v>2000</v>
      </c>
    </row>
    <row r="13" spans="1:13" ht="18.75" customHeight="1" outlineLevel="2" thickBot="1" x14ac:dyDescent="0.3">
      <c r="A13" s="253" t="str">
        <v/>
      </c>
      <c r="B13" s="254" t="str">
        <v/>
      </c>
      <c r="C13" s="255" t="str">
        <v/>
      </c>
      <c r="D13" s="255" t="str">
        <v/>
      </c>
      <c r="E13" s="256" t="str">
        <f t="shared" si="1"/>
        <v/>
      </c>
      <c r="F13" s="14">
        <f t="shared" si="2"/>
        <v>0</v>
      </c>
      <c r="G13" s="78">
        <f t="shared" si="3"/>
        <v>0</v>
      </c>
      <c r="H13" s="79">
        <f t="shared" si="4"/>
        <v>0</v>
      </c>
      <c r="I13" s="81">
        <f t="shared" si="5"/>
        <v>0</v>
      </c>
      <c r="J13" s="79">
        <f t="shared" si="6"/>
        <v>0</v>
      </c>
      <c r="K13" s="81">
        <f t="shared" si="7"/>
        <v>0</v>
      </c>
      <c r="L13" s="79">
        <f t="shared" si="9"/>
        <v>0</v>
      </c>
      <c r="M13" s="386">
        <f t="shared" si="8"/>
        <v>0</v>
      </c>
    </row>
    <row r="14" spans="1:13" ht="7.5" customHeight="1" outlineLevel="2" thickTop="1" thickBot="1" x14ac:dyDescent="0.3">
      <c r="A14" s="257" t="str">
        <v/>
      </c>
      <c r="B14" s="258" t="str">
        <v/>
      </c>
      <c r="C14" s="258" t="str">
        <v/>
      </c>
      <c r="D14" s="258" t="str">
        <v/>
      </c>
      <c r="E14" s="259" t="str">
        <f t="shared" si="1"/>
        <v/>
      </c>
      <c r="F14" s="27"/>
      <c r="G14" s="30"/>
      <c r="H14" s="31"/>
      <c r="I14" s="32"/>
      <c r="J14" s="31"/>
      <c r="K14" s="32"/>
      <c r="L14" s="31"/>
      <c r="M14" s="387"/>
    </row>
    <row r="15" spans="1:13" ht="18.75" customHeight="1" outlineLevel="1" thickBot="1" x14ac:dyDescent="0.3">
      <c r="A15" s="35" t="s">
        <v>28</v>
      </c>
      <c r="B15" s="537">
        <f>SUM(B5:B14)</f>
        <v>80000</v>
      </c>
      <c r="C15" s="40"/>
      <c r="D15" s="41"/>
      <c r="E15" s="42"/>
      <c r="F15" s="455">
        <f t="shared" ref="F15:M15" si="10">SUM(F5:F14)</f>
        <v>15100</v>
      </c>
      <c r="G15" s="539">
        <f t="shared" si="10"/>
        <v>62900</v>
      </c>
      <c r="H15" s="457">
        <f t="shared" si="10"/>
        <v>15600</v>
      </c>
      <c r="I15" s="540">
        <f t="shared" si="10"/>
        <v>49300</v>
      </c>
      <c r="J15" s="457">
        <f t="shared" si="10"/>
        <v>15600</v>
      </c>
      <c r="K15" s="539">
        <f t="shared" si="10"/>
        <v>33700</v>
      </c>
      <c r="L15" s="457">
        <f t="shared" si="10"/>
        <v>15600</v>
      </c>
      <c r="M15" s="585">
        <f t="shared" si="10"/>
        <v>18100</v>
      </c>
    </row>
    <row r="16" spans="1:13" ht="7.5" customHeight="1" outlineLevel="1" x14ac:dyDescent="0.25">
      <c r="A16" s="772"/>
      <c r="B16" s="773"/>
      <c r="C16" s="773"/>
      <c r="D16" s="773"/>
      <c r="E16" s="773"/>
      <c r="F16" s="773"/>
      <c r="G16" s="773"/>
      <c r="H16" s="773"/>
      <c r="I16" s="773"/>
      <c r="J16" s="773"/>
      <c r="K16" s="773"/>
      <c r="L16" s="773"/>
      <c r="M16" s="774"/>
    </row>
    <row r="17" spans="1:13" ht="18.75" customHeight="1" outlineLevel="1" thickBot="1" x14ac:dyDescent="0.3">
      <c r="A17" s="43" t="s">
        <v>29</v>
      </c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5"/>
    </row>
    <row r="18" spans="1:13" ht="18.75" customHeight="1" outlineLevel="2" thickTop="1" x14ac:dyDescent="0.25">
      <c r="A18" s="485" t="str">
        <f t="array" ref="A18:D20">IF(Investitionsplan!A18:D20="","",Investitionsplan!A18:D20)</f>
        <v>Patentanträge</v>
      </c>
      <c r="B18" s="72">
        <v>20000</v>
      </c>
      <c r="C18" s="112">
        <v>20</v>
      </c>
      <c r="D18" s="112">
        <v>1</v>
      </c>
      <c r="E18" s="633"/>
      <c r="F18" s="276"/>
      <c r="G18" s="70">
        <f>$B18</f>
        <v>20000</v>
      </c>
      <c r="H18" s="278"/>
      <c r="I18" s="73">
        <f>$B18</f>
        <v>20000</v>
      </c>
      <c r="J18" s="278"/>
      <c r="K18" s="270">
        <f>$B18</f>
        <v>20000</v>
      </c>
      <c r="L18" s="278"/>
      <c r="M18" s="272">
        <f>$B18</f>
        <v>20000</v>
      </c>
    </row>
    <row r="19" spans="1:13" ht="18.75" customHeight="1" outlineLevel="2" thickBot="1" x14ac:dyDescent="0.3">
      <c r="A19" s="253" t="str">
        <v/>
      </c>
      <c r="B19" s="586" t="str">
        <v/>
      </c>
      <c r="C19" s="586" t="str">
        <v/>
      </c>
      <c r="D19" s="586" t="str">
        <v/>
      </c>
      <c r="E19" s="634"/>
      <c r="F19" s="277"/>
      <c r="G19" s="78" t="str">
        <f t="shared" ref="G19:M19" si="11">$B19</f>
        <v/>
      </c>
      <c r="H19" s="279"/>
      <c r="I19" s="81" t="str">
        <f t="shared" si="11"/>
        <v/>
      </c>
      <c r="J19" s="279"/>
      <c r="K19" s="271" t="str">
        <f t="shared" si="11"/>
        <v/>
      </c>
      <c r="L19" s="279"/>
      <c r="M19" s="273" t="str">
        <f t="shared" si="11"/>
        <v/>
      </c>
    </row>
    <row r="20" spans="1:13" ht="7.5" customHeight="1" outlineLevel="2" thickTop="1" thickBot="1" x14ac:dyDescent="0.3">
      <c r="A20" s="257" t="str">
        <v/>
      </c>
      <c r="B20" s="258" t="str">
        <v/>
      </c>
      <c r="C20" s="258" t="str">
        <v/>
      </c>
      <c r="D20" s="258" t="str">
        <v/>
      </c>
      <c r="E20" s="635"/>
      <c r="F20" s="636"/>
      <c r="G20" s="30"/>
      <c r="H20" s="637"/>
      <c r="I20" s="32"/>
      <c r="J20" s="637"/>
      <c r="K20" s="30"/>
      <c r="L20" s="637"/>
      <c r="M20" s="274"/>
    </row>
    <row r="21" spans="1:13" ht="18.75" customHeight="1" outlineLevel="1" thickBot="1" x14ac:dyDescent="0.3">
      <c r="A21" s="35" t="s">
        <v>28</v>
      </c>
      <c r="B21" s="537">
        <f>SUM(B16:B20)</f>
        <v>20000</v>
      </c>
      <c r="C21" s="40"/>
      <c r="D21" s="41"/>
      <c r="E21" s="42"/>
      <c r="F21" s="285"/>
      <c r="G21" s="539">
        <f>SUM(G16:G20)</f>
        <v>20000</v>
      </c>
      <c r="H21" s="282"/>
      <c r="I21" s="540">
        <f>SUM(I16:I20)</f>
        <v>20000</v>
      </c>
      <c r="J21" s="282"/>
      <c r="K21" s="539">
        <f>SUM(K16:K20)</f>
        <v>20000</v>
      </c>
      <c r="L21" s="282"/>
      <c r="M21" s="585">
        <f>SUM(M16:M20)</f>
        <v>20000</v>
      </c>
    </row>
    <row r="22" spans="1:13" ht="7.5" customHeight="1" outlineLevel="1" thickBot="1" x14ac:dyDescent="0.3">
      <c r="A22" s="46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5"/>
    </row>
    <row r="23" spans="1:13" s="47" customFormat="1" ht="18.75" customHeight="1" thickBot="1" x14ac:dyDescent="0.3">
      <c r="A23" s="48" t="s">
        <v>32</v>
      </c>
      <c r="B23" s="49">
        <f>B21+B15</f>
        <v>100000</v>
      </c>
      <c r="C23" s="50"/>
      <c r="D23" s="50"/>
      <c r="E23" s="124"/>
      <c r="F23" s="284"/>
      <c r="G23" s="51">
        <f>G21+G15</f>
        <v>82900</v>
      </c>
      <c r="H23" s="283"/>
      <c r="I23" s="51">
        <f>I21+I15</f>
        <v>69300</v>
      </c>
      <c r="J23" s="286"/>
      <c r="K23" s="52">
        <f>K21+K15</f>
        <v>53700</v>
      </c>
      <c r="L23" s="287"/>
      <c r="M23" s="53">
        <f>M21+M15</f>
        <v>38100</v>
      </c>
    </row>
    <row r="24" spans="1:13" ht="7.5" customHeight="1" thickBot="1" x14ac:dyDescent="0.3">
      <c r="A24" s="775"/>
      <c r="B24" s="776"/>
      <c r="C24" s="776"/>
      <c r="D24" s="776"/>
      <c r="E24" s="776"/>
      <c r="F24" s="776"/>
      <c r="G24" s="776"/>
      <c r="H24" s="776"/>
      <c r="I24" s="776"/>
      <c r="J24" s="776"/>
      <c r="K24" s="776"/>
      <c r="L24" s="776"/>
      <c r="M24" s="777"/>
    </row>
    <row r="25" spans="1:13" ht="15" customHeight="1" x14ac:dyDescent="0.25">
      <c r="A25" s="780" t="s">
        <v>249</v>
      </c>
      <c r="B25" s="784" t="s">
        <v>182</v>
      </c>
      <c r="C25" s="784" t="s">
        <v>31</v>
      </c>
      <c r="D25" s="784" t="s">
        <v>30</v>
      </c>
      <c r="E25" s="782" t="s">
        <v>181</v>
      </c>
      <c r="F25" s="815" t="s">
        <v>20</v>
      </c>
      <c r="G25" s="816"/>
      <c r="H25" s="769" t="s">
        <v>25</v>
      </c>
      <c r="I25" s="817"/>
      <c r="J25" s="769" t="s">
        <v>26</v>
      </c>
      <c r="K25" s="817"/>
      <c r="L25" s="769" t="s">
        <v>27</v>
      </c>
      <c r="M25" s="811"/>
    </row>
    <row r="26" spans="1:13" ht="15" customHeight="1" thickBot="1" x14ac:dyDescent="0.3">
      <c r="A26" s="781"/>
      <c r="B26" s="785"/>
      <c r="C26" s="785"/>
      <c r="D26" s="785"/>
      <c r="E26" s="783"/>
      <c r="F26" s="260" t="s">
        <v>136</v>
      </c>
      <c r="G26" s="261" t="s">
        <v>137</v>
      </c>
      <c r="H26" s="262" t="s">
        <v>136</v>
      </c>
      <c r="I26" s="269" t="s">
        <v>137</v>
      </c>
      <c r="J26" s="262" t="s">
        <v>136</v>
      </c>
      <c r="K26" s="269" t="s">
        <v>137</v>
      </c>
      <c r="L26" s="262" t="s">
        <v>136</v>
      </c>
      <c r="M26" s="383" t="s">
        <v>137</v>
      </c>
    </row>
    <row r="27" spans="1:13" ht="18.75" customHeight="1" outlineLevel="1" thickTop="1" x14ac:dyDescent="0.25">
      <c r="A27" s="485" t="str">
        <f t="array" ref="A27:D31">IF(Investitionsplan!A27:D31="","",Investitionsplan!A27:D31)</f>
        <v>Vertriebsauto</v>
      </c>
      <c r="B27" s="72">
        <v>35000</v>
      </c>
      <c r="C27" s="112">
        <v>4</v>
      </c>
      <c r="D27" s="112">
        <v>2</v>
      </c>
      <c r="E27" s="113">
        <f>IF($D27="","",IF(OR($D27&lt;=6,AND($D27&gt;12,$D27&lt;=18),AND($D27&gt;24,$D27&lt;=30),AND($D27&gt;36,$D27&lt;=42)),1,2))</f>
        <v>1</v>
      </c>
      <c r="F27" s="6">
        <f>IF($D27&lt;=12,$B27/$C27/$E27,0)</f>
        <v>8750</v>
      </c>
      <c r="G27" s="70">
        <f>IF($D27&lt;=12,$B27-$F27,0)</f>
        <v>26250</v>
      </c>
      <c r="H27" s="71">
        <f>IF($D27&lt;=24,IF($D27&lt;=12,$B27/$C27,$B27/$C27/$E27),0)</f>
        <v>8750</v>
      </c>
      <c r="I27" s="73">
        <f>IF($D27&lt;=24,IF($D27&lt;=12,G27-H27,$B27-H27),0)</f>
        <v>17500</v>
      </c>
      <c r="J27" s="73">
        <f>IF($D27&lt;=36,IF($D27&lt;=24,$B27/$C27,$B27/$C27/$E27),0)</f>
        <v>8750</v>
      </c>
      <c r="K27" s="8">
        <f>IF($D27&lt;=36,IF($D27&lt;=24,I27-J27,$B27-J27),0)</f>
        <v>8750</v>
      </c>
      <c r="L27" s="264">
        <f t="shared" ref="L27:L30" si="12">IFERROR(IF($C27*12+$D27-1&lt;=36,0,IF(IF($D27&lt;=48,IF($D27&lt;=36,$B27/$C27,$B27/$C27/$E27),0)&gt;$K27,$K27,IF($D27&lt;=48,IF($D27&lt;=36,$B27/$C27,$B27/$C27/$E27),0))),0)</f>
        <v>8750</v>
      </c>
      <c r="M27" s="9">
        <f>IF($D27&lt;=48,IF($D27&lt;=36,K27-L27,$B27-L27),0)</f>
        <v>0</v>
      </c>
    </row>
    <row r="28" spans="1:13" ht="18.75" customHeight="1" outlineLevel="1" x14ac:dyDescent="0.25">
      <c r="A28" s="484" t="str">
        <v>Vertriebsauto</v>
      </c>
      <c r="B28" s="76">
        <v>35000</v>
      </c>
      <c r="C28" s="114">
        <v>4</v>
      </c>
      <c r="D28" s="114">
        <v>13</v>
      </c>
      <c r="E28" s="252">
        <f t="shared" ref="E28:E30" si="13">IF($D28="","",IF(OR($D28&lt;=6,AND($D28&gt;12,$D28&lt;=18),AND($D28&gt;24,$D28&lt;=30),AND($D28&gt;36,$D28&lt;=42)),1,2))</f>
        <v>1</v>
      </c>
      <c r="F28" s="10">
        <f t="shared" ref="F28:F30" si="14">IF($D28&lt;=12,$B28/$C28/$E28,0)</f>
        <v>0</v>
      </c>
      <c r="G28" s="74">
        <f t="shared" ref="G28:G30" si="15">IF($D28&lt;=12,$B28-$F28,0)</f>
        <v>0</v>
      </c>
      <c r="H28" s="75">
        <f t="shared" ref="H28:H30" si="16">IF($D28&lt;=24,IF($D28&lt;=12,$B28/$C28,$B28/$C28/$E28),0)</f>
        <v>8750</v>
      </c>
      <c r="I28" s="77">
        <f t="shared" ref="I28:I30" si="17">IF($D28&lt;=24,IF($D28&lt;=12,G28-H28,$B28-H28),0)</f>
        <v>26250</v>
      </c>
      <c r="J28" s="77">
        <f t="shared" ref="J28:J30" si="18">IF($D28&lt;=36,IF($D28&lt;=24,$B28/$C28,$B28/$C28/$E28),0)</f>
        <v>8750</v>
      </c>
      <c r="K28" s="12">
        <f t="shared" ref="K28:K30" si="19">IF($D28&lt;=36,IF($D28&lt;=24,I28-J28,$B28-J28),0)</f>
        <v>17500</v>
      </c>
      <c r="L28" s="238">
        <f t="shared" si="12"/>
        <v>8750</v>
      </c>
      <c r="M28" s="13">
        <f t="shared" ref="M28:M30" si="20">IF($D28&lt;=48,IF($D28&lt;=36,K28-L28,$B28-L28),0)</f>
        <v>8750</v>
      </c>
    </row>
    <row r="29" spans="1:13" ht="18.75" customHeight="1" outlineLevel="1" x14ac:dyDescent="0.25">
      <c r="A29" s="484" t="str">
        <v>Kundendienstauto</v>
      </c>
      <c r="B29" s="76">
        <v>25000</v>
      </c>
      <c r="C29" s="114">
        <v>4</v>
      </c>
      <c r="D29" s="114">
        <v>13</v>
      </c>
      <c r="E29" s="252">
        <f t="shared" si="13"/>
        <v>1</v>
      </c>
      <c r="F29" s="10">
        <f t="shared" si="14"/>
        <v>0</v>
      </c>
      <c r="G29" s="74">
        <f t="shared" si="15"/>
        <v>0</v>
      </c>
      <c r="H29" s="75">
        <f t="shared" si="16"/>
        <v>6250</v>
      </c>
      <c r="I29" s="77">
        <f t="shared" si="17"/>
        <v>18750</v>
      </c>
      <c r="J29" s="77">
        <f t="shared" si="18"/>
        <v>6250</v>
      </c>
      <c r="K29" s="12">
        <f t="shared" si="19"/>
        <v>12500</v>
      </c>
      <c r="L29" s="238">
        <f t="shared" si="12"/>
        <v>6250</v>
      </c>
      <c r="M29" s="13">
        <f t="shared" si="20"/>
        <v>6250</v>
      </c>
    </row>
    <row r="30" spans="1:13" ht="18.75" customHeight="1" outlineLevel="1" thickBot="1" x14ac:dyDescent="0.3">
      <c r="A30" s="494" t="str">
        <v/>
      </c>
      <c r="B30" s="587" t="str">
        <v/>
      </c>
      <c r="C30" s="587" t="str">
        <v/>
      </c>
      <c r="D30" s="587" t="str">
        <v/>
      </c>
      <c r="E30" s="588" t="str">
        <f t="shared" si="13"/>
        <v/>
      </c>
      <c r="F30" s="128">
        <f t="shared" si="14"/>
        <v>0</v>
      </c>
      <c r="G30" s="130">
        <f t="shared" si="15"/>
        <v>0</v>
      </c>
      <c r="H30" s="131">
        <f t="shared" si="16"/>
        <v>0</v>
      </c>
      <c r="I30" s="133">
        <f t="shared" si="17"/>
        <v>0</v>
      </c>
      <c r="J30" s="133">
        <f t="shared" si="18"/>
        <v>0</v>
      </c>
      <c r="K30" s="134">
        <f t="shared" si="19"/>
        <v>0</v>
      </c>
      <c r="L30" s="266">
        <f t="shared" si="12"/>
        <v>0</v>
      </c>
      <c r="M30" s="135">
        <f t="shared" si="20"/>
        <v>0</v>
      </c>
    </row>
    <row r="31" spans="1:13" ht="7.5" customHeight="1" outlineLevel="1" thickTop="1" thickBot="1" x14ac:dyDescent="0.3">
      <c r="A31" s="257" t="str">
        <v/>
      </c>
      <c r="B31" s="258" t="str">
        <v/>
      </c>
      <c r="C31" s="258" t="str">
        <v/>
      </c>
      <c r="D31" s="258" t="str">
        <v/>
      </c>
      <c r="E31" s="259"/>
      <c r="F31" s="27"/>
      <c r="G31" s="30"/>
      <c r="H31" s="31"/>
      <c r="I31" s="32"/>
      <c r="J31" s="32"/>
      <c r="K31" s="33"/>
      <c r="L31" s="265"/>
      <c r="M31" s="34"/>
    </row>
    <row r="32" spans="1:13" ht="18.75" customHeight="1" thickBot="1" x14ac:dyDescent="0.3">
      <c r="A32" s="483" t="s">
        <v>33</v>
      </c>
      <c r="B32" s="65">
        <f>SUM(B27:B31)</f>
        <v>95000</v>
      </c>
      <c r="C32" s="62"/>
      <c r="D32" s="63"/>
      <c r="E32" s="64"/>
      <c r="F32" s="280">
        <f t="shared" ref="F32:M32" si="21">SUM(F27:F31)</f>
        <v>8750</v>
      </c>
      <c r="G32" s="66">
        <f t="shared" si="21"/>
        <v>26250</v>
      </c>
      <c r="H32" s="281">
        <f t="shared" si="21"/>
        <v>23750</v>
      </c>
      <c r="I32" s="67">
        <f t="shared" si="21"/>
        <v>62500</v>
      </c>
      <c r="J32" s="67">
        <f t="shared" si="21"/>
        <v>23750</v>
      </c>
      <c r="K32" s="68">
        <f t="shared" si="21"/>
        <v>38750</v>
      </c>
      <c r="L32" s="267">
        <f t="shared" si="21"/>
        <v>23750</v>
      </c>
      <c r="M32" s="69">
        <f t="shared" si="21"/>
        <v>15000</v>
      </c>
    </row>
    <row r="33" spans="1:13" ht="7.5" customHeight="1" thickBot="1" x14ac:dyDescent="0.3">
      <c r="A33" s="772"/>
      <c r="B33" s="773"/>
      <c r="C33" s="773"/>
      <c r="D33" s="773"/>
      <c r="E33" s="773"/>
      <c r="F33" s="773"/>
      <c r="G33" s="773"/>
      <c r="H33" s="773"/>
      <c r="I33" s="773"/>
      <c r="J33" s="773"/>
      <c r="K33" s="773"/>
      <c r="L33" s="773"/>
      <c r="M33" s="774"/>
    </row>
    <row r="34" spans="1:13" ht="22.5" customHeight="1" thickBot="1" x14ac:dyDescent="0.3">
      <c r="A34" s="275"/>
      <c r="B34" s="812" t="s">
        <v>138</v>
      </c>
      <c r="C34" s="813"/>
      <c r="D34" s="813"/>
      <c r="E34" s="814"/>
      <c r="F34" s="54">
        <f>F32+F15</f>
        <v>23850</v>
      </c>
      <c r="G34" s="56">
        <f>G32+G23</f>
        <v>109150</v>
      </c>
      <c r="H34" s="57">
        <f>H32+H15</f>
        <v>39350</v>
      </c>
      <c r="I34" s="56">
        <f>I32+I23</f>
        <v>131800</v>
      </c>
      <c r="J34" s="263">
        <f>J32+J15</f>
        <v>39350</v>
      </c>
      <c r="K34" s="58">
        <f>K32+K23</f>
        <v>92450</v>
      </c>
      <c r="L34" s="268">
        <f>L32+L15</f>
        <v>39350</v>
      </c>
      <c r="M34" s="59">
        <f>M32+M23</f>
        <v>53100</v>
      </c>
    </row>
  </sheetData>
  <sheetProtection algorithmName="SHA-512" hashValue="bUohFlGO+AGwhhi1pchNGKqe68qMq1XwSkdAi/6atj0QIiUnAGnFzJYwJB8SUEZTukuDnVl/OrAE2TKnZBPl5g==" saltValue="yJwqKj8BIMM60lFo4hMEZg==" spinCount="100000" sheet="1" objects="1" scenarios="1"/>
  <mergeCells count="23">
    <mergeCell ref="B34:E34"/>
    <mergeCell ref="A16:M16"/>
    <mergeCell ref="A24:M24"/>
    <mergeCell ref="A33:M33"/>
    <mergeCell ref="F3:G3"/>
    <mergeCell ref="H3:I3"/>
    <mergeCell ref="J3:K3"/>
    <mergeCell ref="A25:A26"/>
    <mergeCell ref="B25:B26"/>
    <mergeCell ref="C25:C26"/>
    <mergeCell ref="D25:D26"/>
    <mergeCell ref="E25:E26"/>
    <mergeCell ref="F25:G25"/>
    <mergeCell ref="H25:I25"/>
    <mergeCell ref="J25:K25"/>
    <mergeCell ref="L25:M25"/>
    <mergeCell ref="A1:M1"/>
    <mergeCell ref="A3:A4"/>
    <mergeCell ref="B3:B4"/>
    <mergeCell ref="C3:C4"/>
    <mergeCell ref="D3:D4"/>
    <mergeCell ref="E3:E4"/>
    <mergeCell ref="L3:M3"/>
  </mergeCells>
  <dataValidations count="1">
    <dataValidation type="whole" allowBlank="1" showInputMessage="1" showErrorMessage="1" sqref="D5:E14 D18:E20 D27:E31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fitToHeight="0" orientation="landscape" blackAndWhite="1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pageSetUpPr fitToPage="1"/>
  </sheetPr>
  <dimension ref="A1:X61"/>
  <sheetViews>
    <sheetView showGridLines="0" view="pageBreakPreview" zoomScale="85" zoomScaleNormal="85" zoomScaleSheetLayoutView="85" workbookViewId="0">
      <pane xSplit="4" ySplit="8" topLeftCell="Q42" activePane="bottomRight" state="frozen"/>
      <selection pane="topRight" activeCell="D1" sqref="D1"/>
      <selection pane="bottomLeft" activeCell="A9" sqref="A9"/>
      <selection pane="bottomRight" activeCell="K10" sqref="K10"/>
    </sheetView>
  </sheetViews>
  <sheetFormatPr baseColWidth="10" defaultRowHeight="15" outlineLevelRow="1" outlineLevelCol="1" x14ac:dyDescent="0.25"/>
  <cols>
    <col min="1" max="2" width="3.5703125" style="39" customWidth="1"/>
    <col min="3" max="3" width="28.5703125" style="39" customWidth="1"/>
    <col min="4" max="4" width="4.7109375" style="39" bestFit="1" customWidth="1"/>
    <col min="5" max="16" width="14.28515625" style="39" hidden="1" customWidth="1" outlineLevel="1"/>
    <col min="17" max="17" width="14.28515625" style="39" customWidth="1" collapsed="1"/>
    <col min="18" max="21" width="14.28515625" style="39" hidden="1" customWidth="1" outlineLevel="1"/>
    <col min="22" max="22" width="14.28515625" style="39" customWidth="1" collapsed="1"/>
    <col min="23" max="23" width="14.28515625" style="39" customWidth="1"/>
    <col min="24" max="24" width="15.42578125" style="39" bestFit="1" customWidth="1"/>
    <col min="25" max="16384" width="11.42578125" style="39"/>
  </cols>
  <sheetData>
    <row r="1" spans="1:24" ht="27" thickBot="1" x14ac:dyDescent="0.3">
      <c r="A1" s="764" t="s">
        <v>97</v>
      </c>
      <c r="B1" s="765"/>
      <c r="C1" s="765"/>
      <c r="D1" s="765"/>
      <c r="E1" s="765"/>
      <c r="F1" s="765"/>
      <c r="G1" s="765"/>
      <c r="H1" s="765"/>
      <c r="I1" s="765"/>
      <c r="J1" s="765"/>
      <c r="K1" s="765"/>
      <c r="L1" s="765"/>
      <c r="M1" s="765"/>
      <c r="N1" s="765"/>
      <c r="O1" s="765"/>
      <c r="P1" s="765"/>
      <c r="Q1" s="765"/>
      <c r="R1" s="765"/>
      <c r="S1" s="765"/>
      <c r="T1" s="765"/>
      <c r="U1" s="765"/>
      <c r="V1" s="765"/>
      <c r="W1" s="765"/>
      <c r="X1" s="766"/>
    </row>
    <row r="2" spans="1:24" ht="15.75" thickBot="1" x14ac:dyDescent="0.3"/>
    <row r="3" spans="1:24" x14ac:dyDescent="0.25">
      <c r="A3" s="820" t="s">
        <v>107</v>
      </c>
      <c r="B3" s="821"/>
      <c r="C3" s="822"/>
      <c r="D3" s="148">
        <v>0</v>
      </c>
      <c r="E3" s="155"/>
    </row>
    <row r="4" spans="1:24" x14ac:dyDescent="0.25">
      <c r="A4" s="823" t="s">
        <v>108</v>
      </c>
      <c r="B4" s="824"/>
      <c r="C4" s="825"/>
      <c r="D4" s="149">
        <v>0.03</v>
      </c>
      <c r="E4" s="155"/>
    </row>
    <row r="5" spans="1:24" x14ac:dyDescent="0.25">
      <c r="A5" s="823" t="s">
        <v>130</v>
      </c>
      <c r="B5" s="824"/>
      <c r="C5" s="824"/>
      <c r="D5" s="151">
        <v>0.25</v>
      </c>
      <c r="E5" s="155"/>
    </row>
    <row r="6" spans="1:24" ht="15.75" thickBot="1" x14ac:dyDescent="0.3">
      <c r="A6" s="826" t="s">
        <v>104</v>
      </c>
      <c r="B6" s="827"/>
      <c r="C6" s="828"/>
      <c r="D6" s="150">
        <v>0.2</v>
      </c>
      <c r="E6" s="156"/>
    </row>
    <row r="7" spans="1:24" ht="18.75" customHeight="1" x14ac:dyDescent="0.25">
      <c r="A7" s="847" t="s">
        <v>98</v>
      </c>
      <c r="B7" s="848"/>
      <c r="C7" s="848"/>
      <c r="D7" s="849"/>
      <c r="E7" s="770" t="s">
        <v>20</v>
      </c>
      <c r="F7" s="770"/>
      <c r="G7" s="770"/>
      <c r="H7" s="770"/>
      <c r="I7" s="770"/>
      <c r="J7" s="770"/>
      <c r="K7" s="770"/>
      <c r="L7" s="770"/>
      <c r="M7" s="770"/>
      <c r="N7" s="770"/>
      <c r="O7" s="770"/>
      <c r="P7" s="770"/>
      <c r="Q7" s="767" t="s">
        <v>20</v>
      </c>
      <c r="R7" s="769" t="s">
        <v>25</v>
      </c>
      <c r="S7" s="770"/>
      <c r="T7" s="770"/>
      <c r="U7" s="770"/>
      <c r="V7" s="767" t="s">
        <v>25</v>
      </c>
      <c r="W7" s="767" t="s">
        <v>26</v>
      </c>
      <c r="X7" s="778" t="s">
        <v>27</v>
      </c>
    </row>
    <row r="8" spans="1:24" ht="18.75" customHeight="1" thickBot="1" x14ac:dyDescent="0.3">
      <c r="A8" s="850"/>
      <c r="B8" s="851"/>
      <c r="C8" s="851"/>
      <c r="D8" s="852"/>
      <c r="E8" s="111">
        <v>1</v>
      </c>
      <c r="F8" s="2">
        <v>2</v>
      </c>
      <c r="G8" s="2">
        <v>3</v>
      </c>
      <c r="H8" s="2">
        <v>4</v>
      </c>
      <c r="I8" s="2">
        <v>5</v>
      </c>
      <c r="J8" s="2">
        <v>6</v>
      </c>
      <c r="K8" s="2">
        <v>7</v>
      </c>
      <c r="L8" s="2">
        <v>8</v>
      </c>
      <c r="M8" s="2">
        <v>9</v>
      </c>
      <c r="N8" s="2">
        <v>10</v>
      </c>
      <c r="O8" s="2">
        <v>11</v>
      </c>
      <c r="P8" s="3">
        <v>12</v>
      </c>
      <c r="Q8" s="768"/>
      <c r="R8" s="4" t="s">
        <v>21</v>
      </c>
      <c r="S8" s="2" t="s">
        <v>22</v>
      </c>
      <c r="T8" s="2" t="s">
        <v>23</v>
      </c>
      <c r="U8" s="3" t="s">
        <v>24</v>
      </c>
      <c r="V8" s="768"/>
      <c r="W8" s="768"/>
      <c r="X8" s="779"/>
    </row>
    <row r="9" spans="1:24" ht="18.75" customHeight="1" thickTop="1" x14ac:dyDescent="0.25">
      <c r="A9" s="157" t="s">
        <v>112</v>
      </c>
      <c r="B9" s="836" t="s">
        <v>99</v>
      </c>
      <c r="C9" s="836"/>
      <c r="D9" s="837"/>
      <c r="E9" s="147">
        <v>0</v>
      </c>
      <c r="F9" s="18">
        <v>0</v>
      </c>
      <c r="G9" s="18">
        <v>0</v>
      </c>
      <c r="H9" s="18">
        <v>0</v>
      </c>
      <c r="I9" s="18">
        <v>0</v>
      </c>
      <c r="J9" s="18">
        <v>0</v>
      </c>
      <c r="K9" s="18">
        <v>120000</v>
      </c>
      <c r="L9" s="18">
        <v>0</v>
      </c>
      <c r="M9" s="18">
        <v>120000</v>
      </c>
      <c r="N9" s="18">
        <v>0</v>
      </c>
      <c r="O9" s="18">
        <v>120000</v>
      </c>
      <c r="P9" s="152">
        <v>7680</v>
      </c>
      <c r="Q9" s="8">
        <f>SUM(E9:P9)</f>
        <v>367680</v>
      </c>
      <c r="R9" s="146">
        <v>176880</v>
      </c>
      <c r="S9" s="18">
        <v>176880</v>
      </c>
      <c r="T9" s="18">
        <v>180480</v>
      </c>
      <c r="U9" s="152">
        <v>296880</v>
      </c>
      <c r="V9" s="8">
        <f>SUM(R9:U9)</f>
        <v>831120</v>
      </c>
      <c r="W9" s="144">
        <v>1388760</v>
      </c>
      <c r="X9" s="145">
        <v>2550040</v>
      </c>
    </row>
    <row r="10" spans="1:24" ht="18.75" customHeight="1" thickBot="1" x14ac:dyDescent="0.3">
      <c r="A10" s="158" t="s">
        <v>111</v>
      </c>
      <c r="B10" s="838" t="s">
        <v>100</v>
      </c>
      <c r="C10" s="838"/>
      <c r="D10" s="839"/>
      <c r="E10" s="128">
        <f t="shared" ref="E10:J10" si="0">-(E9/(1+$D$6))*$D$6</f>
        <v>0</v>
      </c>
      <c r="F10" s="129">
        <f t="shared" si="0"/>
        <v>0</v>
      </c>
      <c r="G10" s="129">
        <f t="shared" si="0"/>
        <v>0</v>
      </c>
      <c r="H10" s="129">
        <f t="shared" si="0"/>
        <v>0</v>
      </c>
      <c r="I10" s="129">
        <f t="shared" si="0"/>
        <v>0</v>
      </c>
      <c r="J10" s="129">
        <f t="shared" si="0"/>
        <v>0</v>
      </c>
      <c r="K10" s="129">
        <f>-(K9/(1+$D$6))*$D$6</f>
        <v>-20000</v>
      </c>
      <c r="L10" s="129">
        <f t="shared" ref="L10:R10" si="1">-(L9/(1+$D$6))*$D$6</f>
        <v>0</v>
      </c>
      <c r="M10" s="129">
        <f t="shared" si="1"/>
        <v>-20000</v>
      </c>
      <c r="N10" s="129">
        <f t="shared" si="1"/>
        <v>0</v>
      </c>
      <c r="O10" s="129">
        <f t="shared" si="1"/>
        <v>-20000</v>
      </c>
      <c r="P10" s="159">
        <f t="shared" si="1"/>
        <v>-1280</v>
      </c>
      <c r="Q10" s="134">
        <f t="shared" ref="Q10:Q40" si="2">SUM(E10:P10)</f>
        <v>-61280</v>
      </c>
      <c r="R10" s="160">
        <f t="shared" si="1"/>
        <v>-29480</v>
      </c>
      <c r="S10" s="129">
        <f t="shared" ref="S10" si="3">-(S9/(1+$D$6))*$D$6</f>
        <v>-29480</v>
      </c>
      <c r="T10" s="129">
        <f t="shared" ref="T10" si="4">-(T9/(1+$D$6))*$D$6</f>
        <v>-30080</v>
      </c>
      <c r="U10" s="159">
        <f t="shared" ref="U10" si="5">-(U9/(1+$D$6))*$D$6</f>
        <v>-49480</v>
      </c>
      <c r="V10" s="134">
        <f t="shared" ref="V10:V40" si="6">SUM(R10:U10)</f>
        <v>-138520</v>
      </c>
      <c r="W10" s="134">
        <f t="shared" ref="W10:X10" si="7">-(W9/(1+$D$6))*$D$6</f>
        <v>-231460</v>
      </c>
      <c r="X10" s="135">
        <f t="shared" si="7"/>
        <v>-425006.66666666674</v>
      </c>
    </row>
    <row r="11" spans="1:24" s="171" customFormat="1" ht="7.5" customHeight="1" thickTop="1" x14ac:dyDescent="0.25">
      <c r="A11" s="161"/>
      <c r="B11" s="162"/>
      <c r="C11" s="162"/>
      <c r="D11" s="163"/>
      <c r="E11" s="164"/>
      <c r="F11" s="165"/>
      <c r="G11" s="165"/>
      <c r="H11" s="165"/>
      <c r="I11" s="165"/>
      <c r="J11" s="165"/>
      <c r="K11" s="165"/>
      <c r="L11" s="165"/>
      <c r="M11" s="165"/>
      <c r="N11" s="165"/>
      <c r="O11" s="165"/>
      <c r="P11" s="166"/>
      <c r="Q11" s="167"/>
      <c r="R11" s="168"/>
      <c r="S11" s="165"/>
      <c r="T11" s="165"/>
      <c r="U11" s="166"/>
      <c r="V11" s="167"/>
      <c r="W11" s="169"/>
      <c r="X11" s="170"/>
    </row>
    <row r="12" spans="1:24" ht="18.75" customHeight="1" thickBot="1" x14ac:dyDescent="0.3">
      <c r="A12" s="831" t="s">
        <v>101</v>
      </c>
      <c r="B12" s="832"/>
      <c r="C12" s="832"/>
      <c r="D12" s="833"/>
      <c r="E12" s="172">
        <f t="shared" ref="E12:P12" si="8">E9+E10</f>
        <v>0</v>
      </c>
      <c r="F12" s="173">
        <f t="shared" si="8"/>
        <v>0</v>
      </c>
      <c r="G12" s="173">
        <f t="shared" si="8"/>
        <v>0</v>
      </c>
      <c r="H12" s="173">
        <f t="shared" si="8"/>
        <v>0</v>
      </c>
      <c r="I12" s="173">
        <f t="shared" si="8"/>
        <v>0</v>
      </c>
      <c r="J12" s="173">
        <f t="shared" si="8"/>
        <v>0</v>
      </c>
      <c r="K12" s="173">
        <f t="shared" si="8"/>
        <v>100000</v>
      </c>
      <c r="L12" s="173">
        <f t="shared" si="8"/>
        <v>0</v>
      </c>
      <c r="M12" s="173">
        <f t="shared" si="8"/>
        <v>100000</v>
      </c>
      <c r="N12" s="173">
        <f t="shared" si="8"/>
        <v>0</v>
      </c>
      <c r="O12" s="173">
        <f t="shared" si="8"/>
        <v>100000</v>
      </c>
      <c r="P12" s="174">
        <f t="shared" si="8"/>
        <v>6400</v>
      </c>
      <c r="Q12" s="175">
        <f t="shared" si="2"/>
        <v>306400</v>
      </c>
      <c r="R12" s="176">
        <f t="shared" ref="R12:X12" si="9">R9+R10</f>
        <v>147400</v>
      </c>
      <c r="S12" s="173">
        <f t="shared" si="9"/>
        <v>147400</v>
      </c>
      <c r="T12" s="173">
        <f t="shared" si="9"/>
        <v>150400</v>
      </c>
      <c r="U12" s="174">
        <f t="shared" si="9"/>
        <v>247400</v>
      </c>
      <c r="V12" s="175">
        <f t="shared" si="9"/>
        <v>692600</v>
      </c>
      <c r="W12" s="177">
        <f t="shared" si="9"/>
        <v>1157300</v>
      </c>
      <c r="X12" s="178">
        <f t="shared" si="9"/>
        <v>2125033.333333333</v>
      </c>
    </row>
    <row r="13" spans="1:24" ht="18.75" customHeight="1" outlineLevel="1" thickTop="1" x14ac:dyDescent="0.25">
      <c r="A13" s="157" t="s">
        <v>111</v>
      </c>
      <c r="B13" s="836" t="s">
        <v>102</v>
      </c>
      <c r="C13" s="836"/>
      <c r="D13" s="837"/>
      <c r="E13" s="179">
        <f>-(E12*$D$3)</f>
        <v>0</v>
      </c>
      <c r="F13" s="7">
        <f t="shared" ref="F13:P13" si="10">-(F12*$D$3)</f>
        <v>0</v>
      </c>
      <c r="G13" s="7">
        <f t="shared" si="10"/>
        <v>0</v>
      </c>
      <c r="H13" s="7">
        <f t="shared" si="10"/>
        <v>0</v>
      </c>
      <c r="I13" s="7">
        <f t="shared" si="10"/>
        <v>0</v>
      </c>
      <c r="J13" s="7">
        <f t="shared" si="10"/>
        <v>0</v>
      </c>
      <c r="K13" s="7">
        <f t="shared" si="10"/>
        <v>0</v>
      </c>
      <c r="L13" s="7">
        <f t="shared" si="10"/>
        <v>0</v>
      </c>
      <c r="M13" s="7">
        <f t="shared" si="10"/>
        <v>0</v>
      </c>
      <c r="N13" s="7">
        <f t="shared" si="10"/>
        <v>0</v>
      </c>
      <c r="O13" s="7">
        <f t="shared" si="10"/>
        <v>0</v>
      </c>
      <c r="P13" s="180">
        <f t="shared" si="10"/>
        <v>0</v>
      </c>
      <c r="Q13" s="8">
        <f t="shared" si="2"/>
        <v>0</v>
      </c>
      <c r="R13" s="179">
        <f>-(R12*$D$3)</f>
        <v>0</v>
      </c>
      <c r="S13" s="7">
        <f t="shared" ref="S13:U13" si="11">-(S12*$D$3)</f>
        <v>0</v>
      </c>
      <c r="T13" s="7">
        <f t="shared" si="11"/>
        <v>0</v>
      </c>
      <c r="U13" s="180">
        <f t="shared" si="11"/>
        <v>0</v>
      </c>
      <c r="V13" s="8">
        <f t="shared" si="6"/>
        <v>0</v>
      </c>
      <c r="W13" s="181">
        <f>-(W12*$D$3)</f>
        <v>0</v>
      </c>
      <c r="X13" s="182">
        <f>-(X12*$D$3)</f>
        <v>0</v>
      </c>
    </row>
    <row r="14" spans="1:24" ht="18.75" customHeight="1" outlineLevel="1" x14ac:dyDescent="0.25">
      <c r="A14" s="183" t="s">
        <v>111</v>
      </c>
      <c r="B14" s="834" t="s">
        <v>103</v>
      </c>
      <c r="C14" s="834"/>
      <c r="D14" s="835"/>
      <c r="E14" s="184">
        <f>-(E12*$D$4)</f>
        <v>0</v>
      </c>
      <c r="F14" s="11">
        <f t="shared" ref="F14:P14" si="12">-(F12*$D$4)</f>
        <v>0</v>
      </c>
      <c r="G14" s="11">
        <f t="shared" si="12"/>
        <v>0</v>
      </c>
      <c r="H14" s="11">
        <f t="shared" si="12"/>
        <v>0</v>
      </c>
      <c r="I14" s="11">
        <f t="shared" si="12"/>
        <v>0</v>
      </c>
      <c r="J14" s="11">
        <f t="shared" si="12"/>
        <v>0</v>
      </c>
      <c r="K14" s="11">
        <f t="shared" si="12"/>
        <v>-3000</v>
      </c>
      <c r="L14" s="11">
        <f t="shared" si="12"/>
        <v>0</v>
      </c>
      <c r="M14" s="11">
        <f t="shared" si="12"/>
        <v>-3000</v>
      </c>
      <c r="N14" s="11">
        <f t="shared" si="12"/>
        <v>0</v>
      </c>
      <c r="O14" s="11">
        <f t="shared" si="12"/>
        <v>-3000</v>
      </c>
      <c r="P14" s="185">
        <f t="shared" si="12"/>
        <v>-192</v>
      </c>
      <c r="Q14" s="12">
        <f t="shared" si="2"/>
        <v>-9192</v>
      </c>
      <c r="R14" s="184">
        <f>-(R12*$D$4)</f>
        <v>-4422</v>
      </c>
      <c r="S14" s="11">
        <f t="shared" ref="S14:U14" si="13">-(S12*$D$4)</f>
        <v>-4422</v>
      </c>
      <c r="T14" s="11">
        <f t="shared" si="13"/>
        <v>-4512</v>
      </c>
      <c r="U14" s="185">
        <f t="shared" si="13"/>
        <v>-7422</v>
      </c>
      <c r="V14" s="12">
        <f t="shared" si="6"/>
        <v>-20778</v>
      </c>
      <c r="W14" s="186">
        <f>-(W12*$D$4)</f>
        <v>-34719</v>
      </c>
      <c r="X14" s="187">
        <f>-(X12*$D$4)</f>
        <v>-63750.999999999985</v>
      </c>
    </row>
    <row r="15" spans="1:24" ht="18.75" customHeight="1" outlineLevel="1" x14ac:dyDescent="0.25">
      <c r="A15" s="183" t="s">
        <v>112</v>
      </c>
      <c r="B15" s="834" t="s">
        <v>105</v>
      </c>
      <c r="C15" s="834"/>
      <c r="D15" s="835"/>
      <c r="E15" s="137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153"/>
      <c r="Q15" s="12">
        <f t="shared" si="2"/>
        <v>0</v>
      </c>
      <c r="R15" s="137"/>
      <c r="S15" s="94"/>
      <c r="T15" s="94"/>
      <c r="U15" s="153"/>
      <c r="V15" s="12">
        <f t="shared" si="6"/>
        <v>0</v>
      </c>
      <c r="W15" s="140"/>
      <c r="X15" s="141"/>
    </row>
    <row r="16" spans="1:24" ht="18.75" customHeight="1" outlineLevel="1" thickBot="1" x14ac:dyDescent="0.3">
      <c r="A16" s="158" t="s">
        <v>112</v>
      </c>
      <c r="B16" s="838" t="s">
        <v>106</v>
      </c>
      <c r="C16" s="838"/>
      <c r="D16" s="839"/>
      <c r="E16" s="138"/>
      <c r="F16" s="139"/>
      <c r="G16" s="139"/>
      <c r="H16" s="139"/>
      <c r="I16" s="139"/>
      <c r="J16" s="139"/>
      <c r="K16" s="139"/>
      <c r="L16" s="139"/>
      <c r="M16" s="139"/>
      <c r="N16" s="139"/>
      <c r="O16" s="139"/>
      <c r="P16" s="154"/>
      <c r="Q16" s="134">
        <f t="shared" si="2"/>
        <v>0</v>
      </c>
      <c r="R16" s="138"/>
      <c r="S16" s="139"/>
      <c r="T16" s="139"/>
      <c r="U16" s="154"/>
      <c r="V16" s="134">
        <f t="shared" si="6"/>
        <v>0</v>
      </c>
      <c r="W16" s="142"/>
      <c r="X16" s="143"/>
    </row>
    <row r="17" spans="1:24" s="194" customFormat="1" ht="7.5" customHeight="1" outlineLevel="1" thickTop="1" x14ac:dyDescent="0.25">
      <c r="A17" s="161"/>
      <c r="B17" s="162"/>
      <c r="C17" s="162"/>
      <c r="D17" s="163"/>
      <c r="E17" s="188"/>
      <c r="F17" s="189"/>
      <c r="G17" s="189"/>
      <c r="H17" s="189"/>
      <c r="I17" s="189"/>
      <c r="J17" s="189"/>
      <c r="K17" s="189"/>
      <c r="L17" s="189"/>
      <c r="M17" s="189"/>
      <c r="N17" s="189"/>
      <c r="O17" s="189"/>
      <c r="P17" s="190"/>
      <c r="Q17" s="191"/>
      <c r="R17" s="188"/>
      <c r="S17" s="189"/>
      <c r="T17" s="189"/>
      <c r="U17" s="190"/>
      <c r="V17" s="191"/>
      <c r="W17" s="192"/>
      <c r="X17" s="193"/>
    </row>
    <row r="18" spans="1:24" ht="18.75" customHeight="1" thickBot="1" x14ac:dyDescent="0.3">
      <c r="A18" s="831" t="s">
        <v>109</v>
      </c>
      <c r="B18" s="832"/>
      <c r="C18" s="832"/>
      <c r="D18" s="833"/>
      <c r="E18" s="176">
        <f>SUM(E12:E16)</f>
        <v>0</v>
      </c>
      <c r="F18" s="173">
        <f t="shared" ref="F18:R18" si="14">SUM(F12:F16)</f>
        <v>0</v>
      </c>
      <c r="G18" s="173">
        <f t="shared" si="14"/>
        <v>0</v>
      </c>
      <c r="H18" s="173">
        <f t="shared" si="14"/>
        <v>0</v>
      </c>
      <c r="I18" s="173">
        <f t="shared" si="14"/>
        <v>0</v>
      </c>
      <c r="J18" s="173">
        <f t="shared" si="14"/>
        <v>0</v>
      </c>
      <c r="K18" s="173">
        <f t="shared" si="14"/>
        <v>97000</v>
      </c>
      <c r="L18" s="173">
        <f t="shared" si="14"/>
        <v>0</v>
      </c>
      <c r="M18" s="173">
        <f t="shared" si="14"/>
        <v>97000</v>
      </c>
      <c r="N18" s="173">
        <f t="shared" si="14"/>
        <v>0</v>
      </c>
      <c r="O18" s="173">
        <f t="shared" si="14"/>
        <v>97000</v>
      </c>
      <c r="P18" s="174">
        <f t="shared" si="14"/>
        <v>6208</v>
      </c>
      <c r="Q18" s="175">
        <f t="shared" si="2"/>
        <v>297208</v>
      </c>
      <c r="R18" s="176">
        <f t="shared" si="14"/>
        <v>142978</v>
      </c>
      <c r="S18" s="173">
        <f t="shared" ref="S18" si="15">SUM(S12:S16)</f>
        <v>142978</v>
      </c>
      <c r="T18" s="173">
        <f t="shared" ref="T18" si="16">SUM(T12:T16)</f>
        <v>145888</v>
      </c>
      <c r="U18" s="174">
        <f t="shared" ref="U18:X18" si="17">SUM(U12:U16)</f>
        <v>239978</v>
      </c>
      <c r="V18" s="175">
        <f t="shared" si="17"/>
        <v>671822</v>
      </c>
      <c r="W18" s="177">
        <f t="shared" si="17"/>
        <v>1122581</v>
      </c>
      <c r="X18" s="195">
        <f t="shared" si="17"/>
        <v>2061282.333333333</v>
      </c>
    </row>
    <row r="19" spans="1:24" ht="18.75" customHeight="1" outlineLevel="1" thickTop="1" x14ac:dyDescent="0.25">
      <c r="A19" s="157" t="s">
        <v>111</v>
      </c>
      <c r="B19" s="836" t="str">
        <f>Plankosten!A33</f>
        <v>Materialeinsatz</v>
      </c>
      <c r="C19" s="836"/>
      <c r="D19" s="837"/>
      <c r="E19" s="179">
        <f>-Plankosten!E38</f>
        <v>0</v>
      </c>
      <c r="F19" s="7">
        <f>-Plankosten!F38</f>
        <v>0</v>
      </c>
      <c r="G19" s="7">
        <f>-Plankosten!G38</f>
        <v>0</v>
      </c>
      <c r="H19" s="7">
        <f>-Plankosten!H38</f>
        <v>0</v>
      </c>
      <c r="I19" s="7">
        <f>-Plankosten!I38</f>
        <v>0</v>
      </c>
      <c r="J19" s="7">
        <f>-Plankosten!J38</f>
        <v>0</v>
      </c>
      <c r="K19" s="7">
        <f>-Plankosten!K38</f>
        <v>0</v>
      </c>
      <c r="L19" s="7">
        <f>-Plankosten!L38</f>
        <v>0</v>
      </c>
      <c r="M19" s="7">
        <f>-Plankosten!M38</f>
        <v>0</v>
      </c>
      <c r="N19" s="7">
        <f>-Plankosten!N38</f>
        <v>0</v>
      </c>
      <c r="O19" s="7">
        <f>-Plankosten!O38</f>
        <v>0</v>
      </c>
      <c r="P19" s="180">
        <f>-Plankosten!P38</f>
        <v>0</v>
      </c>
      <c r="Q19" s="8">
        <f t="shared" si="2"/>
        <v>0</v>
      </c>
      <c r="R19" s="179">
        <f>-Plankosten!R38</f>
        <v>0</v>
      </c>
      <c r="S19" s="7">
        <f>-Plankosten!S38</f>
        <v>0</v>
      </c>
      <c r="T19" s="7">
        <f>-Plankosten!T38</f>
        <v>0</v>
      </c>
      <c r="U19" s="180">
        <f>-Plankosten!U38</f>
        <v>0</v>
      </c>
      <c r="V19" s="8">
        <f t="shared" si="6"/>
        <v>0</v>
      </c>
      <c r="W19" s="181">
        <f>-Plankosten!W38</f>
        <v>0</v>
      </c>
      <c r="X19" s="182">
        <f>-Plankosten!X38</f>
        <v>0</v>
      </c>
    </row>
    <row r="20" spans="1:24" ht="18.75" customHeight="1" outlineLevel="1" thickBot="1" x14ac:dyDescent="0.3">
      <c r="A20" s="158" t="s">
        <v>111</v>
      </c>
      <c r="B20" s="838" t="str">
        <f>Plankosten!A40</f>
        <v>Roh-, Betriebs- uns Hilfsstoffe</v>
      </c>
      <c r="C20" s="838"/>
      <c r="D20" s="839"/>
      <c r="E20" s="196">
        <f>-Plankosten!E45</f>
        <v>0</v>
      </c>
      <c r="F20" s="129">
        <f>-Plankosten!F45</f>
        <v>0</v>
      </c>
      <c r="G20" s="129">
        <f>-Plankosten!G45</f>
        <v>0</v>
      </c>
      <c r="H20" s="129">
        <f>-Plankosten!H45</f>
        <v>0</v>
      </c>
      <c r="I20" s="129">
        <f>-Plankosten!I45</f>
        <v>0</v>
      </c>
      <c r="J20" s="129">
        <f>-Plankosten!J45</f>
        <v>0</v>
      </c>
      <c r="K20" s="129">
        <f>-Plankosten!K45</f>
        <v>0</v>
      </c>
      <c r="L20" s="129">
        <f>-Plankosten!L45</f>
        <v>0</v>
      </c>
      <c r="M20" s="129">
        <f>-Plankosten!M45</f>
        <v>0</v>
      </c>
      <c r="N20" s="129">
        <f>-Plankosten!N45</f>
        <v>0</v>
      </c>
      <c r="O20" s="129">
        <f>-Plankosten!O45</f>
        <v>0</v>
      </c>
      <c r="P20" s="159">
        <f>-Plankosten!P45</f>
        <v>0</v>
      </c>
      <c r="Q20" s="134">
        <f t="shared" si="2"/>
        <v>0</v>
      </c>
      <c r="R20" s="196">
        <f>-Plankosten!R45</f>
        <v>0</v>
      </c>
      <c r="S20" s="129">
        <f>-Plankosten!S45</f>
        <v>0</v>
      </c>
      <c r="T20" s="129">
        <f>-Plankosten!T45</f>
        <v>0</v>
      </c>
      <c r="U20" s="159">
        <f>-Plankosten!U45</f>
        <v>0</v>
      </c>
      <c r="V20" s="134">
        <f t="shared" si="6"/>
        <v>0</v>
      </c>
      <c r="W20" s="197">
        <f>-Plankosten!W45</f>
        <v>0</v>
      </c>
      <c r="X20" s="198">
        <f>-Plankosten!X45</f>
        <v>0</v>
      </c>
    </row>
    <row r="21" spans="1:24" s="194" customFormat="1" ht="7.5" customHeight="1" outlineLevel="1" thickTop="1" x14ac:dyDescent="0.25">
      <c r="A21" s="161"/>
      <c r="B21" s="162"/>
      <c r="C21" s="162"/>
      <c r="D21" s="163"/>
      <c r="E21" s="188"/>
      <c r="F21" s="189"/>
      <c r="G21" s="189"/>
      <c r="H21" s="189"/>
      <c r="I21" s="189"/>
      <c r="J21" s="189"/>
      <c r="K21" s="189"/>
      <c r="L21" s="189"/>
      <c r="M21" s="189"/>
      <c r="N21" s="189"/>
      <c r="O21" s="189"/>
      <c r="P21" s="190"/>
      <c r="Q21" s="191"/>
      <c r="R21" s="188"/>
      <c r="S21" s="189"/>
      <c r="T21" s="189"/>
      <c r="U21" s="190"/>
      <c r="V21" s="191"/>
      <c r="W21" s="192"/>
      <c r="X21" s="193"/>
    </row>
    <row r="22" spans="1:24" ht="18.75" customHeight="1" thickBot="1" x14ac:dyDescent="0.3">
      <c r="A22" s="831" t="s">
        <v>110</v>
      </c>
      <c r="B22" s="832"/>
      <c r="C22" s="832"/>
      <c r="D22" s="833"/>
      <c r="E22" s="176">
        <f>SUM(E18:E20)</f>
        <v>0</v>
      </c>
      <c r="F22" s="173">
        <f t="shared" ref="F22:X22" si="18">SUM(F18:F20)</f>
        <v>0</v>
      </c>
      <c r="G22" s="173">
        <f t="shared" si="18"/>
        <v>0</v>
      </c>
      <c r="H22" s="173">
        <f t="shared" si="18"/>
        <v>0</v>
      </c>
      <c r="I22" s="173">
        <f t="shared" si="18"/>
        <v>0</v>
      </c>
      <c r="J22" s="173">
        <f t="shared" si="18"/>
        <v>0</v>
      </c>
      <c r="K22" s="173">
        <f t="shared" si="18"/>
        <v>97000</v>
      </c>
      <c r="L22" s="173">
        <f t="shared" si="18"/>
        <v>0</v>
      </c>
      <c r="M22" s="173">
        <f t="shared" si="18"/>
        <v>97000</v>
      </c>
      <c r="N22" s="173">
        <f t="shared" si="18"/>
        <v>0</v>
      </c>
      <c r="O22" s="173">
        <f t="shared" si="18"/>
        <v>97000</v>
      </c>
      <c r="P22" s="174">
        <f t="shared" si="18"/>
        <v>6208</v>
      </c>
      <c r="Q22" s="175">
        <f t="shared" si="2"/>
        <v>297208</v>
      </c>
      <c r="R22" s="176">
        <f t="shared" si="18"/>
        <v>142978</v>
      </c>
      <c r="S22" s="173">
        <f t="shared" si="18"/>
        <v>142978</v>
      </c>
      <c r="T22" s="173">
        <f t="shared" si="18"/>
        <v>145888</v>
      </c>
      <c r="U22" s="174">
        <f t="shared" si="18"/>
        <v>239978</v>
      </c>
      <c r="V22" s="175">
        <f t="shared" si="18"/>
        <v>671822</v>
      </c>
      <c r="W22" s="177">
        <f t="shared" si="18"/>
        <v>1122581</v>
      </c>
      <c r="X22" s="195">
        <f t="shared" si="18"/>
        <v>2061282.333333333</v>
      </c>
    </row>
    <row r="23" spans="1:24" ht="18.75" customHeight="1" outlineLevel="1" thickTop="1" x14ac:dyDescent="0.25">
      <c r="A23" s="157" t="s">
        <v>111</v>
      </c>
      <c r="B23" s="836" t="str">
        <f>Plankosten!A25</f>
        <v>Personalkosten</v>
      </c>
      <c r="C23" s="836"/>
      <c r="D23" s="837"/>
      <c r="E23" s="179">
        <f>-Plankosten!E31</f>
        <v>-10840</v>
      </c>
      <c r="F23" s="7">
        <f>-Plankosten!F31</f>
        <v>-13148</v>
      </c>
      <c r="G23" s="7">
        <f>-Plankosten!G31</f>
        <v>-16796</v>
      </c>
      <c r="H23" s="7">
        <f>-Plankosten!H31</f>
        <v>-20444</v>
      </c>
      <c r="I23" s="7">
        <f>-Plankosten!I31</f>
        <v>-38980.666666666672</v>
      </c>
      <c r="J23" s="7">
        <f>-Plankosten!J31</f>
        <v>-20444</v>
      </c>
      <c r="K23" s="7">
        <f>-Plankosten!K31</f>
        <v>-20444</v>
      </c>
      <c r="L23" s="7">
        <f>-Plankosten!L31</f>
        <v>-20444</v>
      </c>
      <c r="M23" s="7">
        <f>-Plankosten!M31</f>
        <v>-20444</v>
      </c>
      <c r="N23" s="7">
        <f>-Plankosten!N31</f>
        <v>-20444</v>
      </c>
      <c r="O23" s="7">
        <f>-Plankosten!O31</f>
        <v>-38980.666666666672</v>
      </c>
      <c r="P23" s="180">
        <f>-Plankosten!P31</f>
        <v>-20444</v>
      </c>
      <c r="Q23" s="8">
        <f t="shared" si="2"/>
        <v>-261853.33333333337</v>
      </c>
      <c r="R23" s="179">
        <f>-Plankosten!R31</f>
        <v>-75009.600000000006</v>
      </c>
      <c r="S23" s="7">
        <f>-Plankosten!S31</f>
        <v>-99772.800000000003</v>
      </c>
      <c r="T23" s="7">
        <f>-Plankosten!T31</f>
        <v>-75009.600000000006</v>
      </c>
      <c r="U23" s="180">
        <f>-Plankosten!U31</f>
        <v>-99772.800000000003</v>
      </c>
      <c r="V23" s="8">
        <f t="shared" si="6"/>
        <v>-349564.80000000005</v>
      </c>
      <c r="W23" s="181">
        <f>-Plankosten!W31</f>
        <v>-366899.04000000004</v>
      </c>
      <c r="X23" s="182">
        <f>-Plankosten!X31</f>
        <v>-385099.99200000009</v>
      </c>
    </row>
    <row r="24" spans="1:24" ht="30" customHeight="1" outlineLevel="1" x14ac:dyDescent="0.25">
      <c r="A24" s="183" t="s">
        <v>111</v>
      </c>
      <c r="B24" s="845" t="str">
        <f>Plankosten!A47</f>
        <v>Sonstige betriebliche Aufwendungen
(Miete, Pacht, Betriebskosten)</v>
      </c>
      <c r="C24" s="845"/>
      <c r="D24" s="846"/>
      <c r="E24" s="184">
        <f>-Plankosten!E54</f>
        <v>-1271</v>
      </c>
      <c r="F24" s="11">
        <f>-Plankosten!F54</f>
        <v>-1271</v>
      </c>
      <c r="G24" s="11">
        <f>-Plankosten!G54</f>
        <v>-1271</v>
      </c>
      <c r="H24" s="11">
        <f>-Plankosten!H54</f>
        <v>-1271</v>
      </c>
      <c r="I24" s="11">
        <f>-Plankosten!I54</f>
        <v>-1271</v>
      </c>
      <c r="J24" s="11">
        <f>-Plankosten!J54</f>
        <v>-1271</v>
      </c>
      <c r="K24" s="11">
        <f>-Plankosten!K54</f>
        <v>-1271</v>
      </c>
      <c r="L24" s="11">
        <f>-Plankosten!L54</f>
        <v>-1271</v>
      </c>
      <c r="M24" s="11">
        <f>-Plankosten!M54</f>
        <v>-1271</v>
      </c>
      <c r="N24" s="11">
        <f>-Plankosten!N54</f>
        <v>-1271</v>
      </c>
      <c r="O24" s="11">
        <f>-Plankosten!O54</f>
        <v>-1271</v>
      </c>
      <c r="P24" s="185">
        <f>-Plankosten!P54</f>
        <v>-1271</v>
      </c>
      <c r="Q24" s="12">
        <f t="shared" si="2"/>
        <v>-15252</v>
      </c>
      <c r="R24" s="184">
        <f>-Plankosten!R54</f>
        <v>-3813</v>
      </c>
      <c r="S24" s="11">
        <f>-Plankosten!S54</f>
        <v>-3813</v>
      </c>
      <c r="T24" s="11">
        <f>-Plankosten!T54</f>
        <v>-3813</v>
      </c>
      <c r="U24" s="185">
        <f>-Plankosten!U54</f>
        <v>-3813</v>
      </c>
      <c r="V24" s="12">
        <f t="shared" si="6"/>
        <v>-15252</v>
      </c>
      <c r="W24" s="186">
        <f>-Plankosten!W54</f>
        <v>-15252</v>
      </c>
      <c r="X24" s="187">
        <f>-Plankosten!X54</f>
        <v>-15252</v>
      </c>
    </row>
    <row r="25" spans="1:24" ht="18.75" customHeight="1" outlineLevel="1" x14ac:dyDescent="0.25">
      <c r="A25" s="183" t="s">
        <v>111</v>
      </c>
      <c r="B25" s="834" t="str">
        <f>Plankosten!A56</f>
        <v>Instandhaltung</v>
      </c>
      <c r="C25" s="834"/>
      <c r="D25" s="835"/>
      <c r="E25" s="184">
        <f>-Plankosten!E61</f>
        <v>0</v>
      </c>
      <c r="F25" s="11">
        <f>-Plankosten!F61</f>
        <v>0</v>
      </c>
      <c r="G25" s="11">
        <f>-Plankosten!G61</f>
        <v>0</v>
      </c>
      <c r="H25" s="11">
        <f>-Plankosten!H61</f>
        <v>0</v>
      </c>
      <c r="I25" s="11">
        <f>-Plankosten!I61</f>
        <v>0</v>
      </c>
      <c r="J25" s="11">
        <f>-Plankosten!J61</f>
        <v>0</v>
      </c>
      <c r="K25" s="11">
        <f>-Plankosten!K61</f>
        <v>0</v>
      </c>
      <c r="L25" s="11">
        <f>-Plankosten!L61</f>
        <v>0</v>
      </c>
      <c r="M25" s="11">
        <f>-Plankosten!M61</f>
        <v>0</v>
      </c>
      <c r="N25" s="11">
        <f>-Plankosten!N61</f>
        <v>0</v>
      </c>
      <c r="O25" s="11">
        <f>-Plankosten!O61</f>
        <v>0</v>
      </c>
      <c r="P25" s="185">
        <f>-Plankosten!P61</f>
        <v>-2000</v>
      </c>
      <c r="Q25" s="12">
        <f t="shared" si="2"/>
        <v>-2000</v>
      </c>
      <c r="R25" s="184">
        <f>-Plankosten!R61</f>
        <v>0</v>
      </c>
      <c r="S25" s="11">
        <f>-Plankosten!S61</f>
        <v>0</v>
      </c>
      <c r="T25" s="11">
        <f>-Plankosten!T61</f>
        <v>0</v>
      </c>
      <c r="U25" s="185">
        <f>-Plankosten!U61</f>
        <v>-2000</v>
      </c>
      <c r="V25" s="12">
        <f t="shared" si="6"/>
        <v>-2000</v>
      </c>
      <c r="W25" s="186">
        <f>-Plankosten!W61</f>
        <v>-2000</v>
      </c>
      <c r="X25" s="187">
        <f>-Plankosten!X61</f>
        <v>-2000</v>
      </c>
    </row>
    <row r="26" spans="1:24" ht="18.75" customHeight="1" outlineLevel="1" x14ac:dyDescent="0.25">
      <c r="A26" s="183" t="s">
        <v>111</v>
      </c>
      <c r="B26" s="834" t="str">
        <f>Plankosten!A63</f>
        <v>Kfz-Kosten und Reisekosten</v>
      </c>
      <c r="C26" s="834"/>
      <c r="D26" s="835"/>
      <c r="E26" s="184">
        <f>-Plankosten!E70</f>
        <v>-2000</v>
      </c>
      <c r="F26" s="11">
        <f>-Plankosten!F70</f>
        <v>-500</v>
      </c>
      <c r="G26" s="11">
        <f>-Plankosten!G70</f>
        <v>-500</v>
      </c>
      <c r="H26" s="11">
        <f>-Plankosten!H70</f>
        <v>-500</v>
      </c>
      <c r="I26" s="11">
        <f>-Plankosten!I70</f>
        <v>-500</v>
      </c>
      <c r="J26" s="11">
        <f>-Plankosten!J70</f>
        <v>-500</v>
      </c>
      <c r="K26" s="11">
        <f>-Plankosten!K70</f>
        <v>-500</v>
      </c>
      <c r="L26" s="11">
        <f>-Plankosten!L70</f>
        <v>-500</v>
      </c>
      <c r="M26" s="11">
        <f>-Plankosten!M70</f>
        <v>-500</v>
      </c>
      <c r="N26" s="11">
        <f>-Plankosten!N70</f>
        <v>-500</v>
      </c>
      <c r="O26" s="11">
        <f>-Plankosten!O70</f>
        <v>-500</v>
      </c>
      <c r="P26" s="185">
        <f>-Plankosten!P70</f>
        <v>-500</v>
      </c>
      <c r="Q26" s="12">
        <f t="shared" si="2"/>
        <v>-7500</v>
      </c>
      <c r="R26" s="184">
        <f>-Plankosten!R70</f>
        <v>-6000</v>
      </c>
      <c r="S26" s="11">
        <f>-Plankosten!S70</f>
        <v>-1500</v>
      </c>
      <c r="T26" s="11">
        <f>-Plankosten!T70</f>
        <v>-1500</v>
      </c>
      <c r="U26" s="185">
        <f>-Plankosten!U70</f>
        <v>-1500</v>
      </c>
      <c r="V26" s="12">
        <f t="shared" si="6"/>
        <v>-10500</v>
      </c>
      <c r="W26" s="186">
        <f>-Plankosten!W70</f>
        <v>-10500</v>
      </c>
      <c r="X26" s="187">
        <f>-Plankosten!X70</f>
        <v>-10500</v>
      </c>
    </row>
    <row r="27" spans="1:24" ht="18.75" customHeight="1" outlineLevel="1" x14ac:dyDescent="0.25">
      <c r="A27" s="183" t="s">
        <v>111</v>
      </c>
      <c r="B27" s="834" t="str">
        <f>Plankosten!A72</f>
        <v>Büromaterial</v>
      </c>
      <c r="C27" s="834"/>
      <c r="D27" s="835"/>
      <c r="E27" s="184">
        <f>-Plankosten!E78</f>
        <v>-2200</v>
      </c>
      <c r="F27" s="11">
        <f>-Plankosten!F78</f>
        <v>-2200</v>
      </c>
      <c r="G27" s="11">
        <f>-Plankosten!G78</f>
        <v>-2200</v>
      </c>
      <c r="H27" s="11">
        <f>-Plankosten!H78</f>
        <v>-2200</v>
      </c>
      <c r="I27" s="11">
        <f>-Plankosten!I78</f>
        <v>-2200</v>
      </c>
      <c r="J27" s="11">
        <f>-Plankosten!J78</f>
        <v>-2200</v>
      </c>
      <c r="K27" s="11">
        <f>-Plankosten!K78</f>
        <v>-2200</v>
      </c>
      <c r="L27" s="11">
        <f>-Plankosten!L78</f>
        <v>-2200</v>
      </c>
      <c r="M27" s="11">
        <f>-Plankosten!M78</f>
        <v>-2200</v>
      </c>
      <c r="N27" s="11">
        <f>-Plankosten!N78</f>
        <v>-2200</v>
      </c>
      <c r="O27" s="11">
        <f>-Plankosten!O78</f>
        <v>-2200</v>
      </c>
      <c r="P27" s="185">
        <f>-Plankosten!P78</f>
        <v>-2200</v>
      </c>
      <c r="Q27" s="12">
        <f t="shared" si="2"/>
        <v>-26400</v>
      </c>
      <c r="R27" s="184">
        <f>-Plankosten!R78</f>
        <v>-6600</v>
      </c>
      <c r="S27" s="11">
        <f>-Plankosten!S78</f>
        <v>-6600</v>
      </c>
      <c r="T27" s="11">
        <f>-Plankosten!T78</f>
        <v>-6600</v>
      </c>
      <c r="U27" s="185">
        <f>-Plankosten!U78</f>
        <v>-6600</v>
      </c>
      <c r="V27" s="12">
        <f t="shared" si="6"/>
        <v>-26400</v>
      </c>
      <c r="W27" s="186">
        <f>-Plankosten!W78</f>
        <v>-26400</v>
      </c>
      <c r="X27" s="187">
        <f>-Plankosten!X78</f>
        <v>-26400</v>
      </c>
    </row>
    <row r="28" spans="1:24" ht="18.75" customHeight="1" outlineLevel="1" x14ac:dyDescent="0.25">
      <c r="A28" s="183" t="s">
        <v>111</v>
      </c>
      <c r="B28" s="834" t="str">
        <f>Plankosten!A80</f>
        <v>Telefon / Fax / Internet</v>
      </c>
      <c r="C28" s="834"/>
      <c r="D28" s="835"/>
      <c r="E28" s="184">
        <f>-Plankosten!E86</f>
        <v>-388</v>
      </c>
      <c r="F28" s="11">
        <f>-Plankosten!F86</f>
        <v>-388</v>
      </c>
      <c r="G28" s="11">
        <f>-Plankosten!G86</f>
        <v>-388</v>
      </c>
      <c r="H28" s="11">
        <f>-Plankosten!H86</f>
        <v>-388</v>
      </c>
      <c r="I28" s="11">
        <f>-Plankosten!I86</f>
        <v>-388</v>
      </c>
      <c r="J28" s="11">
        <f>-Plankosten!J86</f>
        <v>-388</v>
      </c>
      <c r="K28" s="11">
        <f>-Plankosten!K86</f>
        <v>-388</v>
      </c>
      <c r="L28" s="11">
        <f>-Plankosten!L86</f>
        <v>-388</v>
      </c>
      <c r="M28" s="11">
        <f>-Plankosten!M86</f>
        <v>-388</v>
      </c>
      <c r="N28" s="11">
        <f>-Plankosten!N86</f>
        <v>-388</v>
      </c>
      <c r="O28" s="11">
        <f>-Plankosten!O86</f>
        <v>-388</v>
      </c>
      <c r="P28" s="185">
        <f>-Plankosten!P86</f>
        <v>-388</v>
      </c>
      <c r="Q28" s="12">
        <f t="shared" si="2"/>
        <v>-4656</v>
      </c>
      <c r="R28" s="184">
        <f>-Plankosten!R86</f>
        <v>-1164</v>
      </c>
      <c r="S28" s="11">
        <f>-Plankosten!S86</f>
        <v>-1164</v>
      </c>
      <c r="T28" s="11">
        <f>-Plankosten!T86</f>
        <v>-1164</v>
      </c>
      <c r="U28" s="185">
        <f>-Plankosten!U86</f>
        <v>-1164</v>
      </c>
      <c r="V28" s="12">
        <f t="shared" si="6"/>
        <v>-4656</v>
      </c>
      <c r="W28" s="186">
        <f>-Plankosten!W86</f>
        <v>-4656</v>
      </c>
      <c r="X28" s="187">
        <f>-Plankosten!X86</f>
        <v>-4656</v>
      </c>
    </row>
    <row r="29" spans="1:24" ht="18.75" customHeight="1" outlineLevel="1" x14ac:dyDescent="0.25">
      <c r="A29" s="183" t="s">
        <v>111</v>
      </c>
      <c r="B29" s="834" t="str">
        <f>Plankosten!A88</f>
        <v>Steuer- und Rechtsberatung</v>
      </c>
      <c r="C29" s="834"/>
      <c r="D29" s="835"/>
      <c r="E29" s="184">
        <f>-Plankosten!E95</f>
        <v>-300</v>
      </c>
      <c r="F29" s="11">
        <f>-Plankosten!F95</f>
        <v>-300</v>
      </c>
      <c r="G29" s="11">
        <f>-Plankosten!G95</f>
        <v>-2300</v>
      </c>
      <c r="H29" s="11">
        <f>-Plankosten!H95</f>
        <v>-300</v>
      </c>
      <c r="I29" s="11">
        <f>-Plankosten!I95</f>
        <v>-300</v>
      </c>
      <c r="J29" s="11">
        <f>-Plankosten!J95</f>
        <v>-300</v>
      </c>
      <c r="K29" s="11">
        <f>-Plankosten!K95</f>
        <v>-300</v>
      </c>
      <c r="L29" s="11">
        <f>-Plankosten!L95</f>
        <v>-300</v>
      </c>
      <c r="M29" s="11">
        <f>-Plankosten!M95</f>
        <v>-300</v>
      </c>
      <c r="N29" s="11">
        <f>-Plankosten!N95</f>
        <v>-3300</v>
      </c>
      <c r="O29" s="11">
        <f>-Plankosten!O95</f>
        <v>-300</v>
      </c>
      <c r="P29" s="185">
        <f>-Plankosten!P95</f>
        <v>-300</v>
      </c>
      <c r="Q29" s="12">
        <f t="shared" si="2"/>
        <v>-8600</v>
      </c>
      <c r="R29" s="184">
        <f>-Plankosten!R95</f>
        <v>-900</v>
      </c>
      <c r="S29" s="11">
        <f>-Plankosten!S95</f>
        <v>-900</v>
      </c>
      <c r="T29" s="11">
        <f>-Plankosten!T95</f>
        <v>-900</v>
      </c>
      <c r="U29" s="185">
        <f>-Plankosten!U95</f>
        <v>-3900</v>
      </c>
      <c r="V29" s="12">
        <f t="shared" si="6"/>
        <v>-6600</v>
      </c>
      <c r="W29" s="186">
        <f>-Plankosten!W95</f>
        <v>-6600</v>
      </c>
      <c r="X29" s="187">
        <f>-Plankosten!X95</f>
        <v>-6600</v>
      </c>
    </row>
    <row r="30" spans="1:24" ht="18.75" customHeight="1" outlineLevel="1" x14ac:dyDescent="0.25">
      <c r="A30" s="183" t="s">
        <v>111</v>
      </c>
      <c r="B30" s="834" t="str">
        <f>Plankosten!A97</f>
        <v>Werbungskosten</v>
      </c>
      <c r="C30" s="834"/>
      <c r="D30" s="835"/>
      <c r="E30" s="184">
        <f>-Plankosten!E103</f>
        <v>0</v>
      </c>
      <c r="F30" s="11">
        <f>-Plankosten!F103</f>
        <v>0</v>
      </c>
      <c r="G30" s="11">
        <f>-Plankosten!G103</f>
        <v>0</v>
      </c>
      <c r="H30" s="11">
        <f>-Plankosten!H103</f>
        <v>0</v>
      </c>
      <c r="I30" s="11">
        <f>-Plankosten!I103</f>
        <v>0</v>
      </c>
      <c r="J30" s="11">
        <f>-Plankosten!J103</f>
        <v>0</v>
      </c>
      <c r="K30" s="11">
        <f>-Plankosten!K103</f>
        <v>0</v>
      </c>
      <c r="L30" s="11">
        <f>-Plankosten!L103</f>
        <v>0</v>
      </c>
      <c r="M30" s="11">
        <f>-Plankosten!M103</f>
        <v>0</v>
      </c>
      <c r="N30" s="11">
        <f>-Plankosten!N103</f>
        <v>0</v>
      </c>
      <c r="O30" s="11">
        <f>-Plankosten!O103</f>
        <v>0</v>
      </c>
      <c r="P30" s="185">
        <f>-Plankosten!P103</f>
        <v>-25000</v>
      </c>
      <c r="Q30" s="12">
        <f t="shared" si="2"/>
        <v>-25000</v>
      </c>
      <c r="R30" s="184">
        <f>-Plankosten!R103</f>
        <v>0</v>
      </c>
      <c r="S30" s="11">
        <f>-Plankosten!S103</f>
        <v>0</v>
      </c>
      <c r="T30" s="11">
        <f>-Plankosten!T103</f>
        <v>0</v>
      </c>
      <c r="U30" s="185">
        <f>-Plankosten!U103</f>
        <v>-25000</v>
      </c>
      <c r="V30" s="12">
        <f t="shared" si="6"/>
        <v>-25000</v>
      </c>
      <c r="W30" s="186">
        <f>-Plankosten!W103</f>
        <v>-25000</v>
      </c>
      <c r="X30" s="187">
        <f>-Plankosten!X103</f>
        <v>-25000</v>
      </c>
    </row>
    <row r="31" spans="1:24" ht="18.75" customHeight="1" outlineLevel="1" x14ac:dyDescent="0.25">
      <c r="A31" s="183" t="s">
        <v>111</v>
      </c>
      <c r="B31" s="834" t="str">
        <f>Plankosten!A105</f>
        <v>Gebühren, Kammerbeiträge</v>
      </c>
      <c r="C31" s="834"/>
      <c r="D31" s="835"/>
      <c r="E31" s="184">
        <f>-Plankosten!E112</f>
        <v>-97.327174576666678</v>
      </c>
      <c r="F31" s="11">
        <f>-Plankosten!F112</f>
        <v>-297.32717457666666</v>
      </c>
      <c r="G31" s="11">
        <f>-Plankosten!G112</f>
        <v>-97.327174576666678</v>
      </c>
      <c r="H31" s="11">
        <f>-Plankosten!H112</f>
        <v>-97.327174576666678</v>
      </c>
      <c r="I31" s="11">
        <f>-Plankosten!I112</f>
        <v>-297.32717457666666</v>
      </c>
      <c r="J31" s="11">
        <f>-Plankosten!J112</f>
        <v>-97.327174576666678</v>
      </c>
      <c r="K31" s="11">
        <f>-Plankosten!K112</f>
        <v>-97.327174576666678</v>
      </c>
      <c r="L31" s="11">
        <f>-Plankosten!L112</f>
        <v>-297.32717457666666</v>
      </c>
      <c r="M31" s="11">
        <f>-Plankosten!M112</f>
        <v>-97.327174576666678</v>
      </c>
      <c r="N31" s="11">
        <f>-Plankosten!N112</f>
        <v>-97.327174576666678</v>
      </c>
      <c r="O31" s="11">
        <f>-Plankosten!O112</f>
        <v>-297.32717457666666</v>
      </c>
      <c r="P31" s="185">
        <f>-Plankosten!P112</f>
        <v>-97.327174576666678</v>
      </c>
      <c r="Q31" s="12">
        <f t="shared" si="2"/>
        <v>-1967.9260949200004</v>
      </c>
      <c r="R31" s="184">
        <f>-Plankosten!R112</f>
        <v>-491.98152373000005</v>
      </c>
      <c r="S31" s="11">
        <f>-Plankosten!S112</f>
        <v>-491.98152373000005</v>
      </c>
      <c r="T31" s="11">
        <f>-Plankosten!T112</f>
        <v>-491.98152373000005</v>
      </c>
      <c r="U31" s="185">
        <f>-Plankosten!U112</f>
        <v>-491.98152373000005</v>
      </c>
      <c r="V31" s="12">
        <f t="shared" si="6"/>
        <v>-1967.9260949200002</v>
      </c>
      <c r="W31" s="186">
        <f>-Plankosten!W112</f>
        <v>-1967.9260949200002</v>
      </c>
      <c r="X31" s="187">
        <f>-Plankosten!X112</f>
        <v>-1967.9260949200002</v>
      </c>
    </row>
    <row r="32" spans="1:24" ht="18.75" customHeight="1" outlineLevel="1" x14ac:dyDescent="0.25">
      <c r="A32" s="183" t="s">
        <v>111</v>
      </c>
      <c r="B32" s="834" t="str">
        <f>Plankosten!A114</f>
        <v>Betriebsversicherung</v>
      </c>
      <c r="C32" s="834"/>
      <c r="D32" s="835"/>
      <c r="E32" s="184">
        <f>-Plankosten!E119</f>
        <v>0</v>
      </c>
      <c r="F32" s="11">
        <f>-Plankosten!F119</f>
        <v>0</v>
      </c>
      <c r="G32" s="11">
        <f>-Plankosten!G119</f>
        <v>0</v>
      </c>
      <c r="H32" s="11">
        <f>-Plankosten!H119</f>
        <v>0</v>
      </c>
      <c r="I32" s="11">
        <f>-Plankosten!I119</f>
        <v>0</v>
      </c>
      <c r="J32" s="11">
        <f>-Plankosten!J119</f>
        <v>0</v>
      </c>
      <c r="K32" s="11">
        <f>-Plankosten!K119</f>
        <v>0</v>
      </c>
      <c r="L32" s="11">
        <f>-Plankosten!L119</f>
        <v>0</v>
      </c>
      <c r="M32" s="11">
        <f>-Plankosten!M119</f>
        <v>0</v>
      </c>
      <c r="N32" s="11">
        <f>-Plankosten!N119</f>
        <v>0</v>
      </c>
      <c r="O32" s="11">
        <f>-Plankosten!O119</f>
        <v>0</v>
      </c>
      <c r="P32" s="185">
        <f>-Plankosten!P119</f>
        <v>0</v>
      </c>
      <c r="Q32" s="12">
        <f t="shared" si="2"/>
        <v>0</v>
      </c>
      <c r="R32" s="184">
        <f>-Plankosten!R119</f>
        <v>0</v>
      </c>
      <c r="S32" s="11">
        <f>-Plankosten!S119</f>
        <v>0</v>
      </c>
      <c r="T32" s="11">
        <f>-Plankosten!T119</f>
        <v>0</v>
      </c>
      <c r="U32" s="185">
        <f>-Plankosten!U119</f>
        <v>0</v>
      </c>
      <c r="V32" s="12">
        <f t="shared" si="6"/>
        <v>0</v>
      </c>
      <c r="W32" s="186">
        <f>-Plankosten!W119</f>
        <v>0</v>
      </c>
      <c r="X32" s="187">
        <f>-Plankosten!X119</f>
        <v>0</v>
      </c>
    </row>
    <row r="33" spans="1:24" ht="18.75" customHeight="1" outlineLevel="1" x14ac:dyDescent="0.25">
      <c r="A33" s="183" t="s">
        <v>111</v>
      </c>
      <c r="B33" s="834" t="str">
        <f>Plankosten!A121</f>
        <v>Leasinggebühren</v>
      </c>
      <c r="C33" s="834"/>
      <c r="D33" s="835"/>
      <c r="E33" s="184">
        <f>-Plankosten!E126</f>
        <v>-1500</v>
      </c>
      <c r="F33" s="11">
        <f>-Plankosten!F126</f>
        <v>-1500</v>
      </c>
      <c r="G33" s="11">
        <f>-Plankosten!G126</f>
        <v>-1500</v>
      </c>
      <c r="H33" s="11">
        <f>-Plankosten!H126</f>
        <v>-1500</v>
      </c>
      <c r="I33" s="11">
        <f>-Plankosten!I126</f>
        <v>-1500</v>
      </c>
      <c r="J33" s="11">
        <f>-Plankosten!J126</f>
        <v>-1500</v>
      </c>
      <c r="K33" s="11">
        <f>-Plankosten!K126</f>
        <v>-1500</v>
      </c>
      <c r="L33" s="11">
        <f>-Plankosten!L126</f>
        <v>-1500</v>
      </c>
      <c r="M33" s="11">
        <f>-Plankosten!M126</f>
        <v>-1500</v>
      </c>
      <c r="N33" s="11">
        <f>-Plankosten!N126</f>
        <v>-1500</v>
      </c>
      <c r="O33" s="11">
        <f>-Plankosten!O126</f>
        <v>-1500</v>
      </c>
      <c r="P33" s="185">
        <f>-Plankosten!P126</f>
        <v>-1500</v>
      </c>
      <c r="Q33" s="12">
        <f t="shared" si="2"/>
        <v>-18000</v>
      </c>
      <c r="R33" s="184">
        <f>-Plankosten!R126</f>
        <v>-4500</v>
      </c>
      <c r="S33" s="11">
        <f>-Plankosten!S126</f>
        <v>-4500</v>
      </c>
      <c r="T33" s="11">
        <f>-Plankosten!T126</f>
        <v>-4500</v>
      </c>
      <c r="U33" s="185">
        <f>-Plankosten!U126</f>
        <v>-4500</v>
      </c>
      <c r="V33" s="12">
        <f t="shared" si="6"/>
        <v>-18000</v>
      </c>
      <c r="W33" s="186">
        <f>-Plankosten!W126</f>
        <v>0</v>
      </c>
      <c r="X33" s="187">
        <f>-Plankosten!X126</f>
        <v>0</v>
      </c>
    </row>
    <row r="34" spans="1:24" ht="18.75" customHeight="1" outlineLevel="1" x14ac:dyDescent="0.25">
      <c r="A34" s="183" t="s">
        <v>111</v>
      </c>
      <c r="B34" s="834" t="str">
        <f>Plankosten!A128</f>
        <v>Spesen-, Bank-, Kreditgebühren</v>
      </c>
      <c r="C34" s="834"/>
      <c r="D34" s="835"/>
      <c r="E34" s="184">
        <f>-Plankosten!E133</f>
        <v>-50</v>
      </c>
      <c r="F34" s="11">
        <f>-Plankosten!F133</f>
        <v>0</v>
      </c>
      <c r="G34" s="11">
        <f>-Plankosten!G133</f>
        <v>0</v>
      </c>
      <c r="H34" s="11">
        <f>-Plankosten!H133</f>
        <v>-50</v>
      </c>
      <c r="I34" s="11">
        <f>-Plankosten!I133</f>
        <v>0</v>
      </c>
      <c r="J34" s="11">
        <f>-Plankosten!J133</f>
        <v>0</v>
      </c>
      <c r="K34" s="11">
        <f>-Plankosten!K133</f>
        <v>-50</v>
      </c>
      <c r="L34" s="11">
        <f>-Plankosten!L133</f>
        <v>0</v>
      </c>
      <c r="M34" s="11">
        <f>-Plankosten!M133</f>
        <v>0</v>
      </c>
      <c r="N34" s="11">
        <f>-Plankosten!N133</f>
        <v>-50</v>
      </c>
      <c r="O34" s="11">
        <f>-Plankosten!O133</f>
        <v>0</v>
      </c>
      <c r="P34" s="185">
        <f>-Plankosten!P133</f>
        <v>0</v>
      </c>
      <c r="Q34" s="12">
        <f t="shared" si="2"/>
        <v>-200</v>
      </c>
      <c r="R34" s="184">
        <f>-Plankosten!R133</f>
        <v>-50</v>
      </c>
      <c r="S34" s="11">
        <f>-Plankosten!S133</f>
        <v>-50</v>
      </c>
      <c r="T34" s="11">
        <f>-Plankosten!T133</f>
        <v>-50</v>
      </c>
      <c r="U34" s="185">
        <f>-Plankosten!U133</f>
        <v>-50</v>
      </c>
      <c r="V34" s="12">
        <f t="shared" si="6"/>
        <v>-200</v>
      </c>
      <c r="W34" s="186">
        <f>-Plankosten!W133</f>
        <v>-200</v>
      </c>
      <c r="X34" s="187">
        <f>-Plankosten!X133</f>
        <v>-200</v>
      </c>
    </row>
    <row r="35" spans="1:24" ht="18.75" customHeight="1" outlineLevel="1" x14ac:dyDescent="0.25">
      <c r="A35" s="183" t="s">
        <v>111</v>
      </c>
      <c r="B35" s="834" t="str">
        <f>Plankosten!A135</f>
        <v>Sonstige Kosten</v>
      </c>
      <c r="C35" s="834"/>
      <c r="D35" s="835"/>
      <c r="E35" s="184">
        <f>-Plankosten!E141</f>
        <v>0</v>
      </c>
      <c r="F35" s="11">
        <f>-Plankosten!F141</f>
        <v>0</v>
      </c>
      <c r="G35" s="11">
        <f>-Plankosten!G141</f>
        <v>0</v>
      </c>
      <c r="H35" s="11">
        <f>-Plankosten!H141</f>
        <v>0</v>
      </c>
      <c r="I35" s="11">
        <f>-Plankosten!I141</f>
        <v>-15000</v>
      </c>
      <c r="J35" s="11">
        <f>-Plankosten!J141</f>
        <v>0</v>
      </c>
      <c r="K35" s="11">
        <f>-Plankosten!K141</f>
        <v>0</v>
      </c>
      <c r="L35" s="11">
        <f>-Plankosten!L141</f>
        <v>0</v>
      </c>
      <c r="M35" s="11">
        <f>-Plankosten!M141</f>
        <v>0</v>
      </c>
      <c r="N35" s="11">
        <f>-Plankosten!N141</f>
        <v>0</v>
      </c>
      <c r="O35" s="11">
        <f>-Plankosten!O141</f>
        <v>0</v>
      </c>
      <c r="P35" s="185">
        <f>-Plankosten!P141</f>
        <v>0</v>
      </c>
      <c r="Q35" s="12">
        <f t="shared" si="2"/>
        <v>-15000</v>
      </c>
      <c r="R35" s="184">
        <f>-Plankosten!R141</f>
        <v>0</v>
      </c>
      <c r="S35" s="11">
        <f>-Plankosten!S141</f>
        <v>-15000</v>
      </c>
      <c r="T35" s="11">
        <f>-Plankosten!T141</f>
        <v>0</v>
      </c>
      <c r="U35" s="185">
        <f>-Plankosten!U141</f>
        <v>0</v>
      </c>
      <c r="V35" s="12">
        <f t="shared" si="6"/>
        <v>-15000</v>
      </c>
      <c r="W35" s="186">
        <f>-Plankosten!W141</f>
        <v>-15000</v>
      </c>
      <c r="X35" s="187">
        <f>-Plankosten!X141</f>
        <v>-15000</v>
      </c>
    </row>
    <row r="36" spans="1:24" ht="18.75" customHeight="1" outlineLevel="1" thickBot="1" x14ac:dyDescent="0.3">
      <c r="A36" s="158" t="s">
        <v>111</v>
      </c>
      <c r="B36" s="838" t="s">
        <v>135</v>
      </c>
      <c r="C36" s="838"/>
      <c r="D36" s="839"/>
      <c r="E36" s="196">
        <f>-(Abschreibung!$F$15/12)</f>
        <v>-1258.3333333333333</v>
      </c>
      <c r="F36" s="129">
        <f>-(Abschreibung!$F$15/12)</f>
        <v>-1258.3333333333333</v>
      </c>
      <c r="G36" s="129">
        <f>-(Abschreibung!$F$15/12)</f>
        <v>-1258.3333333333333</v>
      </c>
      <c r="H36" s="129">
        <f>-(Abschreibung!$F$15/12)</f>
        <v>-1258.3333333333333</v>
      </c>
      <c r="I36" s="129">
        <f>-(Abschreibung!$F$15/12)</f>
        <v>-1258.3333333333333</v>
      </c>
      <c r="J36" s="129">
        <f>-(Abschreibung!$F$15/12)</f>
        <v>-1258.3333333333333</v>
      </c>
      <c r="K36" s="129">
        <f>-(Abschreibung!$F$15/12)</f>
        <v>-1258.3333333333333</v>
      </c>
      <c r="L36" s="129">
        <f>-(Abschreibung!$F$15/12)</f>
        <v>-1258.3333333333333</v>
      </c>
      <c r="M36" s="129">
        <f>-(Abschreibung!$F$15/12)</f>
        <v>-1258.3333333333333</v>
      </c>
      <c r="N36" s="129">
        <f>-(Abschreibung!$F$15/12)</f>
        <v>-1258.3333333333333</v>
      </c>
      <c r="O36" s="129">
        <f>-(Abschreibung!$F$15/12)</f>
        <v>-1258.3333333333333</v>
      </c>
      <c r="P36" s="159">
        <f>-(Abschreibung!$F$15/12)</f>
        <v>-1258.3333333333333</v>
      </c>
      <c r="Q36" s="134">
        <f t="shared" si="2"/>
        <v>-15100.000000000002</v>
      </c>
      <c r="R36" s="159">
        <f>-(Abschreibung!$H$15/4)</f>
        <v>-3900</v>
      </c>
      <c r="S36" s="129">
        <f>-(Abschreibung!$H$15/4)</f>
        <v>-3900</v>
      </c>
      <c r="T36" s="129">
        <f>-(Abschreibung!$H$15/4)</f>
        <v>-3900</v>
      </c>
      <c r="U36" s="159">
        <f>-(Abschreibung!$H$15/4)</f>
        <v>-3900</v>
      </c>
      <c r="V36" s="134">
        <f t="shared" si="6"/>
        <v>-15600</v>
      </c>
      <c r="W36" s="197">
        <f>-(Abschreibung!$I$15)</f>
        <v>-49300</v>
      </c>
      <c r="X36" s="198">
        <f>-(Abschreibung!$K$15)</f>
        <v>-33700</v>
      </c>
    </row>
    <row r="37" spans="1:24" s="194" customFormat="1" ht="7.5" customHeight="1" outlineLevel="1" thickTop="1" x14ac:dyDescent="0.25">
      <c r="A37" s="161"/>
      <c r="B37" s="162"/>
      <c r="C37" s="162"/>
      <c r="D37" s="163"/>
      <c r="E37" s="188"/>
      <c r="F37" s="189"/>
      <c r="G37" s="189"/>
      <c r="H37" s="189"/>
      <c r="I37" s="189"/>
      <c r="J37" s="189"/>
      <c r="K37" s="189"/>
      <c r="L37" s="189"/>
      <c r="M37" s="189"/>
      <c r="N37" s="189"/>
      <c r="O37" s="189"/>
      <c r="P37" s="190"/>
      <c r="Q37" s="191"/>
      <c r="R37" s="188"/>
      <c r="S37" s="189"/>
      <c r="T37" s="189"/>
      <c r="U37" s="190"/>
      <c r="V37" s="191"/>
      <c r="W37" s="192"/>
      <c r="X37" s="193"/>
    </row>
    <row r="38" spans="1:24" ht="18.75" customHeight="1" thickBot="1" x14ac:dyDescent="0.3">
      <c r="A38" s="831" t="s">
        <v>117</v>
      </c>
      <c r="B38" s="832"/>
      <c r="C38" s="832"/>
      <c r="D38" s="833"/>
      <c r="E38" s="176">
        <f>SUM(E22:E36)</f>
        <v>-19904.660507909997</v>
      </c>
      <c r="F38" s="173">
        <f t="shared" ref="F38:P38" si="19">SUM(F22:F36)</f>
        <v>-20862.660507909997</v>
      </c>
      <c r="G38" s="173">
        <f t="shared" si="19"/>
        <v>-26310.660507909997</v>
      </c>
      <c r="H38" s="173">
        <f t="shared" si="19"/>
        <v>-28008.660507909997</v>
      </c>
      <c r="I38" s="173">
        <f t="shared" si="19"/>
        <v>-61695.327174576676</v>
      </c>
      <c r="J38" s="173">
        <f t="shared" si="19"/>
        <v>-27958.660507909997</v>
      </c>
      <c r="K38" s="173">
        <f t="shared" si="19"/>
        <v>68991.339492090003</v>
      </c>
      <c r="L38" s="173">
        <f t="shared" si="19"/>
        <v>-28158.660507909997</v>
      </c>
      <c r="M38" s="173">
        <f t="shared" si="19"/>
        <v>69041.339492090003</v>
      </c>
      <c r="N38" s="173">
        <f t="shared" si="19"/>
        <v>-31008.660507909997</v>
      </c>
      <c r="O38" s="173">
        <f t="shared" si="19"/>
        <v>50304.672825423324</v>
      </c>
      <c r="P38" s="174">
        <f t="shared" si="19"/>
        <v>-48750.660507910005</v>
      </c>
      <c r="Q38" s="175">
        <f t="shared" ref="Q38" si="20">SUM(Q22:Q36)</f>
        <v>-104321.25942825337</v>
      </c>
      <c r="R38" s="176">
        <f t="shared" ref="R38" si="21">SUM(R22:R36)</f>
        <v>40549.418476269995</v>
      </c>
      <c r="S38" s="173">
        <f t="shared" ref="S38" si="22">SUM(S22:S36)</f>
        <v>5286.2184762699981</v>
      </c>
      <c r="T38" s="173">
        <f t="shared" ref="T38" si="23">SUM(T22:T36)</f>
        <v>47959.418476269995</v>
      </c>
      <c r="U38" s="174">
        <f t="shared" ref="U38" si="24">SUM(U22:U36)</f>
        <v>87286.218476270005</v>
      </c>
      <c r="V38" s="175">
        <f t="shared" ref="V38" si="25">SUM(V22:V36)</f>
        <v>181081.27390507996</v>
      </c>
      <c r="W38" s="177">
        <f t="shared" ref="W38" si="26">SUM(W22:W36)</f>
        <v>598806.03390507994</v>
      </c>
      <c r="X38" s="195">
        <f t="shared" ref="X38" si="27">SUM(X22:X36)</f>
        <v>1534906.415238413</v>
      </c>
    </row>
    <row r="39" spans="1:24" ht="18.75" customHeight="1" outlineLevel="1" thickTop="1" x14ac:dyDescent="0.25">
      <c r="A39" s="157" t="s">
        <v>111</v>
      </c>
      <c r="B39" s="836" t="s">
        <v>177</v>
      </c>
      <c r="C39" s="836"/>
      <c r="D39" s="837"/>
      <c r="E39" s="179">
        <f>-(Liquiditätsplan!E84+Liquiditätsplan!E86)/3</f>
        <v>-283.641953809325</v>
      </c>
      <c r="F39" s="7">
        <f>-(Liquiditätsplan!E84+Liquiditätsplan!E86)/3</f>
        <v>-283.641953809325</v>
      </c>
      <c r="G39" s="7">
        <f>-(Liquiditätsplan!E84+Liquiditätsplan!E86)/3</f>
        <v>-283.641953809325</v>
      </c>
      <c r="H39" s="7">
        <f>-(Liquiditätsplan!H84+Liquiditätsplan!H86)/3</f>
        <v>-957.51791674166327</v>
      </c>
      <c r="I39" s="7">
        <f>-(Liquiditätsplan!H84+Liquiditätsplan!H86)/3</f>
        <v>-957.51791674166327</v>
      </c>
      <c r="J39" s="7">
        <f>-(Liquiditätsplan!H84+Liquiditätsplan!H86)/3</f>
        <v>-957.51791674166327</v>
      </c>
      <c r="K39" s="7">
        <f>-(Liquiditätsplan!K84+Liquiditätsplan!K86)/3</f>
        <v>-891.21939158377529</v>
      </c>
      <c r="L39" s="7">
        <f>-(Liquiditätsplan!K84+Liquiditätsplan!K86)/3</f>
        <v>-891.21939158377529</v>
      </c>
      <c r="M39" s="7">
        <f>-(Liquiditätsplan!K84+Liquiditätsplan!K86)/3</f>
        <v>-891.21939158377529</v>
      </c>
      <c r="N39" s="7">
        <f>-(Liquiditätsplan!N84+Liquiditätsplan!N86)/3</f>
        <v>-676.06037621219082</v>
      </c>
      <c r="O39" s="7">
        <f>-(Liquiditätsplan!N84+Liquiditätsplan!N86)/3</f>
        <v>-676.06037621219082</v>
      </c>
      <c r="P39" s="180">
        <f>-(Liquiditätsplan!N84+Liquiditätsplan!N86)/3</f>
        <v>-676.06037621219082</v>
      </c>
      <c r="Q39" s="8">
        <f t="shared" si="2"/>
        <v>-8425.3189150408634</v>
      </c>
      <c r="R39" s="179">
        <f>-(Liquiditätsplan!R84+Liquiditätsplan!R86)</f>
        <v>-2251.3729281126143</v>
      </c>
      <c r="S39" s="7">
        <f>-(Liquiditätsplan!S84+Liquiditätsplan!S86)</f>
        <v>-2118.2298063941835</v>
      </c>
      <c r="T39" s="7">
        <f>-(Liquiditätsplan!T84+Liquiditätsplan!T86)</f>
        <v>-1574.9620497589347</v>
      </c>
      <c r="U39" s="180">
        <f>-(Liquiditätsplan!U84+Liquiditätsplan!U86)</f>
        <v>-287.87121153603312</v>
      </c>
      <c r="V39" s="8">
        <f t="shared" si="6"/>
        <v>-6232.4359958017658</v>
      </c>
      <c r="W39" s="181">
        <f>-(Liquiditätsplan!W84+Liquiditätsplan!W86)</f>
        <v>0</v>
      </c>
      <c r="X39" s="182">
        <f>-(Liquiditätsplan!X84+Liquiditätsplan!X86)</f>
        <v>0</v>
      </c>
    </row>
    <row r="40" spans="1:24" ht="18.75" customHeight="1" outlineLevel="1" thickBot="1" x14ac:dyDescent="0.3">
      <c r="A40" s="158" t="s">
        <v>112</v>
      </c>
      <c r="B40" s="838" t="s">
        <v>176</v>
      </c>
      <c r="C40" s="838"/>
      <c r="D40" s="839"/>
      <c r="E40" s="196">
        <f>Liquiditätsplan!E85/3</f>
        <v>0</v>
      </c>
      <c r="F40" s="129">
        <f>Liquiditätsplan!E85/3</f>
        <v>0</v>
      </c>
      <c r="G40" s="129">
        <f>Liquiditätsplan!E85/3</f>
        <v>0</v>
      </c>
      <c r="H40" s="129">
        <f>Liquiditätsplan!H85/3</f>
        <v>0</v>
      </c>
      <c r="I40" s="129">
        <f>Liquiditätsplan!H85/3</f>
        <v>0</v>
      </c>
      <c r="J40" s="129">
        <f>Liquiditätsplan!H85/3</f>
        <v>0</v>
      </c>
      <c r="K40" s="129">
        <f>Liquiditätsplan!K85/3</f>
        <v>0</v>
      </c>
      <c r="L40" s="129">
        <f>Liquiditätsplan!K85/3</f>
        <v>0</v>
      </c>
      <c r="M40" s="129">
        <f>Liquiditätsplan!K85/3</f>
        <v>0</v>
      </c>
      <c r="N40" s="129">
        <f>Liquiditätsplan!N85/3</f>
        <v>0</v>
      </c>
      <c r="O40" s="129">
        <f>Liquiditätsplan!N85/3</f>
        <v>0</v>
      </c>
      <c r="P40" s="159">
        <f>Liquiditätsplan!N85/3</f>
        <v>0</v>
      </c>
      <c r="Q40" s="134">
        <f t="shared" si="2"/>
        <v>0</v>
      </c>
      <c r="R40" s="196">
        <f>Liquiditätsplan!R85</f>
        <v>0</v>
      </c>
      <c r="S40" s="129">
        <f>Liquiditätsplan!S85</f>
        <v>0</v>
      </c>
      <c r="T40" s="129">
        <f>Liquiditätsplan!T85</f>
        <v>0</v>
      </c>
      <c r="U40" s="159">
        <f>Liquiditätsplan!U85</f>
        <v>0</v>
      </c>
      <c r="V40" s="134">
        <f t="shared" si="6"/>
        <v>0</v>
      </c>
      <c r="W40" s="197">
        <f>Liquiditätsplan!W85</f>
        <v>37.53996411085334</v>
      </c>
      <c r="X40" s="198">
        <f>Liquiditätsplan!X85</f>
        <v>148.5893916676082</v>
      </c>
    </row>
    <row r="41" spans="1:24" s="194" customFormat="1" ht="7.5" customHeight="1" outlineLevel="1" thickTop="1" x14ac:dyDescent="0.25">
      <c r="A41" s="161"/>
      <c r="B41" s="162"/>
      <c r="C41" s="162"/>
      <c r="D41" s="163"/>
      <c r="E41" s="188"/>
      <c r="F41" s="189"/>
      <c r="G41" s="189"/>
      <c r="H41" s="189"/>
      <c r="I41" s="189"/>
      <c r="J41" s="189"/>
      <c r="K41" s="189"/>
      <c r="L41" s="189"/>
      <c r="M41" s="189"/>
      <c r="N41" s="189"/>
      <c r="O41" s="189"/>
      <c r="P41" s="190"/>
      <c r="Q41" s="191"/>
      <c r="R41" s="188"/>
      <c r="S41" s="189"/>
      <c r="T41" s="189"/>
      <c r="U41" s="190"/>
      <c r="V41" s="191"/>
      <c r="W41" s="192"/>
      <c r="X41" s="193"/>
    </row>
    <row r="42" spans="1:24" ht="18.75" customHeight="1" thickBot="1" x14ac:dyDescent="0.3">
      <c r="A42" s="831" t="s">
        <v>122</v>
      </c>
      <c r="B42" s="832"/>
      <c r="C42" s="832"/>
      <c r="D42" s="833"/>
      <c r="E42" s="176">
        <f>SUM(E39:E40)</f>
        <v>-283.641953809325</v>
      </c>
      <c r="F42" s="173">
        <f t="shared" ref="F42:X42" si="28">SUM(F39:F40)</f>
        <v>-283.641953809325</v>
      </c>
      <c r="G42" s="173">
        <f t="shared" si="28"/>
        <v>-283.641953809325</v>
      </c>
      <c r="H42" s="173">
        <f t="shared" si="28"/>
        <v>-957.51791674166327</v>
      </c>
      <c r="I42" s="173">
        <f t="shared" si="28"/>
        <v>-957.51791674166327</v>
      </c>
      <c r="J42" s="173">
        <f t="shared" si="28"/>
        <v>-957.51791674166327</v>
      </c>
      <c r="K42" s="173">
        <f t="shared" si="28"/>
        <v>-891.21939158377529</v>
      </c>
      <c r="L42" s="173">
        <f t="shared" si="28"/>
        <v>-891.21939158377529</v>
      </c>
      <c r="M42" s="173">
        <f t="shared" si="28"/>
        <v>-891.21939158377529</v>
      </c>
      <c r="N42" s="173">
        <f t="shared" si="28"/>
        <v>-676.06037621219082</v>
      </c>
      <c r="O42" s="173">
        <f t="shared" si="28"/>
        <v>-676.06037621219082</v>
      </c>
      <c r="P42" s="174">
        <f t="shared" si="28"/>
        <v>-676.06037621219082</v>
      </c>
      <c r="Q42" s="175">
        <f t="shared" si="28"/>
        <v>-8425.3189150408634</v>
      </c>
      <c r="R42" s="176">
        <f t="shared" si="28"/>
        <v>-2251.3729281126143</v>
      </c>
      <c r="S42" s="173">
        <f t="shared" si="28"/>
        <v>-2118.2298063941835</v>
      </c>
      <c r="T42" s="173">
        <f t="shared" si="28"/>
        <v>-1574.9620497589347</v>
      </c>
      <c r="U42" s="174">
        <f t="shared" si="28"/>
        <v>-287.87121153603312</v>
      </c>
      <c r="V42" s="175">
        <f t="shared" si="28"/>
        <v>-6232.4359958017658</v>
      </c>
      <c r="W42" s="177">
        <f t="shared" si="28"/>
        <v>37.53996411085334</v>
      </c>
      <c r="X42" s="195">
        <f t="shared" si="28"/>
        <v>148.5893916676082</v>
      </c>
    </row>
    <row r="43" spans="1:24" ht="7.5" customHeight="1" thickTop="1" x14ac:dyDescent="0.25">
      <c r="A43" s="199"/>
      <c r="B43" s="200"/>
      <c r="C43" s="200"/>
      <c r="D43" s="201"/>
      <c r="E43" s="202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203"/>
      <c r="Q43" s="204"/>
      <c r="R43" s="202"/>
      <c r="S43" s="110"/>
      <c r="T43" s="110"/>
      <c r="U43" s="203"/>
      <c r="V43" s="204"/>
      <c r="W43" s="205"/>
      <c r="X43" s="206"/>
    </row>
    <row r="44" spans="1:24" ht="18.75" customHeight="1" thickBot="1" x14ac:dyDescent="0.3">
      <c r="A44" s="831" t="s">
        <v>123</v>
      </c>
      <c r="B44" s="832"/>
      <c r="C44" s="832"/>
      <c r="D44" s="833"/>
      <c r="E44" s="176">
        <f>E42+E38</f>
        <v>-20188.302461719322</v>
      </c>
      <c r="F44" s="173">
        <f t="shared" ref="F44:X44" si="29">F42+F38</f>
        <v>-21146.302461719322</v>
      </c>
      <c r="G44" s="173">
        <f t="shared" si="29"/>
        <v>-26594.302461719322</v>
      </c>
      <c r="H44" s="173">
        <f t="shared" si="29"/>
        <v>-28966.178424651662</v>
      </c>
      <c r="I44" s="173">
        <f t="shared" si="29"/>
        <v>-62652.845091318341</v>
      </c>
      <c r="J44" s="173">
        <f t="shared" si="29"/>
        <v>-28916.178424651662</v>
      </c>
      <c r="K44" s="173">
        <f t="shared" si="29"/>
        <v>68100.120100506232</v>
      </c>
      <c r="L44" s="173">
        <f t="shared" si="29"/>
        <v>-29049.879899493772</v>
      </c>
      <c r="M44" s="173">
        <f t="shared" si="29"/>
        <v>68150.120100506232</v>
      </c>
      <c r="N44" s="173">
        <f t="shared" si="29"/>
        <v>-31684.720884122187</v>
      </c>
      <c r="O44" s="173">
        <f t="shared" si="29"/>
        <v>49628.612449211134</v>
      </c>
      <c r="P44" s="174">
        <f t="shared" si="29"/>
        <v>-49426.720884122195</v>
      </c>
      <c r="Q44" s="175">
        <f t="shared" si="29"/>
        <v>-112746.57834329423</v>
      </c>
      <c r="R44" s="176">
        <f t="shared" si="29"/>
        <v>38298.045548157381</v>
      </c>
      <c r="S44" s="173">
        <f t="shared" si="29"/>
        <v>3167.9886698758146</v>
      </c>
      <c r="T44" s="173">
        <f t="shared" si="29"/>
        <v>46384.45642651106</v>
      </c>
      <c r="U44" s="174">
        <f t="shared" si="29"/>
        <v>86998.347264733966</v>
      </c>
      <c r="V44" s="175">
        <f t="shared" si="29"/>
        <v>174848.8379092782</v>
      </c>
      <c r="W44" s="177">
        <f t="shared" si="29"/>
        <v>598843.57386919076</v>
      </c>
      <c r="X44" s="195">
        <f t="shared" si="29"/>
        <v>1535055.0046300807</v>
      </c>
    </row>
    <row r="45" spans="1:24" ht="18.75" customHeight="1" thickTop="1" thickBot="1" x14ac:dyDescent="0.3">
      <c r="A45" s="207" t="s">
        <v>111</v>
      </c>
      <c r="B45" s="840" t="s">
        <v>169</v>
      </c>
      <c r="C45" s="840"/>
      <c r="D45" s="841"/>
      <c r="E45" s="208">
        <f>$Q$45/12</f>
        <v>-41.666666666666664</v>
      </c>
      <c r="F45" s="208">
        <f t="shared" ref="F45:P45" si="30">$Q$45/12</f>
        <v>-41.666666666666664</v>
      </c>
      <c r="G45" s="208">
        <f t="shared" si="30"/>
        <v>-41.666666666666664</v>
      </c>
      <c r="H45" s="208">
        <f t="shared" si="30"/>
        <v>-41.666666666666664</v>
      </c>
      <c r="I45" s="208">
        <f t="shared" si="30"/>
        <v>-41.666666666666664</v>
      </c>
      <c r="J45" s="208">
        <f t="shared" si="30"/>
        <v>-41.666666666666664</v>
      </c>
      <c r="K45" s="208">
        <f t="shared" si="30"/>
        <v>-41.666666666666664</v>
      </c>
      <c r="L45" s="208">
        <f t="shared" si="30"/>
        <v>-41.666666666666664</v>
      </c>
      <c r="M45" s="208">
        <f t="shared" si="30"/>
        <v>-41.666666666666664</v>
      </c>
      <c r="N45" s="208">
        <f t="shared" si="30"/>
        <v>-41.666666666666664</v>
      </c>
      <c r="O45" s="208">
        <f t="shared" si="30"/>
        <v>-41.666666666666664</v>
      </c>
      <c r="P45" s="209">
        <f t="shared" si="30"/>
        <v>-41.666666666666664</v>
      </c>
      <c r="Q45" s="210">
        <f>-Q56</f>
        <v>-500</v>
      </c>
      <c r="R45" s="208">
        <f>$V$45/4</f>
        <v>-3881.3912228739978</v>
      </c>
      <c r="S45" s="208">
        <f t="shared" ref="S45:U45" si="31">$V$45/4</f>
        <v>-3881.3912228739978</v>
      </c>
      <c r="T45" s="208">
        <f t="shared" si="31"/>
        <v>-3881.3912228739978</v>
      </c>
      <c r="U45" s="209">
        <f t="shared" si="31"/>
        <v>-3881.3912228739978</v>
      </c>
      <c r="V45" s="210">
        <f>-V56</f>
        <v>-15525.564891495991</v>
      </c>
      <c r="W45" s="211">
        <f>-W56</f>
        <v>-149710.89346729769</v>
      </c>
      <c r="X45" s="212">
        <f>-X56</f>
        <v>-383763.75115752016</v>
      </c>
    </row>
    <row r="46" spans="1:24" s="171" customFormat="1" ht="7.5" customHeight="1" thickTop="1" thickBot="1" x14ac:dyDescent="0.3">
      <c r="A46" s="213"/>
      <c r="B46" s="214"/>
      <c r="C46" s="214"/>
      <c r="D46" s="215"/>
      <c r="E46" s="216"/>
      <c r="F46" s="217"/>
      <c r="G46" s="217"/>
      <c r="H46" s="217"/>
      <c r="I46" s="217"/>
      <c r="J46" s="217"/>
      <c r="K46" s="217"/>
      <c r="L46" s="217"/>
      <c r="M46" s="217"/>
      <c r="N46" s="217"/>
      <c r="O46" s="217"/>
      <c r="P46" s="218"/>
      <c r="Q46" s="219"/>
      <c r="R46" s="220"/>
      <c r="S46" s="221"/>
      <c r="T46" s="221"/>
      <c r="U46" s="222"/>
      <c r="V46" s="223"/>
      <c r="W46" s="224"/>
      <c r="X46" s="225"/>
    </row>
    <row r="47" spans="1:24" ht="22.5" customHeight="1" thickBot="1" x14ac:dyDescent="0.3">
      <c r="A47" s="842" t="s">
        <v>124</v>
      </c>
      <c r="B47" s="843"/>
      <c r="C47" s="843"/>
      <c r="D47" s="844"/>
      <c r="E47" s="226">
        <f>E44+E45</f>
        <v>-20229.96912838599</v>
      </c>
      <c r="F47" s="227">
        <f t="shared" ref="F47:X47" si="32">F44+F45</f>
        <v>-21187.96912838599</v>
      </c>
      <c r="G47" s="227">
        <f t="shared" si="32"/>
        <v>-26635.96912838599</v>
      </c>
      <c r="H47" s="227">
        <f t="shared" si="32"/>
        <v>-29007.84509131833</v>
      </c>
      <c r="I47" s="227">
        <f t="shared" si="32"/>
        <v>-62694.511757985005</v>
      </c>
      <c r="J47" s="227">
        <f t="shared" si="32"/>
        <v>-28957.84509131833</v>
      </c>
      <c r="K47" s="227">
        <f t="shared" si="32"/>
        <v>68058.453433839561</v>
      </c>
      <c r="L47" s="227">
        <f t="shared" si="32"/>
        <v>-29091.546566160439</v>
      </c>
      <c r="M47" s="227">
        <f t="shared" si="32"/>
        <v>68108.453433839561</v>
      </c>
      <c r="N47" s="227">
        <f t="shared" si="32"/>
        <v>-31726.387550788855</v>
      </c>
      <c r="O47" s="227">
        <f t="shared" si="32"/>
        <v>49586.94578254447</v>
      </c>
      <c r="P47" s="228">
        <f t="shared" si="32"/>
        <v>-49468.387550788859</v>
      </c>
      <c r="Q47" s="229">
        <f t="shared" si="32"/>
        <v>-113246.57834329423</v>
      </c>
      <c r="R47" s="226">
        <f t="shared" si="32"/>
        <v>34416.65432528338</v>
      </c>
      <c r="S47" s="227">
        <f t="shared" si="32"/>
        <v>-713.40255299818318</v>
      </c>
      <c r="T47" s="227">
        <f t="shared" si="32"/>
        <v>42503.065203637059</v>
      </c>
      <c r="U47" s="228">
        <f t="shared" si="32"/>
        <v>83116.956041859972</v>
      </c>
      <c r="V47" s="229">
        <f t="shared" si="32"/>
        <v>159323.27301778219</v>
      </c>
      <c r="W47" s="230">
        <f t="shared" si="32"/>
        <v>449132.6804018931</v>
      </c>
      <c r="X47" s="231">
        <f t="shared" si="32"/>
        <v>1151291.2534725606</v>
      </c>
    </row>
    <row r="48" spans="1:24" ht="18.75" customHeight="1" thickBot="1" x14ac:dyDescent="0.3"/>
    <row r="49" spans="1:24" ht="18.75" customHeight="1" x14ac:dyDescent="0.25">
      <c r="A49" s="829" t="s">
        <v>125</v>
      </c>
      <c r="B49" s="829"/>
      <c r="C49" s="829"/>
      <c r="D49" s="829"/>
      <c r="E49" s="829"/>
      <c r="F49" s="829"/>
      <c r="G49" s="829"/>
      <c r="H49" s="829"/>
      <c r="I49" s="829"/>
      <c r="J49" s="829"/>
      <c r="K49" s="829"/>
      <c r="L49" s="829"/>
      <c r="M49" s="829"/>
      <c r="N49" s="829"/>
      <c r="O49" s="829"/>
      <c r="P49" s="830"/>
      <c r="Q49" s="232">
        <f>Q44</f>
        <v>-112746.57834329423</v>
      </c>
      <c r="R49" s="233"/>
      <c r="S49" s="233"/>
      <c r="T49" s="233"/>
      <c r="U49" s="233"/>
      <c r="V49" s="234">
        <f>V44</f>
        <v>174848.8379092782</v>
      </c>
      <c r="W49" s="234">
        <f>W44</f>
        <v>598843.57386919076</v>
      </c>
      <c r="X49" s="235">
        <f>X44</f>
        <v>1535055.0046300807</v>
      </c>
    </row>
    <row r="50" spans="1:24" ht="18.75" customHeight="1" x14ac:dyDescent="0.25">
      <c r="A50" s="829" t="s">
        <v>131</v>
      </c>
      <c r="B50" s="829"/>
      <c r="C50" s="829"/>
      <c r="D50" s="829"/>
      <c r="E50" s="829"/>
      <c r="F50" s="829"/>
      <c r="G50" s="829"/>
      <c r="H50" s="829"/>
      <c r="I50" s="829"/>
      <c r="J50" s="829"/>
      <c r="K50" s="829"/>
      <c r="L50" s="829"/>
      <c r="M50" s="829"/>
      <c r="N50" s="829"/>
      <c r="O50" s="829"/>
      <c r="P50" s="830"/>
      <c r="Q50" s="236">
        <f>IF(Q49&lt;0,0,Q49*$D$5)</f>
        <v>0</v>
      </c>
      <c r="R50" s="237"/>
      <c r="S50" s="237"/>
      <c r="T50" s="237"/>
      <c r="U50" s="237"/>
      <c r="V50" s="238">
        <f>IF(V49&lt;0,0,V49*$D$5)</f>
        <v>43712.209477319549</v>
      </c>
      <c r="W50" s="238">
        <f>IF(W49&lt;0,0,W49*$D$5)</f>
        <v>149710.89346729769</v>
      </c>
      <c r="X50" s="13">
        <f>IF(X49&lt;0,0,X49*$D$5)</f>
        <v>383763.75115752016</v>
      </c>
    </row>
    <row r="51" spans="1:24" ht="18.75" customHeight="1" x14ac:dyDescent="0.25">
      <c r="A51" s="829" t="s">
        <v>126</v>
      </c>
      <c r="B51" s="829"/>
      <c r="C51" s="829"/>
      <c r="D51" s="829"/>
      <c r="E51" s="829"/>
      <c r="F51" s="829"/>
      <c r="G51" s="829"/>
      <c r="H51" s="829"/>
      <c r="I51" s="829"/>
      <c r="J51" s="829"/>
      <c r="K51" s="829"/>
      <c r="L51" s="829"/>
      <c r="M51" s="829"/>
      <c r="N51" s="829"/>
      <c r="O51" s="829"/>
      <c r="P51" s="830"/>
      <c r="Q51" s="236">
        <v>0</v>
      </c>
      <c r="R51" s="237"/>
      <c r="S51" s="237"/>
      <c r="T51" s="237"/>
      <c r="U51" s="237"/>
      <c r="V51" s="238">
        <f>Q52</f>
        <v>-112746.57834329423</v>
      </c>
      <c r="W51" s="238">
        <f>V52</f>
        <v>0</v>
      </c>
      <c r="X51" s="13">
        <f>W52</f>
        <v>0</v>
      </c>
    </row>
    <row r="52" spans="1:24" ht="18.75" customHeight="1" x14ac:dyDescent="0.25">
      <c r="A52" s="829" t="s">
        <v>127</v>
      </c>
      <c r="B52" s="829"/>
      <c r="C52" s="829"/>
      <c r="D52" s="829"/>
      <c r="E52" s="829"/>
      <c r="F52" s="829"/>
      <c r="G52" s="829"/>
      <c r="H52" s="829"/>
      <c r="I52" s="829"/>
      <c r="J52" s="829"/>
      <c r="K52" s="829"/>
      <c r="L52" s="829"/>
      <c r="M52" s="829"/>
      <c r="N52" s="829"/>
      <c r="O52" s="829"/>
      <c r="P52" s="830"/>
      <c r="Q52" s="236">
        <f>IF(Q51+(Q49-Q50)&gt;0,0,Q51+(Q49-Q50))</f>
        <v>-112746.57834329423</v>
      </c>
      <c r="R52" s="237"/>
      <c r="S52" s="237"/>
      <c r="T52" s="237"/>
      <c r="U52" s="237"/>
      <c r="V52" s="238">
        <f>IF(V51+(V49-V50)&gt;0,0,V51+(V49-V50))</f>
        <v>0</v>
      </c>
      <c r="W52" s="238">
        <f>IF(W51+(W49-W50)&gt;0,0,W51+(W49-W50))</f>
        <v>0</v>
      </c>
      <c r="X52" s="13">
        <f>IF(X51+(X49-X50)&gt;0,0,X51+(X49-X50))</f>
        <v>0</v>
      </c>
    </row>
    <row r="53" spans="1:24" ht="7.5" customHeight="1" x14ac:dyDescent="0.25">
      <c r="A53" s="482"/>
      <c r="B53" s="482"/>
      <c r="C53" s="482"/>
      <c r="D53" s="482"/>
      <c r="E53" s="482"/>
      <c r="F53" s="482"/>
      <c r="G53" s="482"/>
      <c r="H53" s="482"/>
      <c r="I53" s="482"/>
      <c r="J53" s="482"/>
      <c r="K53" s="482"/>
      <c r="L53" s="482"/>
      <c r="M53" s="482"/>
      <c r="N53" s="829"/>
      <c r="O53" s="829"/>
      <c r="P53" s="830"/>
      <c r="Q53" s="239"/>
      <c r="R53" s="240"/>
      <c r="S53" s="240"/>
      <c r="T53" s="240"/>
      <c r="U53" s="240"/>
      <c r="V53" s="241"/>
      <c r="W53" s="241"/>
      <c r="X53" s="17"/>
    </row>
    <row r="54" spans="1:24" ht="18.75" customHeight="1" x14ac:dyDescent="0.25">
      <c r="A54" s="829" t="s">
        <v>128</v>
      </c>
      <c r="B54" s="829"/>
      <c r="C54" s="829"/>
      <c r="D54" s="829"/>
      <c r="E54" s="829"/>
      <c r="F54" s="829"/>
      <c r="G54" s="829"/>
      <c r="H54" s="829"/>
      <c r="I54" s="829"/>
      <c r="J54" s="829"/>
      <c r="K54" s="829"/>
      <c r="L54" s="829"/>
      <c r="M54" s="829"/>
      <c r="N54" s="829"/>
      <c r="O54" s="829"/>
      <c r="P54" s="830"/>
      <c r="Q54" s="242">
        <f>IF(Q49*(1-$D$5)&gt;ABS(Q51),Q49*(1-$D$5)+Q51,0)</f>
        <v>0</v>
      </c>
      <c r="R54" s="243"/>
      <c r="S54" s="243"/>
      <c r="T54" s="243"/>
      <c r="U54" s="243"/>
      <c r="V54" s="244">
        <f>IF(V49*(1-$D$5)&gt;ABS(V51),V49*(1-$D$5)+V51,0)</f>
        <v>18390.050088664415</v>
      </c>
      <c r="W54" s="244">
        <f>IF(W49*(1-$D$5)&gt;ABS(W51),W49*(1-$D$5)+W51,0)</f>
        <v>449132.6804018931</v>
      </c>
      <c r="X54" s="245">
        <f>IF(X49*(1-$D$5)&gt;ABS(X51),X49*(1-$D$5)+X51,0)</f>
        <v>1151291.2534725606</v>
      </c>
    </row>
    <row r="55" spans="1:24" ht="18.75" customHeight="1" thickBot="1" x14ac:dyDescent="0.3">
      <c r="A55" s="829" t="s">
        <v>129</v>
      </c>
      <c r="B55" s="829"/>
      <c r="C55" s="829"/>
      <c r="D55" s="829"/>
      <c r="E55" s="829"/>
      <c r="F55" s="829"/>
      <c r="G55" s="829"/>
      <c r="H55" s="829"/>
      <c r="I55" s="829"/>
      <c r="J55" s="829"/>
      <c r="K55" s="829"/>
      <c r="L55" s="829"/>
      <c r="M55" s="829"/>
      <c r="N55" s="829"/>
      <c r="O55" s="829"/>
      <c r="P55" s="830"/>
      <c r="Q55" s="239">
        <f>SUM(Q50,Q54)</f>
        <v>0</v>
      </c>
      <c r="R55" s="240"/>
      <c r="S55" s="240"/>
      <c r="T55" s="240"/>
      <c r="U55" s="240"/>
      <c r="V55" s="241">
        <f>SUM(V50,V54)</f>
        <v>62102.259565983964</v>
      </c>
      <c r="W55" s="241">
        <f>SUM(W50,W54)</f>
        <v>598843.57386919076</v>
      </c>
      <c r="X55" s="17">
        <f>SUM(X50,X54)</f>
        <v>1535055.0046300807</v>
      </c>
    </row>
    <row r="56" spans="1:24" ht="18.75" customHeight="1" thickTop="1" thickBot="1" x14ac:dyDescent="0.3">
      <c r="A56" s="818" t="s">
        <v>132</v>
      </c>
      <c r="B56" s="818"/>
      <c r="C56" s="818"/>
      <c r="D56" s="818"/>
      <c r="E56" s="818"/>
      <c r="F56" s="818"/>
      <c r="G56" s="818"/>
      <c r="H56" s="818"/>
      <c r="I56" s="818"/>
      <c r="J56" s="818"/>
      <c r="K56" s="818"/>
      <c r="L56" s="818"/>
      <c r="M56" s="818"/>
      <c r="N56" s="818"/>
      <c r="O56" s="818"/>
      <c r="P56" s="819"/>
      <c r="Q56" s="246">
        <f>IF(Q55*$D$5&lt;500,500,Q55*$D$5)</f>
        <v>500</v>
      </c>
      <c r="R56" s="247"/>
      <c r="S56" s="247"/>
      <c r="T56" s="247"/>
      <c r="U56" s="247"/>
      <c r="V56" s="248">
        <f>IF(V55*$D$5&lt;500,500,V55*$D$5)</f>
        <v>15525.564891495991</v>
      </c>
      <c r="W56" s="248">
        <f>IF(W55*$D$5&lt;500,500,W55*$D$5)</f>
        <v>149710.89346729769</v>
      </c>
      <c r="X56" s="249">
        <f>IF(X55*$D$5&lt;500,500,X55*$D$5)</f>
        <v>383763.75115752016</v>
      </c>
    </row>
    <row r="57" spans="1:24" ht="18.75" customHeight="1" x14ac:dyDescent="0.25"/>
    <row r="58" spans="1:24" ht="18.75" customHeight="1" x14ac:dyDescent="0.25"/>
    <row r="59" spans="1:24" ht="18.75" customHeight="1" x14ac:dyDescent="0.25"/>
    <row r="60" spans="1:24" ht="18.75" customHeight="1" x14ac:dyDescent="0.25"/>
    <row r="61" spans="1:24" ht="18.75" customHeight="1" x14ac:dyDescent="0.25"/>
  </sheetData>
  <sheetProtection algorithmName="SHA-512" hashValue="yH8htGzT4CMXKsTWtnYauOQg5iSAe21NQiY3ahJhA9aTRvjZuUJD4IjpYVxaaeVM0kAl8fkVKqStUHTxNGVtng==" saltValue="x/oxgpCzGnTL2RuKqTJxfw==" spinCount="100000" sheet="1" objects="1" scenarios="1"/>
  <mergeCells count="52">
    <mergeCell ref="X7:X8"/>
    <mergeCell ref="E7:P7"/>
    <mergeCell ref="Q7:Q8"/>
    <mergeCell ref="R7:U7"/>
    <mergeCell ref="V7:V8"/>
    <mergeCell ref="W7:W8"/>
    <mergeCell ref="B15:D15"/>
    <mergeCell ref="B16:D16"/>
    <mergeCell ref="A18:D18"/>
    <mergeCell ref="B9:D9"/>
    <mergeCell ref="A7:D8"/>
    <mergeCell ref="B10:D10"/>
    <mergeCell ref="A12:D12"/>
    <mergeCell ref="B13:D13"/>
    <mergeCell ref="B14:D14"/>
    <mergeCell ref="B20:D20"/>
    <mergeCell ref="A22:D22"/>
    <mergeCell ref="B23:D23"/>
    <mergeCell ref="B24:D24"/>
    <mergeCell ref="B25:D25"/>
    <mergeCell ref="A1:X1"/>
    <mergeCell ref="A49:P49"/>
    <mergeCell ref="A50:P50"/>
    <mergeCell ref="A51:P51"/>
    <mergeCell ref="A52:P52"/>
    <mergeCell ref="B39:D39"/>
    <mergeCell ref="B40:D40"/>
    <mergeCell ref="A42:D42"/>
    <mergeCell ref="A44:D44"/>
    <mergeCell ref="B45:D45"/>
    <mergeCell ref="A47:D47"/>
    <mergeCell ref="B32:D32"/>
    <mergeCell ref="B33:D33"/>
    <mergeCell ref="B34:D34"/>
    <mergeCell ref="B35:D35"/>
    <mergeCell ref="B36:D36"/>
    <mergeCell ref="A56:P56"/>
    <mergeCell ref="A3:C3"/>
    <mergeCell ref="A4:C4"/>
    <mergeCell ref="A5:C5"/>
    <mergeCell ref="A6:C6"/>
    <mergeCell ref="A54:P54"/>
    <mergeCell ref="A55:P55"/>
    <mergeCell ref="N53:P53"/>
    <mergeCell ref="A38:D38"/>
    <mergeCell ref="B26:D26"/>
    <mergeCell ref="B27:D27"/>
    <mergeCell ref="B28:D28"/>
    <mergeCell ref="B29:D29"/>
    <mergeCell ref="B30:D30"/>
    <mergeCell ref="B31:D31"/>
    <mergeCell ref="B19:D19"/>
  </mergeCells>
  <pageMargins left="0.70866141732283472" right="0.70866141732283472" top="0.78740157480314965" bottom="0.78740157480314965" header="0.31496062992125984" footer="0.31496062992125984"/>
  <pageSetup paperSize="8" fitToHeight="0" orientation="landscape" blackAndWhite="1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>
    <pageSetUpPr fitToPage="1"/>
  </sheetPr>
  <dimension ref="A1:X88"/>
  <sheetViews>
    <sheetView showGridLines="0" view="pageBreakPreview" zoomScaleNormal="85" zoomScaleSheetLayoutView="100" workbookViewId="0">
      <selection activeCell="Q3" sqref="Q3"/>
    </sheetView>
  </sheetViews>
  <sheetFormatPr baseColWidth="10" defaultRowHeight="15" outlineLevelRow="1" outlineLevelCol="1" x14ac:dyDescent="0.25"/>
  <cols>
    <col min="1" max="4" width="11.42578125" style="39" customWidth="1"/>
    <col min="5" max="6" width="12.5703125" style="39" hidden="1" customWidth="1" outlineLevel="1"/>
    <col min="7" max="16" width="13.7109375" style="39" hidden="1" customWidth="1" outlineLevel="1"/>
    <col min="17" max="17" width="13.7109375" style="39" bestFit="1" customWidth="1" collapsed="1"/>
    <col min="18" max="20" width="13.7109375" style="39" hidden="1" customWidth="1" outlineLevel="1"/>
    <col min="21" max="21" width="12.5703125" style="39" hidden="1" customWidth="1" outlineLevel="1"/>
    <col min="22" max="22" width="13.7109375" style="39" bestFit="1" customWidth="1" collapsed="1"/>
    <col min="23" max="23" width="13.7109375" style="39" bestFit="1" customWidth="1"/>
    <col min="24" max="24" width="14.7109375" style="39" bestFit="1" customWidth="1"/>
    <col min="25" max="16384" width="11.42578125" style="39"/>
  </cols>
  <sheetData>
    <row r="1" spans="1:24" ht="27" thickBot="1" x14ac:dyDescent="0.3">
      <c r="A1" s="764" t="s">
        <v>179</v>
      </c>
      <c r="B1" s="765"/>
      <c r="C1" s="765"/>
      <c r="D1" s="765"/>
      <c r="E1" s="765"/>
      <c r="F1" s="765"/>
      <c r="G1" s="765"/>
      <c r="H1" s="765"/>
      <c r="I1" s="765"/>
      <c r="J1" s="765"/>
      <c r="K1" s="765"/>
      <c r="L1" s="765"/>
      <c r="M1" s="765"/>
      <c r="N1" s="765"/>
      <c r="O1" s="765"/>
      <c r="P1" s="765"/>
      <c r="Q1" s="765"/>
      <c r="R1" s="765"/>
      <c r="S1" s="765"/>
      <c r="T1" s="765"/>
      <c r="U1" s="765"/>
      <c r="V1" s="765"/>
      <c r="W1" s="765"/>
      <c r="X1" s="766"/>
    </row>
    <row r="2" spans="1:24" ht="15.75" thickBot="1" x14ac:dyDescent="0.3"/>
    <row r="3" spans="1:24" ht="15.75" thickBot="1" x14ac:dyDescent="0.3">
      <c r="A3" s="945" t="s">
        <v>175</v>
      </c>
      <c r="B3" s="946"/>
      <c r="C3" s="947"/>
      <c r="D3" s="388">
        <v>35000</v>
      </c>
    </row>
    <row r="4" spans="1:24" x14ac:dyDescent="0.25">
      <c r="A4" s="948" t="s">
        <v>183</v>
      </c>
      <c r="B4" s="949"/>
      <c r="C4" s="950"/>
      <c r="D4" s="389">
        <v>0.04</v>
      </c>
    </row>
    <row r="5" spans="1:24" x14ac:dyDescent="0.25">
      <c r="A5" s="823" t="s">
        <v>164</v>
      </c>
      <c r="B5" s="824"/>
      <c r="C5" s="825"/>
      <c r="D5" s="390">
        <v>0.06</v>
      </c>
    </row>
    <row r="6" spans="1:24" x14ac:dyDescent="0.25">
      <c r="A6" s="823" t="s">
        <v>165</v>
      </c>
      <c r="B6" s="824"/>
      <c r="C6" s="825"/>
      <c r="D6" s="390">
        <v>1E-3</v>
      </c>
    </row>
    <row r="7" spans="1:24" x14ac:dyDescent="0.25">
      <c r="A7" s="823" t="s">
        <v>104</v>
      </c>
      <c r="B7" s="824"/>
      <c r="C7" s="825"/>
      <c r="D7" s="380">
        <f>'Plan G&amp;V'!D6</f>
        <v>0.2</v>
      </c>
    </row>
    <row r="8" spans="1:24" ht="15.75" thickBot="1" x14ac:dyDescent="0.3">
      <c r="A8" s="826" t="s">
        <v>159</v>
      </c>
      <c r="B8" s="827"/>
      <c r="C8" s="828"/>
      <c r="D8" s="391">
        <v>0.2</v>
      </c>
    </row>
    <row r="9" spans="1:24" ht="18.75" customHeight="1" x14ac:dyDescent="0.25">
      <c r="A9" s="888" t="s">
        <v>248</v>
      </c>
      <c r="B9" s="889"/>
      <c r="C9" s="889"/>
      <c r="D9" s="890"/>
      <c r="E9" s="770" t="s">
        <v>20</v>
      </c>
      <c r="F9" s="770"/>
      <c r="G9" s="770"/>
      <c r="H9" s="770"/>
      <c r="I9" s="770"/>
      <c r="J9" s="770"/>
      <c r="K9" s="770"/>
      <c r="L9" s="770"/>
      <c r="M9" s="770"/>
      <c r="N9" s="770"/>
      <c r="O9" s="770"/>
      <c r="P9" s="770"/>
      <c r="Q9" s="767" t="s">
        <v>20</v>
      </c>
      <c r="R9" s="770" t="s">
        <v>25</v>
      </c>
      <c r="S9" s="770"/>
      <c r="T9" s="770"/>
      <c r="U9" s="770"/>
      <c r="V9" s="767" t="s">
        <v>25</v>
      </c>
      <c r="W9" s="767" t="s">
        <v>26</v>
      </c>
      <c r="X9" s="778" t="s">
        <v>27</v>
      </c>
    </row>
    <row r="10" spans="1:24" ht="18.75" customHeight="1" thickBot="1" x14ac:dyDescent="0.3">
      <c r="A10" s="891"/>
      <c r="B10" s="892"/>
      <c r="C10" s="892"/>
      <c r="D10" s="893"/>
      <c r="E10" s="1">
        <v>1</v>
      </c>
      <c r="F10" s="2">
        <v>2</v>
      </c>
      <c r="G10" s="2">
        <v>3</v>
      </c>
      <c r="H10" s="2">
        <v>4</v>
      </c>
      <c r="I10" s="2">
        <v>5</v>
      </c>
      <c r="J10" s="2">
        <v>6</v>
      </c>
      <c r="K10" s="2">
        <v>7</v>
      </c>
      <c r="L10" s="2">
        <v>8</v>
      </c>
      <c r="M10" s="2">
        <v>9</v>
      </c>
      <c r="N10" s="2">
        <v>10</v>
      </c>
      <c r="O10" s="2">
        <v>11</v>
      </c>
      <c r="P10" s="288">
        <v>12</v>
      </c>
      <c r="Q10" s="768"/>
      <c r="R10" s="4" t="s">
        <v>21</v>
      </c>
      <c r="S10" s="2" t="s">
        <v>22</v>
      </c>
      <c r="T10" s="2" t="s">
        <v>23</v>
      </c>
      <c r="U10" s="288" t="s">
        <v>24</v>
      </c>
      <c r="V10" s="768"/>
      <c r="W10" s="768"/>
      <c r="X10" s="779"/>
    </row>
    <row r="11" spans="1:24" ht="18.75" customHeight="1" thickTop="1" x14ac:dyDescent="0.25">
      <c r="A11" s="941" t="s">
        <v>142</v>
      </c>
      <c r="B11" s="836"/>
      <c r="C11" s="836"/>
      <c r="D11" s="837"/>
      <c r="E11" s="392">
        <v>0.9</v>
      </c>
      <c r="F11" s="393">
        <v>0.9</v>
      </c>
      <c r="G11" s="393">
        <v>0.9</v>
      </c>
      <c r="H11" s="393">
        <v>0.9</v>
      </c>
      <c r="I11" s="393">
        <v>0.9</v>
      </c>
      <c r="J11" s="393">
        <v>0.9</v>
      </c>
      <c r="K11" s="393">
        <v>0.9</v>
      </c>
      <c r="L11" s="393">
        <v>0.9</v>
      </c>
      <c r="M11" s="393">
        <v>0.9</v>
      </c>
      <c r="N11" s="393">
        <v>0.9</v>
      </c>
      <c r="O11" s="393">
        <v>0.9</v>
      </c>
      <c r="P11" s="394">
        <v>0.9</v>
      </c>
      <c r="Q11" s="314">
        <f>AVERAGE(E11:P11)</f>
        <v>0.90000000000000024</v>
      </c>
      <c r="R11" s="397">
        <v>0.9</v>
      </c>
      <c r="S11" s="393">
        <v>0.9</v>
      </c>
      <c r="T11" s="393">
        <v>0.9</v>
      </c>
      <c r="U11" s="394">
        <v>0.9</v>
      </c>
      <c r="V11" s="314">
        <f>AVERAGE(R11:U11)</f>
        <v>0.9</v>
      </c>
      <c r="W11" s="399">
        <v>0.9</v>
      </c>
      <c r="X11" s="400">
        <v>0.9</v>
      </c>
    </row>
    <row r="12" spans="1:24" ht="18.75" customHeight="1" x14ac:dyDescent="0.25">
      <c r="A12" s="862" t="s">
        <v>143</v>
      </c>
      <c r="B12" s="834"/>
      <c r="C12" s="834"/>
      <c r="D12" s="835"/>
      <c r="E12" s="395">
        <v>0.1</v>
      </c>
      <c r="F12" s="396">
        <v>0.1</v>
      </c>
      <c r="G12" s="396">
        <v>0.1</v>
      </c>
      <c r="H12" s="396">
        <v>0.1</v>
      </c>
      <c r="I12" s="396">
        <v>0.1</v>
      </c>
      <c r="J12" s="396">
        <v>0.1</v>
      </c>
      <c r="K12" s="396">
        <v>0.1</v>
      </c>
      <c r="L12" s="396">
        <v>0.1</v>
      </c>
      <c r="M12" s="396">
        <v>0.1</v>
      </c>
      <c r="N12" s="396">
        <v>0.1</v>
      </c>
      <c r="O12" s="396">
        <v>0.1</v>
      </c>
      <c r="P12" s="396">
        <v>0.1</v>
      </c>
      <c r="Q12" s="315">
        <f t="shared" ref="Q12:Q13" si="0">AVERAGE(E12:P12)</f>
        <v>9.9999999999999992E-2</v>
      </c>
      <c r="R12" s="398">
        <v>0.1</v>
      </c>
      <c r="S12" s="396">
        <v>0.1</v>
      </c>
      <c r="T12" s="396">
        <v>0.1</v>
      </c>
      <c r="U12" s="396">
        <v>0.1</v>
      </c>
      <c r="V12" s="315">
        <f t="shared" ref="V12:V13" si="1">AVERAGE(R12:U12)</f>
        <v>0.1</v>
      </c>
      <c r="W12" s="401">
        <v>0.1</v>
      </c>
      <c r="X12" s="402">
        <v>0.1</v>
      </c>
    </row>
    <row r="13" spans="1:24" ht="18.75" customHeight="1" thickBot="1" x14ac:dyDescent="0.3">
      <c r="A13" s="940" t="s">
        <v>144</v>
      </c>
      <c r="B13" s="838"/>
      <c r="C13" s="838"/>
      <c r="D13" s="839"/>
      <c r="E13" s="316">
        <f>1-E12-E11</f>
        <v>0</v>
      </c>
      <c r="F13" s="317">
        <f t="shared" ref="F13:X13" si="2">1-F12-F11</f>
        <v>0</v>
      </c>
      <c r="G13" s="317">
        <f t="shared" si="2"/>
        <v>0</v>
      </c>
      <c r="H13" s="317">
        <f t="shared" si="2"/>
        <v>0</v>
      </c>
      <c r="I13" s="317">
        <f t="shared" si="2"/>
        <v>0</v>
      </c>
      <c r="J13" s="317">
        <f t="shared" si="2"/>
        <v>0</v>
      </c>
      <c r="K13" s="317">
        <f t="shared" si="2"/>
        <v>0</v>
      </c>
      <c r="L13" s="317">
        <f t="shared" si="2"/>
        <v>0</v>
      </c>
      <c r="M13" s="317">
        <f t="shared" si="2"/>
        <v>0</v>
      </c>
      <c r="N13" s="317">
        <f t="shared" si="2"/>
        <v>0</v>
      </c>
      <c r="O13" s="317">
        <f t="shared" si="2"/>
        <v>0</v>
      </c>
      <c r="P13" s="318">
        <f t="shared" si="2"/>
        <v>0</v>
      </c>
      <c r="Q13" s="319">
        <f t="shared" si="0"/>
        <v>0</v>
      </c>
      <c r="R13" s="320">
        <f t="shared" si="2"/>
        <v>0</v>
      </c>
      <c r="S13" s="317">
        <f t="shared" si="2"/>
        <v>0</v>
      </c>
      <c r="T13" s="317">
        <f t="shared" si="2"/>
        <v>0</v>
      </c>
      <c r="U13" s="318">
        <f t="shared" si="2"/>
        <v>0</v>
      </c>
      <c r="V13" s="319">
        <f t="shared" si="1"/>
        <v>0</v>
      </c>
      <c r="W13" s="319">
        <f t="shared" si="2"/>
        <v>0</v>
      </c>
      <c r="X13" s="321">
        <f t="shared" si="2"/>
        <v>0</v>
      </c>
    </row>
    <row r="14" spans="1:24" ht="7.5" customHeight="1" thickTop="1" thickBot="1" x14ac:dyDescent="0.3">
      <c r="A14" s="322"/>
      <c r="B14" s="323"/>
      <c r="C14" s="323"/>
      <c r="D14" s="644"/>
      <c r="E14" s="324"/>
      <c r="F14" s="325"/>
      <c r="G14" s="325"/>
      <c r="H14" s="325"/>
      <c r="I14" s="325"/>
      <c r="J14" s="325"/>
      <c r="K14" s="325"/>
      <c r="L14" s="325"/>
      <c r="M14" s="325"/>
      <c r="N14" s="325"/>
      <c r="O14" s="325"/>
      <c r="P14" s="326"/>
      <c r="Q14" s="327"/>
      <c r="R14" s="328"/>
      <c r="S14" s="325"/>
      <c r="T14" s="325"/>
      <c r="U14" s="326"/>
      <c r="V14" s="327"/>
      <c r="W14" s="327"/>
      <c r="X14" s="329"/>
    </row>
    <row r="15" spans="1:24" ht="18.75" customHeight="1" x14ac:dyDescent="0.25">
      <c r="A15" s="942" t="s">
        <v>145</v>
      </c>
      <c r="B15" s="943"/>
      <c r="C15" s="943"/>
      <c r="D15" s="944"/>
      <c r="E15" s="589">
        <f>'Plan G&amp;V'!E9</f>
        <v>0</v>
      </c>
      <c r="F15" s="590">
        <f>'Plan G&amp;V'!F9</f>
        <v>0</v>
      </c>
      <c r="G15" s="590">
        <f>'Plan G&amp;V'!G9</f>
        <v>0</v>
      </c>
      <c r="H15" s="590">
        <f>'Plan G&amp;V'!H9</f>
        <v>0</v>
      </c>
      <c r="I15" s="590">
        <f>'Plan G&amp;V'!I9</f>
        <v>0</v>
      </c>
      <c r="J15" s="590">
        <f>'Plan G&amp;V'!J9</f>
        <v>0</v>
      </c>
      <c r="K15" s="590">
        <f>'Plan G&amp;V'!K9</f>
        <v>120000</v>
      </c>
      <c r="L15" s="590">
        <f>'Plan G&amp;V'!L9</f>
        <v>0</v>
      </c>
      <c r="M15" s="590">
        <f>'Plan G&amp;V'!M9</f>
        <v>120000</v>
      </c>
      <c r="N15" s="590">
        <f>'Plan G&amp;V'!N9</f>
        <v>0</v>
      </c>
      <c r="O15" s="590">
        <f>'Plan G&amp;V'!O9</f>
        <v>120000</v>
      </c>
      <c r="P15" s="591">
        <f>'Plan G&amp;V'!P9</f>
        <v>7680</v>
      </c>
      <c r="Q15" s="592">
        <f>'Plan G&amp;V'!Q9</f>
        <v>367680</v>
      </c>
      <c r="R15" s="593">
        <f>'Plan G&amp;V'!R9</f>
        <v>176880</v>
      </c>
      <c r="S15" s="590">
        <f>'Plan G&amp;V'!S9</f>
        <v>176880</v>
      </c>
      <c r="T15" s="590">
        <f>'Plan G&amp;V'!T9</f>
        <v>180480</v>
      </c>
      <c r="U15" s="591">
        <f>'Plan G&amp;V'!U9</f>
        <v>296880</v>
      </c>
      <c r="V15" s="592">
        <f>'Plan G&amp;V'!V9</f>
        <v>831120</v>
      </c>
      <c r="W15" s="592">
        <f>'Plan G&amp;V'!W9</f>
        <v>1388760</v>
      </c>
      <c r="X15" s="594">
        <f>'Plan G&amp;V'!X9</f>
        <v>2550040</v>
      </c>
    </row>
    <row r="16" spans="1:24" ht="18.75" customHeight="1" thickBot="1" x14ac:dyDescent="0.3">
      <c r="A16" s="937" t="s">
        <v>149</v>
      </c>
      <c r="B16" s="938"/>
      <c r="C16" s="938"/>
      <c r="D16" s="939"/>
      <c r="E16" s="595">
        <f>E26*E11</f>
        <v>0</v>
      </c>
      <c r="F16" s="596">
        <f>F11*F26+E26*E12</f>
        <v>0</v>
      </c>
      <c r="G16" s="596">
        <f t="shared" ref="G16:P16" si="3">G11*G26+F26*F12+E26*E13</f>
        <v>0</v>
      </c>
      <c r="H16" s="596">
        <f t="shared" si="3"/>
        <v>0</v>
      </c>
      <c r="I16" s="596">
        <f t="shared" si="3"/>
        <v>0</v>
      </c>
      <c r="J16" s="596">
        <f t="shared" si="3"/>
        <v>0</v>
      </c>
      <c r="K16" s="596">
        <f t="shared" si="3"/>
        <v>108000</v>
      </c>
      <c r="L16" s="596">
        <f t="shared" si="3"/>
        <v>12000</v>
      </c>
      <c r="M16" s="596">
        <f t="shared" si="3"/>
        <v>108000</v>
      </c>
      <c r="N16" s="596">
        <f t="shared" si="3"/>
        <v>12000</v>
      </c>
      <c r="O16" s="596">
        <f t="shared" si="3"/>
        <v>108000</v>
      </c>
      <c r="P16" s="597">
        <f t="shared" si="3"/>
        <v>18912</v>
      </c>
      <c r="Q16" s="599">
        <f>SUM(E16:P16)</f>
        <v>366912</v>
      </c>
      <c r="R16" s="598">
        <f>(((R26/3)*SUM(R11,R12,R13))+((R26/3)*SUM(R11,R12))+((R26/3)*SUM(R11)))+(P26*P12)+(O26*O13)</f>
        <v>171752</v>
      </c>
      <c r="S16" s="596">
        <f>(((S26/3)*SUM(S11,S12,S13))+((S26/3)*SUM(S11,S12))+((S26/3)*SUM(S11)))+((R26/3)*SUM(R12,R13)+(R26/3)*SUM(R13))</f>
        <v>176880</v>
      </c>
      <c r="T16" s="596">
        <f>(((T26/3)*SUM(T11,T12,T13))+((T26/3)*SUM(T11,T12))+((T26/3)*SUM(T11)))+((S26/3)*SUM(S12,S13)+(S26/3)*SUM(S13))</f>
        <v>180360</v>
      </c>
      <c r="U16" s="597">
        <f>(((U26/3)*SUM(U11,U12,U13))+((U26/3)*SUM(U11,U12))+((U26/3)*SUM(U11)))+((T26/3)*SUM(T12,T13)+(T26/3)*SUM(T13))</f>
        <v>293000</v>
      </c>
      <c r="V16" s="599">
        <f>SUM(R16:U16)</f>
        <v>821992</v>
      </c>
      <c r="W16" s="599">
        <f>((W26/12)*10*SUM(W11,W12,W13)+(W26/12)*1*SUM(W11,W12)+(W26/12)*1*SUM(W11))+((U26/3)*SUM(U12,U13)+(U26/3)*SUM(U13))</f>
        <v>1387083</v>
      </c>
      <c r="X16" s="600">
        <f>((X26/12)*10*SUM(X11,X12,X13)+(X26/12)*1*SUM(X11,X12)+(X26/12)*1*SUM(X11))+((W26/12)*SUM(W12,W13)+(W26/12)*SUM(W13))</f>
        <v>2542346</v>
      </c>
    </row>
    <row r="17" spans="1:24" ht="7.5" customHeight="1" thickBot="1" x14ac:dyDescent="0.3"/>
    <row r="18" spans="1:24" ht="22.5" customHeight="1" thickBot="1" x14ac:dyDescent="0.3">
      <c r="A18" s="930" t="s">
        <v>148</v>
      </c>
      <c r="B18" s="931"/>
      <c r="C18" s="932"/>
      <c r="D18" s="330"/>
      <c r="E18" s="770" t="s">
        <v>20</v>
      </c>
      <c r="F18" s="770"/>
      <c r="G18" s="770"/>
      <c r="H18" s="770"/>
      <c r="I18" s="770"/>
      <c r="J18" s="770"/>
      <c r="K18" s="770"/>
      <c r="L18" s="770"/>
      <c r="M18" s="770"/>
      <c r="N18" s="770"/>
      <c r="O18" s="770"/>
      <c r="P18" s="770"/>
      <c r="Q18" s="767" t="s">
        <v>20</v>
      </c>
      <c r="R18" s="770" t="s">
        <v>25</v>
      </c>
      <c r="S18" s="770"/>
      <c r="T18" s="770"/>
      <c r="U18" s="770"/>
      <c r="V18" s="767" t="s">
        <v>25</v>
      </c>
      <c r="W18" s="817" t="s">
        <v>26</v>
      </c>
      <c r="X18" s="778" t="s">
        <v>27</v>
      </c>
    </row>
    <row r="19" spans="1:24" ht="18.75" customHeight="1" thickBot="1" x14ac:dyDescent="0.3">
      <c r="A19" s="927" t="s">
        <v>276</v>
      </c>
      <c r="B19" s="928"/>
      <c r="C19" s="928"/>
      <c r="D19" s="929"/>
      <c r="E19" s="111">
        <v>1</v>
      </c>
      <c r="F19" s="2">
        <v>2</v>
      </c>
      <c r="G19" s="2">
        <v>3</v>
      </c>
      <c r="H19" s="2">
        <v>4</v>
      </c>
      <c r="I19" s="2">
        <v>5</v>
      </c>
      <c r="J19" s="2">
        <v>6</v>
      </c>
      <c r="K19" s="2">
        <v>7</v>
      </c>
      <c r="L19" s="2">
        <v>8</v>
      </c>
      <c r="M19" s="2">
        <v>9</v>
      </c>
      <c r="N19" s="2">
        <v>10</v>
      </c>
      <c r="O19" s="2">
        <v>11</v>
      </c>
      <c r="P19" s="3">
        <v>12</v>
      </c>
      <c r="Q19" s="768"/>
      <c r="R19" s="111" t="s">
        <v>21</v>
      </c>
      <c r="S19" s="2" t="s">
        <v>22</v>
      </c>
      <c r="T19" s="2" t="s">
        <v>23</v>
      </c>
      <c r="U19" s="3" t="s">
        <v>24</v>
      </c>
      <c r="V19" s="768"/>
      <c r="W19" s="884"/>
      <c r="X19" s="779"/>
    </row>
    <row r="20" spans="1:24" ht="18.75" customHeight="1" outlineLevel="1" thickTop="1" x14ac:dyDescent="0.25">
      <c r="A20" s="934" t="s">
        <v>253</v>
      </c>
      <c r="B20" s="935"/>
      <c r="C20" s="935"/>
      <c r="D20" s="936"/>
      <c r="E20" s="147"/>
      <c r="F20" s="18"/>
      <c r="G20" s="18"/>
      <c r="H20" s="18"/>
      <c r="I20" s="18"/>
      <c r="J20" s="18"/>
      <c r="K20" s="18">
        <v>120000</v>
      </c>
      <c r="L20" s="18"/>
      <c r="M20" s="18">
        <v>120000</v>
      </c>
      <c r="N20" s="18"/>
      <c r="O20" s="18">
        <v>120000</v>
      </c>
      <c r="P20" s="152"/>
      <c r="Q20" s="8">
        <f>SUM(E20:P20)</f>
        <v>360000</v>
      </c>
      <c r="R20" s="405">
        <v>120000</v>
      </c>
      <c r="S20" s="18">
        <v>120000</v>
      </c>
      <c r="T20" s="18">
        <v>120000</v>
      </c>
      <c r="U20" s="152">
        <v>240000</v>
      </c>
      <c r="V20" s="8">
        <f>SUM(R20:U20)</f>
        <v>600000</v>
      </c>
      <c r="W20" s="409">
        <f>(6*100000)*1.2</f>
        <v>720000</v>
      </c>
      <c r="X20" s="145">
        <f>(6*100000)*1.2</f>
        <v>720000</v>
      </c>
    </row>
    <row r="21" spans="1:24" ht="18.75" customHeight="1" outlineLevel="1" x14ac:dyDescent="0.25">
      <c r="A21" s="743" t="s">
        <v>254</v>
      </c>
      <c r="B21" s="745"/>
      <c r="C21" s="745"/>
      <c r="D21" s="933"/>
      <c r="E21" s="40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153"/>
      <c r="Q21" s="12">
        <f t="shared" ref="Q21:Q24" si="4">SUM(E21:P21)</f>
        <v>0</v>
      </c>
      <c r="R21" s="137">
        <f>(120*1500)/4*1.2</f>
        <v>54000</v>
      </c>
      <c r="S21" s="94">
        <f>R21</f>
        <v>54000</v>
      </c>
      <c r="T21" s="94">
        <f>R21</f>
        <v>54000</v>
      </c>
      <c r="U21" s="153">
        <f>R21</f>
        <v>54000</v>
      </c>
      <c r="V21" s="12">
        <f t="shared" ref="V21:V24" si="5">SUM(R21:U21)</f>
        <v>216000</v>
      </c>
      <c r="W21" s="140">
        <f>(360*1500)*1.2</f>
        <v>648000</v>
      </c>
      <c r="X21" s="410">
        <f>(1000*1500)*1.2</f>
        <v>1800000</v>
      </c>
    </row>
    <row r="22" spans="1:24" ht="18.75" customHeight="1" outlineLevel="1" x14ac:dyDescent="0.25">
      <c r="A22" s="743" t="s">
        <v>260</v>
      </c>
      <c r="B22" s="745"/>
      <c r="C22" s="745"/>
      <c r="D22" s="933"/>
      <c r="E22" s="40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153">
        <f>(800*8)*1.2</f>
        <v>7680</v>
      </c>
      <c r="Q22" s="12">
        <f t="shared" si="4"/>
        <v>7680</v>
      </c>
      <c r="R22" s="137">
        <f>(800*12)/4*1.2</f>
        <v>2880</v>
      </c>
      <c r="S22" s="94">
        <f t="shared" ref="S22:U22" si="6">(800*12)/4*1.2</f>
        <v>2880</v>
      </c>
      <c r="T22" s="94">
        <f t="shared" si="6"/>
        <v>2880</v>
      </c>
      <c r="U22" s="153">
        <f t="shared" si="6"/>
        <v>2880</v>
      </c>
      <c r="V22" s="12">
        <f t="shared" si="5"/>
        <v>11520</v>
      </c>
      <c r="W22" s="140">
        <f>(16*800)*1.2</f>
        <v>15360</v>
      </c>
      <c r="X22" s="410">
        <f>(24*800)*1.2</f>
        <v>23040</v>
      </c>
    </row>
    <row r="23" spans="1:24" ht="18.75" customHeight="1" outlineLevel="1" x14ac:dyDescent="0.25">
      <c r="A23" s="743" t="s">
        <v>259</v>
      </c>
      <c r="B23" s="745"/>
      <c r="C23" s="745"/>
      <c r="D23" s="933"/>
      <c r="E23" s="40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153"/>
      <c r="Q23" s="12">
        <f t="shared" si="4"/>
        <v>0</v>
      </c>
      <c r="R23" s="137"/>
      <c r="S23" s="94"/>
      <c r="T23" s="94">
        <f>(2*1500)*1.2</f>
        <v>3600</v>
      </c>
      <c r="U23" s="153"/>
      <c r="V23" s="12">
        <f t="shared" si="5"/>
        <v>3600</v>
      </c>
      <c r="W23" s="140">
        <f>(3*1500)*1.2</f>
        <v>5400</v>
      </c>
      <c r="X23" s="410">
        <f>(5*1500)*1.2</f>
        <v>9000</v>
      </c>
    </row>
    <row r="24" spans="1:24" ht="18.75" customHeight="1" outlineLevel="1" thickBot="1" x14ac:dyDescent="0.3">
      <c r="A24" s="878"/>
      <c r="B24" s="879"/>
      <c r="C24" s="879"/>
      <c r="D24" s="880"/>
      <c r="E24" s="311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54"/>
      <c r="Q24" s="134">
        <f t="shared" si="4"/>
        <v>0</v>
      </c>
      <c r="R24" s="138"/>
      <c r="S24" s="139"/>
      <c r="T24" s="139"/>
      <c r="U24" s="154"/>
      <c r="V24" s="134">
        <f t="shared" si="5"/>
        <v>0</v>
      </c>
      <c r="W24" s="142"/>
      <c r="X24" s="411"/>
    </row>
    <row r="25" spans="1:24" ht="7.5" customHeight="1" outlineLevel="1" thickTop="1" thickBot="1" x14ac:dyDescent="0.3">
      <c r="A25" s="881"/>
      <c r="B25" s="882"/>
      <c r="C25" s="882"/>
      <c r="D25" s="883"/>
      <c r="E25" s="312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313"/>
      <c r="Q25" s="327"/>
      <c r="R25" s="406"/>
      <c r="S25" s="407"/>
      <c r="T25" s="407"/>
      <c r="U25" s="408"/>
      <c r="V25" s="327"/>
      <c r="W25" s="412"/>
      <c r="X25" s="413"/>
    </row>
    <row r="26" spans="1:24" ht="18.75" customHeight="1" thickBot="1" x14ac:dyDescent="0.3">
      <c r="A26" s="866" t="s">
        <v>152</v>
      </c>
      <c r="B26" s="867"/>
      <c r="C26" s="867"/>
      <c r="D26" s="868"/>
      <c r="E26" s="444">
        <f t="shared" ref="E26:X26" si="7">SUM(E20:E25)</f>
        <v>0</v>
      </c>
      <c r="F26" s="541">
        <f t="shared" si="7"/>
        <v>0</v>
      </c>
      <c r="G26" s="541">
        <f t="shared" si="7"/>
        <v>0</v>
      </c>
      <c r="H26" s="541">
        <f t="shared" si="7"/>
        <v>0</v>
      </c>
      <c r="I26" s="541">
        <f t="shared" si="7"/>
        <v>0</v>
      </c>
      <c r="J26" s="541">
        <f t="shared" si="7"/>
        <v>0</v>
      </c>
      <c r="K26" s="541">
        <f t="shared" si="7"/>
        <v>120000</v>
      </c>
      <c r="L26" s="541">
        <f t="shared" si="7"/>
        <v>0</v>
      </c>
      <c r="M26" s="541">
        <f t="shared" si="7"/>
        <v>120000</v>
      </c>
      <c r="N26" s="541">
        <f t="shared" si="7"/>
        <v>0</v>
      </c>
      <c r="O26" s="541">
        <f t="shared" si="7"/>
        <v>120000</v>
      </c>
      <c r="P26" s="538">
        <f t="shared" si="7"/>
        <v>7680</v>
      </c>
      <c r="Q26" s="543">
        <f t="shared" si="7"/>
        <v>367680</v>
      </c>
      <c r="R26" s="444">
        <f t="shared" si="7"/>
        <v>176880</v>
      </c>
      <c r="S26" s="541">
        <f t="shared" si="7"/>
        <v>176880</v>
      </c>
      <c r="T26" s="541">
        <f t="shared" si="7"/>
        <v>180480</v>
      </c>
      <c r="U26" s="538">
        <f t="shared" si="7"/>
        <v>296880</v>
      </c>
      <c r="V26" s="543">
        <f t="shared" si="7"/>
        <v>831120</v>
      </c>
      <c r="W26" s="542">
        <f t="shared" si="7"/>
        <v>1388760</v>
      </c>
      <c r="X26" s="498">
        <f t="shared" si="7"/>
        <v>2552040</v>
      </c>
    </row>
    <row r="27" spans="1:24" ht="7.5" customHeight="1" thickBot="1" x14ac:dyDescent="0.3">
      <c r="A27" s="804"/>
      <c r="B27" s="805"/>
      <c r="C27" s="805"/>
      <c r="D27" s="805"/>
      <c r="E27" s="805"/>
      <c r="F27" s="805"/>
      <c r="G27" s="805"/>
      <c r="H27" s="805"/>
      <c r="I27" s="805"/>
      <c r="J27" s="805"/>
      <c r="K27" s="805"/>
      <c r="L27" s="805"/>
      <c r="M27" s="805"/>
      <c r="N27" s="805"/>
      <c r="O27" s="805"/>
      <c r="P27" s="805"/>
      <c r="Q27" s="805"/>
      <c r="R27" s="805"/>
      <c r="S27" s="805"/>
      <c r="T27" s="805"/>
      <c r="U27" s="805"/>
      <c r="V27" s="805"/>
      <c r="W27" s="805"/>
      <c r="X27" s="806"/>
    </row>
    <row r="28" spans="1:24" ht="18.75" customHeight="1" thickBot="1" x14ac:dyDescent="0.3">
      <c r="A28" s="872" t="s">
        <v>147</v>
      </c>
      <c r="B28" s="873"/>
      <c r="C28" s="873"/>
      <c r="D28" s="874"/>
      <c r="X28" s="332"/>
    </row>
    <row r="29" spans="1:24" ht="18.75" customHeight="1" outlineLevel="1" thickTop="1" x14ac:dyDescent="0.25">
      <c r="A29" s="885" t="s">
        <v>166</v>
      </c>
      <c r="B29" s="886"/>
      <c r="C29" s="886"/>
      <c r="D29" s="887"/>
      <c r="E29" s="276"/>
      <c r="F29" s="305"/>
      <c r="G29" s="305"/>
      <c r="H29" s="7">
        <f>E85</f>
        <v>0</v>
      </c>
      <c r="I29" s="305"/>
      <c r="J29" s="305"/>
      <c r="K29" s="7">
        <f>H85</f>
        <v>0</v>
      </c>
      <c r="L29" s="305"/>
      <c r="M29" s="305"/>
      <c r="N29" s="7">
        <f>K85</f>
        <v>0</v>
      </c>
      <c r="O29" s="305"/>
      <c r="P29" s="306"/>
      <c r="Q29" s="8">
        <f>SUM(E29:P29)</f>
        <v>0</v>
      </c>
      <c r="R29" s="307">
        <f>N85</f>
        <v>0</v>
      </c>
      <c r="S29" s="7">
        <f>R85</f>
        <v>0</v>
      </c>
      <c r="T29" s="7">
        <f>S85</f>
        <v>0</v>
      </c>
      <c r="U29" s="180">
        <f>T85</f>
        <v>0</v>
      </c>
      <c r="V29" s="8">
        <f>SUM(R29:U29)</f>
        <v>0</v>
      </c>
      <c r="W29" s="8">
        <f>U85</f>
        <v>0</v>
      </c>
      <c r="X29" s="9">
        <f>W85</f>
        <v>37.53996411085334</v>
      </c>
    </row>
    <row r="30" spans="1:24" ht="18.75" customHeight="1" outlineLevel="1" x14ac:dyDescent="0.25">
      <c r="A30" s="853" t="s">
        <v>178</v>
      </c>
      <c r="B30" s="854"/>
      <c r="C30" s="854"/>
      <c r="D30" s="855"/>
      <c r="E30" s="376"/>
      <c r="F30" s="377"/>
      <c r="G30" s="76">
        <f>((SUM(E41,E42,E43,E44,E46,E47,E48,E49,E52,E54)/(1+$D$8))*$D$8)+(Investitionsplan!F23*$D$8)</f>
        <v>12731.8</v>
      </c>
      <c r="H30" s="76">
        <f>((SUM(F41,F42,F43,F44,F46,F47,F48,F49,F52,F54)/(1+$D$8))*$D$8)+(Investitionsplan!G23*$D$8)</f>
        <v>943.16666666666686</v>
      </c>
      <c r="I30" s="76">
        <f>((SUM(G41,G42,G43,G44,G46,G47,G48,G49,G52,G54)/(1+$D$8))*$D$8)+(Investitionsplan!H23*$D$8)</f>
        <v>3276.5</v>
      </c>
      <c r="J30" s="76">
        <f>((SUM(H41,H42,H43,H44,H46,H47,H48,H49,H52,H54)/(1+$D$8))*$D$8)+(Investitionsplan!I23*$D$8)</f>
        <v>943.16666666666686</v>
      </c>
      <c r="K30" s="76">
        <f>((SUM(I41,I42,I43,I44,I46,I47,I48,I49,I52,I54)/(1+$D$8))*$D$8)+(Investitionsplan!J23*$D$8)</f>
        <v>3443.1666666666674</v>
      </c>
      <c r="L30" s="76">
        <f>((SUM(J41,J42,J43,J44,J46,J47,J48,J49,J52,J54)/(1+$D$8))*$D$8)+(Investitionsplan!K23*$D$8)</f>
        <v>2943.166666666667</v>
      </c>
      <c r="M30" s="76">
        <f>((SUM(K41,K42,K43,K44,K46,K47,K48,K49,K52,K54)/(1+$D$8))*$D$8)+(Investitionsplan!L23*$D$8)</f>
        <v>943.16666666666686</v>
      </c>
      <c r="N30" s="76">
        <f>((SUM(L41,L42,L43,L44,L46,L47,L48,L49,L52,L54)/(1+$D$8))*$D$8)+(Investitionsplan!M23*$D$8)</f>
        <v>943.16666666666686</v>
      </c>
      <c r="O30" s="76">
        <f>((SUM(M41,M42,M43,M44,M46,M47,M48,M49,M52,M54)/(1+$D$8))*$D$8)+(Investitionsplan!N23*$D$8)</f>
        <v>943.16666666666686</v>
      </c>
      <c r="P30" s="298">
        <f>((SUM(N41,N42,N43,N44,N46,N47,N48,N49,N52,N54)/(1+$D$8))*$D$8)+(Investitionsplan!O23*$D$8)</f>
        <v>5443.166666666667</v>
      </c>
      <c r="Q30" s="12">
        <f>SUM(E30:P30)</f>
        <v>32553.633333333342</v>
      </c>
      <c r="R30" s="75">
        <f>((SUM(O41:O44,O46:O49,O52,O54)/(1+$D$8))*$D$8)+((SUM(P41:P44,P46:P49,P52,P54)/(1+$D$8))*$D$8)+((SUM(R41:R44,R46:R49,R52,R54)/(1+$D$8))*$D$8)/3+(Investitionsplan!P23*$D$8)+(Investitionsplan!Q23*$D$8)+(Investitionsplan!S23*$D$8)/3</f>
        <v>7462.8333333333348</v>
      </c>
      <c r="S30" s="76">
        <f>((SUM(R41:R44,R46:R49,R52,R54)/(1+$D$8))*$D$8)*(2/3)+((SUM(S41:S44,S46:S49,S52,S54)/(1+$D$8))*$D$8)/3+(Investitionsplan!S23*$D$8)*(2/3)+(Investitionsplan!T23*$D$8)/3</f>
        <v>3929.4999999999995</v>
      </c>
      <c r="T30" s="76">
        <f>((SUM(S41:S44,S46:S49,S52,S54)/(1+$D$8))*$D$8)*(2/3)+((SUM(T41:T44,T46:T49,T52,T54)/(1+$D$8))*$D$8)/3+(Investitionsplan!T23*$D$8)*(2/3)+(Investitionsplan!U23*$D$8)/3</f>
        <v>4496.166666666667</v>
      </c>
      <c r="U30" s="298">
        <f>((SUM(T41:T44,T46:T49,T52,T54)/(1+$D$8))*$D$8)*(2/3)+((SUM(U41:U44,U46:U49,U52,U54)/(1+$D$8))*$D$8)/3+(Investitionsplan!U23*$D$8)*(2/3)+(Investitionsplan!V23*$D$8)/3</f>
        <v>4496.166666666667</v>
      </c>
      <c r="V30" s="12">
        <f>SUM(R30:U30)</f>
        <v>20384.666666666668</v>
      </c>
      <c r="W30" s="291">
        <f>((SUM(U41:U44,U46:U49,U52,U54)/(1+$D$8))*$D$8)*(2/3)+((SUM(W41:W44,W46:W49,W52,W54)/(1+$D$8))*$D$8)*(10/12)+(Investitionsplan!V23*$D$8)*(2/3)+(Investitionsplan!X23*$D$8)*(10/12)</f>
        <v>18401.333333333336</v>
      </c>
      <c r="X30" s="292">
        <f>((SUM(W41:W44,W46:W49,W52,W54)/(1+$D$8))*$D$8)*(2/12)+((SUM(X41:X44,X46:X49,X52,X54)/(1+$D$8))*$D$8)*(10/12)+(Investitionsplan!X23*$D$8)*(2/12)+(Investitionsplan!Y23*$D$8)*(10/12)</f>
        <v>15818</v>
      </c>
    </row>
    <row r="31" spans="1:24" ht="18.75" customHeight="1" outlineLevel="1" x14ac:dyDescent="0.25">
      <c r="A31" s="853" t="s">
        <v>200</v>
      </c>
      <c r="B31" s="854"/>
      <c r="C31" s="854"/>
      <c r="D31" s="855"/>
      <c r="E31" s="40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153"/>
      <c r="Q31" s="12">
        <f t="shared" ref="Q31:Q32" si="8">SUM(E31:P31)</f>
        <v>0</v>
      </c>
      <c r="R31" s="414"/>
      <c r="S31" s="94"/>
      <c r="T31" s="94"/>
      <c r="U31" s="153"/>
      <c r="V31" s="12">
        <f t="shared" ref="V31:V32" si="9">SUM(R31:U31)</f>
        <v>0</v>
      </c>
      <c r="W31" s="418"/>
      <c r="X31" s="410"/>
    </row>
    <row r="32" spans="1:24" ht="18.75" customHeight="1" outlineLevel="1" thickBot="1" x14ac:dyDescent="0.3">
      <c r="A32" s="878"/>
      <c r="B32" s="879"/>
      <c r="C32" s="879"/>
      <c r="D32" s="880"/>
      <c r="E32" s="311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54"/>
      <c r="Q32" s="134">
        <f t="shared" si="8"/>
        <v>0</v>
      </c>
      <c r="R32" s="416" t="str">
        <f t="shared" ref="R32:U32" si="10">IF($D32="","",IF(AND($D32&lt;=15,$D32&gt;12),(15-$D32+1)*$B32*(1+$B$11)^1,IF(AND($D32&lt;=15,$D32&lt;=12),3*$B32*(1+$B$11)^1,"")))</f>
        <v/>
      </c>
      <c r="S32" s="139" t="str">
        <f t="shared" si="10"/>
        <v/>
      </c>
      <c r="T32" s="139" t="str">
        <f t="shared" si="10"/>
        <v/>
      </c>
      <c r="U32" s="154" t="str">
        <f t="shared" si="10"/>
        <v/>
      </c>
      <c r="V32" s="134">
        <f t="shared" si="9"/>
        <v>0</v>
      </c>
      <c r="W32" s="421"/>
      <c r="X32" s="411"/>
    </row>
    <row r="33" spans="1:24" ht="7.5" customHeight="1" outlineLevel="1" thickTop="1" thickBot="1" x14ac:dyDescent="0.3">
      <c r="A33" s="881"/>
      <c r="B33" s="882"/>
      <c r="C33" s="882"/>
      <c r="D33" s="883"/>
      <c r="E33" s="312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313"/>
      <c r="Q33" s="327"/>
      <c r="R33" s="417"/>
      <c r="S33" s="407"/>
      <c r="T33" s="407"/>
      <c r="U33" s="408"/>
      <c r="V33" s="327"/>
      <c r="W33" s="422"/>
      <c r="X33" s="413"/>
    </row>
    <row r="34" spans="1:24" ht="18.75" customHeight="1" thickBot="1" x14ac:dyDescent="0.3">
      <c r="A34" s="866" t="s">
        <v>150</v>
      </c>
      <c r="B34" s="867"/>
      <c r="C34" s="867"/>
      <c r="D34" s="868"/>
      <c r="E34" s="608">
        <f>SUM(E29:E33)</f>
        <v>0</v>
      </c>
      <c r="F34" s="603">
        <f t="shared" ref="F34:X34" si="11">SUM(F29:F33)</f>
        <v>0</v>
      </c>
      <c r="G34" s="603">
        <f t="shared" si="11"/>
        <v>12731.8</v>
      </c>
      <c r="H34" s="603">
        <f t="shared" si="11"/>
        <v>943.16666666666686</v>
      </c>
      <c r="I34" s="603">
        <f t="shared" si="11"/>
        <v>3276.5</v>
      </c>
      <c r="J34" s="603">
        <f t="shared" si="11"/>
        <v>943.16666666666686</v>
      </c>
      <c r="K34" s="603">
        <f t="shared" si="11"/>
        <v>3443.1666666666674</v>
      </c>
      <c r="L34" s="603">
        <f t="shared" si="11"/>
        <v>2943.166666666667</v>
      </c>
      <c r="M34" s="603">
        <f t="shared" si="11"/>
        <v>943.16666666666686</v>
      </c>
      <c r="N34" s="603">
        <f t="shared" si="11"/>
        <v>943.16666666666686</v>
      </c>
      <c r="O34" s="603">
        <f t="shared" si="11"/>
        <v>943.16666666666686</v>
      </c>
      <c r="P34" s="604">
        <f t="shared" si="11"/>
        <v>5443.166666666667</v>
      </c>
      <c r="Q34" s="543">
        <f t="shared" si="11"/>
        <v>32553.633333333342</v>
      </c>
      <c r="R34" s="605">
        <f t="shared" si="11"/>
        <v>7462.8333333333348</v>
      </c>
      <c r="S34" s="603">
        <f t="shared" si="11"/>
        <v>3929.4999999999995</v>
      </c>
      <c r="T34" s="603">
        <f t="shared" si="11"/>
        <v>4496.166666666667</v>
      </c>
      <c r="U34" s="604">
        <f t="shared" si="11"/>
        <v>4496.166666666667</v>
      </c>
      <c r="V34" s="543">
        <f t="shared" si="11"/>
        <v>20384.666666666668</v>
      </c>
      <c r="W34" s="543">
        <f t="shared" si="11"/>
        <v>18401.333333333336</v>
      </c>
      <c r="X34" s="606">
        <f t="shared" si="11"/>
        <v>15855.539964110852</v>
      </c>
    </row>
    <row r="35" spans="1:24" ht="7.5" customHeight="1" thickBot="1" x14ac:dyDescent="0.3">
      <c r="A35" s="804"/>
      <c r="B35" s="805"/>
      <c r="C35" s="805"/>
      <c r="D35" s="805"/>
      <c r="E35" s="805"/>
      <c r="F35" s="805"/>
      <c r="G35" s="805"/>
      <c r="H35" s="805"/>
      <c r="I35" s="805"/>
      <c r="J35" s="805"/>
      <c r="K35" s="805"/>
      <c r="L35" s="805"/>
      <c r="M35" s="805"/>
      <c r="N35" s="805"/>
      <c r="O35" s="805"/>
      <c r="P35" s="805"/>
      <c r="Q35" s="805"/>
      <c r="R35" s="805"/>
      <c r="S35" s="805"/>
      <c r="T35" s="805"/>
      <c r="U35" s="805"/>
      <c r="V35" s="805"/>
      <c r="W35" s="805"/>
      <c r="X35" s="806"/>
    </row>
    <row r="36" spans="1:24" ht="18" customHeight="1" thickBot="1" x14ac:dyDescent="0.3">
      <c r="A36" s="869" t="s">
        <v>151</v>
      </c>
      <c r="B36" s="870"/>
      <c r="C36" s="870"/>
      <c r="D36" s="871"/>
      <c r="E36" s="451">
        <f>SUM(E26,E34)</f>
        <v>0</v>
      </c>
      <c r="F36" s="547">
        <f t="shared" ref="F36:X36" si="12">SUM(F26,F34)</f>
        <v>0</v>
      </c>
      <c r="G36" s="547">
        <f t="shared" si="12"/>
        <v>12731.8</v>
      </c>
      <c r="H36" s="547">
        <f t="shared" si="12"/>
        <v>943.16666666666686</v>
      </c>
      <c r="I36" s="547">
        <f t="shared" si="12"/>
        <v>3276.5</v>
      </c>
      <c r="J36" s="547">
        <f t="shared" si="12"/>
        <v>943.16666666666686</v>
      </c>
      <c r="K36" s="547">
        <f t="shared" si="12"/>
        <v>123443.16666666667</v>
      </c>
      <c r="L36" s="547">
        <f t="shared" si="12"/>
        <v>2943.166666666667</v>
      </c>
      <c r="M36" s="547">
        <f t="shared" si="12"/>
        <v>120943.16666666667</v>
      </c>
      <c r="N36" s="547">
        <f t="shared" si="12"/>
        <v>943.16666666666686</v>
      </c>
      <c r="O36" s="547">
        <f t="shared" si="12"/>
        <v>120943.16666666667</v>
      </c>
      <c r="P36" s="607">
        <f t="shared" si="12"/>
        <v>13123.166666666668</v>
      </c>
      <c r="Q36" s="333">
        <f t="shared" si="12"/>
        <v>400233.63333333336</v>
      </c>
      <c r="R36" s="452">
        <f t="shared" si="12"/>
        <v>184342.83333333334</v>
      </c>
      <c r="S36" s="547">
        <f t="shared" si="12"/>
        <v>180809.5</v>
      </c>
      <c r="T36" s="547">
        <f t="shared" si="12"/>
        <v>184976.16666666666</v>
      </c>
      <c r="U36" s="607">
        <f t="shared" si="12"/>
        <v>301376.16666666669</v>
      </c>
      <c r="V36" s="333">
        <f t="shared" si="12"/>
        <v>851504.66666666663</v>
      </c>
      <c r="W36" s="333">
        <f t="shared" si="12"/>
        <v>1407161.3333333333</v>
      </c>
      <c r="X36" s="334">
        <f t="shared" si="12"/>
        <v>2567895.5399641111</v>
      </c>
    </row>
    <row r="37" spans="1:24" ht="15.75" thickBot="1" x14ac:dyDescent="0.3"/>
    <row r="38" spans="1:24" ht="22.5" customHeight="1" thickBot="1" x14ac:dyDescent="0.3">
      <c r="A38" s="930" t="s">
        <v>154</v>
      </c>
      <c r="B38" s="931"/>
      <c r="C38" s="932"/>
      <c r="D38" s="330"/>
      <c r="E38" s="770" t="s">
        <v>20</v>
      </c>
      <c r="F38" s="770"/>
      <c r="G38" s="770"/>
      <c r="H38" s="770"/>
      <c r="I38" s="770"/>
      <c r="J38" s="770"/>
      <c r="K38" s="770"/>
      <c r="L38" s="770"/>
      <c r="M38" s="770"/>
      <c r="N38" s="770"/>
      <c r="O38" s="770"/>
      <c r="P38" s="770"/>
      <c r="Q38" s="767" t="s">
        <v>20</v>
      </c>
      <c r="R38" s="770" t="s">
        <v>25</v>
      </c>
      <c r="S38" s="770"/>
      <c r="T38" s="770"/>
      <c r="U38" s="770"/>
      <c r="V38" s="767" t="s">
        <v>25</v>
      </c>
      <c r="W38" s="817" t="s">
        <v>26</v>
      </c>
      <c r="X38" s="778" t="s">
        <v>27</v>
      </c>
    </row>
    <row r="39" spans="1:24" ht="18.75" customHeight="1" thickBot="1" x14ac:dyDescent="0.3">
      <c r="A39" s="927" t="s">
        <v>155</v>
      </c>
      <c r="B39" s="928"/>
      <c r="C39" s="928"/>
      <c r="D39" s="929"/>
      <c r="E39" s="111">
        <v>1</v>
      </c>
      <c r="F39" s="2">
        <v>2</v>
      </c>
      <c r="G39" s="2">
        <v>3</v>
      </c>
      <c r="H39" s="2">
        <v>4</v>
      </c>
      <c r="I39" s="2">
        <v>5</v>
      </c>
      <c r="J39" s="2">
        <v>6</v>
      </c>
      <c r="K39" s="2">
        <v>7</v>
      </c>
      <c r="L39" s="2">
        <v>8</v>
      </c>
      <c r="M39" s="2">
        <v>9</v>
      </c>
      <c r="N39" s="2">
        <v>10</v>
      </c>
      <c r="O39" s="2">
        <v>11</v>
      </c>
      <c r="P39" s="3">
        <v>12</v>
      </c>
      <c r="Q39" s="768"/>
      <c r="R39" s="111" t="s">
        <v>21</v>
      </c>
      <c r="S39" s="2" t="s">
        <v>22</v>
      </c>
      <c r="T39" s="2" t="s">
        <v>23</v>
      </c>
      <c r="U39" s="3" t="s">
        <v>24</v>
      </c>
      <c r="V39" s="768"/>
      <c r="W39" s="884"/>
      <c r="X39" s="779"/>
    </row>
    <row r="40" spans="1:24" ht="18.75" customHeight="1" outlineLevel="1" thickTop="1" x14ac:dyDescent="0.25">
      <c r="A40" s="885" t="str">
        <f>Plankosten!A25</f>
        <v>Personalkosten</v>
      </c>
      <c r="B40" s="886"/>
      <c r="C40" s="886"/>
      <c r="D40" s="887"/>
      <c r="E40" s="6">
        <f>Plankosten!E31</f>
        <v>10840</v>
      </c>
      <c r="F40" s="7">
        <f>Plankosten!F31</f>
        <v>13148</v>
      </c>
      <c r="G40" s="7">
        <f>Plankosten!G31</f>
        <v>16796</v>
      </c>
      <c r="H40" s="7">
        <f>Plankosten!H31</f>
        <v>20444</v>
      </c>
      <c r="I40" s="7">
        <f>Plankosten!I31</f>
        <v>38980.666666666672</v>
      </c>
      <c r="J40" s="7">
        <f>Plankosten!J31</f>
        <v>20444</v>
      </c>
      <c r="K40" s="7">
        <f>Plankosten!K31</f>
        <v>20444</v>
      </c>
      <c r="L40" s="7">
        <f>Plankosten!L31</f>
        <v>20444</v>
      </c>
      <c r="M40" s="7">
        <f>Plankosten!M31</f>
        <v>20444</v>
      </c>
      <c r="N40" s="7">
        <f>Plankosten!N31</f>
        <v>20444</v>
      </c>
      <c r="O40" s="7">
        <f>Plankosten!O31</f>
        <v>38980.666666666672</v>
      </c>
      <c r="P40" s="180">
        <f>Plankosten!P31</f>
        <v>20444</v>
      </c>
      <c r="Q40" s="8">
        <f>Plankosten!Q31</f>
        <v>261853.33333333334</v>
      </c>
      <c r="R40" s="179">
        <f>Plankosten!R31</f>
        <v>75009.600000000006</v>
      </c>
      <c r="S40" s="7">
        <f>Plankosten!S31</f>
        <v>99772.800000000003</v>
      </c>
      <c r="T40" s="7">
        <f>Plankosten!T31</f>
        <v>75009.600000000006</v>
      </c>
      <c r="U40" s="180">
        <f>Plankosten!U31</f>
        <v>99772.800000000003</v>
      </c>
      <c r="V40" s="8">
        <f>Plankosten!V31</f>
        <v>349564.80000000005</v>
      </c>
      <c r="W40" s="181">
        <f>Plankosten!W31</f>
        <v>366899.04000000004</v>
      </c>
      <c r="X40" s="9">
        <f>Plankosten!X31</f>
        <v>385099.99200000009</v>
      </c>
    </row>
    <row r="41" spans="1:24" ht="18.75" customHeight="1" outlineLevel="1" x14ac:dyDescent="0.25">
      <c r="A41" s="853" t="str">
        <f>Plankosten!A33</f>
        <v>Materialeinsatz</v>
      </c>
      <c r="B41" s="854"/>
      <c r="C41" s="854"/>
      <c r="D41" s="855"/>
      <c r="E41" s="335">
        <f>Plankosten!E38*(1+$D$8)</f>
        <v>0</v>
      </c>
      <c r="F41" s="336">
        <f>Plankosten!F38</f>
        <v>0</v>
      </c>
      <c r="G41" s="336">
        <f>Plankosten!G38</f>
        <v>0</v>
      </c>
      <c r="H41" s="336">
        <f>Plankosten!H38</f>
        <v>0</v>
      </c>
      <c r="I41" s="336">
        <f>Plankosten!I38</f>
        <v>0</v>
      </c>
      <c r="J41" s="336">
        <f>Plankosten!J38</f>
        <v>0</v>
      </c>
      <c r="K41" s="336">
        <f>Plankosten!K38</f>
        <v>0</v>
      </c>
      <c r="L41" s="336">
        <f>Plankosten!L38</f>
        <v>0</v>
      </c>
      <c r="M41" s="336">
        <f>Plankosten!M38</f>
        <v>0</v>
      </c>
      <c r="N41" s="336">
        <f>Plankosten!N38</f>
        <v>0</v>
      </c>
      <c r="O41" s="336">
        <f>Plankosten!O38</f>
        <v>0</v>
      </c>
      <c r="P41" s="337">
        <f>Plankosten!P38</f>
        <v>0</v>
      </c>
      <c r="Q41" s="331">
        <f>Plankosten!Q38</f>
        <v>0</v>
      </c>
      <c r="R41" s="338">
        <f>Plankosten!R38</f>
        <v>0</v>
      </c>
      <c r="S41" s="336">
        <f>Plankosten!S38</f>
        <v>0</v>
      </c>
      <c r="T41" s="336">
        <f>Plankosten!T38</f>
        <v>0</v>
      </c>
      <c r="U41" s="337">
        <f>Plankosten!U38</f>
        <v>0</v>
      </c>
      <c r="V41" s="331">
        <f>Plankosten!V38</f>
        <v>0</v>
      </c>
      <c r="W41" s="339">
        <f>Plankosten!W38</f>
        <v>0</v>
      </c>
      <c r="X41" s="245">
        <f>Plankosten!X38</f>
        <v>0</v>
      </c>
    </row>
    <row r="42" spans="1:24" ht="18.75" customHeight="1" outlineLevel="1" x14ac:dyDescent="0.25">
      <c r="A42" s="853" t="str">
        <f>Plankosten!A40</f>
        <v>Roh-, Betriebs- uns Hilfsstoffe</v>
      </c>
      <c r="B42" s="854"/>
      <c r="C42" s="854"/>
      <c r="D42" s="855"/>
      <c r="E42" s="335">
        <f>Plankosten!E45*(1+$D$8)</f>
        <v>0</v>
      </c>
      <c r="F42" s="336">
        <f>Plankosten!F45</f>
        <v>0</v>
      </c>
      <c r="G42" s="336">
        <f>Plankosten!G45</f>
        <v>0</v>
      </c>
      <c r="H42" s="336">
        <f>Plankosten!H45</f>
        <v>0</v>
      </c>
      <c r="I42" s="336">
        <f>Plankosten!I45</f>
        <v>0</v>
      </c>
      <c r="J42" s="336">
        <f>Plankosten!J45</f>
        <v>0</v>
      </c>
      <c r="K42" s="336">
        <f>Plankosten!K45</f>
        <v>0</v>
      </c>
      <c r="L42" s="336">
        <f>Plankosten!L45</f>
        <v>0</v>
      </c>
      <c r="M42" s="336">
        <f>Plankosten!M45</f>
        <v>0</v>
      </c>
      <c r="N42" s="336">
        <f>Plankosten!N45</f>
        <v>0</v>
      </c>
      <c r="O42" s="336">
        <f>Plankosten!O45</f>
        <v>0</v>
      </c>
      <c r="P42" s="337">
        <f>Plankosten!P45</f>
        <v>0</v>
      </c>
      <c r="Q42" s="331">
        <f>Plankosten!Q45</f>
        <v>0</v>
      </c>
      <c r="R42" s="338">
        <f>Plankosten!R45</f>
        <v>0</v>
      </c>
      <c r="S42" s="336">
        <f>Plankosten!S45</f>
        <v>0</v>
      </c>
      <c r="T42" s="336">
        <f>Plankosten!T45</f>
        <v>0</v>
      </c>
      <c r="U42" s="337">
        <f>Plankosten!U45</f>
        <v>0</v>
      </c>
      <c r="V42" s="331">
        <f>Plankosten!V45</f>
        <v>0</v>
      </c>
      <c r="W42" s="339">
        <f>Plankosten!W45</f>
        <v>0</v>
      </c>
      <c r="X42" s="245">
        <f>Plankosten!X45</f>
        <v>0</v>
      </c>
    </row>
    <row r="43" spans="1:24" ht="30" customHeight="1" outlineLevel="1" x14ac:dyDescent="0.25">
      <c r="A43" s="918" t="str">
        <f>Plankosten!A47</f>
        <v>Sonstige betriebliche Aufwendungen
(Miete, Pacht, Betriebskosten)</v>
      </c>
      <c r="B43" s="919"/>
      <c r="C43" s="919"/>
      <c r="D43" s="920"/>
      <c r="E43" s="335">
        <f>Plankosten!E54*(1+$D$8)</f>
        <v>1525.2</v>
      </c>
      <c r="F43" s="336">
        <f>Plankosten!F54</f>
        <v>1271</v>
      </c>
      <c r="G43" s="336">
        <f>Plankosten!G54</f>
        <v>1271</v>
      </c>
      <c r="H43" s="336">
        <f>Plankosten!H54</f>
        <v>1271</v>
      </c>
      <c r="I43" s="336">
        <f>Plankosten!I54</f>
        <v>1271</v>
      </c>
      <c r="J43" s="336">
        <f>Plankosten!J54</f>
        <v>1271</v>
      </c>
      <c r="K43" s="336">
        <f>Plankosten!K54</f>
        <v>1271</v>
      </c>
      <c r="L43" s="336">
        <f>Plankosten!L54</f>
        <v>1271</v>
      </c>
      <c r="M43" s="336">
        <f>Plankosten!M54</f>
        <v>1271</v>
      </c>
      <c r="N43" s="336">
        <f>Plankosten!N54</f>
        <v>1271</v>
      </c>
      <c r="O43" s="336">
        <f>Plankosten!O54</f>
        <v>1271</v>
      </c>
      <c r="P43" s="337">
        <f>Plankosten!P54</f>
        <v>1271</v>
      </c>
      <c r="Q43" s="331">
        <f>Plankosten!Q54</f>
        <v>15252</v>
      </c>
      <c r="R43" s="338">
        <f>Plankosten!R54</f>
        <v>3813</v>
      </c>
      <c r="S43" s="336">
        <f>Plankosten!S54</f>
        <v>3813</v>
      </c>
      <c r="T43" s="336">
        <f>Plankosten!T54</f>
        <v>3813</v>
      </c>
      <c r="U43" s="337">
        <f>Plankosten!U54</f>
        <v>3813</v>
      </c>
      <c r="V43" s="331">
        <f>Plankosten!V54</f>
        <v>15252</v>
      </c>
      <c r="W43" s="339">
        <f>Plankosten!W54</f>
        <v>15252</v>
      </c>
      <c r="X43" s="245">
        <f>Plankosten!X54</f>
        <v>15252</v>
      </c>
    </row>
    <row r="44" spans="1:24" ht="18.75" customHeight="1" outlineLevel="1" x14ac:dyDescent="0.25">
      <c r="A44" s="918" t="str">
        <f>Plankosten!A56</f>
        <v>Instandhaltung</v>
      </c>
      <c r="B44" s="919"/>
      <c r="C44" s="919"/>
      <c r="D44" s="920"/>
      <c r="E44" s="335">
        <f>Plankosten!E61*(1+$D$8)</f>
        <v>0</v>
      </c>
      <c r="F44" s="336">
        <f>Plankosten!F61</f>
        <v>0</v>
      </c>
      <c r="G44" s="336">
        <f>Plankosten!G61</f>
        <v>0</v>
      </c>
      <c r="H44" s="336">
        <f>Plankosten!H61</f>
        <v>0</v>
      </c>
      <c r="I44" s="336">
        <f>Plankosten!I61</f>
        <v>0</v>
      </c>
      <c r="J44" s="336">
        <f>Plankosten!J61</f>
        <v>0</v>
      </c>
      <c r="K44" s="336">
        <f>Plankosten!K61</f>
        <v>0</v>
      </c>
      <c r="L44" s="336">
        <f>Plankosten!L61</f>
        <v>0</v>
      </c>
      <c r="M44" s="336">
        <f>Plankosten!M61</f>
        <v>0</v>
      </c>
      <c r="N44" s="336">
        <f>Plankosten!N61</f>
        <v>0</v>
      </c>
      <c r="O44" s="336">
        <f>Plankosten!O61</f>
        <v>0</v>
      </c>
      <c r="P44" s="337">
        <f>Plankosten!P61</f>
        <v>2000</v>
      </c>
      <c r="Q44" s="331">
        <f>Plankosten!Q61</f>
        <v>2000</v>
      </c>
      <c r="R44" s="338">
        <f>Plankosten!R61</f>
        <v>0</v>
      </c>
      <c r="S44" s="336">
        <f>Plankosten!S61</f>
        <v>0</v>
      </c>
      <c r="T44" s="336">
        <f>Plankosten!T61</f>
        <v>0</v>
      </c>
      <c r="U44" s="337">
        <f>Plankosten!U61</f>
        <v>2000</v>
      </c>
      <c r="V44" s="331">
        <f>Plankosten!V61</f>
        <v>2000</v>
      </c>
      <c r="W44" s="339">
        <f>Plankosten!W61</f>
        <v>2000</v>
      </c>
      <c r="X44" s="245">
        <f>Plankosten!X61</f>
        <v>2000</v>
      </c>
    </row>
    <row r="45" spans="1:24" ht="18.75" customHeight="1" outlineLevel="1" x14ac:dyDescent="0.25">
      <c r="A45" s="918" t="str">
        <f>Plankosten!A63</f>
        <v>Kfz-Kosten und Reisekosten</v>
      </c>
      <c r="B45" s="919"/>
      <c r="C45" s="919"/>
      <c r="D45" s="920"/>
      <c r="E45" s="335">
        <f>Plankosten!E70</f>
        <v>2000</v>
      </c>
      <c r="F45" s="336">
        <f>Plankosten!F70</f>
        <v>500</v>
      </c>
      <c r="G45" s="336">
        <f>Plankosten!G70</f>
        <v>500</v>
      </c>
      <c r="H45" s="336">
        <f>Plankosten!H70</f>
        <v>500</v>
      </c>
      <c r="I45" s="336">
        <f>Plankosten!I70</f>
        <v>500</v>
      </c>
      <c r="J45" s="336">
        <f>Plankosten!J70</f>
        <v>500</v>
      </c>
      <c r="K45" s="336">
        <f>Plankosten!K70</f>
        <v>500</v>
      </c>
      <c r="L45" s="336">
        <f>Plankosten!L70</f>
        <v>500</v>
      </c>
      <c r="M45" s="336">
        <f>Plankosten!M70</f>
        <v>500</v>
      </c>
      <c r="N45" s="336">
        <f>Plankosten!N70</f>
        <v>500</v>
      </c>
      <c r="O45" s="336">
        <f>Plankosten!O70</f>
        <v>500</v>
      </c>
      <c r="P45" s="337">
        <f>Plankosten!P70</f>
        <v>500</v>
      </c>
      <c r="Q45" s="331">
        <f>Plankosten!Q70</f>
        <v>7500</v>
      </c>
      <c r="R45" s="338">
        <f>Plankosten!R70</f>
        <v>6000</v>
      </c>
      <c r="S45" s="336">
        <f>Plankosten!S70</f>
        <v>1500</v>
      </c>
      <c r="T45" s="336">
        <f>Plankosten!T70</f>
        <v>1500</v>
      </c>
      <c r="U45" s="337">
        <f>Plankosten!U70</f>
        <v>1500</v>
      </c>
      <c r="V45" s="331">
        <f>Plankosten!V70</f>
        <v>10500</v>
      </c>
      <c r="W45" s="339">
        <f>Plankosten!W70</f>
        <v>10500</v>
      </c>
      <c r="X45" s="245">
        <f>Plankosten!X70</f>
        <v>10500</v>
      </c>
    </row>
    <row r="46" spans="1:24" ht="18.75" customHeight="1" outlineLevel="1" x14ac:dyDescent="0.25">
      <c r="A46" s="918" t="str">
        <f>Plankosten!A72</f>
        <v>Büromaterial</v>
      </c>
      <c r="B46" s="919"/>
      <c r="C46" s="919"/>
      <c r="D46" s="920"/>
      <c r="E46" s="335">
        <f>Plankosten!E78*(1+$D$8)</f>
        <v>2640</v>
      </c>
      <c r="F46" s="336">
        <f>Plankosten!F78</f>
        <v>2200</v>
      </c>
      <c r="G46" s="336">
        <f>Plankosten!G78</f>
        <v>2200</v>
      </c>
      <c r="H46" s="336">
        <f>Plankosten!H78</f>
        <v>2200</v>
      </c>
      <c r="I46" s="336">
        <f>Plankosten!I78</f>
        <v>2200</v>
      </c>
      <c r="J46" s="336">
        <f>Plankosten!J78</f>
        <v>2200</v>
      </c>
      <c r="K46" s="336">
        <f>Plankosten!K78</f>
        <v>2200</v>
      </c>
      <c r="L46" s="336">
        <f>Plankosten!L78</f>
        <v>2200</v>
      </c>
      <c r="M46" s="336">
        <f>Plankosten!M78</f>
        <v>2200</v>
      </c>
      <c r="N46" s="336">
        <f>Plankosten!N78</f>
        <v>2200</v>
      </c>
      <c r="O46" s="336">
        <f>Plankosten!O78</f>
        <v>2200</v>
      </c>
      <c r="P46" s="337">
        <f>Plankosten!P78</f>
        <v>2200</v>
      </c>
      <c r="Q46" s="331">
        <f>Plankosten!Q78</f>
        <v>26400</v>
      </c>
      <c r="R46" s="338">
        <f>Plankosten!R78</f>
        <v>6600</v>
      </c>
      <c r="S46" s="336">
        <f>Plankosten!S78</f>
        <v>6600</v>
      </c>
      <c r="T46" s="336">
        <f>Plankosten!T78</f>
        <v>6600</v>
      </c>
      <c r="U46" s="337">
        <f>Plankosten!U78</f>
        <v>6600</v>
      </c>
      <c r="V46" s="331">
        <f>Plankosten!V78</f>
        <v>26400</v>
      </c>
      <c r="W46" s="339">
        <f>Plankosten!W78</f>
        <v>26400</v>
      </c>
      <c r="X46" s="245">
        <f>Plankosten!X78</f>
        <v>26400</v>
      </c>
    </row>
    <row r="47" spans="1:24" ht="18.75" customHeight="1" outlineLevel="1" x14ac:dyDescent="0.25">
      <c r="A47" s="918" t="str">
        <f>Plankosten!A80</f>
        <v>Telefon / Fax / Internet</v>
      </c>
      <c r="B47" s="919"/>
      <c r="C47" s="919"/>
      <c r="D47" s="920"/>
      <c r="E47" s="335">
        <f>Plankosten!E86*(1+$D$8)</f>
        <v>465.59999999999997</v>
      </c>
      <c r="F47" s="336">
        <f>Plankosten!F86</f>
        <v>388</v>
      </c>
      <c r="G47" s="336">
        <f>Plankosten!G86</f>
        <v>388</v>
      </c>
      <c r="H47" s="336">
        <f>Plankosten!H86</f>
        <v>388</v>
      </c>
      <c r="I47" s="336">
        <f>Plankosten!I86</f>
        <v>388</v>
      </c>
      <c r="J47" s="336">
        <f>Plankosten!J86</f>
        <v>388</v>
      </c>
      <c r="K47" s="336">
        <f>Plankosten!K86</f>
        <v>388</v>
      </c>
      <c r="L47" s="336">
        <f>Plankosten!L86</f>
        <v>388</v>
      </c>
      <c r="M47" s="336">
        <f>Plankosten!M86</f>
        <v>388</v>
      </c>
      <c r="N47" s="336">
        <f>Plankosten!N86</f>
        <v>388</v>
      </c>
      <c r="O47" s="336">
        <f>Plankosten!O86</f>
        <v>388</v>
      </c>
      <c r="P47" s="337">
        <f>Plankosten!P86</f>
        <v>388</v>
      </c>
      <c r="Q47" s="331">
        <f>Plankosten!Q86</f>
        <v>4656</v>
      </c>
      <c r="R47" s="338">
        <f>Plankosten!R86</f>
        <v>1164</v>
      </c>
      <c r="S47" s="336">
        <f>Plankosten!S86</f>
        <v>1164</v>
      </c>
      <c r="T47" s="336">
        <f>Plankosten!T86</f>
        <v>1164</v>
      </c>
      <c r="U47" s="337">
        <f>Plankosten!U86</f>
        <v>1164</v>
      </c>
      <c r="V47" s="331">
        <f>Plankosten!V86</f>
        <v>4656</v>
      </c>
      <c r="W47" s="339">
        <f>Plankosten!W86</f>
        <v>4656</v>
      </c>
      <c r="X47" s="245">
        <f>Plankosten!X86</f>
        <v>4656</v>
      </c>
    </row>
    <row r="48" spans="1:24" ht="18.75" customHeight="1" outlineLevel="1" x14ac:dyDescent="0.25">
      <c r="A48" s="924" t="str">
        <f>Plankosten!A88</f>
        <v>Steuer- und Rechtsberatung</v>
      </c>
      <c r="B48" s="925"/>
      <c r="C48" s="925"/>
      <c r="D48" s="926"/>
      <c r="E48" s="335">
        <f>Plankosten!E95*(1+$D$8)</f>
        <v>360</v>
      </c>
      <c r="F48" s="336">
        <f>Plankosten!F95</f>
        <v>300</v>
      </c>
      <c r="G48" s="336">
        <f>Plankosten!G95</f>
        <v>2300</v>
      </c>
      <c r="H48" s="336">
        <f>Plankosten!H95</f>
        <v>300</v>
      </c>
      <c r="I48" s="336">
        <f>Plankosten!I95</f>
        <v>300</v>
      </c>
      <c r="J48" s="336">
        <f>Plankosten!J95</f>
        <v>300</v>
      </c>
      <c r="K48" s="336">
        <f>Plankosten!K95</f>
        <v>300</v>
      </c>
      <c r="L48" s="336">
        <f>Plankosten!L95</f>
        <v>300</v>
      </c>
      <c r="M48" s="336">
        <f>Plankosten!M95</f>
        <v>300</v>
      </c>
      <c r="N48" s="336">
        <f>Plankosten!N95</f>
        <v>3300</v>
      </c>
      <c r="O48" s="336">
        <f>Plankosten!O95</f>
        <v>300</v>
      </c>
      <c r="P48" s="337">
        <f>Plankosten!P95</f>
        <v>300</v>
      </c>
      <c r="Q48" s="331">
        <f>Plankosten!Q95</f>
        <v>8600</v>
      </c>
      <c r="R48" s="338">
        <f>Plankosten!R95</f>
        <v>900</v>
      </c>
      <c r="S48" s="336">
        <f>Plankosten!S95</f>
        <v>900</v>
      </c>
      <c r="T48" s="336">
        <f>Plankosten!T95</f>
        <v>900</v>
      </c>
      <c r="U48" s="337">
        <f>Plankosten!U95</f>
        <v>3900</v>
      </c>
      <c r="V48" s="331">
        <f>Plankosten!V95</f>
        <v>6600</v>
      </c>
      <c r="W48" s="339">
        <f>Plankosten!W95</f>
        <v>6600</v>
      </c>
      <c r="X48" s="245">
        <f>Plankosten!X95</f>
        <v>6600</v>
      </c>
    </row>
    <row r="49" spans="1:24" ht="18.75" customHeight="1" outlineLevel="1" x14ac:dyDescent="0.25">
      <c r="A49" s="856" t="str">
        <f>Plankosten!A97</f>
        <v>Werbungskosten</v>
      </c>
      <c r="B49" s="857"/>
      <c r="C49" s="857"/>
      <c r="D49" s="858"/>
      <c r="E49" s="335">
        <f>Plankosten!E103*(1+$D$8)</f>
        <v>0</v>
      </c>
      <c r="F49" s="336">
        <f>Plankosten!F103</f>
        <v>0</v>
      </c>
      <c r="G49" s="336">
        <f>Plankosten!G103</f>
        <v>0</v>
      </c>
      <c r="H49" s="336">
        <f>Plankosten!H103</f>
        <v>0</v>
      </c>
      <c r="I49" s="336">
        <f>Plankosten!I103</f>
        <v>0</v>
      </c>
      <c r="J49" s="336">
        <f>Plankosten!J103</f>
        <v>0</v>
      </c>
      <c r="K49" s="336">
        <f>Plankosten!K103</f>
        <v>0</v>
      </c>
      <c r="L49" s="336">
        <f>Plankosten!L103</f>
        <v>0</v>
      </c>
      <c r="M49" s="336">
        <f>Plankosten!M103</f>
        <v>0</v>
      </c>
      <c r="N49" s="336">
        <f>Plankosten!N103</f>
        <v>0</v>
      </c>
      <c r="O49" s="336">
        <f>Plankosten!O103</f>
        <v>0</v>
      </c>
      <c r="P49" s="337">
        <f>Plankosten!P103</f>
        <v>25000</v>
      </c>
      <c r="Q49" s="331">
        <f>Plankosten!Q103</f>
        <v>25000</v>
      </c>
      <c r="R49" s="338">
        <f>Plankosten!R103</f>
        <v>0</v>
      </c>
      <c r="S49" s="336">
        <f>Plankosten!S103</f>
        <v>0</v>
      </c>
      <c r="T49" s="336">
        <f>Plankosten!T103</f>
        <v>0</v>
      </c>
      <c r="U49" s="337">
        <f>Plankosten!U103</f>
        <v>25000</v>
      </c>
      <c r="V49" s="331">
        <f>Plankosten!V103</f>
        <v>25000</v>
      </c>
      <c r="W49" s="339">
        <f>Plankosten!W103</f>
        <v>25000</v>
      </c>
      <c r="X49" s="245">
        <f>Plankosten!X103</f>
        <v>25000</v>
      </c>
    </row>
    <row r="50" spans="1:24" ht="18.75" customHeight="1" outlineLevel="1" x14ac:dyDescent="0.25">
      <c r="A50" s="856" t="str">
        <f>Plankosten!A105</f>
        <v>Gebühren, Kammerbeiträge</v>
      </c>
      <c r="B50" s="857"/>
      <c r="C50" s="857"/>
      <c r="D50" s="858"/>
      <c r="E50" s="335">
        <f>Plankosten!E112</f>
        <v>97.327174576666678</v>
      </c>
      <c r="F50" s="336">
        <f>Plankosten!F112</f>
        <v>297.32717457666666</v>
      </c>
      <c r="G50" s="336">
        <f>Plankosten!G112</f>
        <v>97.327174576666678</v>
      </c>
      <c r="H50" s="336">
        <f>Plankosten!H112</f>
        <v>97.327174576666678</v>
      </c>
      <c r="I50" s="336">
        <f>Plankosten!I112</f>
        <v>297.32717457666666</v>
      </c>
      <c r="J50" s="336">
        <f>Plankosten!J112</f>
        <v>97.327174576666678</v>
      </c>
      <c r="K50" s="336">
        <f>Plankosten!K112</f>
        <v>97.327174576666678</v>
      </c>
      <c r="L50" s="336">
        <f>Plankosten!L112</f>
        <v>297.32717457666666</v>
      </c>
      <c r="M50" s="336">
        <f>Plankosten!M112</f>
        <v>97.327174576666678</v>
      </c>
      <c r="N50" s="336">
        <f>Plankosten!N112</f>
        <v>97.327174576666678</v>
      </c>
      <c r="O50" s="336">
        <f>Plankosten!O112</f>
        <v>297.32717457666666</v>
      </c>
      <c r="P50" s="337">
        <f>Plankosten!P112</f>
        <v>97.327174576666678</v>
      </c>
      <c r="Q50" s="331">
        <f>Plankosten!Q112</f>
        <v>1967.92609492</v>
      </c>
      <c r="R50" s="338">
        <f>Plankosten!R112</f>
        <v>491.98152373000005</v>
      </c>
      <c r="S50" s="336">
        <f>Plankosten!S112</f>
        <v>491.98152373000005</v>
      </c>
      <c r="T50" s="336">
        <f>Plankosten!T112</f>
        <v>491.98152373000005</v>
      </c>
      <c r="U50" s="337">
        <f>Plankosten!U112</f>
        <v>491.98152373000005</v>
      </c>
      <c r="V50" s="331">
        <f>Plankosten!V112</f>
        <v>1967.9260949200002</v>
      </c>
      <c r="W50" s="339">
        <f>Plankosten!W112</f>
        <v>1967.9260949200002</v>
      </c>
      <c r="X50" s="245">
        <f>Plankosten!X112</f>
        <v>1967.9260949200002</v>
      </c>
    </row>
    <row r="51" spans="1:24" ht="18.75" customHeight="1" outlineLevel="1" x14ac:dyDescent="0.25">
      <c r="A51" s="856" t="str">
        <f>Plankosten!A114</f>
        <v>Betriebsversicherung</v>
      </c>
      <c r="B51" s="857"/>
      <c r="C51" s="857"/>
      <c r="D51" s="858"/>
      <c r="E51" s="335">
        <f>Plankosten!E119</f>
        <v>0</v>
      </c>
      <c r="F51" s="336">
        <f>Plankosten!F119</f>
        <v>0</v>
      </c>
      <c r="G51" s="336">
        <f>Plankosten!G119</f>
        <v>0</v>
      </c>
      <c r="H51" s="336">
        <f>Plankosten!H119</f>
        <v>0</v>
      </c>
      <c r="I51" s="336">
        <f>Plankosten!I119</f>
        <v>0</v>
      </c>
      <c r="J51" s="336">
        <f>Plankosten!J119</f>
        <v>0</v>
      </c>
      <c r="K51" s="336">
        <f>Plankosten!K119</f>
        <v>0</v>
      </c>
      <c r="L51" s="336">
        <f>Plankosten!L119</f>
        <v>0</v>
      </c>
      <c r="M51" s="336">
        <f>Plankosten!M119</f>
        <v>0</v>
      </c>
      <c r="N51" s="336">
        <f>Plankosten!N119</f>
        <v>0</v>
      </c>
      <c r="O51" s="336">
        <f>Plankosten!O119</f>
        <v>0</v>
      </c>
      <c r="P51" s="337">
        <f>Plankosten!P119</f>
        <v>0</v>
      </c>
      <c r="Q51" s="331">
        <f>Plankosten!Q119</f>
        <v>0</v>
      </c>
      <c r="R51" s="338">
        <f>Plankosten!R119</f>
        <v>0</v>
      </c>
      <c r="S51" s="336">
        <f>Plankosten!S119</f>
        <v>0</v>
      </c>
      <c r="T51" s="336">
        <f>Plankosten!T119</f>
        <v>0</v>
      </c>
      <c r="U51" s="337">
        <f>Plankosten!U119</f>
        <v>0</v>
      </c>
      <c r="V51" s="331">
        <f>Plankosten!V119</f>
        <v>0</v>
      </c>
      <c r="W51" s="339">
        <f>Plankosten!W119</f>
        <v>0</v>
      </c>
      <c r="X51" s="245">
        <f>Plankosten!X119</f>
        <v>0</v>
      </c>
    </row>
    <row r="52" spans="1:24" ht="18.75" customHeight="1" outlineLevel="1" x14ac:dyDescent="0.25">
      <c r="A52" s="856" t="str">
        <f>Plankosten!A121</f>
        <v>Leasinggebühren</v>
      </c>
      <c r="B52" s="857"/>
      <c r="C52" s="857"/>
      <c r="D52" s="858"/>
      <c r="E52" s="335">
        <f>Plankosten!E126*(1+$D$8)</f>
        <v>1800</v>
      </c>
      <c r="F52" s="336">
        <f>Plankosten!F126</f>
        <v>1500</v>
      </c>
      <c r="G52" s="336">
        <f>Plankosten!G126</f>
        <v>1500</v>
      </c>
      <c r="H52" s="336">
        <f>Plankosten!H126</f>
        <v>1500</v>
      </c>
      <c r="I52" s="336">
        <f>Plankosten!I126</f>
        <v>1500</v>
      </c>
      <c r="J52" s="336">
        <f>Plankosten!J126</f>
        <v>1500</v>
      </c>
      <c r="K52" s="336">
        <f>Plankosten!K126</f>
        <v>1500</v>
      </c>
      <c r="L52" s="336">
        <f>Plankosten!L126</f>
        <v>1500</v>
      </c>
      <c r="M52" s="336">
        <f>Plankosten!M126</f>
        <v>1500</v>
      </c>
      <c r="N52" s="336">
        <f>Plankosten!N126</f>
        <v>1500</v>
      </c>
      <c r="O52" s="336">
        <f>Plankosten!O126</f>
        <v>1500</v>
      </c>
      <c r="P52" s="337">
        <f>Plankosten!P126</f>
        <v>1500</v>
      </c>
      <c r="Q52" s="331">
        <f>Plankosten!Q126</f>
        <v>18000</v>
      </c>
      <c r="R52" s="338">
        <f>Plankosten!R126</f>
        <v>4500</v>
      </c>
      <c r="S52" s="336">
        <f>Plankosten!S126</f>
        <v>4500</v>
      </c>
      <c r="T52" s="336">
        <f>Plankosten!T126</f>
        <v>4500</v>
      </c>
      <c r="U52" s="337">
        <f>Plankosten!U126</f>
        <v>4500</v>
      </c>
      <c r="V52" s="331">
        <f>Plankosten!V126</f>
        <v>0</v>
      </c>
      <c r="W52" s="339">
        <f>Plankosten!W126</f>
        <v>0</v>
      </c>
      <c r="X52" s="245">
        <f>Plankosten!X126</f>
        <v>0</v>
      </c>
    </row>
    <row r="53" spans="1:24" ht="18.75" customHeight="1" outlineLevel="1" x14ac:dyDescent="0.25">
      <c r="A53" s="856" t="str">
        <f>Plankosten!A128</f>
        <v>Spesen-, Bank-, Kreditgebühren</v>
      </c>
      <c r="B53" s="857"/>
      <c r="C53" s="857"/>
      <c r="D53" s="858"/>
      <c r="E53" s="335">
        <f>Plankosten!E133</f>
        <v>50</v>
      </c>
      <c r="F53" s="336">
        <f>Plankosten!F133</f>
        <v>0</v>
      </c>
      <c r="G53" s="336">
        <f>Plankosten!G133</f>
        <v>0</v>
      </c>
      <c r="H53" s="336">
        <f>Plankosten!H133</f>
        <v>50</v>
      </c>
      <c r="I53" s="336">
        <f>Plankosten!I133</f>
        <v>0</v>
      </c>
      <c r="J53" s="336">
        <f>Plankosten!J133</f>
        <v>0</v>
      </c>
      <c r="K53" s="336">
        <f>Plankosten!K133</f>
        <v>50</v>
      </c>
      <c r="L53" s="336">
        <f>Plankosten!L133</f>
        <v>0</v>
      </c>
      <c r="M53" s="336">
        <f>Plankosten!M133</f>
        <v>0</v>
      </c>
      <c r="N53" s="336">
        <f>Plankosten!N133</f>
        <v>50</v>
      </c>
      <c r="O53" s="336">
        <f>Plankosten!O133</f>
        <v>0</v>
      </c>
      <c r="P53" s="337">
        <f>Plankosten!P133</f>
        <v>0</v>
      </c>
      <c r="Q53" s="331">
        <f>Plankosten!Q133</f>
        <v>200</v>
      </c>
      <c r="R53" s="338">
        <f>Plankosten!R133</f>
        <v>50</v>
      </c>
      <c r="S53" s="336">
        <f>Plankosten!S133</f>
        <v>50</v>
      </c>
      <c r="T53" s="336">
        <f>Plankosten!T133</f>
        <v>50</v>
      </c>
      <c r="U53" s="337">
        <f>Plankosten!U133</f>
        <v>50</v>
      </c>
      <c r="V53" s="331">
        <f>Plankosten!V133</f>
        <v>200</v>
      </c>
      <c r="W53" s="339">
        <f>Plankosten!W133</f>
        <v>200</v>
      </c>
      <c r="X53" s="245">
        <f>Plankosten!X133</f>
        <v>200</v>
      </c>
    </row>
    <row r="54" spans="1:24" ht="18.75" customHeight="1" outlineLevel="1" thickBot="1" x14ac:dyDescent="0.3">
      <c r="A54" s="921" t="str">
        <f>Plankosten!A135</f>
        <v>Sonstige Kosten</v>
      </c>
      <c r="B54" s="922"/>
      <c r="C54" s="922"/>
      <c r="D54" s="923"/>
      <c r="E54" s="128">
        <f>Plankosten!E141*(1+$D$8)</f>
        <v>0</v>
      </c>
      <c r="F54" s="129">
        <f>Plankosten!F141</f>
        <v>0</v>
      </c>
      <c r="G54" s="129">
        <f>Plankosten!G141</f>
        <v>0</v>
      </c>
      <c r="H54" s="129">
        <f>Plankosten!H141</f>
        <v>0</v>
      </c>
      <c r="I54" s="129">
        <f>Plankosten!I141</f>
        <v>15000</v>
      </c>
      <c r="J54" s="129">
        <f>Plankosten!J141</f>
        <v>0</v>
      </c>
      <c r="K54" s="129">
        <f>Plankosten!K141</f>
        <v>0</v>
      </c>
      <c r="L54" s="129">
        <f>Plankosten!L141</f>
        <v>0</v>
      </c>
      <c r="M54" s="129">
        <f>Plankosten!M141</f>
        <v>0</v>
      </c>
      <c r="N54" s="129">
        <f>Plankosten!N141</f>
        <v>0</v>
      </c>
      <c r="O54" s="129">
        <f>Plankosten!O141</f>
        <v>0</v>
      </c>
      <c r="P54" s="159">
        <f>Plankosten!P141</f>
        <v>0</v>
      </c>
      <c r="Q54" s="134">
        <f>Plankosten!Q141</f>
        <v>15000</v>
      </c>
      <c r="R54" s="196">
        <f>Plankosten!R141</f>
        <v>0</v>
      </c>
      <c r="S54" s="129">
        <f>Plankosten!S141</f>
        <v>15000</v>
      </c>
      <c r="T54" s="129">
        <f>Plankosten!T141</f>
        <v>0</v>
      </c>
      <c r="U54" s="159">
        <f>Plankosten!U141</f>
        <v>0</v>
      </c>
      <c r="V54" s="134">
        <f>Plankosten!V141</f>
        <v>15000</v>
      </c>
      <c r="W54" s="197">
        <f>Plankosten!W141</f>
        <v>15000</v>
      </c>
      <c r="X54" s="135">
        <f>Plankosten!X141</f>
        <v>15000</v>
      </c>
    </row>
    <row r="55" spans="1:24" ht="7.5" customHeight="1" outlineLevel="1" thickTop="1" thickBot="1" x14ac:dyDescent="0.3">
      <c r="A55" s="915"/>
      <c r="B55" s="916"/>
      <c r="C55" s="916"/>
      <c r="D55" s="917"/>
      <c r="E55" s="340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341"/>
      <c r="Q55" s="327" t="str">
        <f t="shared" ref="Q55" si="13">IF(SUM(E55:P55)=0,"",SUM(E55:P55))</f>
        <v/>
      </c>
      <c r="R55" s="342"/>
      <c r="S55" s="325"/>
      <c r="T55" s="325"/>
      <c r="U55" s="343"/>
      <c r="V55" s="327" t="str">
        <f t="shared" ref="V55" si="14">IF(SUM(R55:U55)=0,"",SUM(R55:U55))</f>
        <v/>
      </c>
      <c r="W55" s="344"/>
      <c r="X55" s="329"/>
    </row>
    <row r="56" spans="1:24" ht="18.75" customHeight="1" thickBot="1" x14ac:dyDescent="0.3">
      <c r="A56" s="866" t="s">
        <v>156</v>
      </c>
      <c r="B56" s="867"/>
      <c r="C56" s="867"/>
      <c r="D56" s="868"/>
      <c r="E56" s="444">
        <f t="shared" ref="E56:X56" si="15">SUM(E40:E55)</f>
        <v>19778.127174576664</v>
      </c>
      <c r="F56" s="541">
        <f t="shared" si="15"/>
        <v>19604.327174576665</v>
      </c>
      <c r="G56" s="541">
        <f t="shared" si="15"/>
        <v>25052.327174576665</v>
      </c>
      <c r="H56" s="541">
        <f t="shared" si="15"/>
        <v>26750.327174576665</v>
      </c>
      <c r="I56" s="541">
        <f t="shared" si="15"/>
        <v>60436.99384124334</v>
      </c>
      <c r="J56" s="541">
        <f t="shared" si="15"/>
        <v>26700.327174576665</v>
      </c>
      <c r="K56" s="541">
        <f t="shared" si="15"/>
        <v>26750.327174576665</v>
      </c>
      <c r="L56" s="541">
        <f t="shared" si="15"/>
        <v>26900.327174576665</v>
      </c>
      <c r="M56" s="541">
        <f t="shared" si="15"/>
        <v>26700.327174576665</v>
      </c>
      <c r="N56" s="541">
        <f t="shared" si="15"/>
        <v>29750.327174576665</v>
      </c>
      <c r="O56" s="541">
        <f t="shared" si="15"/>
        <v>45436.99384124334</v>
      </c>
      <c r="P56" s="538">
        <f t="shared" si="15"/>
        <v>53700.327174576669</v>
      </c>
      <c r="Q56" s="543">
        <f t="shared" si="15"/>
        <v>386429.2594282534</v>
      </c>
      <c r="R56" s="444">
        <f t="shared" si="15"/>
        <v>98528.581523730012</v>
      </c>
      <c r="S56" s="541">
        <f t="shared" si="15"/>
        <v>133791.78152373002</v>
      </c>
      <c r="T56" s="541">
        <f t="shared" si="15"/>
        <v>94028.581523730012</v>
      </c>
      <c r="U56" s="538">
        <f t="shared" si="15"/>
        <v>148791.78152372999</v>
      </c>
      <c r="V56" s="543">
        <f t="shared" si="15"/>
        <v>457140.72609492007</v>
      </c>
      <c r="W56" s="542">
        <f t="shared" si="15"/>
        <v>474474.96609492006</v>
      </c>
      <c r="X56" s="498">
        <f t="shared" si="15"/>
        <v>492675.91809492011</v>
      </c>
    </row>
    <row r="57" spans="1:24" ht="7.5" customHeight="1" thickBot="1" x14ac:dyDescent="0.3">
      <c r="A57" s="804"/>
      <c r="B57" s="805"/>
      <c r="C57" s="805"/>
      <c r="D57" s="805"/>
      <c r="E57" s="805"/>
      <c r="F57" s="805"/>
      <c r="G57" s="805"/>
      <c r="H57" s="805"/>
      <c r="I57" s="805"/>
      <c r="J57" s="805"/>
      <c r="K57" s="805"/>
      <c r="L57" s="805"/>
      <c r="M57" s="805"/>
      <c r="N57" s="805"/>
      <c r="O57" s="805"/>
      <c r="P57" s="805"/>
      <c r="Q57" s="805"/>
      <c r="R57" s="805"/>
      <c r="S57" s="805"/>
      <c r="T57" s="805"/>
      <c r="U57" s="805"/>
      <c r="V57" s="805"/>
      <c r="W57" s="805"/>
      <c r="X57" s="806"/>
    </row>
    <row r="58" spans="1:24" ht="18.75" customHeight="1" thickBot="1" x14ac:dyDescent="0.3">
      <c r="A58" s="872" t="s">
        <v>158</v>
      </c>
      <c r="B58" s="873"/>
      <c r="C58" s="873"/>
      <c r="D58" s="874"/>
      <c r="X58" s="332"/>
    </row>
    <row r="59" spans="1:24" ht="18.75" customHeight="1" outlineLevel="1" thickTop="1" x14ac:dyDescent="0.25">
      <c r="A59" s="885" t="s">
        <v>160</v>
      </c>
      <c r="B59" s="886"/>
      <c r="C59" s="886"/>
      <c r="D59" s="887"/>
      <c r="E59" s="6">
        <f>Investitionsplan!F23*(1+$D$8)</f>
        <v>69600</v>
      </c>
      <c r="F59" s="7">
        <f>Investitionsplan!G23*(1+$D$8)</f>
        <v>0</v>
      </c>
      <c r="G59" s="7">
        <f>Investitionsplan!H23*(1+$D$8)</f>
        <v>12000</v>
      </c>
      <c r="H59" s="7">
        <f>Investitionsplan!I23*(1+$D$8)</f>
        <v>0</v>
      </c>
      <c r="I59" s="7">
        <f>Investitionsplan!J23*(1+$D$8)</f>
        <v>0</v>
      </c>
      <c r="J59" s="7">
        <f>Investitionsplan!K23*(1+$D$8)</f>
        <v>12000</v>
      </c>
      <c r="K59" s="7">
        <f>Investitionsplan!L23*(1+$D$8)</f>
        <v>0</v>
      </c>
      <c r="L59" s="7">
        <f>Investitionsplan!M23*(1+$D$8)</f>
        <v>0</v>
      </c>
      <c r="M59" s="7">
        <f>Investitionsplan!N23*(1+$D$8)</f>
        <v>0</v>
      </c>
      <c r="N59" s="7">
        <f>Investitionsplan!O23*(1+$D$8)</f>
        <v>24000</v>
      </c>
      <c r="O59" s="7">
        <f>Investitionsplan!P23*(1+$D$8)</f>
        <v>0</v>
      </c>
      <c r="P59" s="180">
        <f>Investitionsplan!Q23*(1+$D$8)</f>
        <v>0</v>
      </c>
      <c r="Q59" s="8">
        <f>Investitionsplan!R23*(1+$D$8)</f>
        <v>117600</v>
      </c>
      <c r="R59" s="307">
        <f>Investitionsplan!S23*(1+$D$8)</f>
        <v>2400</v>
      </c>
      <c r="S59" s="7">
        <f>Investitionsplan!T23*(1+$D$8)</f>
        <v>0</v>
      </c>
      <c r="T59" s="7">
        <f>Investitionsplan!U23*(1+$D$8)</f>
        <v>0</v>
      </c>
      <c r="U59" s="180">
        <f>Investitionsplan!V23*(1+$D$8)</f>
        <v>0</v>
      </c>
      <c r="V59" s="8">
        <f>Investitionsplan!W23*(1+$D$8)</f>
        <v>2400</v>
      </c>
      <c r="W59" s="8">
        <f>Investitionsplan!X23*(1+$D$8)</f>
        <v>0</v>
      </c>
      <c r="X59" s="9">
        <f>Investitionsplan!Y23*(1+$D$8)</f>
        <v>0</v>
      </c>
    </row>
    <row r="60" spans="1:24" ht="18.75" customHeight="1" outlineLevel="1" thickBot="1" x14ac:dyDescent="0.3">
      <c r="A60" s="909" t="s">
        <v>161</v>
      </c>
      <c r="B60" s="910"/>
      <c r="C60" s="910"/>
      <c r="D60" s="911"/>
      <c r="E60" s="128">
        <f>Investitionsplan!F32</f>
        <v>0</v>
      </c>
      <c r="F60" s="129">
        <f>Investitionsplan!G32</f>
        <v>0</v>
      </c>
      <c r="G60" s="129">
        <f>Investitionsplan!H32</f>
        <v>35000</v>
      </c>
      <c r="H60" s="129">
        <f>Investitionsplan!I32</f>
        <v>0</v>
      </c>
      <c r="I60" s="129">
        <f>Investitionsplan!J32</f>
        <v>0</v>
      </c>
      <c r="J60" s="129">
        <f>Investitionsplan!K32</f>
        <v>0</v>
      </c>
      <c r="K60" s="129">
        <f>Investitionsplan!L32</f>
        <v>0</v>
      </c>
      <c r="L60" s="129">
        <f>Investitionsplan!M32</f>
        <v>0</v>
      </c>
      <c r="M60" s="129">
        <f>Investitionsplan!N32</f>
        <v>0</v>
      </c>
      <c r="N60" s="129">
        <f>Investitionsplan!O32</f>
        <v>0</v>
      </c>
      <c r="O60" s="129">
        <f>Investitionsplan!P32</f>
        <v>0</v>
      </c>
      <c r="P60" s="159">
        <f>Investitionsplan!Q32</f>
        <v>0</v>
      </c>
      <c r="Q60" s="134">
        <f>Investitionsplan!R32</f>
        <v>35000</v>
      </c>
      <c r="R60" s="160">
        <f>Investitionsplan!S32</f>
        <v>60000</v>
      </c>
      <c r="S60" s="129">
        <f>Investitionsplan!T32</f>
        <v>0</v>
      </c>
      <c r="T60" s="129">
        <f>Investitionsplan!U32</f>
        <v>0</v>
      </c>
      <c r="U60" s="159">
        <f>Investitionsplan!V32</f>
        <v>0</v>
      </c>
      <c r="V60" s="134">
        <f>Investitionsplan!W32</f>
        <v>60000</v>
      </c>
      <c r="W60" s="134">
        <f>Investitionsplan!X32</f>
        <v>0</v>
      </c>
      <c r="X60" s="135">
        <f>Investitionsplan!Y32</f>
        <v>0</v>
      </c>
    </row>
    <row r="61" spans="1:24" ht="7.5" customHeight="1" outlineLevel="1" thickTop="1" thickBot="1" x14ac:dyDescent="0.3">
      <c r="A61" s="912"/>
      <c r="B61" s="913"/>
      <c r="C61" s="913"/>
      <c r="D61" s="914"/>
      <c r="E61" s="340"/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341"/>
      <c r="Q61" s="327" t="str">
        <f t="shared" ref="Q61" si="16">IF(SUM(E61:P61)=0,"",SUM(E61:P61))</f>
        <v/>
      </c>
      <c r="R61" s="328"/>
      <c r="S61" s="325"/>
      <c r="T61" s="325"/>
      <c r="U61" s="343"/>
      <c r="V61" s="327" t="str">
        <f t="shared" ref="V61" si="17">IF(SUM(R61:U61)=0,"",SUM(R61:U61))</f>
        <v/>
      </c>
      <c r="W61" s="327"/>
      <c r="X61" s="329"/>
    </row>
    <row r="62" spans="1:24" ht="18.75" customHeight="1" thickBot="1" x14ac:dyDescent="0.3">
      <c r="A62" s="866" t="s">
        <v>157</v>
      </c>
      <c r="B62" s="867"/>
      <c r="C62" s="867"/>
      <c r="D62" s="868"/>
      <c r="E62" s="608">
        <f>SUM(E59:E61)</f>
        <v>69600</v>
      </c>
      <c r="F62" s="603">
        <f t="shared" ref="F62:X62" si="18">SUM(F59:F61)</f>
        <v>0</v>
      </c>
      <c r="G62" s="603">
        <f t="shared" si="18"/>
        <v>47000</v>
      </c>
      <c r="H62" s="603">
        <f t="shared" si="18"/>
        <v>0</v>
      </c>
      <c r="I62" s="603">
        <f t="shared" si="18"/>
        <v>0</v>
      </c>
      <c r="J62" s="603">
        <f t="shared" si="18"/>
        <v>12000</v>
      </c>
      <c r="K62" s="603">
        <f t="shared" si="18"/>
        <v>0</v>
      </c>
      <c r="L62" s="603">
        <f t="shared" si="18"/>
        <v>0</v>
      </c>
      <c r="M62" s="603">
        <f t="shared" si="18"/>
        <v>0</v>
      </c>
      <c r="N62" s="603">
        <f t="shared" si="18"/>
        <v>24000</v>
      </c>
      <c r="O62" s="603">
        <f t="shared" si="18"/>
        <v>0</v>
      </c>
      <c r="P62" s="604">
        <f t="shared" si="18"/>
        <v>0</v>
      </c>
      <c r="Q62" s="543">
        <f t="shared" si="18"/>
        <v>152600</v>
      </c>
      <c r="R62" s="605">
        <f t="shared" si="18"/>
        <v>62400</v>
      </c>
      <c r="S62" s="603">
        <f t="shared" si="18"/>
        <v>0</v>
      </c>
      <c r="T62" s="603">
        <f t="shared" si="18"/>
        <v>0</v>
      </c>
      <c r="U62" s="604">
        <f t="shared" si="18"/>
        <v>0</v>
      </c>
      <c r="V62" s="543">
        <f t="shared" si="18"/>
        <v>62400</v>
      </c>
      <c r="W62" s="543">
        <f t="shared" si="18"/>
        <v>0</v>
      </c>
      <c r="X62" s="606">
        <f t="shared" si="18"/>
        <v>0</v>
      </c>
    </row>
    <row r="63" spans="1:24" ht="7.5" customHeight="1" thickBot="1" x14ac:dyDescent="0.3">
      <c r="A63" s="804"/>
      <c r="B63" s="805"/>
      <c r="C63" s="805"/>
      <c r="D63" s="805"/>
      <c r="E63" s="805"/>
      <c r="F63" s="805"/>
      <c r="G63" s="805"/>
      <c r="H63" s="805"/>
      <c r="I63" s="805"/>
      <c r="J63" s="805"/>
      <c r="K63" s="805"/>
      <c r="L63" s="805"/>
      <c r="M63" s="805"/>
      <c r="N63" s="805"/>
      <c r="O63" s="805"/>
      <c r="P63" s="805"/>
      <c r="Q63" s="805"/>
      <c r="R63" s="805"/>
      <c r="S63" s="805"/>
      <c r="T63" s="805"/>
      <c r="U63" s="805"/>
      <c r="V63" s="805"/>
      <c r="W63" s="805"/>
      <c r="X63" s="806"/>
    </row>
    <row r="64" spans="1:24" ht="18.75" customHeight="1" thickBot="1" x14ac:dyDescent="0.3">
      <c r="A64" s="872" t="s">
        <v>167</v>
      </c>
      <c r="B64" s="873"/>
      <c r="C64" s="873"/>
      <c r="D64" s="874"/>
      <c r="X64" s="332"/>
    </row>
    <row r="65" spans="1:24" ht="18.75" customHeight="1" outlineLevel="1" thickTop="1" x14ac:dyDescent="0.25">
      <c r="A65" s="875" t="str">
        <f>A84</f>
        <v>Sollzinsen Kontokorrentkredit</v>
      </c>
      <c r="B65" s="876"/>
      <c r="C65" s="876"/>
      <c r="D65" s="877"/>
      <c r="E65" s="276"/>
      <c r="F65" s="305"/>
      <c r="G65" s="305"/>
      <c r="H65" s="7">
        <f>E84</f>
        <v>850.92586142797495</v>
      </c>
      <c r="I65" s="305"/>
      <c r="J65" s="305"/>
      <c r="K65" s="7">
        <f>H84</f>
        <v>2872.5537502249899</v>
      </c>
      <c r="L65" s="305"/>
      <c r="M65" s="305"/>
      <c r="N65" s="7">
        <f>K84</f>
        <v>2673.658174751326</v>
      </c>
      <c r="O65" s="305"/>
      <c r="P65" s="306"/>
      <c r="Q65" s="8">
        <f>SUM(E65:P65)</f>
        <v>6397.1377864042915</v>
      </c>
      <c r="R65" s="307">
        <f>N84</f>
        <v>2028.1811286365726</v>
      </c>
      <c r="S65" s="7">
        <f>R84</f>
        <v>2251.3729281126143</v>
      </c>
      <c r="T65" s="7">
        <f>S84</f>
        <v>2118.2298063941835</v>
      </c>
      <c r="U65" s="180">
        <f>T84</f>
        <v>1574.9620497589347</v>
      </c>
      <c r="V65" s="8">
        <f>SUM(R65:U65)</f>
        <v>7972.7459129023055</v>
      </c>
      <c r="W65" s="8">
        <f>U84</f>
        <v>287.87121153603312</v>
      </c>
      <c r="X65" s="9">
        <f>W84</f>
        <v>0</v>
      </c>
    </row>
    <row r="66" spans="1:24" ht="18.75" customHeight="1" outlineLevel="1" x14ac:dyDescent="0.25">
      <c r="A66" s="856" t="str">
        <f>A86</f>
        <v>Zinsen Einmalkredit</v>
      </c>
      <c r="B66" s="857"/>
      <c r="C66" s="857"/>
      <c r="D66" s="858"/>
      <c r="E66" s="376"/>
      <c r="F66" s="377"/>
      <c r="G66" s="377"/>
      <c r="H66" s="11">
        <f>E86</f>
        <v>0</v>
      </c>
      <c r="I66" s="377"/>
      <c r="J66" s="377"/>
      <c r="K66" s="11">
        <f>H86</f>
        <v>0</v>
      </c>
      <c r="L66" s="377"/>
      <c r="M66" s="377"/>
      <c r="N66" s="11">
        <f>K86</f>
        <v>0</v>
      </c>
      <c r="O66" s="377"/>
      <c r="P66" s="378"/>
      <c r="Q66" s="12">
        <f>SUM(E66:P66)</f>
        <v>0</v>
      </c>
      <c r="R66" s="308">
        <f>N86</f>
        <v>0</v>
      </c>
      <c r="S66" s="11">
        <f>R86</f>
        <v>0</v>
      </c>
      <c r="T66" s="11">
        <f>S86</f>
        <v>0</v>
      </c>
      <c r="U66" s="185">
        <f>T86</f>
        <v>0</v>
      </c>
      <c r="V66" s="12">
        <f>SUM(R66:U66)</f>
        <v>0</v>
      </c>
      <c r="W66" s="12">
        <f>U86</f>
        <v>0</v>
      </c>
      <c r="X66" s="13">
        <f>W86</f>
        <v>0</v>
      </c>
    </row>
    <row r="67" spans="1:24" ht="18.75" customHeight="1" outlineLevel="1" x14ac:dyDescent="0.25">
      <c r="A67" s="853" t="s">
        <v>169</v>
      </c>
      <c r="B67" s="854"/>
      <c r="C67" s="854"/>
      <c r="D67" s="855"/>
      <c r="E67" s="404">
        <f>500/12</f>
        <v>41.666666666666664</v>
      </c>
      <c r="F67" s="94">
        <f t="shared" ref="F67:P67" si="19">500/12</f>
        <v>41.666666666666664</v>
      </c>
      <c r="G67" s="94">
        <f t="shared" si="19"/>
        <v>41.666666666666664</v>
      </c>
      <c r="H67" s="94">
        <f t="shared" si="19"/>
        <v>41.666666666666664</v>
      </c>
      <c r="I67" s="94">
        <f t="shared" si="19"/>
        <v>41.666666666666664</v>
      </c>
      <c r="J67" s="94">
        <f t="shared" si="19"/>
        <v>41.666666666666664</v>
      </c>
      <c r="K67" s="94">
        <f t="shared" si="19"/>
        <v>41.666666666666664</v>
      </c>
      <c r="L67" s="94">
        <f t="shared" si="19"/>
        <v>41.666666666666664</v>
      </c>
      <c r="M67" s="94">
        <f t="shared" si="19"/>
        <v>41.666666666666664</v>
      </c>
      <c r="N67" s="94">
        <f t="shared" si="19"/>
        <v>41.666666666666664</v>
      </c>
      <c r="O67" s="94">
        <f t="shared" si="19"/>
        <v>41.666666666666664</v>
      </c>
      <c r="P67" s="153">
        <f t="shared" si="19"/>
        <v>41.666666666666664</v>
      </c>
      <c r="Q67" s="12">
        <f>SUM(E67:P67)</f>
        <v>500.00000000000006</v>
      </c>
      <c r="R67" s="414">
        <f>4000/4</f>
        <v>1000</v>
      </c>
      <c r="S67" s="94">
        <f t="shared" ref="S67:U67" si="20">4000/4</f>
        <v>1000</v>
      </c>
      <c r="T67" s="94">
        <f t="shared" si="20"/>
        <v>1000</v>
      </c>
      <c r="U67" s="153">
        <f t="shared" si="20"/>
        <v>1000</v>
      </c>
      <c r="V67" s="12">
        <f>SUM(R67:U67)</f>
        <v>4000</v>
      </c>
      <c r="W67" s="418">
        <f>'Plan G&amp;V'!W56</f>
        <v>149710.89346729769</v>
      </c>
      <c r="X67" s="410">
        <f>'Plan G&amp;V'!X56</f>
        <v>383763.75115752016</v>
      </c>
    </row>
    <row r="68" spans="1:24" ht="18.75" customHeight="1" outlineLevel="1" x14ac:dyDescent="0.25">
      <c r="A68" s="853" t="s">
        <v>170</v>
      </c>
      <c r="B68" s="854"/>
      <c r="C68" s="854"/>
      <c r="D68" s="855"/>
      <c r="E68" s="309"/>
      <c r="F68" s="98"/>
      <c r="G68" s="98"/>
      <c r="H68" s="98"/>
      <c r="I68" s="98"/>
      <c r="J68" s="98"/>
      <c r="K68" s="98"/>
      <c r="L68" s="98"/>
      <c r="M68" s="98"/>
      <c r="N68" s="98"/>
      <c r="O68" s="98"/>
      <c r="P68" s="310"/>
      <c r="Q68" s="291">
        <f>SUM(E68:P68)</f>
        <v>0</v>
      </c>
      <c r="R68" s="415"/>
      <c r="S68" s="98"/>
      <c r="T68" s="98"/>
      <c r="U68" s="310"/>
      <c r="V68" s="291">
        <f>SUM(R68:U68)</f>
        <v>0</v>
      </c>
      <c r="W68" s="419"/>
      <c r="X68" s="420"/>
    </row>
    <row r="69" spans="1:24" ht="18.75" customHeight="1" outlineLevel="1" x14ac:dyDescent="0.25">
      <c r="A69" s="853" t="s">
        <v>100</v>
      </c>
      <c r="B69" s="854"/>
      <c r="C69" s="854"/>
      <c r="D69" s="855"/>
      <c r="E69" s="277"/>
      <c r="F69" s="379"/>
      <c r="G69" s="80">
        <f t="shared" ref="G69:P69" si="21">E15*($D$7/(1+$D$7))</f>
        <v>0</v>
      </c>
      <c r="H69" s="80">
        <f t="shared" si="21"/>
        <v>0</v>
      </c>
      <c r="I69" s="80">
        <f t="shared" si="21"/>
        <v>0</v>
      </c>
      <c r="J69" s="80">
        <f t="shared" si="21"/>
        <v>0</v>
      </c>
      <c r="K69" s="80">
        <f t="shared" si="21"/>
        <v>0</v>
      </c>
      <c r="L69" s="80">
        <f t="shared" si="21"/>
        <v>0</v>
      </c>
      <c r="M69" s="80">
        <f t="shared" si="21"/>
        <v>20000.000000000004</v>
      </c>
      <c r="N69" s="80">
        <f t="shared" si="21"/>
        <v>0</v>
      </c>
      <c r="O69" s="80">
        <f t="shared" si="21"/>
        <v>20000.000000000004</v>
      </c>
      <c r="P69" s="382">
        <f t="shared" si="21"/>
        <v>0</v>
      </c>
      <c r="Q69" s="345">
        <f t="shared" ref="Q69:Q70" si="22">SUM(E69:P69)</f>
        <v>40000.000000000007</v>
      </c>
      <c r="R69" s="79">
        <f>((O15+P15+R15)/3)*($D$7/(1+$D$7))</f>
        <v>16920.000000000004</v>
      </c>
      <c r="S69" s="80">
        <f>((2*R15+S15)/3)*($D$7/(1+$D$7))</f>
        <v>29480.000000000004</v>
      </c>
      <c r="T69" s="80">
        <f>((2*S15+T15)/3)*($D$7/(1+$D$7))</f>
        <v>29680.000000000004</v>
      </c>
      <c r="U69" s="382">
        <f>((2*T15+U15)/3)*($D$7/(1+$D$7))</f>
        <v>36546.666666666672</v>
      </c>
      <c r="V69" s="345">
        <f t="shared" ref="V69:V70" si="23">SUM(R69:U69)</f>
        <v>112626.66666666669</v>
      </c>
      <c r="W69" s="345">
        <f>((8*U15+10*W15)/12)*($D$7/(1+$D$7))</f>
        <v>225870.00000000003</v>
      </c>
      <c r="X69" s="381">
        <f>((2*W15+10*X15)/12)*($D$7/(1+$D$7))</f>
        <v>392748.88888888893</v>
      </c>
    </row>
    <row r="70" spans="1:24" ht="18.75" customHeight="1" outlineLevel="1" thickBot="1" x14ac:dyDescent="0.3">
      <c r="A70" s="878"/>
      <c r="B70" s="879"/>
      <c r="C70" s="879"/>
      <c r="D70" s="880"/>
      <c r="E70" s="311"/>
      <c r="F70" s="139"/>
      <c r="G70" s="139"/>
      <c r="H70" s="139"/>
      <c r="I70" s="139"/>
      <c r="J70" s="139"/>
      <c r="K70" s="139"/>
      <c r="L70" s="139"/>
      <c r="M70" s="139"/>
      <c r="N70" s="139"/>
      <c r="O70" s="139"/>
      <c r="P70" s="154"/>
      <c r="Q70" s="346">
        <f t="shared" si="22"/>
        <v>0</v>
      </c>
      <c r="R70" s="416"/>
      <c r="S70" s="139"/>
      <c r="T70" s="139"/>
      <c r="U70" s="154"/>
      <c r="V70" s="346">
        <f t="shared" si="23"/>
        <v>0</v>
      </c>
      <c r="W70" s="421"/>
      <c r="X70" s="411"/>
    </row>
    <row r="71" spans="1:24" ht="7.5" customHeight="1" outlineLevel="1" thickTop="1" thickBot="1" x14ac:dyDescent="0.3">
      <c r="A71" s="881"/>
      <c r="B71" s="882"/>
      <c r="C71" s="882"/>
      <c r="D71" s="883"/>
      <c r="E71" s="312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313"/>
      <c r="Q71" s="347"/>
      <c r="R71" s="417"/>
      <c r="S71" s="407"/>
      <c r="T71" s="407"/>
      <c r="U71" s="408"/>
      <c r="V71" s="347"/>
      <c r="W71" s="422"/>
      <c r="X71" s="413"/>
    </row>
    <row r="72" spans="1:24" ht="18.75" customHeight="1" thickBot="1" x14ac:dyDescent="0.3">
      <c r="A72" s="866" t="s">
        <v>251</v>
      </c>
      <c r="B72" s="867"/>
      <c r="C72" s="867"/>
      <c r="D72" s="868"/>
      <c r="E72" s="608">
        <f>SUM(E65:E71)</f>
        <v>41.666666666666664</v>
      </c>
      <c r="F72" s="603">
        <f t="shared" ref="F72:X72" si="24">SUM(F65:F71)</f>
        <v>41.666666666666664</v>
      </c>
      <c r="G72" s="603">
        <f t="shared" si="24"/>
        <v>41.666666666666664</v>
      </c>
      <c r="H72" s="603">
        <f t="shared" si="24"/>
        <v>892.59252809464158</v>
      </c>
      <c r="I72" s="603">
        <f t="shared" si="24"/>
        <v>41.666666666666664</v>
      </c>
      <c r="J72" s="603">
        <f t="shared" si="24"/>
        <v>41.666666666666664</v>
      </c>
      <c r="K72" s="603">
        <f t="shared" si="24"/>
        <v>2914.2204168916564</v>
      </c>
      <c r="L72" s="603">
        <f t="shared" si="24"/>
        <v>41.666666666666664</v>
      </c>
      <c r="M72" s="603">
        <f t="shared" si="24"/>
        <v>20041.666666666672</v>
      </c>
      <c r="N72" s="603">
        <f t="shared" si="24"/>
        <v>2715.3248414179925</v>
      </c>
      <c r="O72" s="603">
        <f t="shared" si="24"/>
        <v>20041.666666666672</v>
      </c>
      <c r="P72" s="604">
        <f t="shared" si="24"/>
        <v>41.666666666666664</v>
      </c>
      <c r="Q72" s="543">
        <f t="shared" si="24"/>
        <v>46897.137786404302</v>
      </c>
      <c r="R72" s="605">
        <f t="shared" si="24"/>
        <v>19948.181128636577</v>
      </c>
      <c r="S72" s="603">
        <f t="shared" si="24"/>
        <v>32731.372928112618</v>
      </c>
      <c r="T72" s="603">
        <f t="shared" si="24"/>
        <v>32798.229806394185</v>
      </c>
      <c r="U72" s="604">
        <f t="shared" si="24"/>
        <v>39121.628716425606</v>
      </c>
      <c r="V72" s="543">
        <f t="shared" si="24"/>
        <v>124599.41257956899</v>
      </c>
      <c r="W72" s="543">
        <f t="shared" si="24"/>
        <v>375868.76467883377</v>
      </c>
      <c r="X72" s="606">
        <f t="shared" si="24"/>
        <v>776512.6400464091</v>
      </c>
    </row>
    <row r="73" spans="1:24" ht="7.5" customHeight="1" thickBot="1" x14ac:dyDescent="0.3">
      <c r="A73" s="804"/>
      <c r="B73" s="805"/>
      <c r="C73" s="805"/>
      <c r="D73" s="805"/>
      <c r="E73" s="805"/>
      <c r="F73" s="805"/>
      <c r="G73" s="805"/>
      <c r="H73" s="805"/>
      <c r="I73" s="805"/>
      <c r="J73" s="805"/>
      <c r="K73" s="805"/>
      <c r="L73" s="805"/>
      <c r="M73" s="805"/>
      <c r="N73" s="805"/>
      <c r="O73" s="805"/>
      <c r="P73" s="805"/>
      <c r="Q73" s="805"/>
      <c r="R73" s="805"/>
      <c r="S73" s="805"/>
      <c r="T73" s="805"/>
      <c r="U73" s="805"/>
      <c r="V73" s="805"/>
      <c r="W73" s="805"/>
      <c r="X73" s="806"/>
    </row>
    <row r="74" spans="1:24" ht="18" customHeight="1" thickBot="1" x14ac:dyDescent="0.3">
      <c r="A74" s="869" t="s">
        <v>162</v>
      </c>
      <c r="B74" s="870"/>
      <c r="C74" s="870"/>
      <c r="D74" s="871"/>
      <c r="E74" s="451">
        <f t="shared" ref="E74:X74" si="25">SUM(E56,E62,E72)</f>
        <v>89419.793841243329</v>
      </c>
      <c r="F74" s="547">
        <f t="shared" si="25"/>
        <v>19645.993841243333</v>
      </c>
      <c r="G74" s="547">
        <f t="shared" si="25"/>
        <v>72093.99384124334</v>
      </c>
      <c r="H74" s="547">
        <f t="shared" si="25"/>
        <v>27642.919702671308</v>
      </c>
      <c r="I74" s="547">
        <f t="shared" si="25"/>
        <v>60478.660507910005</v>
      </c>
      <c r="J74" s="547">
        <f t="shared" si="25"/>
        <v>38741.993841243333</v>
      </c>
      <c r="K74" s="547">
        <f t="shared" si="25"/>
        <v>29664.547591468323</v>
      </c>
      <c r="L74" s="547">
        <f t="shared" si="25"/>
        <v>26941.993841243333</v>
      </c>
      <c r="M74" s="547">
        <f t="shared" si="25"/>
        <v>46741.99384124334</v>
      </c>
      <c r="N74" s="547">
        <f t="shared" si="25"/>
        <v>56465.652015994659</v>
      </c>
      <c r="O74" s="547">
        <f t="shared" si="25"/>
        <v>65478.660507910012</v>
      </c>
      <c r="P74" s="607">
        <f t="shared" si="25"/>
        <v>53741.993841243333</v>
      </c>
      <c r="Q74" s="333">
        <f t="shared" si="25"/>
        <v>585926.39721465774</v>
      </c>
      <c r="R74" s="452">
        <f t="shared" si="25"/>
        <v>180876.7626523666</v>
      </c>
      <c r="S74" s="547">
        <f t="shared" si="25"/>
        <v>166523.15445184265</v>
      </c>
      <c r="T74" s="547">
        <f t="shared" si="25"/>
        <v>126826.8113301242</v>
      </c>
      <c r="U74" s="607">
        <f t="shared" si="25"/>
        <v>187913.41024015559</v>
      </c>
      <c r="V74" s="333">
        <f t="shared" si="25"/>
        <v>644140.13867448911</v>
      </c>
      <c r="W74" s="333">
        <f t="shared" si="25"/>
        <v>850343.73077375384</v>
      </c>
      <c r="X74" s="334">
        <f t="shared" si="25"/>
        <v>1269188.5581413293</v>
      </c>
    </row>
    <row r="75" spans="1:24" ht="7.5" customHeight="1" thickBot="1" x14ac:dyDescent="0.3"/>
    <row r="76" spans="1:24" ht="22.5" customHeight="1" thickBot="1" x14ac:dyDescent="0.3">
      <c r="A76" s="859" t="s">
        <v>172</v>
      </c>
      <c r="B76" s="860"/>
      <c r="C76" s="860"/>
      <c r="D76" s="861"/>
      <c r="E76" s="348">
        <f>E36-E74</f>
        <v>-89419.793841243329</v>
      </c>
      <c r="F76" s="349">
        <f t="shared" ref="F76:X76" si="26">F36-F74</f>
        <v>-19645.993841243333</v>
      </c>
      <c r="G76" s="349">
        <f t="shared" si="26"/>
        <v>-59362.193841243337</v>
      </c>
      <c r="H76" s="349">
        <f t="shared" si="26"/>
        <v>-26699.75303600464</v>
      </c>
      <c r="I76" s="349">
        <f t="shared" si="26"/>
        <v>-57202.160507910005</v>
      </c>
      <c r="J76" s="349">
        <f t="shared" si="26"/>
        <v>-37798.827174576669</v>
      </c>
      <c r="K76" s="349">
        <f t="shared" si="26"/>
        <v>93778.619075198352</v>
      </c>
      <c r="L76" s="349">
        <f t="shared" si="26"/>
        <v>-23998.827174576665</v>
      </c>
      <c r="M76" s="349">
        <f t="shared" si="26"/>
        <v>74201.172825423331</v>
      </c>
      <c r="N76" s="349">
        <f t="shared" si="26"/>
        <v>-55522.485349327995</v>
      </c>
      <c r="O76" s="349">
        <f t="shared" si="26"/>
        <v>55464.50615875666</v>
      </c>
      <c r="P76" s="350">
        <f t="shared" si="26"/>
        <v>-40618.827174576669</v>
      </c>
      <c r="Q76" s="351">
        <f t="shared" si="26"/>
        <v>-185692.76388132438</v>
      </c>
      <c r="R76" s="352">
        <f t="shared" si="26"/>
        <v>3466.0706809667463</v>
      </c>
      <c r="S76" s="349">
        <f t="shared" si="26"/>
        <v>14286.345548157347</v>
      </c>
      <c r="T76" s="349">
        <f t="shared" si="26"/>
        <v>58149.35533654246</v>
      </c>
      <c r="U76" s="350">
        <f t="shared" si="26"/>
        <v>113462.7564265111</v>
      </c>
      <c r="V76" s="353">
        <f t="shared" si="26"/>
        <v>207364.52799217752</v>
      </c>
      <c r="W76" s="353">
        <f t="shared" si="26"/>
        <v>556817.60255957942</v>
      </c>
      <c r="X76" s="354">
        <f t="shared" si="26"/>
        <v>1298706.9818227817</v>
      </c>
    </row>
    <row r="77" spans="1:24" ht="7.5" customHeight="1" thickTop="1" thickBot="1" x14ac:dyDescent="0.3">
      <c r="A77" s="355"/>
      <c r="B77" s="356"/>
      <c r="C77" s="356"/>
      <c r="D77" s="356"/>
      <c r="E77" s="357"/>
      <c r="F77" s="358"/>
      <c r="G77" s="358"/>
      <c r="H77" s="358"/>
      <c r="I77" s="358"/>
      <c r="J77" s="358"/>
      <c r="K77" s="358"/>
      <c r="L77" s="358"/>
      <c r="M77" s="358"/>
      <c r="N77" s="358"/>
      <c r="O77" s="358"/>
      <c r="P77" s="359"/>
      <c r="Q77" s="360"/>
      <c r="R77" s="361"/>
      <c r="S77" s="358"/>
      <c r="T77" s="358"/>
      <c r="U77" s="359"/>
      <c r="V77" s="360"/>
      <c r="W77" s="362"/>
      <c r="X77" s="363"/>
    </row>
    <row r="78" spans="1:24" ht="22.5" customHeight="1" thickTop="1" thickBot="1" x14ac:dyDescent="0.3">
      <c r="A78" s="863" t="s">
        <v>173</v>
      </c>
      <c r="B78" s="864"/>
      <c r="C78" s="864"/>
      <c r="D78" s="865"/>
      <c r="E78" s="364">
        <f>$D$3+E76-E82</f>
        <v>-54419.793841243329</v>
      </c>
      <c r="F78" s="365">
        <f>IF(F82&lt;E82,((E78+F76)-(F82-E82)),(E78+F76))</f>
        <v>-74065.787682486669</v>
      </c>
      <c r="G78" s="365">
        <f t="shared" ref="G78:U78" si="27">IF(G82&lt;F82,((F78+G76)-(G82-F82)),(F78+G76))</f>
        <v>-133427.98152373001</v>
      </c>
      <c r="H78" s="365">
        <f t="shared" si="27"/>
        <v>-160127.73455973464</v>
      </c>
      <c r="I78" s="365">
        <f t="shared" si="27"/>
        <v>-217329.89506764465</v>
      </c>
      <c r="J78" s="365">
        <f t="shared" si="27"/>
        <v>-255128.72224222132</v>
      </c>
      <c r="K78" s="365">
        <f t="shared" si="27"/>
        <v>-161350.10316702299</v>
      </c>
      <c r="L78" s="365">
        <f t="shared" si="27"/>
        <v>-185348.93034159965</v>
      </c>
      <c r="M78" s="365">
        <f t="shared" si="27"/>
        <v>-111147.75751617632</v>
      </c>
      <c r="N78" s="365">
        <f t="shared" si="27"/>
        <v>-166670.24286550432</v>
      </c>
      <c r="O78" s="365">
        <f t="shared" si="27"/>
        <v>-111205.73670674766</v>
      </c>
      <c r="P78" s="366">
        <f t="shared" si="27"/>
        <v>-151824.56388132431</v>
      </c>
      <c r="Q78" s="367">
        <f>P78</f>
        <v>-151824.56388132431</v>
      </c>
      <c r="R78" s="368">
        <f>IF(R82&lt;P82,((P78+R76)-(R82-P82)),(P78+R76))</f>
        <v>-148358.49320035757</v>
      </c>
      <c r="S78" s="365">
        <f t="shared" si="27"/>
        <v>-134072.14765220022</v>
      </c>
      <c r="T78" s="365">
        <f t="shared" si="27"/>
        <v>-75922.79231565776</v>
      </c>
      <c r="U78" s="366">
        <f t="shared" si="27"/>
        <v>37539.96411085334</v>
      </c>
      <c r="V78" s="369">
        <f>U78</f>
        <v>37539.96411085334</v>
      </c>
      <c r="W78" s="369">
        <f>IF(W82&lt;U82,((U78+W76)-(W82-U82)),(U78+W76))</f>
        <v>594357.5666704328</v>
      </c>
      <c r="X78" s="370">
        <f t="shared" ref="X78" si="28">IF(X82&lt;W82,((W78+X76)-(X82-W82)),(W78+X76))</f>
        <v>1893064.5484932144</v>
      </c>
    </row>
    <row r="79" spans="1:24" ht="30" customHeight="1" thickBot="1" x14ac:dyDescent="0.3"/>
    <row r="80" spans="1:24" ht="18.75" customHeight="1" x14ac:dyDescent="0.25">
      <c r="A80" s="888" t="s">
        <v>174</v>
      </c>
      <c r="B80" s="889"/>
      <c r="C80" s="889"/>
      <c r="D80" s="890"/>
      <c r="E80" s="770" t="s">
        <v>20</v>
      </c>
      <c r="F80" s="770"/>
      <c r="G80" s="770"/>
      <c r="H80" s="770"/>
      <c r="I80" s="770"/>
      <c r="J80" s="770"/>
      <c r="K80" s="770"/>
      <c r="L80" s="770"/>
      <c r="M80" s="770"/>
      <c r="N80" s="770"/>
      <c r="O80" s="770"/>
      <c r="P80" s="770"/>
      <c r="Q80" s="767" t="s">
        <v>20</v>
      </c>
      <c r="R80" s="770" t="s">
        <v>25</v>
      </c>
      <c r="S80" s="770"/>
      <c r="T80" s="770"/>
      <c r="U80" s="770"/>
      <c r="V80" s="767" t="s">
        <v>25</v>
      </c>
      <c r="W80" s="817" t="s">
        <v>26</v>
      </c>
      <c r="X80" s="778" t="s">
        <v>27</v>
      </c>
    </row>
    <row r="81" spans="1:24" ht="18.75" customHeight="1" thickBot="1" x14ac:dyDescent="0.3">
      <c r="A81" s="891"/>
      <c r="B81" s="892"/>
      <c r="C81" s="892"/>
      <c r="D81" s="893"/>
      <c r="E81" s="111">
        <v>1</v>
      </c>
      <c r="F81" s="2">
        <v>2</v>
      </c>
      <c r="G81" s="2">
        <v>3</v>
      </c>
      <c r="H81" s="2">
        <v>4</v>
      </c>
      <c r="I81" s="2">
        <v>5</v>
      </c>
      <c r="J81" s="2">
        <v>6</v>
      </c>
      <c r="K81" s="2">
        <v>7</v>
      </c>
      <c r="L81" s="2">
        <v>8</v>
      </c>
      <c r="M81" s="2">
        <v>9</v>
      </c>
      <c r="N81" s="2">
        <v>10</v>
      </c>
      <c r="O81" s="2">
        <v>11</v>
      </c>
      <c r="P81" s="3">
        <v>12</v>
      </c>
      <c r="Q81" s="768"/>
      <c r="R81" s="111" t="s">
        <v>21</v>
      </c>
      <c r="S81" s="2" t="s">
        <v>22</v>
      </c>
      <c r="T81" s="2" t="s">
        <v>23</v>
      </c>
      <c r="U81" s="3" t="s">
        <v>24</v>
      </c>
      <c r="V81" s="768"/>
      <c r="W81" s="884"/>
      <c r="X81" s="779"/>
    </row>
    <row r="82" spans="1:24" ht="18.75" customHeight="1" thickTop="1" x14ac:dyDescent="0.25">
      <c r="A82" s="885" t="s">
        <v>171</v>
      </c>
      <c r="B82" s="886"/>
      <c r="C82" s="886"/>
      <c r="D82" s="887"/>
      <c r="E82" s="147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423"/>
      <c r="Q82" s="290">
        <f>SUM(E82:P82)</f>
        <v>0</v>
      </c>
      <c r="R82" s="146"/>
      <c r="S82" s="18"/>
      <c r="T82" s="18"/>
      <c r="U82" s="423"/>
      <c r="V82" s="290">
        <f>SUM(R82:U82)</f>
        <v>0</v>
      </c>
      <c r="W82" s="144"/>
      <c r="X82" s="145"/>
    </row>
    <row r="83" spans="1:24" s="374" customFormat="1" ht="7.5" customHeight="1" x14ac:dyDescent="0.25">
      <c r="A83" s="371"/>
      <c r="B83" s="372"/>
      <c r="C83" s="372"/>
      <c r="D83" s="373"/>
      <c r="E83" s="299"/>
      <c r="F83" s="300"/>
      <c r="G83" s="300"/>
      <c r="H83" s="300"/>
      <c r="I83" s="300"/>
      <c r="J83" s="300"/>
      <c r="K83" s="300"/>
      <c r="L83" s="300"/>
      <c r="M83" s="300"/>
      <c r="N83" s="300"/>
      <c r="O83" s="300"/>
      <c r="P83" s="301"/>
      <c r="Q83" s="302"/>
      <c r="R83" s="303"/>
      <c r="S83" s="300"/>
      <c r="T83" s="300"/>
      <c r="U83" s="301"/>
      <c r="V83" s="302"/>
      <c r="W83" s="302"/>
      <c r="X83" s="304"/>
    </row>
    <row r="84" spans="1:24" ht="18.75" customHeight="1" x14ac:dyDescent="0.25">
      <c r="A84" s="862" t="s">
        <v>163</v>
      </c>
      <c r="B84" s="834"/>
      <c r="C84" s="834"/>
      <c r="D84" s="835"/>
      <c r="E84" s="897">
        <f>IF(SUM($D$3,E$78:G$78)&lt;0,IPMT($D$5,1,1,AVERAGE($D$3,E$78:G$78))/4,0)</f>
        <v>850.92586142797495</v>
      </c>
      <c r="F84" s="898"/>
      <c r="G84" s="898"/>
      <c r="H84" s="898">
        <f>IF(SUM(G$78:J$78)&lt;0,IPMT($D$5,1,1,AVERAGE(G$78:J$78))/4,0)</f>
        <v>2872.5537502249899</v>
      </c>
      <c r="I84" s="898"/>
      <c r="J84" s="898"/>
      <c r="K84" s="905">
        <f>IF(SUM(J$78:M$78)&lt;0,IPMT($D$5,1,1,AVERAGE(J$78:M$78))/4,0)</f>
        <v>2673.658174751326</v>
      </c>
      <c r="L84" s="900"/>
      <c r="M84" s="901"/>
      <c r="N84" s="905">
        <f>IF(SUM(M$78:P$78)&lt;0,IPMT($D$5,1,1,AVERAGE(M$78:P$78))/4,0)</f>
        <v>2028.1811286365726</v>
      </c>
      <c r="O84" s="900"/>
      <c r="P84" s="906"/>
      <c r="Q84" s="291">
        <f>SUM(B84:P84)</f>
        <v>8425.3189150408634</v>
      </c>
      <c r="R84" s="75">
        <f>IF(SUM(R$78,P$78)&lt;0,IPMT($D$5,1,1,AVERAGE(R$78,P$78))/4,0)</f>
        <v>2251.3729281126143</v>
      </c>
      <c r="S84" s="76">
        <f>IF(SUM(S$78,R$78)&lt;0,IPMT($D$5,1,1,AVERAGE(S$78,R$78))/4,0)</f>
        <v>2118.2298063941835</v>
      </c>
      <c r="T84" s="76">
        <f>IF(SUM(T$78,S$78)&lt;0,IPMT($D$5,1,1,AVERAGE(T$78,S$78))/4,0)</f>
        <v>1574.9620497589347</v>
      </c>
      <c r="U84" s="298">
        <f>IF(SUM(U$78,T$78)&lt;0,IPMT($D$5,1,1,AVERAGE(U$78,T$78))/4,0)</f>
        <v>287.87121153603312</v>
      </c>
      <c r="V84" s="291">
        <f>SUM(R84:U84)</f>
        <v>6232.4359958017658</v>
      </c>
      <c r="W84" s="291">
        <f>IF(V$78&lt;0,IPMT($D$5,1,1,V$78),0)</f>
        <v>0</v>
      </c>
      <c r="X84" s="292">
        <f>IF(W$78&lt;0,IPMT($D$5,1,1,W$78),0)</f>
        <v>0</v>
      </c>
    </row>
    <row r="85" spans="1:24" ht="18.75" customHeight="1" x14ac:dyDescent="0.25">
      <c r="A85" s="862" t="s">
        <v>166</v>
      </c>
      <c r="B85" s="834"/>
      <c r="C85" s="834"/>
      <c r="D85" s="835"/>
      <c r="E85" s="899">
        <f>IF(SUM($D$3,E$78:G$78)&gt;0,-IPMT($D$6,1,1,AVERAGE($D$3,E$78:G$78))/4,0)</f>
        <v>0</v>
      </c>
      <c r="F85" s="900"/>
      <c r="G85" s="901"/>
      <c r="H85" s="905">
        <f>IF(SUM(G$78:J$78)&gt;0,-IPMT($D$6,1,1,AVERAGE(G$78:J$78))/4,0)</f>
        <v>0</v>
      </c>
      <c r="I85" s="900"/>
      <c r="J85" s="901"/>
      <c r="K85" s="905">
        <f>IF(SUM(J$78:M$78)&gt;0,-IPMT($D$6,1,1,AVERAGE(J$78:M$78))/4,0)</f>
        <v>0</v>
      </c>
      <c r="L85" s="900"/>
      <c r="M85" s="901"/>
      <c r="N85" s="905">
        <f>IF(SUM(M$78:P$78)&gt;0,-IPMT($D$6,1,1,AVERAGE(M$78:P$78))/4,0)</f>
        <v>0</v>
      </c>
      <c r="O85" s="900"/>
      <c r="P85" s="906"/>
      <c r="Q85" s="291">
        <f t="shared" ref="Q85:Q86" si="29">SUM(B85:P85)</f>
        <v>0</v>
      </c>
      <c r="R85" s="75">
        <f>IF(SUM(R$78,P$78)&gt;0,-IPMT($D$6,1,1,AVERAGE(R$78,P$78))/4,0)</f>
        <v>0</v>
      </c>
      <c r="S85" s="76">
        <f t="shared" ref="S85:U85" si="30">IF(SUM(S$78,Q$78)&gt;0,-IPMT($D$6,1,1,AVERAGE(S$78,Q$78))/4,0)</f>
        <v>0</v>
      </c>
      <c r="T85" s="76">
        <f t="shared" si="30"/>
        <v>0</v>
      </c>
      <c r="U85" s="76">
        <f t="shared" si="30"/>
        <v>0</v>
      </c>
      <c r="V85" s="291">
        <f t="shared" ref="V85:V86" si="31">SUM(R85:U85)</f>
        <v>0</v>
      </c>
      <c r="W85" s="291">
        <f>IF(V$78&gt;0,-IPMT($D$6,1,1,V$78),0)</f>
        <v>37.53996411085334</v>
      </c>
      <c r="X85" s="292">
        <f>IF(W$78&gt;0,-IPMT($D$6,1,1,(W$78/4)),0)</f>
        <v>148.5893916676082</v>
      </c>
    </row>
    <row r="86" spans="1:24" ht="18.75" customHeight="1" thickBot="1" x14ac:dyDescent="0.3">
      <c r="A86" s="894" t="s">
        <v>168</v>
      </c>
      <c r="B86" s="895"/>
      <c r="C86" s="895"/>
      <c r="D86" s="896"/>
      <c r="E86" s="902">
        <f>IF(SUM(E$82:G$82)&lt;0,IPMT($D$4,1,1,AVERAGE(E$82:G$82))/4,0)</f>
        <v>0</v>
      </c>
      <c r="F86" s="903"/>
      <c r="G86" s="904"/>
      <c r="H86" s="907">
        <f>IF(SUM(G$82:J$82)&lt;0,IPMT($D$4,1,1,AVERAGE(G$82:J$82))/4,0)</f>
        <v>0</v>
      </c>
      <c r="I86" s="903"/>
      <c r="J86" s="904"/>
      <c r="K86" s="907">
        <f>IF(SUM(J$82:M$82)&lt;0,IPMT($D$4,1,1,AVERAGE(J$82:M$82))/4,0)</f>
        <v>0</v>
      </c>
      <c r="L86" s="903"/>
      <c r="M86" s="904"/>
      <c r="N86" s="907">
        <f>IF(SUM(M$82:P$82)&lt;0,IPMT($D$4,1,1,AVERAGE(M$82:P$82))/4,0)</f>
        <v>0</v>
      </c>
      <c r="O86" s="903"/>
      <c r="P86" s="908"/>
      <c r="Q86" s="295">
        <f t="shared" si="29"/>
        <v>0</v>
      </c>
      <c r="R86" s="296">
        <f>IF(SUM(R$82,P$82)&lt;0,IPMT($D$4,1,1,AVERAGE(R$82,P$82))/4,0)</f>
        <v>0</v>
      </c>
      <c r="S86" s="293">
        <f>IF(SUM(S$82,R$82)&lt;0,IPMT($D$4,1,1,AVERAGE(S$82,R$82))/4,0)</f>
        <v>0</v>
      </c>
      <c r="T86" s="293">
        <f>IF(SUM(T$82,S$82)&lt;0,IPMT($D$4,1,1,AVERAGE(T$82,S$82))/4,0)</f>
        <v>0</v>
      </c>
      <c r="U86" s="294">
        <f>IF(SUM(U$82,T$82)&lt;0,IPMT($D$4,1,1,AVERAGE(U$82,T$82))/4,0)</f>
        <v>0</v>
      </c>
      <c r="V86" s="295">
        <f t="shared" si="31"/>
        <v>0</v>
      </c>
      <c r="W86" s="295">
        <f>IF(V$82&lt;0,IPMT($D$4,1,1,V$82),0)</f>
        <v>0</v>
      </c>
      <c r="X86" s="297">
        <f>IF(W$82&lt;0,IPMT($D$4,1,1,W$82),0)</f>
        <v>0</v>
      </c>
    </row>
    <row r="88" spans="1:24" x14ac:dyDescent="0.25">
      <c r="F88" s="375"/>
    </row>
  </sheetData>
  <sheetProtection algorithmName="SHA-512" hashValue="YDtynLZ6rErIkIZJVT0lP87t37Mr/5P1ZyyUocYj80W5H9O5FvDLLS8XQexg5co5K2KQO+fDr6wS+WQ955BOhA==" saltValue="AKhISfpffUez0EM3wVY1Vw==" spinCount="100000" sheet="1" objects="1" scenarios="1"/>
  <mergeCells count="112">
    <mergeCell ref="A16:D16"/>
    <mergeCell ref="W9:W10"/>
    <mergeCell ref="X9:X10"/>
    <mergeCell ref="A13:D13"/>
    <mergeCell ref="A12:D12"/>
    <mergeCell ref="A11:D11"/>
    <mergeCell ref="A15:D15"/>
    <mergeCell ref="A1:X1"/>
    <mergeCell ref="A9:D10"/>
    <mergeCell ref="E9:P9"/>
    <mergeCell ref="Q9:Q10"/>
    <mergeCell ref="R9:U9"/>
    <mergeCell ref="V9:V10"/>
    <mergeCell ref="A3:C3"/>
    <mergeCell ref="A4:C4"/>
    <mergeCell ref="A5:C5"/>
    <mergeCell ref="A6:C6"/>
    <mergeCell ref="A7:C7"/>
    <mergeCell ref="A8:C8"/>
    <mergeCell ref="V18:V19"/>
    <mergeCell ref="W18:W19"/>
    <mergeCell ref="X18:X19"/>
    <mergeCell ref="A33:D33"/>
    <mergeCell ref="E18:P18"/>
    <mergeCell ref="Q18:Q19"/>
    <mergeCell ref="R18:U18"/>
    <mergeCell ref="A22:D22"/>
    <mergeCell ref="A25:D25"/>
    <mergeCell ref="A26:D26"/>
    <mergeCell ref="A20:D20"/>
    <mergeCell ref="A24:D24"/>
    <mergeCell ref="A19:D19"/>
    <mergeCell ref="A18:C18"/>
    <mergeCell ref="A23:D23"/>
    <mergeCell ref="A34:D34"/>
    <mergeCell ref="A36:D36"/>
    <mergeCell ref="A21:D21"/>
    <mergeCell ref="A35:X35"/>
    <mergeCell ref="A27:X27"/>
    <mergeCell ref="A29:D29"/>
    <mergeCell ref="A32:D32"/>
    <mergeCell ref="A28:D28"/>
    <mergeCell ref="A31:D31"/>
    <mergeCell ref="A30:D30"/>
    <mergeCell ref="W38:W39"/>
    <mergeCell ref="X38:X39"/>
    <mergeCell ref="A39:D39"/>
    <mergeCell ref="A40:D40"/>
    <mergeCell ref="A41:D41"/>
    <mergeCell ref="A38:C38"/>
    <mergeCell ref="E38:P38"/>
    <mergeCell ref="Q38:Q39"/>
    <mergeCell ref="R38:U38"/>
    <mergeCell ref="V38:V39"/>
    <mergeCell ref="A58:D58"/>
    <mergeCell ref="A59:D59"/>
    <mergeCell ref="A60:D60"/>
    <mergeCell ref="A61:D61"/>
    <mergeCell ref="A55:D55"/>
    <mergeCell ref="A56:D56"/>
    <mergeCell ref="A42:D42"/>
    <mergeCell ref="A43:D43"/>
    <mergeCell ref="A49:D49"/>
    <mergeCell ref="A50:D50"/>
    <mergeCell ref="A54:D54"/>
    <mergeCell ref="A44:D44"/>
    <mergeCell ref="A45:D45"/>
    <mergeCell ref="A46:D46"/>
    <mergeCell ref="A47:D47"/>
    <mergeCell ref="A48:D48"/>
    <mergeCell ref="A51:D51"/>
    <mergeCell ref="A52:D52"/>
    <mergeCell ref="A53:D53"/>
    <mergeCell ref="A57:X57"/>
    <mergeCell ref="A85:D85"/>
    <mergeCell ref="A86:D86"/>
    <mergeCell ref="E84:G84"/>
    <mergeCell ref="E85:G85"/>
    <mergeCell ref="E86:G86"/>
    <mergeCell ref="H84:J84"/>
    <mergeCell ref="K84:M84"/>
    <mergeCell ref="N84:P84"/>
    <mergeCell ref="H85:J85"/>
    <mergeCell ref="K85:M85"/>
    <mergeCell ref="N85:P85"/>
    <mergeCell ref="H86:J86"/>
    <mergeCell ref="K86:M86"/>
    <mergeCell ref="N86:P86"/>
    <mergeCell ref="A67:D67"/>
    <mergeCell ref="A66:D66"/>
    <mergeCell ref="A68:D68"/>
    <mergeCell ref="A69:D69"/>
    <mergeCell ref="A76:D76"/>
    <mergeCell ref="A84:D84"/>
    <mergeCell ref="A78:D78"/>
    <mergeCell ref="A62:D62"/>
    <mergeCell ref="A73:X73"/>
    <mergeCell ref="A74:D74"/>
    <mergeCell ref="A63:X63"/>
    <mergeCell ref="A64:D64"/>
    <mergeCell ref="A65:D65"/>
    <mergeCell ref="A70:D70"/>
    <mergeCell ref="A71:D71"/>
    <mergeCell ref="A72:D72"/>
    <mergeCell ref="W80:W81"/>
    <mergeCell ref="X80:X81"/>
    <mergeCell ref="A82:D82"/>
    <mergeCell ref="A80:D81"/>
    <mergeCell ref="E80:P80"/>
    <mergeCell ref="Q80:Q81"/>
    <mergeCell ref="R80:U80"/>
    <mergeCell ref="V80:V81"/>
  </mergeCells>
  <dataValidations count="3">
    <dataValidation type="decimal" allowBlank="1" showInputMessage="1" showErrorMessage="1" sqref="W12:X12 R12:U12 E12:P12">
      <formula1>0</formula1>
      <formula2>1-E11</formula2>
    </dataValidation>
    <dataValidation type="decimal" allowBlank="1" showInputMessage="1" showErrorMessage="1" sqref="W11:X11 R11:U11 E11:P11">
      <formula1>0</formula1>
      <formula2>1</formula2>
    </dataValidation>
    <dataValidation type="decimal" operator="lessThanOrEqual" allowBlank="1" showErrorMessage="1" errorTitle="Fehler" error="Wert muss kleiner oder gleich &quot;0&quot; sein!" sqref="E82:X83">
      <formula1>0</formula1>
    </dataValidation>
  </dataValidations>
  <pageMargins left="0.70866141732283472" right="0.70866141732283472" top="0.78740157480314965" bottom="0.78740157480314965" header="0.31496062992125984" footer="0.31496062992125984"/>
  <pageSetup paperSize="8" fitToHeight="0" orientation="landscape" blackAndWhite="1" horizontalDpi="300" verticalDpi="300" r:id="rId1"/>
  <rowBreaks count="1" manualBreakCount="1">
    <brk id="37" max="2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pageSetUpPr fitToPage="1"/>
  </sheetPr>
  <dimension ref="A1:M42"/>
  <sheetViews>
    <sheetView showGridLines="0" tabSelected="1" view="pageBreakPreview" zoomScale="85" zoomScaleNormal="100" zoomScaleSheetLayoutView="85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G43" sqref="G43"/>
    </sheetView>
  </sheetViews>
  <sheetFormatPr baseColWidth="10" defaultRowHeight="15" outlineLevelRow="1" x14ac:dyDescent="0.25"/>
  <cols>
    <col min="1" max="1" width="17.7109375" style="39" bestFit="1" customWidth="1"/>
    <col min="2" max="3" width="9.5703125" style="39" customWidth="1"/>
    <col min="4" max="4" width="7.140625" style="39" bestFit="1" customWidth="1"/>
    <col min="5" max="5" width="12.42578125" style="39" bestFit="1" customWidth="1"/>
    <col min="6" max="6" width="8.85546875" style="39" bestFit="1" customWidth="1"/>
    <col min="7" max="7" width="12.42578125" style="39" bestFit="1" customWidth="1"/>
    <col min="8" max="8" width="8.85546875" style="39" bestFit="1" customWidth="1"/>
    <col min="9" max="9" width="12.42578125" style="39" bestFit="1" customWidth="1"/>
    <col min="10" max="10" width="8.140625" style="39" bestFit="1" customWidth="1"/>
    <col min="11" max="11" width="13.85546875" style="39" bestFit="1" customWidth="1"/>
    <col min="12" max="12" width="8.140625" style="39" bestFit="1" customWidth="1"/>
    <col min="13" max="16384" width="11.42578125" style="39"/>
  </cols>
  <sheetData>
    <row r="1" spans="1:12" ht="27" thickBot="1" x14ac:dyDescent="0.3">
      <c r="A1" s="764" t="s">
        <v>184</v>
      </c>
      <c r="B1" s="765"/>
      <c r="C1" s="765"/>
      <c r="D1" s="765"/>
      <c r="E1" s="765"/>
      <c r="F1" s="765"/>
      <c r="G1" s="765"/>
      <c r="H1" s="765"/>
      <c r="I1" s="765"/>
      <c r="J1" s="765"/>
      <c r="K1" s="765"/>
      <c r="L1" s="766"/>
    </row>
    <row r="2" spans="1:12" ht="7.5" customHeight="1" thickBot="1" x14ac:dyDescent="0.3"/>
    <row r="3" spans="1:12" ht="15" customHeight="1" thickBot="1" x14ac:dyDescent="0.3">
      <c r="A3" s="951" t="s">
        <v>159</v>
      </c>
      <c r="B3" s="952"/>
      <c r="C3" s="952"/>
      <c r="D3" s="476">
        <f>Liquiditätsplan!D8</f>
        <v>0.2</v>
      </c>
    </row>
    <row r="4" spans="1:12" ht="22.5" customHeight="1" thickBot="1" x14ac:dyDescent="0.3">
      <c r="A4" s="441" t="s">
        <v>187</v>
      </c>
      <c r="B4" s="433"/>
      <c r="C4" s="433"/>
      <c r="D4" s="434"/>
      <c r="E4" s="815" t="s">
        <v>20</v>
      </c>
      <c r="F4" s="816"/>
      <c r="G4" s="769" t="s">
        <v>25</v>
      </c>
      <c r="H4" s="817"/>
      <c r="I4" s="769" t="s">
        <v>26</v>
      </c>
      <c r="J4" s="817"/>
      <c r="K4" s="769" t="s">
        <v>27</v>
      </c>
      <c r="L4" s="811"/>
    </row>
    <row r="5" spans="1:12" s="5" customFormat="1" ht="18.75" customHeight="1" thickBot="1" x14ac:dyDescent="0.3">
      <c r="A5" s="437" t="s">
        <v>189</v>
      </c>
      <c r="B5" s="435"/>
      <c r="C5" s="435"/>
      <c r="D5" s="436"/>
      <c r="E5" s="260" t="s">
        <v>185</v>
      </c>
      <c r="F5" s="261" t="s">
        <v>186</v>
      </c>
      <c r="G5" s="262" t="s">
        <v>185</v>
      </c>
      <c r="H5" s="269" t="s">
        <v>186</v>
      </c>
      <c r="I5" s="262" t="s">
        <v>185</v>
      </c>
      <c r="J5" s="269" t="s">
        <v>186</v>
      </c>
      <c r="K5" s="262" t="s">
        <v>185</v>
      </c>
      <c r="L5" s="383" t="s">
        <v>186</v>
      </c>
    </row>
    <row r="6" spans="1:12" ht="18.75" customHeight="1" outlineLevel="1" thickTop="1" x14ac:dyDescent="0.25">
      <c r="A6" s="885" t="s">
        <v>212</v>
      </c>
      <c r="B6" s="886"/>
      <c r="C6" s="886"/>
      <c r="D6" s="887"/>
      <c r="E6" s="6">
        <f>Abschreibung!G18</f>
        <v>20000</v>
      </c>
      <c r="F6" s="424">
        <f>IF(E$22=0,0,E6/E$22)</f>
        <v>0.195278173758519</v>
      </c>
      <c r="G6" s="71">
        <f>Abschreibung!I18</f>
        <v>20000</v>
      </c>
      <c r="H6" s="427">
        <f>IF(G$22=0,0,G6/G$22)</f>
        <v>0.1152950638610087</v>
      </c>
      <c r="I6" s="71">
        <f>Abschreibung!K18</f>
        <v>20000</v>
      </c>
      <c r="J6" s="427">
        <f>IF(I$22=0,0,I6/I$22)</f>
        <v>2.8538736692528478E-2</v>
      </c>
      <c r="K6" s="71">
        <f>Abschreibung!M18</f>
        <v>20000</v>
      </c>
      <c r="L6" s="430">
        <f>IF(K$22=0,0,K6/K$22)</f>
        <v>9.5870567997423488E-3</v>
      </c>
    </row>
    <row r="7" spans="1:12" ht="18.75" customHeight="1" outlineLevel="1" x14ac:dyDescent="0.25">
      <c r="A7" s="853" t="s">
        <v>213</v>
      </c>
      <c r="B7" s="854"/>
      <c r="C7" s="854"/>
      <c r="D7" s="855"/>
      <c r="E7" s="10">
        <f>SUM(Abschreibung!G5:G6)</f>
        <v>24900</v>
      </c>
      <c r="F7" s="425">
        <f>IF(E$22=0,0,E7/E$22)</f>
        <v>0.24312132632935618</v>
      </c>
      <c r="G7" s="75">
        <f>SUM(Abschreibung!I5:I6)</f>
        <v>21800</v>
      </c>
      <c r="H7" s="428">
        <f>IF(G$22=0,0,G7/G$22)</f>
        <v>0.12567161960849949</v>
      </c>
      <c r="I7" s="75">
        <f>SUM(Abschreibung!K5:K6)</f>
        <v>18700</v>
      </c>
      <c r="J7" s="428">
        <f>IF(I$22=0,0,I7/I$22)</f>
        <v>2.6683718807514124E-2</v>
      </c>
      <c r="K7" s="75">
        <f>SUM(Abschreibung!M5:M6)</f>
        <v>15600</v>
      </c>
      <c r="L7" s="431">
        <f>IF(K$22=0,0,K7/K$22)</f>
        <v>7.4779043037990324E-3</v>
      </c>
    </row>
    <row r="8" spans="1:12" ht="18.75" customHeight="1" outlineLevel="1" x14ac:dyDescent="0.25">
      <c r="A8" s="853" t="s">
        <v>214</v>
      </c>
      <c r="B8" s="854"/>
      <c r="C8" s="854"/>
      <c r="D8" s="855"/>
      <c r="E8" s="10">
        <f>SUM(Abschreibung!G11:G12)</f>
        <v>15500</v>
      </c>
      <c r="F8" s="425">
        <f>IF(E$22=0,0,E8/E$22)</f>
        <v>0.15134058466285225</v>
      </c>
      <c r="G8" s="75">
        <f>SUM(Abschreibung!I11:I12)</f>
        <v>11000</v>
      </c>
      <c r="H8" s="428">
        <f>IF(G$22=0,0,G8/G$22)</f>
        <v>6.341228512355479E-2</v>
      </c>
      <c r="I8" s="75">
        <f>SUM(Abschreibung!K11:K12)</f>
        <v>6500</v>
      </c>
      <c r="J8" s="428">
        <f>IF(I$22=0,0,I8/I$22)</f>
        <v>9.2750894250717541E-3</v>
      </c>
      <c r="K8" s="75">
        <f>SUM(Abschreibung!M11:M12)</f>
        <v>2000</v>
      </c>
      <c r="L8" s="431">
        <f>IF(K$22=0,0,K8/K$22)</f>
        <v>9.5870567997423492E-4</v>
      </c>
    </row>
    <row r="9" spans="1:12" ht="18.75" customHeight="1" outlineLevel="1" x14ac:dyDescent="0.25">
      <c r="A9" s="853" t="s">
        <v>210</v>
      </c>
      <c r="B9" s="854"/>
      <c r="C9" s="854"/>
      <c r="D9" s="855"/>
      <c r="E9" s="10">
        <f>Abschreibung!G32</f>
        <v>26250</v>
      </c>
      <c r="F9" s="425">
        <f>IF(E$22=0,0,E9/E$22)</f>
        <v>0.25630260305805619</v>
      </c>
      <c r="G9" s="75">
        <f>Abschreibung!I32</f>
        <v>62500</v>
      </c>
      <c r="H9" s="428">
        <f>IF(G$22=0,0,G9/G$22)</f>
        <v>0.36029707456565219</v>
      </c>
      <c r="I9" s="75">
        <f>Abschreibung!K32</f>
        <v>38750</v>
      </c>
      <c r="J9" s="428">
        <f>IF(I$22=0,0,I9/I$22)</f>
        <v>5.5293802341773925E-2</v>
      </c>
      <c r="K9" s="75">
        <f>Abschreibung!M32</f>
        <v>15000</v>
      </c>
      <c r="L9" s="431">
        <f>IF(K$22=0,0,K9/K$22)</f>
        <v>7.1902925998067625E-3</v>
      </c>
    </row>
    <row r="10" spans="1:12" ht="18.75" customHeight="1" outlineLevel="1" thickBot="1" x14ac:dyDescent="0.3">
      <c r="A10" s="853" t="s">
        <v>211</v>
      </c>
      <c r="B10" s="854"/>
      <c r="C10" s="854"/>
      <c r="D10" s="855"/>
      <c r="E10" s="10">
        <f>SUM(Abschreibung!G8:G10)</f>
        <v>15000</v>
      </c>
      <c r="F10" s="425">
        <f>IF(E$22=0,0,E10/E$22)</f>
        <v>0.14645863031888925</v>
      </c>
      <c r="G10" s="75">
        <f>SUM(Abschreibung!I8:I10)</f>
        <v>11500</v>
      </c>
      <c r="H10" s="428">
        <f>IF(G$22=0,0,G10/G$22)</f>
        <v>6.629466172008E-2</v>
      </c>
      <c r="I10" s="75">
        <f>SUM(Abschreibung!K8:K10)</f>
        <v>6000</v>
      </c>
      <c r="J10" s="428">
        <f>IF(I$22=0,0,I10/I$22)</f>
        <v>8.5616210077585422E-3</v>
      </c>
      <c r="K10" s="75">
        <f>SUM(Abschreibung!M8:M10)</f>
        <v>500</v>
      </c>
      <c r="L10" s="431">
        <f>IF(K$22=0,0,K10/K$22)</f>
        <v>2.3967641999355873E-4</v>
      </c>
    </row>
    <row r="11" spans="1:12" ht="7.5" customHeight="1" outlineLevel="1" thickTop="1" thickBot="1" x14ac:dyDescent="0.3">
      <c r="A11" s="956"/>
      <c r="B11" s="957"/>
      <c r="C11" s="957"/>
      <c r="D11" s="958"/>
      <c r="E11" s="27"/>
      <c r="F11" s="426"/>
      <c r="G11" s="31"/>
      <c r="H11" s="429"/>
      <c r="I11" s="31"/>
      <c r="J11" s="429"/>
      <c r="K11" s="31"/>
      <c r="L11" s="432"/>
    </row>
    <row r="12" spans="1:12" ht="18.75" customHeight="1" thickBot="1" x14ac:dyDescent="0.3">
      <c r="A12" s="866" t="s">
        <v>188</v>
      </c>
      <c r="B12" s="867"/>
      <c r="C12" s="867"/>
      <c r="D12" s="868"/>
      <c r="E12" s="444">
        <f t="shared" ref="E12:L12" si="0">SUM(E6:E11)</f>
        <v>101650</v>
      </c>
      <c r="F12" s="445">
        <f t="shared" si="0"/>
        <v>0.99250131812767295</v>
      </c>
      <c r="G12" s="446">
        <f t="shared" si="0"/>
        <v>126800</v>
      </c>
      <c r="H12" s="447">
        <f t="shared" si="0"/>
        <v>0.73097070487879512</v>
      </c>
      <c r="I12" s="446">
        <f t="shared" si="0"/>
        <v>89950</v>
      </c>
      <c r="J12" s="445">
        <f t="shared" si="0"/>
        <v>0.12835296827464682</v>
      </c>
      <c r="K12" s="446">
        <f t="shared" si="0"/>
        <v>53100</v>
      </c>
      <c r="L12" s="448">
        <f t="shared" si="0"/>
        <v>2.5453635803315933E-2</v>
      </c>
    </row>
    <row r="13" spans="1:12" ht="7.5" customHeight="1" thickBot="1" x14ac:dyDescent="0.3">
      <c r="A13" s="772"/>
      <c r="B13" s="773"/>
      <c r="C13" s="773"/>
      <c r="D13" s="773"/>
      <c r="E13" s="773"/>
      <c r="F13" s="773"/>
      <c r="G13" s="773"/>
      <c r="H13" s="773"/>
      <c r="I13" s="773"/>
      <c r="J13" s="773"/>
      <c r="K13" s="773"/>
      <c r="L13" s="774"/>
    </row>
    <row r="14" spans="1:12" ht="18.75" customHeight="1" thickBot="1" x14ac:dyDescent="0.3">
      <c r="A14" s="438" t="s">
        <v>190</v>
      </c>
      <c r="B14" s="439"/>
      <c r="C14" s="439"/>
      <c r="D14" s="440"/>
      <c r="E14" s="462"/>
      <c r="F14" s="463"/>
      <c r="G14" s="463"/>
      <c r="H14" s="463"/>
      <c r="I14" s="463"/>
      <c r="J14" s="463"/>
      <c r="K14" s="463"/>
      <c r="L14" s="464"/>
    </row>
    <row r="15" spans="1:12" ht="18.75" customHeight="1" outlineLevel="1" thickTop="1" x14ac:dyDescent="0.25">
      <c r="A15" s="885" t="s">
        <v>205</v>
      </c>
      <c r="B15" s="886" t="s">
        <v>205</v>
      </c>
      <c r="C15" s="886" t="s">
        <v>205</v>
      </c>
      <c r="D15" s="887" t="s">
        <v>205</v>
      </c>
      <c r="E15" s="403">
        <v>0</v>
      </c>
      <c r="F15" s="477">
        <f>IF(E$22=0,0,E15/E$22)</f>
        <v>0</v>
      </c>
      <c r="G15" s="609">
        <v>0</v>
      </c>
      <c r="H15" s="478">
        <f>IF(G$22=0,0,G15/G$22)</f>
        <v>0</v>
      </c>
      <c r="I15" s="609">
        <v>0</v>
      </c>
      <c r="J15" s="477">
        <f>IF(I$22=0,0,I15/I$22)</f>
        <v>0</v>
      </c>
      <c r="K15" s="609">
        <v>0</v>
      </c>
      <c r="L15" s="479">
        <f>IF(K$22=0,0,K15/K$22)</f>
        <v>0</v>
      </c>
    </row>
    <row r="16" spans="1:12" ht="18.75" customHeight="1" outlineLevel="1" x14ac:dyDescent="0.25">
      <c r="A16" s="853" t="s">
        <v>206</v>
      </c>
      <c r="B16" s="854" t="s">
        <v>206</v>
      </c>
      <c r="C16" s="854" t="s">
        <v>206</v>
      </c>
      <c r="D16" s="855" t="s">
        <v>206</v>
      </c>
      <c r="E16" s="460">
        <f>Liquiditätsplan!Q15-Liquiditätsplan!Q16</f>
        <v>768</v>
      </c>
      <c r="F16" s="425">
        <f t="shared" ref="F16:H18" si="1">IF(E$22=0,0,E16/E$22)</f>
        <v>7.4986818723271299E-3</v>
      </c>
      <c r="G16" s="75">
        <f>Liquiditätsplan!V15-Liquiditätsplan!V16</f>
        <v>9128</v>
      </c>
      <c r="H16" s="428">
        <f t="shared" si="1"/>
        <v>5.2620667146164375E-2</v>
      </c>
      <c r="I16" s="75">
        <f>Liquiditätsplan!W15-Liquiditätsplan!W16</f>
        <v>1677</v>
      </c>
      <c r="J16" s="425">
        <f t="shared" ref="J16" si="2">IF(I$22=0,0,I16/I$22)</f>
        <v>2.3929730716685128E-3</v>
      </c>
      <c r="K16" s="75">
        <f>Liquiditätsplan!X15-Liquiditätsplan!X16</f>
        <v>7694</v>
      </c>
      <c r="L16" s="470">
        <f t="shared" ref="L16" si="3">IF(K$22=0,0,K16/K$22)</f>
        <v>3.6881407508608821E-3</v>
      </c>
    </row>
    <row r="17" spans="1:12" ht="18.75" customHeight="1" outlineLevel="1" x14ac:dyDescent="0.25">
      <c r="A17" s="853" t="s">
        <v>207</v>
      </c>
      <c r="B17" s="854" t="s">
        <v>207</v>
      </c>
      <c r="C17" s="854" t="s">
        <v>207</v>
      </c>
      <c r="D17" s="855" t="s">
        <v>207</v>
      </c>
      <c r="E17" s="460">
        <f>MAX(0,SUM(-E12,-E15,-E16,-E18,E30,E33,E34,E36))</f>
        <v>0</v>
      </c>
      <c r="F17" s="425">
        <f t="shared" si="1"/>
        <v>0</v>
      </c>
      <c r="G17" s="75">
        <f>MAX(0,SUM(-G12,-G15,-G16,-G18,G30,G33,G34,G36))</f>
        <v>0</v>
      </c>
      <c r="H17" s="428">
        <f t="shared" si="1"/>
        <v>0</v>
      </c>
      <c r="I17" s="75">
        <f>MAX(0,SUM(-I12,-I15,-I16,-I18,I30,I33,I34,I36))</f>
        <v>14817.301873245902</v>
      </c>
      <c r="J17" s="425">
        <f t="shared" ref="J17" si="4">IF(I$22=0,0,I17/I$22)</f>
        <v>2.1143353832713686E-2</v>
      </c>
      <c r="K17" s="75">
        <f>MAX(0,SUM(-K12,-K15,-K16,-K18,K30,K33,K34,K36))</f>
        <v>132287.4312132473</v>
      </c>
      <c r="L17" s="470">
        <f t="shared" ref="L17" si="5">IF(K$22=0,0,K17/K$22)</f>
        <v>6.3412355846670543E-2</v>
      </c>
    </row>
    <row r="18" spans="1:12" ht="18.75" customHeight="1" outlineLevel="1" thickBot="1" x14ac:dyDescent="0.3">
      <c r="A18" s="909" t="s">
        <v>208</v>
      </c>
      <c r="B18" s="910" t="s">
        <v>208</v>
      </c>
      <c r="C18" s="910" t="s">
        <v>208</v>
      </c>
      <c r="D18" s="911" t="s">
        <v>208</v>
      </c>
      <c r="E18" s="461">
        <f>IF(Liquiditätsplan!Q78&gt;0,Liquiditätsplan!Q78,0)</f>
        <v>0</v>
      </c>
      <c r="F18" s="465">
        <f t="shared" si="1"/>
        <v>0</v>
      </c>
      <c r="G18" s="131">
        <f>IF(Liquiditätsplan!V78&gt;0,Liquiditätsplan!V78,0)</f>
        <v>37539.96411085334</v>
      </c>
      <c r="H18" s="467">
        <f t="shared" si="1"/>
        <v>0.21640862797504054</v>
      </c>
      <c r="I18" s="131">
        <f>IF(Liquiditätsplan!W78&gt;0,Liquiditätsplan!W78,0)</f>
        <v>594357.5666704328</v>
      </c>
      <c r="J18" s="465">
        <f t="shared" ref="J18" si="6">IF(I$22=0,0,I18/I$22)</f>
        <v>0.84811070482097106</v>
      </c>
      <c r="K18" s="131">
        <f>IF(Liquiditätsplan!X78&gt;0,Liquiditätsplan!X78,0)</f>
        <v>1893064.5484932144</v>
      </c>
      <c r="L18" s="471">
        <f t="shared" ref="L18" si="7">IF(K$22=0,0,K18/K$22)</f>
        <v>0.90744586759915258</v>
      </c>
    </row>
    <row r="19" spans="1:12" ht="7.5" customHeight="1" outlineLevel="1" thickTop="1" thickBot="1" x14ac:dyDescent="0.3">
      <c r="A19" s="953"/>
      <c r="B19" s="954"/>
      <c r="C19" s="954"/>
      <c r="D19" s="955"/>
      <c r="E19" s="449"/>
      <c r="F19" s="466"/>
      <c r="G19" s="450"/>
      <c r="H19" s="468"/>
      <c r="I19" s="450"/>
      <c r="J19" s="466"/>
      <c r="K19" s="450"/>
      <c r="L19" s="472"/>
    </row>
    <row r="20" spans="1:12" ht="18.75" customHeight="1" thickBot="1" x14ac:dyDescent="0.3">
      <c r="A20" s="866" t="s">
        <v>191</v>
      </c>
      <c r="B20" s="867"/>
      <c r="C20" s="867"/>
      <c r="D20" s="868"/>
      <c r="E20" s="444">
        <f t="shared" ref="E20:L20" si="8">SUM(E13:E19)</f>
        <v>768</v>
      </c>
      <c r="F20" s="445">
        <f t="shared" si="8"/>
        <v>7.4986818723271299E-3</v>
      </c>
      <c r="G20" s="446">
        <f t="shared" si="8"/>
        <v>46667.96411085334</v>
      </c>
      <c r="H20" s="447">
        <f t="shared" si="8"/>
        <v>0.26902929512120494</v>
      </c>
      <c r="I20" s="446">
        <f t="shared" si="8"/>
        <v>610851.86854367866</v>
      </c>
      <c r="J20" s="445">
        <f t="shared" si="8"/>
        <v>0.87164703172535329</v>
      </c>
      <c r="K20" s="446">
        <f t="shared" si="8"/>
        <v>2033045.9797064618</v>
      </c>
      <c r="L20" s="448">
        <f t="shared" si="8"/>
        <v>0.97454636419668406</v>
      </c>
    </row>
    <row r="21" spans="1:12" ht="7.5" customHeight="1" thickBot="1" x14ac:dyDescent="0.3">
      <c r="A21" s="46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5"/>
    </row>
    <row r="22" spans="1:12" s="47" customFormat="1" ht="18.75" customHeight="1" thickBot="1" x14ac:dyDescent="0.3">
      <c r="A22" s="812" t="s">
        <v>192</v>
      </c>
      <c r="B22" s="813"/>
      <c r="C22" s="813"/>
      <c r="D22" s="959"/>
      <c r="E22" s="451">
        <f t="shared" ref="E22:L22" si="9">E20+E12</f>
        <v>102418</v>
      </c>
      <c r="F22" s="473">
        <f t="shared" si="9"/>
        <v>1</v>
      </c>
      <c r="G22" s="452">
        <f t="shared" si="9"/>
        <v>173467.96411085333</v>
      </c>
      <c r="H22" s="473">
        <f t="shared" si="9"/>
        <v>1</v>
      </c>
      <c r="I22" s="453">
        <f t="shared" si="9"/>
        <v>700801.86854367866</v>
      </c>
      <c r="J22" s="474">
        <f t="shared" si="9"/>
        <v>1</v>
      </c>
      <c r="K22" s="454">
        <f t="shared" si="9"/>
        <v>2086145.9797064618</v>
      </c>
      <c r="L22" s="475">
        <f t="shared" si="9"/>
        <v>1</v>
      </c>
    </row>
    <row r="23" spans="1:12" ht="15.75" thickBot="1" x14ac:dyDescent="0.3"/>
    <row r="24" spans="1:12" ht="22.5" customHeight="1" thickBot="1" x14ac:dyDescent="0.3">
      <c r="A24" s="441" t="s">
        <v>193</v>
      </c>
      <c r="B24" s="433"/>
      <c r="C24" s="433"/>
      <c r="D24" s="434"/>
      <c r="E24" s="815" t="s">
        <v>20</v>
      </c>
      <c r="F24" s="816"/>
      <c r="G24" s="769" t="s">
        <v>25</v>
      </c>
      <c r="H24" s="817"/>
      <c r="I24" s="769" t="s">
        <v>26</v>
      </c>
      <c r="J24" s="817"/>
      <c r="K24" s="769" t="s">
        <v>27</v>
      </c>
      <c r="L24" s="811"/>
    </row>
    <row r="25" spans="1:12" s="5" customFormat="1" ht="18.75" customHeight="1" thickBot="1" x14ac:dyDescent="0.3">
      <c r="A25" s="437" t="s">
        <v>194</v>
      </c>
      <c r="B25" s="435"/>
      <c r="C25" s="435"/>
      <c r="D25" s="436"/>
      <c r="E25" s="260" t="s">
        <v>185</v>
      </c>
      <c r="F25" s="261" t="s">
        <v>186</v>
      </c>
      <c r="G25" s="262" t="s">
        <v>185</v>
      </c>
      <c r="H25" s="269" t="s">
        <v>186</v>
      </c>
      <c r="I25" s="262" t="s">
        <v>185</v>
      </c>
      <c r="J25" s="269" t="s">
        <v>186</v>
      </c>
      <c r="K25" s="262" t="s">
        <v>185</v>
      </c>
      <c r="L25" s="383" t="s">
        <v>186</v>
      </c>
    </row>
    <row r="26" spans="1:12" ht="18.75" customHeight="1" outlineLevel="1" thickTop="1" x14ac:dyDescent="0.25">
      <c r="A26" s="966" t="s">
        <v>198</v>
      </c>
      <c r="B26" s="967"/>
      <c r="C26" s="967"/>
      <c r="D26" s="968"/>
      <c r="E26" s="442">
        <f>Liquiditätsplan!D3+Liquiditätsplan!Q31</f>
        <v>35000</v>
      </c>
      <c r="F26" s="424">
        <f>IF(E$40=0,0,E26/E$40)</f>
        <v>0.34173680407740831</v>
      </c>
      <c r="G26" s="71">
        <f>E26+Liquiditätsplan!V31</f>
        <v>35000</v>
      </c>
      <c r="H26" s="427">
        <f>IF(G$40=0,0,G26/G$40)</f>
        <v>0.20176636175676524</v>
      </c>
      <c r="I26" s="71">
        <f>G26+Liquiditätsplan!W31</f>
        <v>35000</v>
      </c>
      <c r="J26" s="427">
        <f>IF(I$40=0,0,I26/I$40)</f>
        <v>4.9942789211924833E-2</v>
      </c>
      <c r="K26" s="71">
        <f>I26+Liquiditätsplan!X31</f>
        <v>35000</v>
      </c>
      <c r="L26" s="430">
        <f>IF(K$40=0,0,K26/K$40)</f>
        <v>1.6777349399549113E-2</v>
      </c>
    </row>
    <row r="27" spans="1:12" ht="18.75" customHeight="1" outlineLevel="1" x14ac:dyDescent="0.25">
      <c r="A27" s="963" t="s">
        <v>199</v>
      </c>
      <c r="B27" s="964"/>
      <c r="C27" s="964"/>
      <c r="D27" s="965"/>
      <c r="E27" s="376"/>
      <c r="F27" s="443"/>
      <c r="G27" s="75">
        <f>SUM(E27:E28)</f>
        <v>-113246.57834329423</v>
      </c>
      <c r="H27" s="428">
        <f>IF(G$40=0,0,G27/G$40)</f>
        <v>-0.65283857410654167</v>
      </c>
      <c r="I27" s="75">
        <f>SUM(G27:G28)</f>
        <v>46076.694674487968</v>
      </c>
      <c r="J27" s="428">
        <f t="shared" ref="J27" si="10">IF(I$40=0,0,I27/I$40)</f>
        <v>6.5748532848862062E-2</v>
      </c>
      <c r="K27" s="75">
        <f>SUM(I27:I28)</f>
        <v>495209.37507638108</v>
      </c>
      <c r="L27" s="431">
        <f t="shared" ref="L27" si="11">IF(K$40=0,0,K27/K$40)</f>
        <v>0.23738002033110894</v>
      </c>
    </row>
    <row r="28" spans="1:12" ht="18.75" customHeight="1" outlineLevel="1" thickBot="1" x14ac:dyDescent="0.3">
      <c r="A28" s="963" t="s">
        <v>124</v>
      </c>
      <c r="B28" s="964"/>
      <c r="C28" s="964"/>
      <c r="D28" s="965"/>
      <c r="E28" s="10">
        <f>'Plan G&amp;V'!Q47</f>
        <v>-113246.57834329423</v>
      </c>
      <c r="F28" s="425">
        <f>IF(E$40=0,0,E28/E$40)</f>
        <v>-1.1057292501639775</v>
      </c>
      <c r="G28" s="75">
        <f>'Plan G&amp;V'!V47</f>
        <v>159323.27301778219</v>
      </c>
      <c r="H28" s="428">
        <f>IF(G$40=0,0,G28/G$40)</f>
        <v>0.9184593468565061</v>
      </c>
      <c r="I28" s="75">
        <f>'Plan G&amp;V'!W47</f>
        <v>449132.6804018931</v>
      </c>
      <c r="J28" s="428">
        <f t="shared" ref="J28" si="12">IF(I$40=0,0,I28/I$40)</f>
        <v>0.64088396529995861</v>
      </c>
      <c r="K28" s="75">
        <f>'Plan G&amp;V'!X47</f>
        <v>1151291.2534725606</v>
      </c>
      <c r="L28" s="431">
        <f t="shared" ref="L28" si="13">IF(K$40=0,0,K28/K$40)</f>
        <v>0.55187473200440018</v>
      </c>
    </row>
    <row r="29" spans="1:12" ht="7.5" customHeight="1" outlineLevel="1" thickTop="1" thickBot="1" x14ac:dyDescent="0.3">
      <c r="A29" s="956"/>
      <c r="B29" s="957"/>
      <c r="C29" s="957"/>
      <c r="D29" s="958"/>
      <c r="E29" s="27"/>
      <c r="F29" s="426"/>
      <c r="G29" s="31"/>
      <c r="H29" s="429"/>
      <c r="I29" s="31"/>
      <c r="J29" s="429"/>
      <c r="K29" s="31"/>
      <c r="L29" s="432"/>
    </row>
    <row r="30" spans="1:12" ht="18.75" customHeight="1" thickBot="1" x14ac:dyDescent="0.3">
      <c r="A30" s="866" t="s">
        <v>195</v>
      </c>
      <c r="B30" s="867"/>
      <c r="C30" s="867"/>
      <c r="D30" s="868"/>
      <c r="E30" s="455">
        <f>SUM(E26:E29)</f>
        <v>-78246.578343294226</v>
      </c>
      <c r="F30" s="456">
        <f t="shared" ref="F30:L30" si="14">SUM(F26:F29)</f>
        <v>-0.76399244608656924</v>
      </c>
      <c r="G30" s="457">
        <f t="shared" si="14"/>
        <v>81076.694674487968</v>
      </c>
      <c r="H30" s="458">
        <f t="shared" si="14"/>
        <v>0.46738713450672964</v>
      </c>
      <c r="I30" s="457">
        <f t="shared" si="14"/>
        <v>530209.37507638102</v>
      </c>
      <c r="J30" s="456">
        <f t="shared" si="14"/>
        <v>0.75657528736074553</v>
      </c>
      <c r="K30" s="457">
        <f t="shared" si="14"/>
        <v>1681500.6285489416</v>
      </c>
      <c r="L30" s="459">
        <f t="shared" si="14"/>
        <v>0.80603210173505824</v>
      </c>
    </row>
    <row r="31" spans="1:12" ht="7.5" customHeight="1" thickBot="1" x14ac:dyDescent="0.3">
      <c r="A31" s="772"/>
      <c r="B31" s="773"/>
      <c r="C31" s="773"/>
      <c r="D31" s="773"/>
      <c r="E31" s="773"/>
      <c r="F31" s="773"/>
      <c r="G31" s="773"/>
      <c r="H31" s="773"/>
      <c r="I31" s="773"/>
      <c r="J31" s="773"/>
      <c r="K31" s="773"/>
      <c r="L31" s="774"/>
    </row>
    <row r="32" spans="1:12" ht="18.75" customHeight="1" thickBot="1" x14ac:dyDescent="0.3">
      <c r="A32" s="438" t="s">
        <v>197</v>
      </c>
      <c r="B32" s="439"/>
      <c r="C32" s="439"/>
      <c r="D32" s="440"/>
      <c r="E32" s="44"/>
      <c r="F32" s="44"/>
      <c r="G32" s="44"/>
      <c r="H32" s="44"/>
      <c r="I32" s="44"/>
      <c r="J32" s="44"/>
      <c r="K32" s="44"/>
      <c r="L32" s="45"/>
    </row>
    <row r="33" spans="1:13" ht="18.75" customHeight="1" outlineLevel="1" thickTop="1" x14ac:dyDescent="0.25">
      <c r="A33" s="966" t="s">
        <v>201</v>
      </c>
      <c r="B33" s="967"/>
      <c r="C33" s="967"/>
      <c r="D33" s="968"/>
      <c r="E33" s="442">
        <f>'Plan G&amp;V'!Q56</f>
        <v>500</v>
      </c>
      <c r="F33" s="424">
        <f>IF(E$40=0,0,E33/E$40)</f>
        <v>4.8819543439629761E-3</v>
      </c>
      <c r="G33" s="71">
        <f>'Plan G&amp;V'!V56</f>
        <v>15525.564891495991</v>
      </c>
      <c r="H33" s="427">
        <f>IF(G$40=0,0,G33/G$40)</f>
        <v>8.950104978216325E-2</v>
      </c>
      <c r="I33" s="71">
        <f>'Plan G&amp;V'!W56</f>
        <v>149710.89346729769</v>
      </c>
      <c r="J33" s="424">
        <f>IF(I$40=0,0,I33/I$40)</f>
        <v>0.21362798843331951</v>
      </c>
      <c r="K33" s="71">
        <f>'Plan G&amp;V'!X56</f>
        <v>383763.75115752016</v>
      </c>
      <c r="L33" s="469">
        <f>IF(K$40=0,0,K33/K$40)</f>
        <v>0.18395824400146674</v>
      </c>
    </row>
    <row r="34" spans="1:13" ht="18.75" customHeight="1" outlineLevel="1" x14ac:dyDescent="0.25">
      <c r="A34" s="963" t="s">
        <v>202</v>
      </c>
      <c r="B34" s="964"/>
      <c r="C34" s="964"/>
      <c r="D34" s="965"/>
      <c r="E34" s="460">
        <f>(SUM((-SUM('Plan G&amp;V'!Q19,'Plan G&amp;V'!Q20,'Plan G&amp;V'!Q24:Q30,'Plan G&amp;V'!Q35)+Investitionsplan!R34)*(1+$D$3),-'Plan G&amp;V'!Q31,-'Plan G&amp;V'!Q32))-(SUM(Liquiditätsplan!Q41:Q54,Liquiditätsplan!Q62))</f>
        <v>9681.5999999999767</v>
      </c>
      <c r="F34" s="425">
        <f t="shared" ref="F34:H36" si="15">IF(E$40=0,0,E34/E$40)</f>
        <v>9.4530258353023672E-2</v>
      </c>
      <c r="G34" s="75">
        <f>(SUM((-SUM('Plan G&amp;V'!V19,'Plan G&amp;V'!V20,'Plan G&amp;V'!V24:V30,'Plan G&amp;V'!V35)+Investitionsplan!W34)*(1+$D$3),-'Plan G&amp;V'!V31,-'Plan G&amp;V'!V32))-(SUM(Liquiditätsplan!V41:V54,Liquiditätsplan!V62))</f>
        <v>32881.600000000006</v>
      </c>
      <c r="H34" s="428">
        <f t="shared" si="15"/>
        <v>0.18955430859260722</v>
      </c>
      <c r="I34" s="75">
        <f>(SUM((-SUM('Plan G&amp;V'!W19,'Plan G&amp;V'!W20,'Plan G&amp;V'!W24:W30,'Plan G&amp;V'!W35)+Investitionsplan!X34)*(1+$D$3),-'Plan G&amp;V'!W31,-'Plan G&amp;V'!W32))-(SUM(Liquiditätsplan!W41:W54,Liquiditätsplan!W62))</f>
        <v>20881.599999999991</v>
      </c>
      <c r="J34" s="425">
        <f t="shared" ref="J34" si="16">IF(I$40=0,0,I34/I$40)</f>
        <v>2.979672420593512E-2</v>
      </c>
      <c r="K34" s="75">
        <f>(SUM((-SUM('Plan G&amp;V'!X19,'Plan G&amp;V'!X20,'Plan G&amp;V'!X24:X30,'Plan G&amp;V'!X35)+Investitionsplan!Y34)*(1+$D$3),-'Plan G&amp;V'!X31,-'Plan G&amp;V'!X32))-(SUM(Liquiditätsplan!X41:X54,Liquiditätsplan!X62))</f>
        <v>20881.599999999991</v>
      </c>
      <c r="L34" s="470">
        <f t="shared" ref="L34" si="17">IF(K$40=0,0,K34/K$40)</f>
        <v>1.0009654263474988E-2</v>
      </c>
    </row>
    <row r="35" spans="1:13" ht="18.75" customHeight="1" outlineLevel="1" x14ac:dyDescent="0.25">
      <c r="A35" s="963" t="s">
        <v>203</v>
      </c>
      <c r="B35" s="964"/>
      <c r="C35" s="964"/>
      <c r="D35" s="965"/>
      <c r="E35" s="460">
        <f>MAX(0,SUM(E12,E15,E16,E18,-E30,-E33,-E34,-E36))</f>
        <v>18658.414461969922</v>
      </c>
      <c r="F35" s="1002">
        <f t="shared" ref="F35:L35" si="18">MAX(0,SUM(F12,F15,F16,F18,-F30,-F33,-F34,-F36))</f>
        <v>0.18217905506815169</v>
      </c>
      <c r="G35" s="75">
        <f t="shared" si="18"/>
        <v>43984.104544869362</v>
      </c>
      <c r="H35" s="425">
        <f t="shared" si="18"/>
        <v>0.25355750711849989</v>
      </c>
      <c r="I35" s="75">
        <f t="shared" si="18"/>
        <v>0</v>
      </c>
      <c r="J35" s="425">
        <f t="shared" si="18"/>
        <v>0</v>
      </c>
      <c r="K35" s="75">
        <f t="shared" si="18"/>
        <v>0</v>
      </c>
      <c r="L35" s="470">
        <f t="shared" si="18"/>
        <v>0</v>
      </c>
    </row>
    <row r="36" spans="1:13" ht="18.75" customHeight="1" outlineLevel="1" thickBot="1" x14ac:dyDescent="0.3">
      <c r="A36" s="960" t="s">
        <v>204</v>
      </c>
      <c r="B36" s="961"/>
      <c r="C36" s="961"/>
      <c r="D36" s="962"/>
      <c r="E36" s="461">
        <f>IF(Liquiditätsplan!Q78&lt;=0,((-Liquiditätsplan!Q78)-Liquiditätsplan!Q82),-Liquiditätsplan!Q82)</f>
        <v>151824.56388132431</v>
      </c>
      <c r="F36" s="465">
        <f t="shared" si="15"/>
        <v>1.482401178321431</v>
      </c>
      <c r="G36" s="131">
        <f>IF(Liquiditätsplan!V78&lt;=0,((-Liquiditätsplan!V78)-Liquiditätsplan!V82),-Liquiditätsplan!V82)</f>
        <v>0</v>
      </c>
      <c r="H36" s="467">
        <f t="shared" si="15"/>
        <v>0</v>
      </c>
      <c r="I36" s="131">
        <f>IF(Liquiditätsplan!W78&lt;=0,((-Liquiditätsplan!W78)-Liquiditätsplan!W82),-Liquiditätsplan!W82)</f>
        <v>0</v>
      </c>
      <c r="J36" s="465">
        <f t="shared" ref="J36" si="19">IF(I$40=0,0,I36/I$40)</f>
        <v>0</v>
      </c>
      <c r="K36" s="131">
        <f>IF(Liquiditätsplan!X78&lt;=0,((-Liquiditätsplan!X78)-Liquiditätsplan!X82),-Liquiditätsplan!X82)</f>
        <v>0</v>
      </c>
      <c r="L36" s="471">
        <f t="shared" ref="L36" si="20">IF(K$40=0,0,K36/K$40)</f>
        <v>0</v>
      </c>
    </row>
    <row r="37" spans="1:13" ht="7.5" customHeight="1" outlineLevel="1" thickTop="1" thickBot="1" x14ac:dyDescent="0.3">
      <c r="A37" s="953"/>
      <c r="B37" s="954"/>
      <c r="C37" s="954"/>
      <c r="D37" s="955"/>
      <c r="E37" s="449"/>
      <c r="F37" s="466"/>
      <c r="G37" s="450"/>
      <c r="H37" s="468"/>
      <c r="I37" s="450"/>
      <c r="J37" s="466"/>
      <c r="K37" s="450"/>
      <c r="L37" s="472"/>
    </row>
    <row r="38" spans="1:13" ht="18.75" customHeight="1" thickBot="1" x14ac:dyDescent="0.3">
      <c r="A38" s="866" t="s">
        <v>196</v>
      </c>
      <c r="B38" s="867"/>
      <c r="C38" s="867"/>
      <c r="D38" s="868"/>
      <c r="E38" s="455">
        <f>SUM(E33:E37)</f>
        <v>180664.57834329421</v>
      </c>
      <c r="F38" s="456">
        <f t="shared" ref="F38:L38" si="21">SUM(F33:F37)</f>
        <v>1.7639924460865695</v>
      </c>
      <c r="G38" s="457">
        <f t="shared" si="21"/>
        <v>92391.269436365357</v>
      </c>
      <c r="H38" s="458">
        <f t="shared" si="21"/>
        <v>0.53261286549327036</v>
      </c>
      <c r="I38" s="457">
        <f t="shared" si="21"/>
        <v>170592.4934672977</v>
      </c>
      <c r="J38" s="456">
        <f t="shared" si="21"/>
        <v>0.24342471263925464</v>
      </c>
      <c r="K38" s="457">
        <f t="shared" si="21"/>
        <v>404645.35115752014</v>
      </c>
      <c r="L38" s="459">
        <f t="shared" si="21"/>
        <v>0.19396789826494173</v>
      </c>
    </row>
    <row r="39" spans="1:13" ht="7.5" customHeight="1" thickBot="1" x14ac:dyDescent="0.3">
      <c r="A39" s="46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5"/>
    </row>
    <row r="40" spans="1:13" s="47" customFormat="1" ht="18.75" customHeight="1" thickBot="1" x14ac:dyDescent="0.3">
      <c r="A40" s="812" t="s">
        <v>209</v>
      </c>
      <c r="B40" s="813"/>
      <c r="C40" s="813"/>
      <c r="D40" s="959"/>
      <c r="E40" s="451">
        <f t="shared" ref="E40:L40" si="22">E38+E30</f>
        <v>102417.99999999999</v>
      </c>
      <c r="F40" s="473">
        <f t="shared" si="22"/>
        <v>1.0000000000000002</v>
      </c>
      <c r="G40" s="452">
        <f t="shared" si="22"/>
        <v>173467.96411085333</v>
      </c>
      <c r="H40" s="473">
        <f t="shared" si="22"/>
        <v>1</v>
      </c>
      <c r="I40" s="453">
        <f t="shared" si="22"/>
        <v>700801.86854367866</v>
      </c>
      <c r="J40" s="474">
        <f t="shared" si="22"/>
        <v>1.0000000000000002</v>
      </c>
      <c r="K40" s="454">
        <f t="shared" si="22"/>
        <v>2086145.9797064618</v>
      </c>
      <c r="L40" s="475">
        <f t="shared" si="22"/>
        <v>1</v>
      </c>
      <c r="M40" s="47" t="str">
        <f>IF(OR(ROUND(E40-E22,2)&lt;&gt;0,ROUND(G40-G22,2)&lt;&gt;0,ROUND(I40-I22,2)&lt;&gt;0,ROUND(K40-K22,2)&lt;&gt;0),"Fehler in der Bilanz","")</f>
        <v/>
      </c>
    </row>
    <row r="41" spans="1:13" x14ac:dyDescent="0.25">
      <c r="E41" s="375"/>
      <c r="F41" s="375"/>
      <c r="G41" s="375"/>
      <c r="H41" s="375"/>
      <c r="I41" s="375"/>
      <c r="J41" s="375"/>
      <c r="K41" s="375"/>
      <c r="L41" s="375"/>
    </row>
    <row r="42" spans="1:13" x14ac:dyDescent="0.25">
      <c r="K42" s="375"/>
    </row>
  </sheetData>
  <mergeCells count="38">
    <mergeCell ref="A13:L13"/>
    <mergeCell ref="A31:L31"/>
    <mergeCell ref="A38:D38"/>
    <mergeCell ref="A40:D40"/>
    <mergeCell ref="A36:D36"/>
    <mergeCell ref="A35:D35"/>
    <mergeCell ref="A33:D33"/>
    <mergeCell ref="A37:D37"/>
    <mergeCell ref="A34:D34"/>
    <mergeCell ref="A28:D28"/>
    <mergeCell ref="A29:D29"/>
    <mergeCell ref="A30:D30"/>
    <mergeCell ref="E24:F24"/>
    <mergeCell ref="G24:H24"/>
    <mergeCell ref="A26:D26"/>
    <mergeCell ref="A27:D27"/>
    <mergeCell ref="I24:J24"/>
    <mergeCell ref="K24:L24"/>
    <mergeCell ref="A19:D19"/>
    <mergeCell ref="A6:D6"/>
    <mergeCell ref="A7:D7"/>
    <mergeCell ref="A8:D8"/>
    <mergeCell ref="A9:D9"/>
    <mergeCell ref="A10:D10"/>
    <mergeCell ref="A11:D11"/>
    <mergeCell ref="A12:D12"/>
    <mergeCell ref="A20:D20"/>
    <mergeCell ref="A22:D22"/>
    <mergeCell ref="A18:D18"/>
    <mergeCell ref="A17:D17"/>
    <mergeCell ref="A16:D16"/>
    <mergeCell ref="A15:D15"/>
    <mergeCell ref="A1:L1"/>
    <mergeCell ref="E4:F4"/>
    <mergeCell ref="G4:H4"/>
    <mergeCell ref="I4:J4"/>
    <mergeCell ref="K4:L4"/>
    <mergeCell ref="A3:C3"/>
  </mergeCells>
  <dataValidations disablePrompts="1" count="1">
    <dataValidation type="whole" allowBlank="1" showInputMessage="1" showErrorMessage="1" sqref="D8:D10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9" scale="69" fitToHeight="0" orientation="portrait" blackAndWhite="1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pageSetUpPr fitToPage="1"/>
  </sheetPr>
  <dimension ref="A1:H20"/>
  <sheetViews>
    <sheetView view="pageBreakPreview" zoomScale="110" zoomScaleNormal="100" zoomScaleSheetLayoutView="110" workbookViewId="0">
      <selection activeCell="E18" sqref="E18:H18"/>
    </sheetView>
  </sheetViews>
  <sheetFormatPr baseColWidth="10" defaultRowHeight="15" x14ac:dyDescent="0.25"/>
  <cols>
    <col min="1" max="2" width="3.5703125" style="39" customWidth="1"/>
    <col min="3" max="4" width="23.28515625" style="39" customWidth="1"/>
    <col min="5" max="8" width="14.28515625" style="39" customWidth="1"/>
    <col min="9" max="16384" width="11.42578125" style="39"/>
  </cols>
  <sheetData>
    <row r="1" spans="1:8" ht="27" thickBot="1" x14ac:dyDescent="0.3">
      <c r="A1" s="764" t="s">
        <v>217</v>
      </c>
      <c r="B1" s="765"/>
      <c r="C1" s="765"/>
      <c r="D1" s="765"/>
      <c r="E1" s="765"/>
      <c r="F1" s="765"/>
      <c r="G1" s="765"/>
      <c r="H1" s="765"/>
    </row>
    <row r="2" spans="1:8" ht="7.5" customHeight="1" thickBot="1" x14ac:dyDescent="0.3"/>
    <row r="3" spans="1:8" ht="22.5" customHeight="1" thickBot="1" x14ac:dyDescent="0.3">
      <c r="A3" s="488"/>
      <c r="B3" s="489"/>
      <c r="C3" s="489"/>
      <c r="D3" s="490"/>
      <c r="E3" s="487" t="s">
        <v>20</v>
      </c>
      <c r="F3" s="481" t="s">
        <v>25</v>
      </c>
      <c r="G3" s="481" t="s">
        <v>26</v>
      </c>
      <c r="H3" s="480" t="s">
        <v>27</v>
      </c>
    </row>
    <row r="4" spans="1:8" ht="18.75" customHeight="1" thickTop="1" x14ac:dyDescent="0.25">
      <c r="A4" s="491" t="s">
        <v>112</v>
      </c>
      <c r="B4" s="969" t="s">
        <v>124</v>
      </c>
      <c r="C4" s="969"/>
      <c r="D4" s="970"/>
      <c r="E4" s="6">
        <f>'Plan G&amp;V'!Q47</f>
        <v>-113246.57834329423</v>
      </c>
      <c r="F4" s="71">
        <f>'Plan G&amp;V'!V47</f>
        <v>159323.27301778219</v>
      </c>
      <c r="G4" s="71">
        <f>'Plan G&amp;V'!W47</f>
        <v>449132.6804018931</v>
      </c>
      <c r="H4" s="497">
        <f>'Plan G&amp;V'!X47</f>
        <v>1151291.2534725606</v>
      </c>
    </row>
    <row r="5" spans="1:8" ht="18.75" customHeight="1" x14ac:dyDescent="0.25">
      <c r="A5" s="492" t="s">
        <v>112</v>
      </c>
      <c r="B5" s="854" t="s">
        <v>135</v>
      </c>
      <c r="C5" s="854"/>
      <c r="D5" s="855"/>
      <c r="E5" s="10">
        <f>-'Plan G&amp;V'!Q36</f>
        <v>15100.000000000002</v>
      </c>
      <c r="F5" s="75">
        <f>-'Plan G&amp;V'!V36</f>
        <v>15600</v>
      </c>
      <c r="G5" s="75">
        <f>-'Plan G&amp;V'!W36</f>
        <v>49300</v>
      </c>
      <c r="H5" s="292">
        <f>-'Plan G&amp;V'!X36</f>
        <v>33700</v>
      </c>
    </row>
    <row r="6" spans="1:8" ht="18.75" customHeight="1" thickBot="1" x14ac:dyDescent="0.3">
      <c r="A6" s="492" t="s">
        <v>112</v>
      </c>
      <c r="B6" s="854" t="s">
        <v>215</v>
      </c>
      <c r="C6" s="854"/>
      <c r="D6" s="855"/>
      <c r="E6" s="10">
        <f>Planbilanz!E33</f>
        <v>500</v>
      </c>
      <c r="F6" s="75">
        <f>Planbilanz!G33-Planbilanz!E33</f>
        <v>15025.564891495991</v>
      </c>
      <c r="G6" s="75">
        <f>Planbilanz!I33-Planbilanz!G33</f>
        <v>134185.32857580169</v>
      </c>
      <c r="H6" s="292">
        <f>Planbilanz!K33-Planbilanz!I33</f>
        <v>234052.85769022247</v>
      </c>
    </row>
    <row r="7" spans="1:8" ht="7.5" customHeight="1" thickTop="1" thickBot="1" x14ac:dyDescent="0.3">
      <c r="A7" s="956"/>
      <c r="B7" s="957"/>
      <c r="C7" s="957"/>
      <c r="D7" s="958"/>
      <c r="E7" s="27"/>
      <c r="F7" s="31"/>
      <c r="G7" s="31"/>
      <c r="H7" s="34"/>
    </row>
    <row r="8" spans="1:8" ht="18.75" customHeight="1" thickBot="1" x14ac:dyDescent="0.3">
      <c r="A8" s="866" t="s">
        <v>216</v>
      </c>
      <c r="B8" s="867"/>
      <c r="C8" s="867"/>
      <c r="D8" s="868"/>
      <c r="E8" s="444">
        <f>SUM(E4:E7)</f>
        <v>-97646.578343294226</v>
      </c>
      <c r="F8" s="446">
        <f>SUM(F4:F7)</f>
        <v>189948.8379092782</v>
      </c>
      <c r="G8" s="446">
        <f>SUM(G4:G7)</f>
        <v>632618.00897769479</v>
      </c>
      <c r="H8" s="498">
        <f>SUM(H4:H7)</f>
        <v>1419044.1111627831</v>
      </c>
    </row>
    <row r="9" spans="1:8" ht="7.5" customHeight="1" thickBot="1" x14ac:dyDescent="0.3">
      <c r="A9" s="772"/>
      <c r="B9" s="773"/>
      <c r="C9" s="773"/>
      <c r="D9" s="773"/>
      <c r="E9" s="773"/>
      <c r="F9" s="773"/>
      <c r="G9" s="773"/>
      <c r="H9" s="774"/>
    </row>
    <row r="10" spans="1:8" ht="18.75" customHeight="1" x14ac:dyDescent="0.25">
      <c r="A10" s="491" t="s">
        <v>111</v>
      </c>
      <c r="B10" s="969" t="s">
        <v>223</v>
      </c>
      <c r="C10" s="969" t="s">
        <v>218</v>
      </c>
      <c r="D10" s="970" t="s">
        <v>218</v>
      </c>
      <c r="E10" s="501">
        <f>-(Planbilanz!E15)</f>
        <v>0</v>
      </c>
      <c r="F10" s="502">
        <f>-(Planbilanz!G15-Planbilanz!E15)</f>
        <v>0</v>
      </c>
      <c r="G10" s="502">
        <f>-(Planbilanz!I15-Planbilanz!G15)</f>
        <v>0</v>
      </c>
      <c r="H10" s="503">
        <f>-(Planbilanz!K15-Planbilanz!I15)</f>
        <v>0</v>
      </c>
    </row>
    <row r="11" spans="1:8" ht="18.75" customHeight="1" x14ac:dyDescent="0.25">
      <c r="A11" s="492" t="s">
        <v>111</v>
      </c>
      <c r="B11" s="854" t="s">
        <v>224</v>
      </c>
      <c r="C11" s="854" t="s">
        <v>219</v>
      </c>
      <c r="D11" s="855" t="s">
        <v>219</v>
      </c>
      <c r="E11" s="460">
        <f>0-Planbilanz!E16</f>
        <v>-768</v>
      </c>
      <c r="F11" s="75">
        <f>Planbilanz!E16-Planbilanz!G16</f>
        <v>-8360</v>
      </c>
      <c r="G11" s="75">
        <f>Planbilanz!G16-Planbilanz!I16</f>
        <v>7451</v>
      </c>
      <c r="H11" s="292">
        <f>Planbilanz!I16-Planbilanz!K16</f>
        <v>-6017</v>
      </c>
    </row>
    <row r="12" spans="1:8" ht="18.75" customHeight="1" x14ac:dyDescent="0.25">
      <c r="A12" s="492" t="s">
        <v>112</v>
      </c>
      <c r="B12" s="854" t="s">
        <v>225</v>
      </c>
      <c r="C12" s="854" t="s">
        <v>220</v>
      </c>
      <c r="D12" s="855" t="s">
        <v>220</v>
      </c>
      <c r="E12" s="460">
        <f>Planbilanz!E34</f>
        <v>9681.5999999999767</v>
      </c>
      <c r="F12" s="75">
        <f>Planbilanz!G34-Planbilanz!E34</f>
        <v>23200.000000000029</v>
      </c>
      <c r="G12" s="75">
        <f>Planbilanz!I34-Planbilanz!G34</f>
        <v>-12000.000000000015</v>
      </c>
      <c r="H12" s="292">
        <f>Planbilanz!K34-Planbilanz!I34</f>
        <v>0</v>
      </c>
    </row>
    <row r="13" spans="1:8" ht="18.75" customHeight="1" x14ac:dyDescent="0.25">
      <c r="A13" s="495" t="s">
        <v>111</v>
      </c>
      <c r="B13" s="854" t="s">
        <v>226</v>
      </c>
      <c r="C13" s="854" t="s">
        <v>221</v>
      </c>
      <c r="D13" s="855" t="s">
        <v>221</v>
      </c>
      <c r="E13" s="493">
        <f>-Planbilanz!E17</f>
        <v>0</v>
      </c>
      <c r="F13" s="79">
        <f>Planbilanz!E17-Planbilanz!G17</f>
        <v>0</v>
      </c>
      <c r="G13" s="79">
        <f>Planbilanz!G17-Planbilanz!I17</f>
        <v>-14817.301873245902</v>
      </c>
      <c r="H13" s="381">
        <f>Planbilanz!I17-Planbilanz!K17</f>
        <v>-117470.1293400014</v>
      </c>
    </row>
    <row r="14" spans="1:8" ht="18.75" customHeight="1" thickBot="1" x14ac:dyDescent="0.3">
      <c r="A14" s="496" t="s">
        <v>112</v>
      </c>
      <c r="B14" s="910" t="s">
        <v>227</v>
      </c>
      <c r="C14" s="910" t="s">
        <v>222</v>
      </c>
      <c r="D14" s="911" t="s">
        <v>222</v>
      </c>
      <c r="E14" s="461">
        <f>Planbilanz!E35</f>
        <v>18658.414461969922</v>
      </c>
      <c r="F14" s="131">
        <f>Planbilanz!G35-Planbilanz!E35</f>
        <v>25325.69008289944</v>
      </c>
      <c r="G14" s="131">
        <f>Planbilanz!I35-Planbilanz!G35</f>
        <v>-43984.104544869362</v>
      </c>
      <c r="H14" s="499">
        <f>Planbilanz!K35-Planbilanz!I35</f>
        <v>0</v>
      </c>
    </row>
    <row r="15" spans="1:8" ht="7.5" customHeight="1" thickTop="1" thickBot="1" x14ac:dyDescent="0.3">
      <c r="A15" s="953"/>
      <c r="B15" s="954"/>
      <c r="C15" s="954"/>
      <c r="D15" s="955"/>
      <c r="E15" s="449"/>
      <c r="F15" s="450"/>
      <c r="G15" s="450"/>
      <c r="H15" s="500"/>
    </row>
    <row r="16" spans="1:8" ht="18.75" customHeight="1" thickBot="1" x14ac:dyDescent="0.3">
      <c r="A16" s="866" t="s">
        <v>228</v>
      </c>
      <c r="B16" s="867"/>
      <c r="C16" s="867"/>
      <c r="D16" s="868"/>
      <c r="E16" s="444">
        <f>SUM(E10:E15)</f>
        <v>27572.014461969899</v>
      </c>
      <c r="F16" s="446">
        <f>SUM(F9:F15)</f>
        <v>40165.690082899469</v>
      </c>
      <c r="G16" s="446">
        <f>SUM(G9:G15)</f>
        <v>-63350.406418115279</v>
      </c>
      <c r="H16" s="498">
        <f>SUM(H9:H15)</f>
        <v>-123487.1293400014</v>
      </c>
    </row>
    <row r="17" spans="1:8" ht="7.5" customHeight="1" thickBot="1" x14ac:dyDescent="0.3">
      <c r="A17" s="46"/>
      <c r="B17" s="44"/>
      <c r="C17" s="44"/>
      <c r="D17" s="44"/>
      <c r="E17" s="44"/>
      <c r="F17" s="44"/>
      <c r="G17" s="44"/>
      <c r="H17" s="45"/>
    </row>
    <row r="18" spans="1:8" s="47" customFormat="1" ht="18.75" customHeight="1" thickBot="1" x14ac:dyDescent="0.3">
      <c r="A18" s="812" t="s">
        <v>229</v>
      </c>
      <c r="B18" s="813"/>
      <c r="C18" s="813"/>
      <c r="D18" s="959"/>
      <c r="E18" s="451">
        <f>E16+E8</f>
        <v>-70074.563881324328</v>
      </c>
      <c r="F18" s="452">
        <f>F16+F8</f>
        <v>230114.52799217767</v>
      </c>
      <c r="G18" s="453">
        <f>G16+G8</f>
        <v>569267.60255957954</v>
      </c>
      <c r="H18" s="334">
        <f>H16+H8</f>
        <v>1295556.9818227817</v>
      </c>
    </row>
    <row r="19" spans="1:8" x14ac:dyDescent="0.25">
      <c r="E19" s="375"/>
      <c r="F19" s="375"/>
      <c r="G19" s="375"/>
      <c r="H19" s="375"/>
    </row>
    <row r="20" spans="1:8" x14ac:dyDescent="0.25">
      <c r="H20" s="375"/>
    </row>
  </sheetData>
  <sheetProtection algorithmName="SHA-512" hashValue="p7+gutyuODwrGLhKyZOfEP/HAjiriTM/SNEuLkxbfhoXpjdnIwT8+ZpKp9xNh4ONLUFy9BEwjfXiocpgwGUYZA==" saltValue="HCTxrBmnxXPj3l+X6ZoXJQ==" spinCount="100000" sheet="1" objects="1" scenarios="1"/>
  <mergeCells count="15">
    <mergeCell ref="A1:H1"/>
    <mergeCell ref="A16:D16"/>
    <mergeCell ref="A18:D18"/>
    <mergeCell ref="A8:D8"/>
    <mergeCell ref="A9:H9"/>
    <mergeCell ref="A7:D7"/>
    <mergeCell ref="B4:D4"/>
    <mergeCell ref="B5:D5"/>
    <mergeCell ref="B6:D6"/>
    <mergeCell ref="A15:D15"/>
    <mergeCell ref="B13:D13"/>
    <mergeCell ref="B12:D12"/>
    <mergeCell ref="B11:D11"/>
    <mergeCell ref="B10:D10"/>
    <mergeCell ref="B14:D14"/>
  </mergeCells>
  <printOptions horizontalCentered="1"/>
  <pageMargins left="0.59055118110236227" right="0.59055118110236227" top="0.78740157480314965" bottom="0.59055118110236227" header="0.31496062992125984" footer="0.31496062992125984"/>
  <pageSetup paperSize="9" scale="81" fitToHeight="0" orientation="portrait" blackAndWhite="1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pageSetUpPr fitToPage="1"/>
  </sheetPr>
  <dimension ref="A1:H16"/>
  <sheetViews>
    <sheetView view="pageBreakPreview" zoomScale="115" zoomScaleNormal="100" zoomScaleSheetLayoutView="115" workbookViewId="0">
      <selection activeCell="G18" sqref="G18"/>
    </sheetView>
  </sheetViews>
  <sheetFormatPr baseColWidth="10" defaultRowHeight="15" x14ac:dyDescent="0.25"/>
  <cols>
    <col min="1" max="4" width="10.140625" style="39" customWidth="1"/>
    <col min="5" max="5" width="12.85546875" style="39" customWidth="1"/>
    <col min="6" max="7" width="13.140625" style="39" customWidth="1"/>
    <col min="8" max="8" width="13.85546875" style="39" customWidth="1"/>
    <col min="9" max="16384" width="11.42578125" style="39"/>
  </cols>
  <sheetData>
    <row r="1" spans="1:8" ht="27" thickBot="1" x14ac:dyDescent="0.3">
      <c r="A1" s="764" t="s">
        <v>230</v>
      </c>
      <c r="B1" s="765"/>
      <c r="C1" s="765"/>
      <c r="D1" s="765"/>
      <c r="E1" s="765"/>
      <c r="F1" s="765"/>
      <c r="G1" s="765"/>
      <c r="H1" s="766"/>
    </row>
    <row r="2" spans="1:8" ht="7.5" customHeight="1" thickBot="1" x14ac:dyDescent="0.3"/>
    <row r="3" spans="1:8" ht="22.5" customHeight="1" thickBot="1" x14ac:dyDescent="0.3">
      <c r="A3" s="488"/>
      <c r="B3" s="489"/>
      <c r="C3" s="489"/>
      <c r="D3" s="490"/>
      <c r="E3" s="487" t="s">
        <v>20</v>
      </c>
      <c r="F3" s="481" t="s">
        <v>25</v>
      </c>
      <c r="G3" s="481" t="s">
        <v>26</v>
      </c>
      <c r="H3" s="480" t="s">
        <v>27</v>
      </c>
    </row>
    <row r="4" spans="1:8" ht="18.75" customHeight="1" thickTop="1" x14ac:dyDescent="0.25">
      <c r="A4" s="974" t="s">
        <v>231</v>
      </c>
      <c r="B4" s="969"/>
      <c r="C4" s="969"/>
      <c r="D4" s="970"/>
      <c r="E4" s="510">
        <f>-'Plan G&amp;V'!Q23/'Plan G&amp;V'!Q18</f>
        <v>0.8810440275272986</v>
      </c>
      <c r="F4" s="511">
        <f>-'Plan G&amp;V'!V23/'Plan G&amp;V'!V18</f>
        <v>0.52032353808002718</v>
      </c>
      <c r="G4" s="511">
        <f>-'Plan G&amp;V'!W23/'Plan G&amp;V'!W18</f>
        <v>0.32683524841414563</v>
      </c>
      <c r="H4" s="512">
        <f>-'Plan G&amp;V'!X23/'Plan G&amp;V'!X18</f>
        <v>0.18682544636049378</v>
      </c>
    </row>
    <row r="5" spans="1:8" ht="7.5" customHeight="1" x14ac:dyDescent="0.25">
      <c r="A5" s="371"/>
      <c r="B5" s="372"/>
      <c r="C5" s="372"/>
      <c r="D5" s="373"/>
      <c r="E5" s="299"/>
      <c r="F5" s="303"/>
      <c r="G5" s="303"/>
      <c r="H5" s="304"/>
    </row>
    <row r="6" spans="1:8" ht="18.75" customHeight="1" x14ac:dyDescent="0.25">
      <c r="A6" s="853" t="s">
        <v>232</v>
      </c>
      <c r="B6" s="854"/>
      <c r="C6" s="854"/>
      <c r="D6" s="855"/>
      <c r="E6" s="513">
        <f>Planbilanz!E30/Planbilanz!E40</f>
        <v>-0.76399244608656913</v>
      </c>
      <c r="F6" s="514">
        <f>Planbilanz!G30/Planbilanz!G40</f>
        <v>0.46738713450672975</v>
      </c>
      <c r="G6" s="514">
        <f>Planbilanz!I30/Planbilanz!I40</f>
        <v>0.75657528736074542</v>
      </c>
      <c r="H6" s="515">
        <f>Planbilanz!K30/Planbilanz!K40</f>
        <v>0.80603210173505824</v>
      </c>
    </row>
    <row r="7" spans="1:8" ht="7.5" customHeight="1" x14ac:dyDescent="0.25">
      <c r="A7" s="504"/>
      <c r="B7" s="505"/>
      <c r="C7" s="505"/>
      <c r="D7" s="506"/>
      <c r="E7" s="507"/>
      <c r="F7" s="508"/>
      <c r="G7" s="508"/>
      <c r="H7" s="509"/>
    </row>
    <row r="8" spans="1:8" ht="18.75" customHeight="1" x14ac:dyDescent="0.25">
      <c r="A8" s="853" t="s">
        <v>233</v>
      </c>
      <c r="B8" s="854"/>
      <c r="C8" s="854"/>
      <c r="D8" s="855"/>
      <c r="E8" s="513">
        <f>Planbilanz!E38/Planbilanz!E40</f>
        <v>1.763992446086569</v>
      </c>
      <c r="F8" s="514">
        <f>Planbilanz!G38/Planbilanz!G40</f>
        <v>0.53261286549327025</v>
      </c>
      <c r="G8" s="514">
        <f>Planbilanz!I38/Planbilanz!I40</f>
        <v>0.24342471263925466</v>
      </c>
      <c r="H8" s="515">
        <f>Planbilanz!K38/Planbilanz!K40</f>
        <v>0.19396789826494171</v>
      </c>
    </row>
    <row r="9" spans="1:8" ht="7.5" customHeight="1" x14ac:dyDescent="0.25">
      <c r="A9" s="504"/>
      <c r="B9" s="505"/>
      <c r="C9" s="505"/>
      <c r="D9" s="506"/>
      <c r="E9" s="299"/>
      <c r="F9" s="303"/>
      <c r="G9" s="303"/>
      <c r="H9" s="304"/>
    </row>
    <row r="10" spans="1:8" ht="18.75" customHeight="1" x14ac:dyDescent="0.25">
      <c r="A10" s="853" t="s">
        <v>234</v>
      </c>
      <c r="B10" s="854"/>
      <c r="C10" s="854"/>
      <c r="D10" s="855"/>
      <c r="E10" s="516">
        <f>('Plan G&amp;V'!Q38+'Plan G&amp;V'!Q40)/'Plan G&amp;V'!Q18</f>
        <v>-0.35100421061429493</v>
      </c>
      <c r="F10" s="517">
        <f>('Plan G&amp;V'!V38+'Plan G&amp;V'!V40)/'Plan G&amp;V'!V18</f>
        <v>0.26953757677640799</v>
      </c>
      <c r="G10" s="517">
        <f>('Plan G&amp;V'!W38+'Plan G&amp;V'!W40)/'Plan G&amp;V'!W18</f>
        <v>0.53345244028643879</v>
      </c>
      <c r="H10" s="518">
        <f>('Plan G&amp;V'!X38+'Plan G&amp;V'!X40)/'Plan G&amp;V'!X18</f>
        <v>0.74470875716851381</v>
      </c>
    </row>
    <row r="11" spans="1:8" ht="7.5" customHeight="1" x14ac:dyDescent="0.25">
      <c r="A11" s="504"/>
      <c r="B11" s="505"/>
      <c r="C11" s="505"/>
      <c r="D11" s="506"/>
      <c r="E11" s="299"/>
      <c r="F11" s="303"/>
      <c r="G11" s="303"/>
      <c r="H11" s="304"/>
    </row>
    <row r="12" spans="1:8" ht="18.75" customHeight="1" x14ac:dyDescent="0.25">
      <c r="A12" s="853" t="s">
        <v>278</v>
      </c>
      <c r="B12" s="854"/>
      <c r="C12" s="854"/>
      <c r="D12" s="855"/>
      <c r="E12" s="516">
        <f>'Plan G&amp;V'!Q44/'Plan G&amp;V'!Q18</f>
        <v>-0.37935243446776074</v>
      </c>
      <c r="F12" s="517">
        <f>'Plan G&amp;V'!V44/'Plan G&amp;V'!V18</f>
        <v>0.26026066117108132</v>
      </c>
      <c r="G12" s="517">
        <f>'Plan G&amp;V'!W44/'Plan G&amp;V'!W18</f>
        <v>0.53345244028643879</v>
      </c>
      <c r="H12" s="518">
        <f>'Plan G&amp;V'!X44/'Plan G&amp;V'!X18</f>
        <v>0.74470875716851381</v>
      </c>
    </row>
    <row r="13" spans="1:8" ht="7.5" customHeight="1" x14ac:dyDescent="0.25">
      <c r="A13" s="504"/>
      <c r="B13" s="505"/>
      <c r="C13" s="505"/>
      <c r="D13" s="506"/>
      <c r="E13" s="299"/>
      <c r="F13" s="303"/>
      <c r="G13" s="303"/>
      <c r="H13" s="304"/>
    </row>
    <row r="14" spans="1:8" ht="18.75" customHeight="1" thickBot="1" x14ac:dyDescent="0.3">
      <c r="A14" s="971" t="s">
        <v>271</v>
      </c>
      <c r="B14" s="972"/>
      <c r="C14" s="972"/>
      <c r="D14" s="973"/>
      <c r="E14" s="641">
        <f>'Cash Flow'!E18</f>
        <v>-70074.563881324328</v>
      </c>
      <c r="F14" s="642">
        <f>'Cash Flow'!F18</f>
        <v>230114.52799217767</v>
      </c>
      <c r="G14" s="642">
        <f>'Cash Flow'!G18</f>
        <v>569267.60255957954</v>
      </c>
      <c r="H14" s="643">
        <f>'Cash Flow'!H18</f>
        <v>1295556.9818227817</v>
      </c>
    </row>
    <row r="15" spans="1:8" x14ac:dyDescent="0.25">
      <c r="E15" s="375"/>
      <c r="F15" s="375"/>
      <c r="G15" s="375"/>
      <c r="H15" s="375"/>
    </row>
    <row r="16" spans="1:8" x14ac:dyDescent="0.25">
      <c r="E16" s="638"/>
      <c r="H16" s="375"/>
    </row>
  </sheetData>
  <sheetProtection algorithmName="SHA-512" hashValue="AXrcaUE2KcdgJ2Mj6MhblsH1F/T6RaEdiWXfOboJzQOELev6hbr0mjg29pZIhAzGaLMMsWKmo11e8u3CkhPhNQ==" saltValue="gOAB2IJ7hPXv2v76YJbTXA==" spinCount="100000" sheet="1" objects="1" scenarios="1"/>
  <mergeCells count="7">
    <mergeCell ref="A14:D14"/>
    <mergeCell ref="A1:H1"/>
    <mergeCell ref="A4:D4"/>
    <mergeCell ref="A6:D6"/>
    <mergeCell ref="A8:D8"/>
    <mergeCell ref="A10:D10"/>
    <mergeCell ref="A12:D12"/>
  </mergeCells>
  <printOptions horizontalCentered="1"/>
  <pageMargins left="0.59055118110236227" right="0.59055118110236227" top="0.78740157480314965" bottom="0.59055118110236227" header="0.31496062992125984" footer="0.31496062992125984"/>
  <pageSetup paperSize="9" scale="96" fitToHeight="0" orientation="portrait" blackAndWhite="1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pageSetUpPr fitToPage="1"/>
  </sheetPr>
  <dimension ref="A1:H29"/>
  <sheetViews>
    <sheetView view="pageBreakPreview" topLeftCell="A7" zoomScaleNormal="100" zoomScaleSheetLayoutView="100" workbookViewId="0">
      <selection activeCell="H8" sqref="H8"/>
    </sheetView>
  </sheetViews>
  <sheetFormatPr baseColWidth="10" defaultRowHeight="15" x14ac:dyDescent="0.25"/>
  <cols>
    <col min="1" max="1" width="21.42578125" customWidth="1"/>
    <col min="3" max="3" width="12.28515625" bestFit="1" customWidth="1"/>
    <col min="4" max="7" width="13.140625" bestFit="1" customWidth="1"/>
  </cols>
  <sheetData>
    <row r="1" spans="1:8" s="39" customFormat="1" ht="27" thickBot="1" x14ac:dyDescent="0.3">
      <c r="A1" s="764" t="s">
        <v>257</v>
      </c>
      <c r="B1" s="765"/>
      <c r="C1" s="765"/>
      <c r="D1" s="765"/>
      <c r="E1" s="765"/>
      <c r="F1" s="766"/>
      <c r="G1" s="289"/>
      <c r="H1" s="289"/>
    </row>
    <row r="2" spans="1:8" ht="7.5" customHeight="1" thickBot="1" x14ac:dyDescent="0.3"/>
    <row r="3" spans="1:8" ht="15.75" thickBot="1" x14ac:dyDescent="0.3">
      <c r="A3" s="645"/>
      <c r="B3" s="730" t="s">
        <v>279</v>
      </c>
      <c r="C3" s="731" t="s">
        <v>20</v>
      </c>
      <c r="D3" s="731" t="s">
        <v>25</v>
      </c>
      <c r="E3" s="731" t="s">
        <v>26</v>
      </c>
      <c r="F3" s="732" t="s">
        <v>27</v>
      </c>
    </row>
    <row r="4" spans="1:8" ht="15.75" thickTop="1" x14ac:dyDescent="0.25">
      <c r="A4" s="714" t="s">
        <v>255</v>
      </c>
      <c r="B4" s="715">
        <v>0</v>
      </c>
      <c r="C4" s="716">
        <f>Liquiditätsplan!Q36</f>
        <v>400233.63333333336</v>
      </c>
      <c r="D4" s="716">
        <f>Liquiditätsplan!V36</f>
        <v>851504.66666666663</v>
      </c>
      <c r="E4" s="716">
        <f>Liquiditätsplan!W36</f>
        <v>1407161.3333333333</v>
      </c>
      <c r="F4" s="717">
        <f>Liquiditätsplan!X36</f>
        <v>2567895.5399641111</v>
      </c>
    </row>
    <row r="5" spans="1:8" ht="15.75" thickBot="1" x14ac:dyDescent="0.3">
      <c r="A5" s="718" t="s">
        <v>256</v>
      </c>
      <c r="B5" s="719">
        <v>0</v>
      </c>
      <c r="C5" s="720">
        <f>Liquiditätsplan!Q74</f>
        <v>585926.39721465774</v>
      </c>
      <c r="D5" s="720">
        <f>Liquiditätsplan!V74</f>
        <v>644140.13867448911</v>
      </c>
      <c r="E5" s="720">
        <f>Liquiditätsplan!W74</f>
        <v>850343.73077375384</v>
      </c>
      <c r="F5" s="721">
        <f>Liquiditätsplan!X74</f>
        <v>1269188.5581413293</v>
      </c>
    </row>
    <row r="6" spans="1:8" ht="15.75" thickTop="1" x14ac:dyDescent="0.25">
      <c r="A6" s="722" t="s">
        <v>261</v>
      </c>
      <c r="B6" s="723">
        <v>0</v>
      </c>
      <c r="C6" s="724">
        <f>C4</f>
        <v>400233.63333333336</v>
      </c>
      <c r="D6" s="724">
        <f>D4+C6</f>
        <v>1251738.3</v>
      </c>
      <c r="E6" s="724">
        <f t="shared" ref="E6:F6" si="0">E4+D6</f>
        <v>2658899.6333333333</v>
      </c>
      <c r="F6" s="725">
        <f t="shared" si="0"/>
        <v>5226795.1732974444</v>
      </c>
    </row>
    <row r="7" spans="1:8" ht="15.75" thickBot="1" x14ac:dyDescent="0.3">
      <c r="A7" s="726" t="s">
        <v>262</v>
      </c>
      <c r="B7" s="727">
        <v>0</v>
      </c>
      <c r="C7" s="728">
        <f>C5</f>
        <v>585926.39721465774</v>
      </c>
      <c r="D7" s="728">
        <f>D5+C7</f>
        <v>1230066.5358891468</v>
      </c>
      <c r="E7" s="728">
        <f t="shared" ref="E7:F7" si="1">E5+D7</f>
        <v>2080410.2666629008</v>
      </c>
      <c r="F7" s="729">
        <f t="shared" si="1"/>
        <v>3349598.8248042301</v>
      </c>
    </row>
    <row r="8" spans="1:8" x14ac:dyDescent="0.25">
      <c r="A8" s="645"/>
      <c r="B8" s="645"/>
      <c r="C8" s="645"/>
      <c r="D8" s="645"/>
      <c r="E8" s="645"/>
      <c r="F8" s="645"/>
    </row>
    <row r="24" spans="1:6" ht="15.75" thickBot="1" x14ac:dyDescent="0.3"/>
    <row r="25" spans="1:6" ht="18.75" customHeight="1" x14ac:dyDescent="0.25">
      <c r="A25" s="975" t="s">
        <v>258</v>
      </c>
      <c r="B25" s="976"/>
      <c r="C25" s="701">
        <f>MAX(C5-C4,D5-D4,E5-E4,F5-F4)</f>
        <v>185692.76388132438</v>
      </c>
      <c r="D25" s="647"/>
      <c r="E25" s="645"/>
      <c r="F25" s="645"/>
    </row>
    <row r="26" spans="1:6" ht="18.75" customHeight="1" thickBot="1" x14ac:dyDescent="0.3">
      <c r="A26" s="977" t="s">
        <v>277</v>
      </c>
      <c r="B26" s="978"/>
      <c r="C26" s="702">
        <f>-MIN(Liquiditätsplan!E78:P78,Liquiditätsplan!R78:U78,Liquiditätsplan!W78,Liquiditätsplan!X78)</f>
        <v>255128.72224222132</v>
      </c>
      <c r="D26" s="647"/>
      <c r="E26" s="645"/>
      <c r="F26" s="645"/>
    </row>
    <row r="29" spans="1:6" x14ac:dyDescent="0.25">
      <c r="B29" s="639"/>
      <c r="C29" s="639"/>
      <c r="D29" s="639"/>
      <c r="E29" s="639"/>
      <c r="F29" s="639"/>
    </row>
  </sheetData>
  <sheetProtection algorithmName="SHA-512" hashValue="b5XbctB1LAkpwt9HWQBS8DnvXCXVWZnPBKknM9hSMfr3bHiT4s/EFG599JJMRvfQ80qOqD4HjWr3ikiWAYn8cQ==" saltValue="ECNLRFcE3lbXdJDnhu2wZg==" spinCount="100000" sheet="1" objects="1" scenarios="1"/>
  <mergeCells count="3">
    <mergeCell ref="A1:F1"/>
    <mergeCell ref="A25:B25"/>
    <mergeCell ref="A26:B26"/>
  </mergeCells>
  <pageMargins left="0.59055118110236227" right="0.59055118110236227" top="0.78740157480314965" bottom="0.59055118110236227" header="0.31496062992125984" footer="0.31496062992125984"/>
  <pageSetup paperSize="9" fitToHeight="0" orientation="portrait" blackAndWhite="1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>
    <pageSetUpPr fitToPage="1"/>
  </sheetPr>
  <dimension ref="A1:H29"/>
  <sheetViews>
    <sheetView view="pageBreakPreview" zoomScaleNormal="100" zoomScaleSheetLayoutView="100" workbookViewId="0">
      <selection activeCell="C4" sqref="C4:F7"/>
    </sheetView>
  </sheetViews>
  <sheetFormatPr baseColWidth="10" defaultRowHeight="15" x14ac:dyDescent="0.25"/>
  <cols>
    <col min="1" max="1" width="21.42578125" customWidth="1"/>
    <col min="3" max="3" width="12.28515625" customWidth="1"/>
    <col min="4" max="7" width="13.140625" customWidth="1"/>
  </cols>
  <sheetData>
    <row r="1" spans="1:8" s="39" customFormat="1" ht="27" thickBot="1" x14ac:dyDescent="0.3">
      <c r="A1" s="764" t="s">
        <v>257</v>
      </c>
      <c r="B1" s="765"/>
      <c r="C1" s="765"/>
      <c r="D1" s="765"/>
      <c r="E1" s="765"/>
      <c r="F1" s="766"/>
      <c r="G1" s="289"/>
      <c r="H1" s="289"/>
    </row>
    <row r="2" spans="1:8" ht="7.5" customHeight="1" thickBot="1" x14ac:dyDescent="0.3"/>
    <row r="3" spans="1:8" ht="15.75" thickBot="1" x14ac:dyDescent="0.3">
      <c r="A3" s="645"/>
      <c r="B3" s="730" t="s">
        <v>279</v>
      </c>
      <c r="C3" s="731" t="s">
        <v>20</v>
      </c>
      <c r="D3" s="731" t="s">
        <v>25</v>
      </c>
      <c r="E3" s="731" t="s">
        <v>26</v>
      </c>
      <c r="F3" s="732" t="s">
        <v>27</v>
      </c>
    </row>
    <row r="4" spans="1:8" ht="15.75" thickTop="1" x14ac:dyDescent="0.25">
      <c r="A4" s="714" t="s">
        <v>288</v>
      </c>
      <c r="B4" s="715">
        <v>0</v>
      </c>
      <c r="C4" s="716">
        <f>Liquiditätsplan!Q26/(1+Liquiditätsplan!$D$7)+Liquiditätsplan!Q34</f>
        <v>338953.63333333336</v>
      </c>
      <c r="D4" s="716">
        <f>Liquiditätsplan!V26/(1+Liquiditätsplan!$D$7)+Liquiditätsplan!V34</f>
        <v>712984.66666666663</v>
      </c>
      <c r="E4" s="716">
        <f>Liquiditätsplan!W26/(1+Liquiditätsplan!$D$7)+Liquiditätsplan!W34</f>
        <v>1175701.3333333333</v>
      </c>
      <c r="F4" s="717">
        <f>Liquiditätsplan!X26/(1+Liquiditätsplan!$D$7)+Liquiditätsplan!X34</f>
        <v>2142555.5399641111</v>
      </c>
    </row>
    <row r="5" spans="1:8" ht="15.75" thickBot="1" x14ac:dyDescent="0.3">
      <c r="A5" s="718" t="s">
        <v>290</v>
      </c>
      <c r="B5" s="719">
        <v>0</v>
      </c>
      <c r="C5" s="720">
        <f>Liquiditätsplan!Q74-Liquiditätsplan!Q69</f>
        <v>545926.39721465774</v>
      </c>
      <c r="D5" s="720">
        <f>Liquiditätsplan!V74-Liquiditätsplan!V69</f>
        <v>531513.47200782248</v>
      </c>
      <c r="E5" s="720">
        <f>Liquiditätsplan!W74-Liquiditätsplan!W69</f>
        <v>624473.73077375384</v>
      </c>
      <c r="F5" s="721">
        <f>Liquiditätsplan!X74-Liquiditätsplan!X69</f>
        <v>876439.66925244033</v>
      </c>
    </row>
    <row r="6" spans="1:8" ht="15.75" thickTop="1" x14ac:dyDescent="0.25">
      <c r="A6" s="722" t="s">
        <v>289</v>
      </c>
      <c r="B6" s="723">
        <v>0</v>
      </c>
      <c r="C6" s="724">
        <f>C4</f>
        <v>338953.63333333336</v>
      </c>
      <c r="D6" s="724">
        <f>D4+C6</f>
        <v>1051938.3</v>
      </c>
      <c r="E6" s="724">
        <f t="shared" ref="E6:F6" si="0">E4+D6</f>
        <v>2227639.6333333333</v>
      </c>
      <c r="F6" s="725">
        <f t="shared" si="0"/>
        <v>4370195.1732974444</v>
      </c>
    </row>
    <row r="7" spans="1:8" ht="15.75" thickBot="1" x14ac:dyDescent="0.3">
      <c r="A7" s="726" t="s">
        <v>291</v>
      </c>
      <c r="B7" s="727">
        <v>0</v>
      </c>
      <c r="C7" s="728">
        <f>C5</f>
        <v>545926.39721465774</v>
      </c>
      <c r="D7" s="728">
        <f>D5+C7</f>
        <v>1077439.8692224803</v>
      </c>
      <c r="E7" s="728">
        <f t="shared" ref="E7:F7" si="1">E5+D7</f>
        <v>1701913.5999962343</v>
      </c>
      <c r="F7" s="728">
        <f t="shared" si="1"/>
        <v>2578353.2692486746</v>
      </c>
    </row>
    <row r="8" spans="1:8" x14ac:dyDescent="0.25">
      <c r="A8" s="645"/>
      <c r="B8" s="645"/>
      <c r="C8" s="645"/>
      <c r="D8" s="645"/>
      <c r="E8" s="645"/>
      <c r="F8" s="645"/>
    </row>
    <row r="24" spans="1:6" ht="15.75" thickBot="1" x14ac:dyDescent="0.3"/>
    <row r="25" spans="1:6" ht="18.75" customHeight="1" x14ac:dyDescent="0.25">
      <c r="A25" s="975" t="s">
        <v>258</v>
      </c>
      <c r="B25" s="976"/>
      <c r="C25" s="701">
        <f>MAX(C5-C4,D5-D4,E5-E4,F5-F4)</f>
        <v>206972.76388132438</v>
      </c>
      <c r="D25" s="647"/>
      <c r="E25" s="645"/>
      <c r="F25" s="645"/>
    </row>
    <row r="26" spans="1:6" ht="18.75" customHeight="1" thickBot="1" x14ac:dyDescent="0.3">
      <c r="A26" s="977" t="s">
        <v>277</v>
      </c>
      <c r="B26" s="978"/>
      <c r="C26" s="702">
        <f>-MIN(Liquiditätsplan!E78:P78,Liquiditätsplan!R78:U78,Liquiditätsplan!W78,Liquiditätsplan!X78)</f>
        <v>255128.72224222132</v>
      </c>
      <c r="D26" s="647"/>
      <c r="E26" s="645"/>
      <c r="F26" s="645"/>
    </row>
    <row r="29" spans="1:6" x14ac:dyDescent="0.25">
      <c r="B29" s="639"/>
      <c r="C29" s="639"/>
      <c r="D29" s="639"/>
      <c r="E29" s="639"/>
      <c r="F29" s="639"/>
    </row>
  </sheetData>
  <sheetProtection algorithmName="SHA-512" hashValue="oQMQIBjRlVy8Y/nbAtItftYGP/IDS4zaK9eQ/fBP/1rhGYOJ88tOV5fbfCXKtB+QEkFkoFynQ6X5C+Baove0Ew==" saltValue="EmY2FkeRiUmVQPPm2Uslyg==" spinCount="100000" sheet="1" objects="1" scenarios="1"/>
  <mergeCells count="3">
    <mergeCell ref="A1:F1"/>
    <mergeCell ref="A25:B25"/>
    <mergeCell ref="A26:B26"/>
  </mergeCells>
  <pageMargins left="0.59055118110236227" right="0.59055118110236227" top="0.78740157480314965" bottom="0.59055118110236227" header="0.31496062992125984" footer="0.31496062992125984"/>
  <pageSetup paperSize="9" fitToHeight="0" orientation="portrait" blackAndWhite="1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J25"/>
  <sheetViews>
    <sheetView view="pageBreakPreview" zoomScale="85" zoomScaleNormal="100" zoomScaleSheetLayoutView="85" workbookViewId="0">
      <selection activeCell="H3" sqref="H3:L11"/>
    </sheetView>
  </sheetViews>
  <sheetFormatPr baseColWidth="10" defaultRowHeight="15" x14ac:dyDescent="0.25"/>
  <cols>
    <col min="1" max="1" width="63.5703125" bestFit="1" customWidth="1"/>
    <col min="8" max="8" width="2.85546875" customWidth="1"/>
    <col min="9" max="9" width="19.5703125" bestFit="1" customWidth="1"/>
    <col min="10" max="10" width="13.28515625" bestFit="1" customWidth="1"/>
  </cols>
  <sheetData>
    <row r="1" spans="1:10" ht="27" thickBot="1" x14ac:dyDescent="0.3">
      <c r="A1" s="764" t="s">
        <v>264</v>
      </c>
      <c r="B1" s="765"/>
      <c r="C1" s="765"/>
      <c r="D1" s="765"/>
      <c r="E1" s="765"/>
      <c r="F1" s="765"/>
      <c r="G1" s="766"/>
    </row>
    <row r="2" spans="1:10" ht="7.5" customHeight="1" thickBot="1" x14ac:dyDescent="0.3"/>
    <row r="3" spans="1:10" ht="22.5" customHeight="1" thickBot="1" x14ac:dyDescent="0.3">
      <c r="A3" s="645"/>
      <c r="B3" s="703" t="s">
        <v>20</v>
      </c>
      <c r="C3" s="704" t="s">
        <v>25</v>
      </c>
      <c r="D3" s="704" t="s">
        <v>26</v>
      </c>
      <c r="E3" s="705" t="s">
        <v>27</v>
      </c>
    </row>
    <row r="4" spans="1:10" ht="18.75" customHeight="1" thickTop="1" x14ac:dyDescent="0.25">
      <c r="A4" s="706" t="str">
        <f>Liquiditätsplan!A40</f>
        <v>Personalkosten</v>
      </c>
      <c r="B4" s="657">
        <f>Liquiditätsplan!Q40</f>
        <v>261853.33333333334</v>
      </c>
      <c r="C4" s="658">
        <f>Liquiditätsplan!V40</f>
        <v>349564.80000000005</v>
      </c>
      <c r="D4" s="658">
        <f>Liquiditätsplan!W40</f>
        <v>366899.04000000004</v>
      </c>
      <c r="E4" s="709">
        <f>Liquiditätsplan!X40</f>
        <v>385099.99200000009</v>
      </c>
      <c r="J4" s="639"/>
    </row>
    <row r="5" spans="1:10" ht="18.75" customHeight="1" x14ac:dyDescent="0.25">
      <c r="A5" s="707" t="str">
        <f>Liquiditätsplan!A41</f>
        <v>Materialeinsatz</v>
      </c>
      <c r="B5" s="659">
        <f>Liquiditätsplan!Q41</f>
        <v>0</v>
      </c>
      <c r="C5" s="660">
        <f>Liquiditätsplan!V41</f>
        <v>0</v>
      </c>
      <c r="D5" s="660">
        <f>Liquiditätsplan!W41</f>
        <v>0</v>
      </c>
      <c r="E5" s="710">
        <f>Liquiditätsplan!X41</f>
        <v>0</v>
      </c>
      <c r="J5" s="639"/>
    </row>
    <row r="6" spans="1:10" ht="18.75" customHeight="1" x14ac:dyDescent="0.25">
      <c r="A6" s="707" t="str">
        <f>Liquiditätsplan!A42</f>
        <v>Roh-, Betriebs- uns Hilfsstoffe</v>
      </c>
      <c r="B6" s="659">
        <f>Liquiditätsplan!Q42</f>
        <v>0</v>
      </c>
      <c r="C6" s="660">
        <f>Liquiditätsplan!V42</f>
        <v>0</v>
      </c>
      <c r="D6" s="660">
        <f>Liquiditätsplan!W42</f>
        <v>0</v>
      </c>
      <c r="E6" s="710">
        <f>Liquiditätsplan!X42</f>
        <v>0</v>
      </c>
      <c r="J6" s="639"/>
    </row>
    <row r="7" spans="1:10" ht="18.75" customHeight="1" x14ac:dyDescent="0.25">
      <c r="A7" s="707" t="str">
        <f>Liquiditätsplan!A43</f>
        <v>Sonstige betriebliche Aufwendungen
(Miete, Pacht, Betriebskosten)</v>
      </c>
      <c r="B7" s="659">
        <f>Liquiditätsplan!Q43</f>
        <v>15252</v>
      </c>
      <c r="C7" s="660">
        <f>Liquiditätsplan!V43</f>
        <v>15252</v>
      </c>
      <c r="D7" s="660">
        <f>Liquiditätsplan!W43</f>
        <v>15252</v>
      </c>
      <c r="E7" s="710">
        <f>Liquiditätsplan!X43</f>
        <v>15252</v>
      </c>
    </row>
    <row r="8" spans="1:10" ht="18.75" customHeight="1" x14ac:dyDescent="0.25">
      <c r="A8" s="707" t="str">
        <f>Liquiditätsplan!A44</f>
        <v>Instandhaltung</v>
      </c>
      <c r="B8" s="659">
        <f>Liquiditätsplan!Q44</f>
        <v>2000</v>
      </c>
      <c r="C8" s="660">
        <f>Liquiditätsplan!V44</f>
        <v>2000</v>
      </c>
      <c r="D8" s="660">
        <f>Liquiditätsplan!W44</f>
        <v>2000</v>
      </c>
      <c r="E8" s="710">
        <f>Liquiditätsplan!X44</f>
        <v>2000</v>
      </c>
    </row>
    <row r="9" spans="1:10" ht="18.75" customHeight="1" x14ac:dyDescent="0.25">
      <c r="A9" s="707" t="str">
        <f>Liquiditätsplan!A45</f>
        <v>Kfz-Kosten und Reisekosten</v>
      </c>
      <c r="B9" s="659">
        <f>Liquiditätsplan!Q45</f>
        <v>7500</v>
      </c>
      <c r="C9" s="660">
        <f>Liquiditätsplan!V45</f>
        <v>10500</v>
      </c>
      <c r="D9" s="660">
        <f>Liquiditätsplan!W45</f>
        <v>10500</v>
      </c>
      <c r="E9" s="710">
        <f>Liquiditätsplan!X45</f>
        <v>10500</v>
      </c>
    </row>
    <row r="10" spans="1:10" ht="18.75" customHeight="1" x14ac:dyDescent="0.25">
      <c r="A10" s="707" t="str">
        <f>Liquiditätsplan!A46</f>
        <v>Büromaterial</v>
      </c>
      <c r="B10" s="659">
        <f>Liquiditätsplan!Q46</f>
        <v>26400</v>
      </c>
      <c r="C10" s="660">
        <f>Liquiditätsplan!V46</f>
        <v>26400</v>
      </c>
      <c r="D10" s="660">
        <f>Liquiditätsplan!W46</f>
        <v>26400</v>
      </c>
      <c r="E10" s="710">
        <f>Liquiditätsplan!X46</f>
        <v>26400</v>
      </c>
    </row>
    <row r="11" spans="1:10" ht="18.75" customHeight="1" x14ac:dyDescent="0.25">
      <c r="A11" s="707" t="str">
        <f>Liquiditätsplan!A47</f>
        <v>Telefon / Fax / Internet</v>
      </c>
      <c r="B11" s="659">
        <f>Liquiditätsplan!Q47</f>
        <v>4656</v>
      </c>
      <c r="C11" s="660">
        <f>Liquiditätsplan!V47</f>
        <v>4656</v>
      </c>
      <c r="D11" s="660">
        <f>Liquiditätsplan!W47</f>
        <v>4656</v>
      </c>
      <c r="E11" s="710">
        <f>Liquiditätsplan!X47</f>
        <v>4656</v>
      </c>
    </row>
    <row r="12" spans="1:10" ht="18.75" customHeight="1" x14ac:dyDescent="0.25">
      <c r="A12" s="707" t="str">
        <f>Liquiditätsplan!A48</f>
        <v>Steuer- und Rechtsberatung</v>
      </c>
      <c r="B12" s="659">
        <f>Liquiditätsplan!Q48</f>
        <v>8600</v>
      </c>
      <c r="C12" s="660">
        <f>Liquiditätsplan!V48</f>
        <v>6600</v>
      </c>
      <c r="D12" s="660">
        <f>Liquiditätsplan!W48</f>
        <v>6600</v>
      </c>
      <c r="E12" s="710">
        <f>Liquiditätsplan!X48</f>
        <v>6600</v>
      </c>
    </row>
    <row r="13" spans="1:10" ht="18.75" customHeight="1" x14ac:dyDescent="0.25">
      <c r="A13" s="707" t="str">
        <f>Liquiditätsplan!A49</f>
        <v>Werbungskosten</v>
      </c>
      <c r="B13" s="659">
        <f>Liquiditätsplan!Q49</f>
        <v>25000</v>
      </c>
      <c r="C13" s="660">
        <f>Liquiditätsplan!V49</f>
        <v>25000</v>
      </c>
      <c r="D13" s="660">
        <f>Liquiditätsplan!W49</f>
        <v>25000</v>
      </c>
      <c r="E13" s="710">
        <f>Liquiditätsplan!X49</f>
        <v>25000</v>
      </c>
    </row>
    <row r="14" spans="1:10" ht="18.75" customHeight="1" x14ac:dyDescent="0.25">
      <c r="A14" s="707" t="str">
        <f>Liquiditätsplan!A50</f>
        <v>Gebühren, Kammerbeiträge</v>
      </c>
      <c r="B14" s="659">
        <f>Liquiditätsplan!Q50</f>
        <v>1967.92609492</v>
      </c>
      <c r="C14" s="660">
        <f>Liquiditätsplan!V50</f>
        <v>1967.9260949200002</v>
      </c>
      <c r="D14" s="660">
        <f>Liquiditätsplan!W50</f>
        <v>1967.9260949200002</v>
      </c>
      <c r="E14" s="710">
        <f>Liquiditätsplan!X50</f>
        <v>1967.9260949200002</v>
      </c>
    </row>
    <row r="15" spans="1:10" ht="18.75" customHeight="1" x14ac:dyDescent="0.25">
      <c r="A15" s="707" t="str">
        <f>Liquiditätsplan!A51</f>
        <v>Betriebsversicherung</v>
      </c>
      <c r="B15" s="659">
        <f>Liquiditätsplan!Q51</f>
        <v>0</v>
      </c>
      <c r="C15" s="660">
        <f>Liquiditätsplan!V51</f>
        <v>0</v>
      </c>
      <c r="D15" s="660">
        <f>Liquiditätsplan!W51</f>
        <v>0</v>
      </c>
      <c r="E15" s="710">
        <f>Liquiditätsplan!X51</f>
        <v>0</v>
      </c>
    </row>
    <row r="16" spans="1:10" ht="18.75" customHeight="1" x14ac:dyDescent="0.25">
      <c r="A16" s="707" t="str">
        <f>Liquiditätsplan!A52</f>
        <v>Leasinggebühren</v>
      </c>
      <c r="B16" s="659">
        <f>Liquiditätsplan!Q52</f>
        <v>18000</v>
      </c>
      <c r="C16" s="660">
        <f>Liquiditätsplan!V52</f>
        <v>0</v>
      </c>
      <c r="D16" s="660">
        <f>Liquiditätsplan!W52</f>
        <v>0</v>
      </c>
      <c r="E16" s="710">
        <f>Liquiditätsplan!X52</f>
        <v>0</v>
      </c>
    </row>
    <row r="17" spans="1:5" ht="18.75" customHeight="1" x14ac:dyDescent="0.25">
      <c r="A17" s="707" t="str">
        <f>Liquiditätsplan!A53</f>
        <v>Spesen-, Bank-, Kreditgebühren</v>
      </c>
      <c r="B17" s="659">
        <f>Liquiditätsplan!Q53</f>
        <v>200</v>
      </c>
      <c r="C17" s="660">
        <f>Liquiditätsplan!V53</f>
        <v>200</v>
      </c>
      <c r="D17" s="660">
        <f>Liquiditätsplan!W53</f>
        <v>200</v>
      </c>
      <c r="E17" s="710">
        <f>Liquiditätsplan!X53</f>
        <v>200</v>
      </c>
    </row>
    <row r="18" spans="1:5" ht="18.75" customHeight="1" x14ac:dyDescent="0.25">
      <c r="A18" s="707" t="str">
        <f>Liquiditätsplan!A54</f>
        <v>Sonstige Kosten</v>
      </c>
      <c r="B18" s="659">
        <f>Liquiditätsplan!Q54</f>
        <v>15000</v>
      </c>
      <c r="C18" s="660">
        <f>Liquiditätsplan!V54</f>
        <v>15000</v>
      </c>
      <c r="D18" s="660">
        <f>Liquiditätsplan!W54</f>
        <v>15000</v>
      </c>
      <c r="E18" s="710">
        <f>Liquiditätsplan!X54</f>
        <v>15000</v>
      </c>
    </row>
    <row r="19" spans="1:5" ht="18.75" customHeight="1" x14ac:dyDescent="0.25">
      <c r="A19" s="707" t="str">
        <f>Liquiditätsplan!A59</f>
        <v>Vorsteuerabzugsfähige Investitionen</v>
      </c>
      <c r="B19" s="659">
        <f>Liquiditätsplan!Q59</f>
        <v>117600</v>
      </c>
      <c r="C19" s="660">
        <f>Liquiditätsplan!V59</f>
        <v>2400</v>
      </c>
      <c r="D19" s="660">
        <f>Liquiditätsplan!W59</f>
        <v>0</v>
      </c>
      <c r="E19" s="710">
        <f>Liquiditätsplan!X59</f>
        <v>0</v>
      </c>
    </row>
    <row r="20" spans="1:5" ht="18.75" customHeight="1" x14ac:dyDescent="0.25">
      <c r="A20" s="707" t="str">
        <f>Liquiditätsplan!A60</f>
        <v>Nicht vorsteuerabzugsfähige Investitionen</v>
      </c>
      <c r="B20" s="659">
        <f>Liquiditätsplan!Q60</f>
        <v>35000</v>
      </c>
      <c r="C20" s="660">
        <f>Liquiditätsplan!V60</f>
        <v>60000</v>
      </c>
      <c r="D20" s="660">
        <f>Liquiditätsplan!W60</f>
        <v>0</v>
      </c>
      <c r="E20" s="710">
        <f>Liquiditätsplan!X60</f>
        <v>0</v>
      </c>
    </row>
    <row r="21" spans="1:5" ht="18.75" customHeight="1" x14ac:dyDescent="0.25">
      <c r="A21" s="707" t="str">
        <f>Liquiditätsplan!A65</f>
        <v>Sollzinsen Kontokorrentkredit</v>
      </c>
      <c r="B21" s="659">
        <f>Liquiditätsplan!Q65</f>
        <v>6397.1377864042915</v>
      </c>
      <c r="C21" s="660">
        <f>Liquiditätsplan!V65</f>
        <v>7972.7459129023055</v>
      </c>
      <c r="D21" s="660">
        <f>Liquiditätsplan!W65</f>
        <v>287.87121153603312</v>
      </c>
      <c r="E21" s="710">
        <f>Liquiditätsplan!X65</f>
        <v>0</v>
      </c>
    </row>
    <row r="22" spans="1:5" ht="18.75" customHeight="1" x14ac:dyDescent="0.25">
      <c r="A22" s="707" t="str">
        <f>Liquiditätsplan!A66</f>
        <v>Zinsen Einmalkredit</v>
      </c>
      <c r="B22" s="659">
        <f>Liquiditätsplan!Q66</f>
        <v>0</v>
      </c>
      <c r="C22" s="660">
        <f>Liquiditätsplan!V66</f>
        <v>0</v>
      </c>
      <c r="D22" s="660">
        <f>Liquiditätsplan!W66</f>
        <v>0</v>
      </c>
      <c r="E22" s="710">
        <f>Liquiditätsplan!X66</f>
        <v>0</v>
      </c>
    </row>
    <row r="23" spans="1:5" ht="18.75" customHeight="1" x14ac:dyDescent="0.25">
      <c r="A23" s="707" t="str">
        <f>Liquiditätsplan!A67</f>
        <v>KöSt. / Ertragssteuer</v>
      </c>
      <c r="B23" s="659">
        <f>Liquiditätsplan!Q67</f>
        <v>500.00000000000006</v>
      </c>
      <c r="C23" s="660">
        <f>Liquiditätsplan!V67</f>
        <v>4000</v>
      </c>
      <c r="D23" s="660">
        <f>Liquiditätsplan!W67</f>
        <v>149710.89346729769</v>
      </c>
      <c r="E23" s="710">
        <f>Liquiditätsplan!X67</f>
        <v>383763.75115752016</v>
      </c>
    </row>
    <row r="24" spans="1:5" ht="18.75" customHeight="1" x14ac:dyDescent="0.25">
      <c r="A24" s="707" t="str">
        <f>Liquiditätsplan!A68</f>
        <v>Kredittilgung</v>
      </c>
      <c r="B24" s="659">
        <f>Liquiditätsplan!Q68</f>
        <v>0</v>
      </c>
      <c r="C24" s="660">
        <f>Liquiditätsplan!V68</f>
        <v>0</v>
      </c>
      <c r="D24" s="660">
        <f>Liquiditätsplan!W68</f>
        <v>0</v>
      </c>
      <c r="E24" s="710">
        <f>Liquiditätsplan!X68</f>
        <v>0</v>
      </c>
    </row>
    <row r="25" spans="1:5" ht="18.75" customHeight="1" thickBot="1" x14ac:dyDescent="0.3">
      <c r="A25" s="708" t="str">
        <f>Liquiditätsplan!A69</f>
        <v>Umsatzsteuer</v>
      </c>
      <c r="B25" s="711">
        <f>Liquiditätsplan!Q69</f>
        <v>40000.000000000007</v>
      </c>
      <c r="C25" s="712">
        <f>Liquiditätsplan!V69</f>
        <v>112626.66666666669</v>
      </c>
      <c r="D25" s="712">
        <f>Liquiditätsplan!W69</f>
        <v>225870.00000000003</v>
      </c>
      <c r="E25" s="713">
        <f>Liquiditätsplan!X69</f>
        <v>392748.88888888893</v>
      </c>
    </row>
  </sheetData>
  <sheetProtection algorithmName="SHA-512" hashValue="s8R1gTFPmL+0MEaal86eSGc5FKimKUC+iUrfRzrjjs2ixUF24Qbr3CuBaP+9WvaLObdRKlyt5CruRDlnRyweuw==" saltValue="2OjGucDi8GFGvnSpvTWR2w==" spinCount="100000" sheet="1" objects="1" scenarios="1"/>
  <mergeCells count="1">
    <mergeCell ref="A1:G1"/>
  </mergeCells>
  <pageMargins left="0.70866141732283472" right="0.70866141732283472" top="0.78740157480314965" bottom="0.78740157480314965" header="0.31496062992125984" footer="0.31496062992125984"/>
  <pageSetup paperSize="8" orientation="portrait" blackAndWhite="1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pageSetUpPr fitToPage="1"/>
  </sheetPr>
  <dimension ref="A1:Q57"/>
  <sheetViews>
    <sheetView view="pageBreakPreview" zoomScale="85" zoomScaleNormal="85" zoomScaleSheetLayoutView="85" workbookViewId="0">
      <selection activeCell="S70" sqref="S70"/>
    </sheetView>
  </sheetViews>
  <sheetFormatPr baseColWidth="10" defaultRowHeight="15" x14ac:dyDescent="0.25"/>
  <cols>
    <col min="1" max="1" width="4.42578125" style="645" customWidth="1"/>
    <col min="2" max="2" width="7.140625" style="645" bestFit="1" customWidth="1"/>
    <col min="3" max="15" width="11.42578125" style="645"/>
    <col min="16" max="16" width="1.42578125" style="645" customWidth="1"/>
    <col min="17" max="18" width="11.42578125" style="645"/>
    <col min="19" max="19" width="11.42578125" style="645" customWidth="1"/>
    <col min="20" max="16384" width="11.42578125" style="645"/>
  </cols>
  <sheetData>
    <row r="1" spans="1:17" s="39" customFormat="1" ht="27" thickBot="1" x14ac:dyDescent="0.3">
      <c r="A1" s="764" t="s">
        <v>153</v>
      </c>
      <c r="B1" s="765"/>
      <c r="C1" s="765"/>
      <c r="D1" s="765"/>
      <c r="E1" s="765"/>
      <c r="F1" s="765"/>
      <c r="G1" s="765"/>
      <c r="H1" s="765"/>
      <c r="I1" s="765"/>
      <c r="J1" s="765"/>
      <c r="K1" s="765"/>
      <c r="L1" s="765"/>
      <c r="M1" s="765"/>
      <c r="N1" s="765"/>
      <c r="O1" s="765"/>
      <c r="P1" s="765"/>
      <c r="Q1" s="766"/>
    </row>
    <row r="2" spans="1:17" ht="7.5" customHeight="1" thickBot="1" x14ac:dyDescent="0.3"/>
    <row r="3" spans="1:17" x14ac:dyDescent="0.25">
      <c r="A3" s="996" t="s">
        <v>266</v>
      </c>
      <c r="B3" s="997"/>
      <c r="C3" s="997"/>
      <c r="D3" s="685">
        <v>5.4179999999999999E-2</v>
      </c>
    </row>
    <row r="4" spans="1:17" x14ac:dyDescent="0.25">
      <c r="A4" s="994" t="s">
        <v>265</v>
      </c>
      <c r="B4" s="995"/>
      <c r="C4" s="995"/>
      <c r="D4" s="686">
        <v>0.7</v>
      </c>
    </row>
    <row r="5" spans="1:17" x14ac:dyDescent="0.25">
      <c r="A5" s="992" t="s">
        <v>270</v>
      </c>
      <c r="B5" s="993"/>
      <c r="C5" s="993"/>
      <c r="D5" s="687">
        <v>10</v>
      </c>
    </row>
    <row r="6" spans="1:17" ht="15.75" thickBot="1" x14ac:dyDescent="0.3">
      <c r="A6" s="990" t="s">
        <v>269</v>
      </c>
      <c r="B6" s="991"/>
      <c r="C6" s="991"/>
      <c r="D6" s="688">
        <v>350</v>
      </c>
    </row>
    <row r="7" spans="1:17" ht="7.5" customHeight="1" thickBot="1" x14ac:dyDescent="0.3">
      <c r="A7" s="684"/>
      <c r="B7" s="684"/>
      <c r="C7" s="684"/>
      <c r="D7" s="647"/>
    </row>
    <row r="8" spans="1:17" ht="18.75" customHeight="1" x14ac:dyDescent="0.25">
      <c r="C8" s="984" t="s">
        <v>267</v>
      </c>
      <c r="D8" s="985"/>
      <c r="E8" s="985"/>
      <c r="F8" s="985"/>
      <c r="G8" s="985"/>
      <c r="H8" s="985"/>
      <c r="I8" s="985"/>
      <c r="J8" s="985"/>
      <c r="K8" s="985"/>
      <c r="L8" s="985"/>
      <c r="M8" s="985"/>
      <c r="N8" s="985"/>
      <c r="O8" s="986"/>
      <c r="P8" s="646"/>
    </row>
    <row r="9" spans="1:17" ht="18.75" customHeight="1" thickBot="1" x14ac:dyDescent="0.3">
      <c r="C9" s="661">
        <v>0.5</v>
      </c>
      <c r="D9" s="662">
        <v>1</v>
      </c>
      <c r="E9" s="662">
        <v>1.5</v>
      </c>
      <c r="F9" s="662">
        <v>2</v>
      </c>
      <c r="G9" s="662">
        <v>2.5</v>
      </c>
      <c r="H9" s="662">
        <v>3</v>
      </c>
      <c r="I9" s="662">
        <v>3.5</v>
      </c>
      <c r="J9" s="662">
        <v>4</v>
      </c>
      <c r="K9" s="662">
        <v>4.5</v>
      </c>
      <c r="L9" s="662">
        <v>5</v>
      </c>
      <c r="M9" s="662">
        <v>7.5</v>
      </c>
      <c r="N9" s="689">
        <v>8</v>
      </c>
      <c r="O9" s="663">
        <v>10</v>
      </c>
      <c r="P9" s="656"/>
    </row>
    <row r="10" spans="1:17" ht="18.75" customHeight="1" thickTop="1" x14ac:dyDescent="0.25">
      <c r="A10" s="987" t="s">
        <v>268</v>
      </c>
      <c r="B10" s="664">
        <v>0.05</v>
      </c>
      <c r="C10" s="657">
        <f>ROUNDUP(((((24*365*$D$4)*C$9)*$D$3*$B10)*($D$5/2)+$D$6)/100,0)*100</f>
        <v>400</v>
      </c>
      <c r="D10" s="658">
        <f t="shared" ref="D10:O16" si="0">ROUNDUP(((((24*365*$D$4)*D$9)*$D$3*$B10)*($D$5/2)+$D$6)/100,0)*100</f>
        <v>500</v>
      </c>
      <c r="E10" s="658">
        <f t="shared" si="0"/>
        <v>500</v>
      </c>
      <c r="F10" s="658">
        <f t="shared" si="0"/>
        <v>600</v>
      </c>
      <c r="G10" s="658">
        <f t="shared" si="0"/>
        <v>600</v>
      </c>
      <c r="H10" s="658">
        <f t="shared" si="0"/>
        <v>600</v>
      </c>
      <c r="I10" s="658">
        <f t="shared" si="0"/>
        <v>700</v>
      </c>
      <c r="J10" s="658">
        <f t="shared" si="0"/>
        <v>700</v>
      </c>
      <c r="K10" s="658">
        <f t="shared" si="0"/>
        <v>800</v>
      </c>
      <c r="L10" s="658">
        <f t="shared" si="0"/>
        <v>800</v>
      </c>
      <c r="M10" s="658">
        <f t="shared" si="0"/>
        <v>1000</v>
      </c>
      <c r="N10" s="658">
        <f t="shared" si="0"/>
        <v>1100</v>
      </c>
      <c r="O10" s="667">
        <f t="shared" si="0"/>
        <v>1200</v>
      </c>
      <c r="P10" s="672"/>
      <c r="Q10" s="675">
        <f>AVERAGE(C10:O10)</f>
        <v>730.76923076923072</v>
      </c>
    </row>
    <row r="11" spans="1:17" ht="18.75" customHeight="1" x14ac:dyDescent="0.25">
      <c r="A11" s="988"/>
      <c r="B11" s="665">
        <v>0.06</v>
      </c>
      <c r="C11" s="659">
        <f t="shared" ref="C11:C55" si="1">ROUNDUP(((((24*365*$D$4)*C$9)*$D$3*$B11)*($D$5/2)+$D$6)/100,0)*100</f>
        <v>400</v>
      </c>
      <c r="D11" s="660">
        <f t="shared" si="0"/>
        <v>500</v>
      </c>
      <c r="E11" s="660">
        <f t="shared" si="0"/>
        <v>500</v>
      </c>
      <c r="F11" s="660">
        <f t="shared" si="0"/>
        <v>600</v>
      </c>
      <c r="G11" s="660">
        <f t="shared" si="0"/>
        <v>600</v>
      </c>
      <c r="H11" s="660">
        <f t="shared" si="0"/>
        <v>700</v>
      </c>
      <c r="I11" s="660">
        <f t="shared" si="0"/>
        <v>700</v>
      </c>
      <c r="J11" s="660">
        <f t="shared" si="0"/>
        <v>800</v>
      </c>
      <c r="K11" s="660">
        <f t="shared" si="0"/>
        <v>800</v>
      </c>
      <c r="L11" s="660">
        <f t="shared" si="0"/>
        <v>900</v>
      </c>
      <c r="M11" s="660">
        <f t="shared" si="0"/>
        <v>1100</v>
      </c>
      <c r="N11" s="660">
        <f t="shared" si="0"/>
        <v>1200</v>
      </c>
      <c r="O11" s="668">
        <f t="shared" si="0"/>
        <v>1400</v>
      </c>
      <c r="P11" s="673"/>
      <c r="Q11" s="676">
        <f t="shared" ref="Q11:Q55" si="2">AVERAGE(C11:O11)</f>
        <v>784.61538461538464</v>
      </c>
    </row>
    <row r="12" spans="1:17" ht="18.75" customHeight="1" x14ac:dyDescent="0.25">
      <c r="A12" s="988"/>
      <c r="B12" s="665">
        <v>7.0000000000000007E-2</v>
      </c>
      <c r="C12" s="659">
        <f t="shared" si="1"/>
        <v>500</v>
      </c>
      <c r="D12" s="660">
        <f t="shared" si="0"/>
        <v>500</v>
      </c>
      <c r="E12" s="660">
        <f t="shared" si="0"/>
        <v>600</v>
      </c>
      <c r="F12" s="660">
        <f t="shared" si="0"/>
        <v>600</v>
      </c>
      <c r="G12" s="660">
        <f t="shared" si="0"/>
        <v>700</v>
      </c>
      <c r="H12" s="660">
        <f t="shared" si="0"/>
        <v>700</v>
      </c>
      <c r="I12" s="660">
        <f t="shared" si="0"/>
        <v>800</v>
      </c>
      <c r="J12" s="660">
        <f t="shared" si="0"/>
        <v>900</v>
      </c>
      <c r="K12" s="660">
        <f t="shared" si="0"/>
        <v>900</v>
      </c>
      <c r="L12" s="660">
        <f t="shared" si="0"/>
        <v>1000</v>
      </c>
      <c r="M12" s="660">
        <f t="shared" si="0"/>
        <v>1300</v>
      </c>
      <c r="N12" s="660">
        <f t="shared" si="0"/>
        <v>1300</v>
      </c>
      <c r="O12" s="668">
        <f t="shared" si="0"/>
        <v>1600</v>
      </c>
      <c r="P12" s="673"/>
      <c r="Q12" s="676">
        <f t="shared" si="2"/>
        <v>876.92307692307691</v>
      </c>
    </row>
    <row r="13" spans="1:17" ht="18.75" customHeight="1" x14ac:dyDescent="0.25">
      <c r="A13" s="988"/>
      <c r="B13" s="665">
        <v>0.08</v>
      </c>
      <c r="C13" s="659">
        <f t="shared" si="1"/>
        <v>500</v>
      </c>
      <c r="D13" s="660">
        <f t="shared" si="0"/>
        <v>500</v>
      </c>
      <c r="E13" s="660">
        <f t="shared" si="0"/>
        <v>600</v>
      </c>
      <c r="F13" s="660">
        <f t="shared" si="0"/>
        <v>700</v>
      </c>
      <c r="G13" s="660">
        <f t="shared" si="0"/>
        <v>700</v>
      </c>
      <c r="H13" s="660">
        <f t="shared" si="0"/>
        <v>800</v>
      </c>
      <c r="I13" s="660">
        <f t="shared" si="0"/>
        <v>900</v>
      </c>
      <c r="J13" s="660">
        <f t="shared" si="0"/>
        <v>900</v>
      </c>
      <c r="K13" s="660">
        <f t="shared" si="0"/>
        <v>1000</v>
      </c>
      <c r="L13" s="660">
        <f t="shared" si="0"/>
        <v>1100</v>
      </c>
      <c r="M13" s="660">
        <f t="shared" si="0"/>
        <v>1400</v>
      </c>
      <c r="N13" s="660">
        <f t="shared" si="0"/>
        <v>1500</v>
      </c>
      <c r="O13" s="668">
        <f t="shared" si="0"/>
        <v>1700</v>
      </c>
      <c r="P13" s="673"/>
      <c r="Q13" s="676">
        <f t="shared" si="2"/>
        <v>946.15384615384619</v>
      </c>
    </row>
    <row r="14" spans="1:17" ht="18.75" customHeight="1" x14ac:dyDescent="0.25">
      <c r="A14" s="988"/>
      <c r="B14" s="665">
        <v>0.09</v>
      </c>
      <c r="C14" s="659">
        <f t="shared" si="1"/>
        <v>500</v>
      </c>
      <c r="D14" s="660">
        <f t="shared" si="0"/>
        <v>500</v>
      </c>
      <c r="E14" s="660">
        <f t="shared" si="0"/>
        <v>600</v>
      </c>
      <c r="F14" s="660">
        <f t="shared" si="0"/>
        <v>700</v>
      </c>
      <c r="G14" s="660">
        <f t="shared" si="0"/>
        <v>800</v>
      </c>
      <c r="H14" s="660">
        <f t="shared" si="0"/>
        <v>800</v>
      </c>
      <c r="I14" s="660">
        <f t="shared" si="0"/>
        <v>900</v>
      </c>
      <c r="J14" s="660">
        <f t="shared" si="0"/>
        <v>1000</v>
      </c>
      <c r="K14" s="660">
        <f t="shared" si="0"/>
        <v>1100</v>
      </c>
      <c r="L14" s="660">
        <f t="shared" si="0"/>
        <v>1100</v>
      </c>
      <c r="M14" s="660">
        <f t="shared" si="0"/>
        <v>1500</v>
      </c>
      <c r="N14" s="660">
        <f t="shared" si="0"/>
        <v>1600</v>
      </c>
      <c r="O14" s="668">
        <f t="shared" si="0"/>
        <v>1900</v>
      </c>
      <c r="P14" s="673"/>
      <c r="Q14" s="676">
        <f t="shared" si="2"/>
        <v>1000</v>
      </c>
    </row>
    <row r="15" spans="1:17" ht="18.75" customHeight="1" x14ac:dyDescent="0.25">
      <c r="A15" s="988"/>
      <c r="B15" s="665">
        <v>0.1</v>
      </c>
      <c r="C15" s="659">
        <f t="shared" si="1"/>
        <v>500</v>
      </c>
      <c r="D15" s="660">
        <f t="shared" si="0"/>
        <v>600</v>
      </c>
      <c r="E15" s="660">
        <f t="shared" si="0"/>
        <v>600</v>
      </c>
      <c r="F15" s="660">
        <f t="shared" si="0"/>
        <v>700</v>
      </c>
      <c r="G15" s="660">
        <f t="shared" si="0"/>
        <v>800</v>
      </c>
      <c r="H15" s="660">
        <f t="shared" si="0"/>
        <v>900</v>
      </c>
      <c r="I15" s="660">
        <f t="shared" si="0"/>
        <v>1000</v>
      </c>
      <c r="J15" s="660">
        <f t="shared" si="0"/>
        <v>1100</v>
      </c>
      <c r="K15" s="660">
        <f t="shared" si="0"/>
        <v>1100</v>
      </c>
      <c r="L15" s="660">
        <f t="shared" si="0"/>
        <v>1200</v>
      </c>
      <c r="M15" s="660">
        <f t="shared" si="0"/>
        <v>1600</v>
      </c>
      <c r="N15" s="660">
        <f t="shared" si="0"/>
        <v>1700</v>
      </c>
      <c r="O15" s="668">
        <f t="shared" si="0"/>
        <v>2100</v>
      </c>
      <c r="P15" s="673"/>
      <c r="Q15" s="676">
        <f t="shared" si="2"/>
        <v>1069.2307692307693</v>
      </c>
    </row>
    <row r="16" spans="1:17" ht="18.75" customHeight="1" x14ac:dyDescent="0.25">
      <c r="A16" s="988"/>
      <c r="B16" s="665">
        <v>0.11</v>
      </c>
      <c r="C16" s="659">
        <f t="shared" si="1"/>
        <v>500</v>
      </c>
      <c r="D16" s="660">
        <f t="shared" si="0"/>
        <v>600</v>
      </c>
      <c r="E16" s="660">
        <f t="shared" si="0"/>
        <v>700</v>
      </c>
      <c r="F16" s="660">
        <f t="shared" si="0"/>
        <v>800</v>
      </c>
      <c r="G16" s="660">
        <f t="shared" ref="D16:O37" si="3">ROUNDUP(((((24*365*$D$4)*G$9)*$D$3*$B16)*($D$5/2)+$D$6)/100,0)*100</f>
        <v>900</v>
      </c>
      <c r="H16" s="660">
        <f t="shared" si="3"/>
        <v>900</v>
      </c>
      <c r="I16" s="660">
        <f t="shared" si="3"/>
        <v>1000</v>
      </c>
      <c r="J16" s="660">
        <f t="shared" si="3"/>
        <v>1100</v>
      </c>
      <c r="K16" s="660">
        <f t="shared" si="3"/>
        <v>1200</v>
      </c>
      <c r="L16" s="660">
        <f t="shared" si="3"/>
        <v>1300</v>
      </c>
      <c r="M16" s="660">
        <f t="shared" si="3"/>
        <v>1800</v>
      </c>
      <c r="N16" s="660">
        <f t="shared" si="3"/>
        <v>1900</v>
      </c>
      <c r="O16" s="668">
        <f t="shared" si="3"/>
        <v>2200</v>
      </c>
      <c r="P16" s="673"/>
      <c r="Q16" s="676">
        <f t="shared" si="2"/>
        <v>1146.1538461538462</v>
      </c>
    </row>
    <row r="17" spans="1:17" ht="18.75" customHeight="1" x14ac:dyDescent="0.25">
      <c r="A17" s="988"/>
      <c r="B17" s="665">
        <v>0.12</v>
      </c>
      <c r="C17" s="659">
        <f t="shared" si="1"/>
        <v>500</v>
      </c>
      <c r="D17" s="660">
        <f t="shared" si="3"/>
        <v>600</v>
      </c>
      <c r="E17" s="660">
        <f t="shared" si="3"/>
        <v>700</v>
      </c>
      <c r="F17" s="660">
        <f t="shared" si="3"/>
        <v>800</v>
      </c>
      <c r="G17" s="660">
        <f t="shared" si="3"/>
        <v>900</v>
      </c>
      <c r="H17" s="660">
        <f t="shared" si="3"/>
        <v>1000</v>
      </c>
      <c r="I17" s="660">
        <f t="shared" si="3"/>
        <v>1100</v>
      </c>
      <c r="J17" s="660">
        <f t="shared" si="3"/>
        <v>1200</v>
      </c>
      <c r="K17" s="660">
        <f t="shared" si="3"/>
        <v>1300</v>
      </c>
      <c r="L17" s="660">
        <f t="shared" si="3"/>
        <v>1400</v>
      </c>
      <c r="M17" s="660">
        <f t="shared" si="3"/>
        <v>1900</v>
      </c>
      <c r="N17" s="660">
        <f t="shared" si="3"/>
        <v>2000</v>
      </c>
      <c r="O17" s="668">
        <f t="shared" si="3"/>
        <v>2400</v>
      </c>
      <c r="P17" s="673"/>
      <c r="Q17" s="676">
        <f t="shared" si="2"/>
        <v>1215.3846153846155</v>
      </c>
    </row>
    <row r="18" spans="1:17" ht="18.75" customHeight="1" x14ac:dyDescent="0.25">
      <c r="A18" s="988"/>
      <c r="B18" s="665">
        <v>0.13</v>
      </c>
      <c r="C18" s="659">
        <f t="shared" si="1"/>
        <v>500</v>
      </c>
      <c r="D18" s="660">
        <f t="shared" si="3"/>
        <v>600</v>
      </c>
      <c r="E18" s="660">
        <f t="shared" si="3"/>
        <v>700</v>
      </c>
      <c r="F18" s="660">
        <f t="shared" si="3"/>
        <v>800</v>
      </c>
      <c r="G18" s="660">
        <f t="shared" si="3"/>
        <v>900</v>
      </c>
      <c r="H18" s="660">
        <f t="shared" si="3"/>
        <v>1000</v>
      </c>
      <c r="I18" s="660">
        <f t="shared" si="3"/>
        <v>1200</v>
      </c>
      <c r="J18" s="660">
        <f t="shared" si="3"/>
        <v>1300</v>
      </c>
      <c r="K18" s="660">
        <f t="shared" si="3"/>
        <v>1400</v>
      </c>
      <c r="L18" s="660">
        <f t="shared" si="3"/>
        <v>1500</v>
      </c>
      <c r="M18" s="660">
        <f t="shared" si="3"/>
        <v>2000</v>
      </c>
      <c r="N18" s="660">
        <f t="shared" si="3"/>
        <v>2100</v>
      </c>
      <c r="O18" s="668">
        <f t="shared" si="3"/>
        <v>2600</v>
      </c>
      <c r="P18" s="673"/>
      <c r="Q18" s="676">
        <f t="shared" si="2"/>
        <v>1276.9230769230769</v>
      </c>
    </row>
    <row r="19" spans="1:17" ht="18.75" customHeight="1" x14ac:dyDescent="0.25">
      <c r="A19" s="988"/>
      <c r="B19" s="665">
        <v>0.14000000000000001</v>
      </c>
      <c r="C19" s="659">
        <f t="shared" si="1"/>
        <v>500</v>
      </c>
      <c r="D19" s="660">
        <f t="shared" si="3"/>
        <v>600</v>
      </c>
      <c r="E19" s="660">
        <f t="shared" si="3"/>
        <v>700</v>
      </c>
      <c r="F19" s="660">
        <f t="shared" si="3"/>
        <v>900</v>
      </c>
      <c r="G19" s="660">
        <f t="shared" si="3"/>
        <v>1000</v>
      </c>
      <c r="H19" s="660">
        <f t="shared" si="3"/>
        <v>1100</v>
      </c>
      <c r="I19" s="660">
        <f t="shared" si="3"/>
        <v>1200</v>
      </c>
      <c r="J19" s="660">
        <f t="shared" si="3"/>
        <v>1300</v>
      </c>
      <c r="K19" s="660">
        <f t="shared" si="3"/>
        <v>1400</v>
      </c>
      <c r="L19" s="660">
        <f t="shared" si="3"/>
        <v>1600</v>
      </c>
      <c r="M19" s="660">
        <f t="shared" si="3"/>
        <v>2100</v>
      </c>
      <c r="N19" s="660">
        <f t="shared" si="3"/>
        <v>2300</v>
      </c>
      <c r="O19" s="668">
        <f t="shared" si="3"/>
        <v>2700</v>
      </c>
      <c r="P19" s="673"/>
      <c r="Q19" s="676">
        <f t="shared" si="2"/>
        <v>1338.4615384615386</v>
      </c>
    </row>
    <row r="20" spans="1:17" ht="18.75" customHeight="1" x14ac:dyDescent="0.25">
      <c r="A20" s="988"/>
      <c r="B20" s="665">
        <v>0.15</v>
      </c>
      <c r="C20" s="659">
        <f t="shared" si="1"/>
        <v>500</v>
      </c>
      <c r="D20" s="660">
        <f t="shared" si="3"/>
        <v>600</v>
      </c>
      <c r="E20" s="660">
        <f t="shared" si="3"/>
        <v>800</v>
      </c>
      <c r="F20" s="660">
        <f t="shared" si="3"/>
        <v>900</v>
      </c>
      <c r="G20" s="660">
        <f t="shared" si="3"/>
        <v>1000</v>
      </c>
      <c r="H20" s="660">
        <f t="shared" si="3"/>
        <v>1100</v>
      </c>
      <c r="I20" s="660">
        <f t="shared" si="3"/>
        <v>1300</v>
      </c>
      <c r="J20" s="660">
        <f t="shared" si="3"/>
        <v>1400</v>
      </c>
      <c r="K20" s="660">
        <f t="shared" si="3"/>
        <v>1500</v>
      </c>
      <c r="L20" s="660">
        <f t="shared" si="3"/>
        <v>1600</v>
      </c>
      <c r="M20" s="660">
        <f t="shared" si="3"/>
        <v>2300</v>
      </c>
      <c r="N20" s="660">
        <f t="shared" si="3"/>
        <v>2400</v>
      </c>
      <c r="O20" s="668">
        <f t="shared" si="3"/>
        <v>2900</v>
      </c>
      <c r="P20" s="673"/>
      <c r="Q20" s="676">
        <f t="shared" si="2"/>
        <v>1407.6923076923076</v>
      </c>
    </row>
    <row r="21" spans="1:17" ht="18.75" customHeight="1" x14ac:dyDescent="0.25">
      <c r="A21" s="988"/>
      <c r="B21" s="665">
        <v>0.16</v>
      </c>
      <c r="C21" s="659">
        <f t="shared" si="1"/>
        <v>500</v>
      </c>
      <c r="D21" s="660">
        <f t="shared" si="3"/>
        <v>700</v>
      </c>
      <c r="E21" s="660">
        <f t="shared" si="3"/>
        <v>800</v>
      </c>
      <c r="F21" s="660">
        <f t="shared" si="3"/>
        <v>900</v>
      </c>
      <c r="G21" s="660">
        <f t="shared" si="3"/>
        <v>1100</v>
      </c>
      <c r="H21" s="660">
        <f t="shared" si="3"/>
        <v>1200</v>
      </c>
      <c r="I21" s="660">
        <f t="shared" si="3"/>
        <v>1300</v>
      </c>
      <c r="J21" s="660">
        <f t="shared" si="3"/>
        <v>1500</v>
      </c>
      <c r="K21" s="660">
        <f t="shared" si="3"/>
        <v>1600</v>
      </c>
      <c r="L21" s="660">
        <f t="shared" si="3"/>
        <v>1700</v>
      </c>
      <c r="M21" s="660">
        <f t="shared" si="3"/>
        <v>2400</v>
      </c>
      <c r="N21" s="660">
        <f t="shared" si="3"/>
        <v>2500</v>
      </c>
      <c r="O21" s="668">
        <f t="shared" si="3"/>
        <v>3100</v>
      </c>
      <c r="P21" s="673"/>
      <c r="Q21" s="676">
        <f t="shared" si="2"/>
        <v>1484.6153846153845</v>
      </c>
    </row>
    <row r="22" spans="1:17" ht="18.75" customHeight="1" x14ac:dyDescent="0.25">
      <c r="A22" s="988"/>
      <c r="B22" s="665">
        <v>0.17</v>
      </c>
      <c r="C22" s="659">
        <f t="shared" si="1"/>
        <v>500</v>
      </c>
      <c r="D22" s="660">
        <f t="shared" si="3"/>
        <v>700</v>
      </c>
      <c r="E22" s="660">
        <f t="shared" si="3"/>
        <v>800</v>
      </c>
      <c r="F22" s="660">
        <f t="shared" si="3"/>
        <v>1000</v>
      </c>
      <c r="G22" s="660">
        <f t="shared" si="3"/>
        <v>1100</v>
      </c>
      <c r="H22" s="660">
        <f t="shared" si="3"/>
        <v>1200</v>
      </c>
      <c r="I22" s="660">
        <f t="shared" si="3"/>
        <v>1400</v>
      </c>
      <c r="J22" s="660">
        <f t="shared" si="3"/>
        <v>1500</v>
      </c>
      <c r="K22" s="660">
        <f t="shared" si="3"/>
        <v>1700</v>
      </c>
      <c r="L22" s="660">
        <f t="shared" si="3"/>
        <v>1800</v>
      </c>
      <c r="M22" s="660">
        <f t="shared" si="3"/>
        <v>2500</v>
      </c>
      <c r="N22" s="660">
        <f t="shared" si="3"/>
        <v>2700</v>
      </c>
      <c r="O22" s="668">
        <f t="shared" si="3"/>
        <v>3200</v>
      </c>
      <c r="P22" s="673"/>
      <c r="Q22" s="676">
        <f t="shared" si="2"/>
        <v>1546.1538461538462</v>
      </c>
    </row>
    <row r="23" spans="1:17" ht="18.75" customHeight="1" x14ac:dyDescent="0.25">
      <c r="A23" s="988"/>
      <c r="B23" s="665">
        <v>0.18</v>
      </c>
      <c r="C23" s="659">
        <f t="shared" si="1"/>
        <v>500</v>
      </c>
      <c r="D23" s="660">
        <f t="shared" si="3"/>
        <v>700</v>
      </c>
      <c r="E23" s="660">
        <f t="shared" si="3"/>
        <v>800</v>
      </c>
      <c r="F23" s="660">
        <f t="shared" si="3"/>
        <v>1000</v>
      </c>
      <c r="G23" s="660">
        <f t="shared" si="3"/>
        <v>1100</v>
      </c>
      <c r="H23" s="660">
        <f t="shared" si="3"/>
        <v>1300</v>
      </c>
      <c r="I23" s="660">
        <f t="shared" si="3"/>
        <v>1400</v>
      </c>
      <c r="J23" s="660">
        <f t="shared" si="3"/>
        <v>1600</v>
      </c>
      <c r="K23" s="660">
        <f t="shared" si="3"/>
        <v>1700</v>
      </c>
      <c r="L23" s="660">
        <f t="shared" si="3"/>
        <v>1900</v>
      </c>
      <c r="M23" s="660">
        <f t="shared" si="3"/>
        <v>2600</v>
      </c>
      <c r="N23" s="660">
        <f t="shared" si="3"/>
        <v>2800</v>
      </c>
      <c r="O23" s="668">
        <f t="shared" si="3"/>
        <v>3400</v>
      </c>
      <c r="P23" s="673"/>
      <c r="Q23" s="676">
        <f t="shared" si="2"/>
        <v>1600</v>
      </c>
    </row>
    <row r="24" spans="1:17" ht="18.75" customHeight="1" x14ac:dyDescent="0.25">
      <c r="A24" s="988"/>
      <c r="B24" s="665">
        <v>0.19</v>
      </c>
      <c r="C24" s="659">
        <f t="shared" si="1"/>
        <v>600</v>
      </c>
      <c r="D24" s="660">
        <f t="shared" si="3"/>
        <v>700</v>
      </c>
      <c r="E24" s="660">
        <f t="shared" si="3"/>
        <v>900</v>
      </c>
      <c r="F24" s="660">
        <f t="shared" si="3"/>
        <v>1000</v>
      </c>
      <c r="G24" s="660">
        <f t="shared" si="3"/>
        <v>1200</v>
      </c>
      <c r="H24" s="660">
        <f t="shared" si="3"/>
        <v>1300</v>
      </c>
      <c r="I24" s="660">
        <f t="shared" si="3"/>
        <v>1500</v>
      </c>
      <c r="J24" s="660">
        <f t="shared" si="3"/>
        <v>1700</v>
      </c>
      <c r="K24" s="660">
        <f t="shared" si="3"/>
        <v>1800</v>
      </c>
      <c r="L24" s="660">
        <f t="shared" si="3"/>
        <v>2000</v>
      </c>
      <c r="M24" s="660">
        <f t="shared" si="3"/>
        <v>2800</v>
      </c>
      <c r="N24" s="660">
        <f t="shared" si="3"/>
        <v>2900</v>
      </c>
      <c r="O24" s="668">
        <f t="shared" si="3"/>
        <v>3600</v>
      </c>
      <c r="P24" s="673"/>
      <c r="Q24" s="676">
        <f t="shared" si="2"/>
        <v>1692.3076923076924</v>
      </c>
    </row>
    <row r="25" spans="1:17" ht="18.75" customHeight="1" x14ac:dyDescent="0.25">
      <c r="A25" s="988"/>
      <c r="B25" s="665">
        <v>0.2</v>
      </c>
      <c r="C25" s="659">
        <f t="shared" si="1"/>
        <v>600</v>
      </c>
      <c r="D25" s="660">
        <f t="shared" si="3"/>
        <v>700</v>
      </c>
      <c r="E25" s="660">
        <f t="shared" si="3"/>
        <v>900</v>
      </c>
      <c r="F25" s="660">
        <f t="shared" si="3"/>
        <v>1100</v>
      </c>
      <c r="G25" s="660">
        <f t="shared" si="3"/>
        <v>1200</v>
      </c>
      <c r="H25" s="660">
        <f t="shared" si="3"/>
        <v>1400</v>
      </c>
      <c r="I25" s="660">
        <f t="shared" si="3"/>
        <v>1600</v>
      </c>
      <c r="J25" s="660">
        <f t="shared" si="3"/>
        <v>1700</v>
      </c>
      <c r="K25" s="660">
        <f t="shared" si="3"/>
        <v>1900</v>
      </c>
      <c r="L25" s="660">
        <f t="shared" si="3"/>
        <v>2100</v>
      </c>
      <c r="M25" s="660">
        <f t="shared" si="3"/>
        <v>2900</v>
      </c>
      <c r="N25" s="660">
        <f t="shared" si="3"/>
        <v>3100</v>
      </c>
      <c r="O25" s="668">
        <f t="shared" si="3"/>
        <v>3700</v>
      </c>
      <c r="P25" s="673"/>
      <c r="Q25" s="676">
        <f t="shared" si="2"/>
        <v>1761.5384615384614</v>
      </c>
    </row>
    <row r="26" spans="1:17" ht="18.75" customHeight="1" x14ac:dyDescent="0.25">
      <c r="A26" s="988"/>
      <c r="B26" s="665">
        <v>0.21</v>
      </c>
      <c r="C26" s="659">
        <f t="shared" si="1"/>
        <v>600</v>
      </c>
      <c r="D26" s="660">
        <f t="shared" si="3"/>
        <v>700</v>
      </c>
      <c r="E26" s="660">
        <f t="shared" si="3"/>
        <v>900</v>
      </c>
      <c r="F26" s="660">
        <f t="shared" si="3"/>
        <v>1100</v>
      </c>
      <c r="G26" s="660">
        <f t="shared" si="3"/>
        <v>1300</v>
      </c>
      <c r="H26" s="660">
        <f t="shared" si="3"/>
        <v>1400</v>
      </c>
      <c r="I26" s="660">
        <f t="shared" si="3"/>
        <v>1600</v>
      </c>
      <c r="J26" s="660">
        <f t="shared" si="3"/>
        <v>1800</v>
      </c>
      <c r="K26" s="660">
        <f t="shared" si="3"/>
        <v>2000</v>
      </c>
      <c r="L26" s="660">
        <f t="shared" si="3"/>
        <v>2100</v>
      </c>
      <c r="M26" s="660">
        <f t="shared" si="3"/>
        <v>3000</v>
      </c>
      <c r="N26" s="660">
        <f t="shared" si="3"/>
        <v>3200</v>
      </c>
      <c r="O26" s="668">
        <f t="shared" si="3"/>
        <v>3900</v>
      </c>
      <c r="P26" s="673"/>
      <c r="Q26" s="676">
        <f t="shared" si="2"/>
        <v>1815.3846153846155</v>
      </c>
    </row>
    <row r="27" spans="1:17" ht="18.75" customHeight="1" x14ac:dyDescent="0.25">
      <c r="A27" s="988"/>
      <c r="B27" s="665">
        <v>0.22</v>
      </c>
      <c r="C27" s="659">
        <f t="shared" si="1"/>
        <v>600</v>
      </c>
      <c r="D27" s="660">
        <f t="shared" si="3"/>
        <v>800</v>
      </c>
      <c r="E27" s="660">
        <f t="shared" si="3"/>
        <v>900</v>
      </c>
      <c r="F27" s="660">
        <f t="shared" si="3"/>
        <v>1100</v>
      </c>
      <c r="G27" s="660">
        <f t="shared" si="3"/>
        <v>1300</v>
      </c>
      <c r="H27" s="660">
        <f t="shared" si="3"/>
        <v>1500</v>
      </c>
      <c r="I27" s="660">
        <f t="shared" si="3"/>
        <v>1700</v>
      </c>
      <c r="J27" s="660">
        <f t="shared" si="3"/>
        <v>1900</v>
      </c>
      <c r="K27" s="660">
        <f t="shared" si="3"/>
        <v>2000</v>
      </c>
      <c r="L27" s="660">
        <f t="shared" si="3"/>
        <v>2200</v>
      </c>
      <c r="M27" s="660">
        <f t="shared" si="3"/>
        <v>3100</v>
      </c>
      <c r="N27" s="660">
        <f t="shared" si="3"/>
        <v>3300</v>
      </c>
      <c r="O27" s="668">
        <f t="shared" si="3"/>
        <v>4100</v>
      </c>
      <c r="P27" s="673"/>
      <c r="Q27" s="676">
        <f t="shared" si="2"/>
        <v>1884.6153846153845</v>
      </c>
    </row>
    <row r="28" spans="1:17" ht="18.75" customHeight="1" x14ac:dyDescent="0.25">
      <c r="A28" s="988"/>
      <c r="B28" s="665">
        <v>0.23</v>
      </c>
      <c r="C28" s="659">
        <f t="shared" si="1"/>
        <v>600</v>
      </c>
      <c r="D28" s="660">
        <f t="shared" si="3"/>
        <v>800</v>
      </c>
      <c r="E28" s="660">
        <f t="shared" si="3"/>
        <v>1000</v>
      </c>
      <c r="F28" s="660">
        <f t="shared" si="3"/>
        <v>1200</v>
      </c>
      <c r="G28" s="660">
        <f t="shared" si="3"/>
        <v>1400</v>
      </c>
      <c r="H28" s="660">
        <f t="shared" si="3"/>
        <v>1500</v>
      </c>
      <c r="I28" s="660">
        <f t="shared" si="3"/>
        <v>1700</v>
      </c>
      <c r="J28" s="660">
        <f t="shared" si="3"/>
        <v>1900</v>
      </c>
      <c r="K28" s="660">
        <f t="shared" si="3"/>
        <v>2100</v>
      </c>
      <c r="L28" s="660">
        <f t="shared" si="3"/>
        <v>2300</v>
      </c>
      <c r="M28" s="660">
        <f t="shared" si="3"/>
        <v>3300</v>
      </c>
      <c r="N28" s="660">
        <f t="shared" si="3"/>
        <v>3500</v>
      </c>
      <c r="O28" s="668">
        <f t="shared" si="3"/>
        <v>4200</v>
      </c>
      <c r="P28" s="673"/>
      <c r="Q28" s="676">
        <f t="shared" si="2"/>
        <v>1961.5384615384614</v>
      </c>
    </row>
    <row r="29" spans="1:17" ht="18.75" customHeight="1" x14ac:dyDescent="0.25">
      <c r="A29" s="988"/>
      <c r="B29" s="665">
        <v>0.24</v>
      </c>
      <c r="C29" s="659">
        <f t="shared" si="1"/>
        <v>600</v>
      </c>
      <c r="D29" s="660">
        <f t="shared" si="3"/>
        <v>800</v>
      </c>
      <c r="E29" s="660">
        <f t="shared" si="3"/>
        <v>1000</v>
      </c>
      <c r="F29" s="660">
        <f t="shared" si="3"/>
        <v>1200</v>
      </c>
      <c r="G29" s="660">
        <f t="shared" si="3"/>
        <v>1400</v>
      </c>
      <c r="H29" s="660">
        <f t="shared" si="3"/>
        <v>1600</v>
      </c>
      <c r="I29" s="660">
        <f t="shared" si="3"/>
        <v>1800</v>
      </c>
      <c r="J29" s="660">
        <f t="shared" si="3"/>
        <v>2000</v>
      </c>
      <c r="K29" s="660">
        <f t="shared" si="3"/>
        <v>2200</v>
      </c>
      <c r="L29" s="660">
        <f t="shared" si="3"/>
        <v>2400</v>
      </c>
      <c r="M29" s="660">
        <f t="shared" si="3"/>
        <v>3400</v>
      </c>
      <c r="N29" s="660">
        <f t="shared" si="3"/>
        <v>3600</v>
      </c>
      <c r="O29" s="668">
        <f t="shared" si="3"/>
        <v>4400</v>
      </c>
      <c r="P29" s="673"/>
      <c r="Q29" s="676">
        <f t="shared" si="2"/>
        <v>2030.7692307692307</v>
      </c>
    </row>
    <row r="30" spans="1:17" ht="18.75" customHeight="1" x14ac:dyDescent="0.25">
      <c r="A30" s="988"/>
      <c r="B30" s="665">
        <v>0.25</v>
      </c>
      <c r="C30" s="659">
        <f t="shared" si="1"/>
        <v>600</v>
      </c>
      <c r="D30" s="660">
        <f t="shared" si="3"/>
        <v>800</v>
      </c>
      <c r="E30" s="660">
        <f t="shared" si="3"/>
        <v>1000</v>
      </c>
      <c r="F30" s="660">
        <f t="shared" si="3"/>
        <v>1200</v>
      </c>
      <c r="G30" s="660">
        <f t="shared" si="3"/>
        <v>1400</v>
      </c>
      <c r="H30" s="660">
        <f t="shared" si="3"/>
        <v>1600</v>
      </c>
      <c r="I30" s="660">
        <f t="shared" si="3"/>
        <v>1900</v>
      </c>
      <c r="J30" s="660">
        <f t="shared" si="3"/>
        <v>2100</v>
      </c>
      <c r="K30" s="660">
        <f t="shared" si="3"/>
        <v>2300</v>
      </c>
      <c r="L30" s="660">
        <f t="shared" si="3"/>
        <v>2500</v>
      </c>
      <c r="M30" s="660">
        <f t="shared" si="3"/>
        <v>3500</v>
      </c>
      <c r="N30" s="660">
        <f t="shared" si="3"/>
        <v>3700</v>
      </c>
      <c r="O30" s="668">
        <f t="shared" si="3"/>
        <v>4600</v>
      </c>
      <c r="P30" s="673"/>
      <c r="Q30" s="676">
        <f t="shared" si="2"/>
        <v>2092.3076923076924</v>
      </c>
    </row>
    <row r="31" spans="1:17" ht="18.75" customHeight="1" x14ac:dyDescent="0.25">
      <c r="A31" s="988"/>
      <c r="B31" s="665">
        <v>0.26</v>
      </c>
      <c r="C31" s="659">
        <f t="shared" si="1"/>
        <v>600</v>
      </c>
      <c r="D31" s="660">
        <f t="shared" si="3"/>
        <v>800</v>
      </c>
      <c r="E31" s="660">
        <f t="shared" si="3"/>
        <v>1000</v>
      </c>
      <c r="F31" s="660">
        <f t="shared" si="3"/>
        <v>1300</v>
      </c>
      <c r="G31" s="660">
        <f t="shared" si="3"/>
        <v>1500</v>
      </c>
      <c r="H31" s="660">
        <f t="shared" si="3"/>
        <v>1700</v>
      </c>
      <c r="I31" s="660">
        <f t="shared" si="3"/>
        <v>1900</v>
      </c>
      <c r="J31" s="660">
        <f t="shared" si="3"/>
        <v>2100</v>
      </c>
      <c r="K31" s="660">
        <f t="shared" si="3"/>
        <v>2300</v>
      </c>
      <c r="L31" s="660">
        <f t="shared" si="3"/>
        <v>2600</v>
      </c>
      <c r="M31" s="660">
        <f t="shared" si="3"/>
        <v>3600</v>
      </c>
      <c r="N31" s="660">
        <f t="shared" si="3"/>
        <v>3900</v>
      </c>
      <c r="O31" s="668">
        <f t="shared" si="3"/>
        <v>4700</v>
      </c>
      <c r="P31" s="673"/>
      <c r="Q31" s="676">
        <f t="shared" si="2"/>
        <v>2153.8461538461538</v>
      </c>
    </row>
    <row r="32" spans="1:17" ht="18.75" customHeight="1" x14ac:dyDescent="0.25">
      <c r="A32" s="988"/>
      <c r="B32" s="665">
        <v>0.27</v>
      </c>
      <c r="C32" s="659">
        <f t="shared" si="1"/>
        <v>600</v>
      </c>
      <c r="D32" s="660">
        <f t="shared" si="3"/>
        <v>800</v>
      </c>
      <c r="E32" s="660">
        <f t="shared" si="3"/>
        <v>1100</v>
      </c>
      <c r="F32" s="660">
        <f t="shared" si="3"/>
        <v>1300</v>
      </c>
      <c r="G32" s="660">
        <f t="shared" si="3"/>
        <v>1500</v>
      </c>
      <c r="H32" s="660">
        <f t="shared" si="3"/>
        <v>1700</v>
      </c>
      <c r="I32" s="660">
        <f t="shared" si="3"/>
        <v>2000</v>
      </c>
      <c r="J32" s="660">
        <f t="shared" si="3"/>
        <v>2200</v>
      </c>
      <c r="K32" s="660">
        <f t="shared" si="3"/>
        <v>2400</v>
      </c>
      <c r="L32" s="660">
        <f t="shared" si="3"/>
        <v>2600</v>
      </c>
      <c r="M32" s="660">
        <f t="shared" si="3"/>
        <v>3800</v>
      </c>
      <c r="N32" s="660">
        <f t="shared" si="3"/>
        <v>4000</v>
      </c>
      <c r="O32" s="668">
        <f t="shared" si="3"/>
        <v>4900</v>
      </c>
      <c r="P32" s="673"/>
      <c r="Q32" s="676">
        <f t="shared" si="2"/>
        <v>2223.0769230769229</v>
      </c>
    </row>
    <row r="33" spans="1:17" ht="18.75" customHeight="1" x14ac:dyDescent="0.25">
      <c r="A33" s="988"/>
      <c r="B33" s="665">
        <v>0.28000000000000003</v>
      </c>
      <c r="C33" s="659">
        <f t="shared" si="1"/>
        <v>600</v>
      </c>
      <c r="D33" s="660">
        <f t="shared" si="3"/>
        <v>900</v>
      </c>
      <c r="E33" s="660">
        <f t="shared" si="3"/>
        <v>1100</v>
      </c>
      <c r="F33" s="660">
        <f t="shared" si="3"/>
        <v>1300</v>
      </c>
      <c r="G33" s="660">
        <f t="shared" si="3"/>
        <v>1600</v>
      </c>
      <c r="H33" s="660">
        <f t="shared" si="3"/>
        <v>1800</v>
      </c>
      <c r="I33" s="660">
        <f t="shared" si="3"/>
        <v>2000</v>
      </c>
      <c r="J33" s="660">
        <f t="shared" si="3"/>
        <v>2300</v>
      </c>
      <c r="K33" s="660">
        <f t="shared" si="3"/>
        <v>2500</v>
      </c>
      <c r="L33" s="660">
        <f t="shared" si="3"/>
        <v>2700</v>
      </c>
      <c r="M33" s="660">
        <f t="shared" si="3"/>
        <v>3900</v>
      </c>
      <c r="N33" s="660">
        <f t="shared" si="3"/>
        <v>4100</v>
      </c>
      <c r="O33" s="668">
        <f t="shared" si="3"/>
        <v>5100</v>
      </c>
      <c r="P33" s="673"/>
      <c r="Q33" s="676">
        <f t="shared" si="2"/>
        <v>2300</v>
      </c>
    </row>
    <row r="34" spans="1:17" ht="18.75" customHeight="1" x14ac:dyDescent="0.25">
      <c r="A34" s="988"/>
      <c r="B34" s="665">
        <v>0.28999999999999998</v>
      </c>
      <c r="C34" s="659">
        <f t="shared" si="1"/>
        <v>600</v>
      </c>
      <c r="D34" s="660">
        <f t="shared" si="3"/>
        <v>900</v>
      </c>
      <c r="E34" s="660">
        <f t="shared" si="3"/>
        <v>1100</v>
      </c>
      <c r="F34" s="660">
        <f t="shared" si="3"/>
        <v>1400</v>
      </c>
      <c r="G34" s="660">
        <f t="shared" si="3"/>
        <v>1600</v>
      </c>
      <c r="H34" s="660">
        <f t="shared" si="3"/>
        <v>1800</v>
      </c>
      <c r="I34" s="660">
        <f t="shared" si="3"/>
        <v>2100</v>
      </c>
      <c r="J34" s="660">
        <f t="shared" si="3"/>
        <v>2300</v>
      </c>
      <c r="K34" s="660">
        <f t="shared" si="3"/>
        <v>2600</v>
      </c>
      <c r="L34" s="660">
        <f t="shared" si="3"/>
        <v>2800</v>
      </c>
      <c r="M34" s="660">
        <f t="shared" si="3"/>
        <v>4000</v>
      </c>
      <c r="N34" s="660">
        <f t="shared" si="3"/>
        <v>4300</v>
      </c>
      <c r="O34" s="668">
        <f t="shared" si="3"/>
        <v>5200</v>
      </c>
      <c r="P34" s="673"/>
      <c r="Q34" s="676">
        <f t="shared" si="2"/>
        <v>2361.5384615384614</v>
      </c>
    </row>
    <row r="35" spans="1:17" ht="18.75" customHeight="1" x14ac:dyDescent="0.25">
      <c r="A35" s="988"/>
      <c r="B35" s="665">
        <v>0.3</v>
      </c>
      <c r="C35" s="659">
        <f t="shared" si="1"/>
        <v>600</v>
      </c>
      <c r="D35" s="660">
        <f t="shared" si="3"/>
        <v>900</v>
      </c>
      <c r="E35" s="660">
        <f t="shared" si="3"/>
        <v>1100</v>
      </c>
      <c r="F35" s="660">
        <f t="shared" si="3"/>
        <v>1400</v>
      </c>
      <c r="G35" s="660">
        <f t="shared" si="3"/>
        <v>1600</v>
      </c>
      <c r="H35" s="660">
        <f t="shared" si="3"/>
        <v>1900</v>
      </c>
      <c r="I35" s="660">
        <f t="shared" si="3"/>
        <v>2100</v>
      </c>
      <c r="J35" s="660">
        <f t="shared" si="3"/>
        <v>2400</v>
      </c>
      <c r="K35" s="660">
        <f t="shared" si="3"/>
        <v>2600</v>
      </c>
      <c r="L35" s="660">
        <f t="shared" si="3"/>
        <v>2900</v>
      </c>
      <c r="M35" s="660">
        <f t="shared" si="3"/>
        <v>4100</v>
      </c>
      <c r="N35" s="660">
        <f t="shared" si="3"/>
        <v>4400</v>
      </c>
      <c r="O35" s="668">
        <f t="shared" si="3"/>
        <v>5400</v>
      </c>
      <c r="P35" s="673"/>
      <c r="Q35" s="676">
        <f t="shared" si="2"/>
        <v>2415.3846153846152</v>
      </c>
    </row>
    <row r="36" spans="1:17" ht="18.75" customHeight="1" x14ac:dyDescent="0.25">
      <c r="A36" s="988"/>
      <c r="B36" s="665">
        <v>0.31</v>
      </c>
      <c r="C36" s="659">
        <f t="shared" si="1"/>
        <v>700</v>
      </c>
      <c r="D36" s="660">
        <f t="shared" si="3"/>
        <v>900</v>
      </c>
      <c r="E36" s="660">
        <f t="shared" si="3"/>
        <v>1200</v>
      </c>
      <c r="F36" s="660">
        <f t="shared" si="3"/>
        <v>1400</v>
      </c>
      <c r="G36" s="660">
        <f t="shared" si="3"/>
        <v>1700</v>
      </c>
      <c r="H36" s="660">
        <f t="shared" si="3"/>
        <v>1900</v>
      </c>
      <c r="I36" s="660">
        <f t="shared" si="3"/>
        <v>2200</v>
      </c>
      <c r="J36" s="660">
        <f t="shared" si="3"/>
        <v>2500</v>
      </c>
      <c r="K36" s="660">
        <f t="shared" si="3"/>
        <v>2700</v>
      </c>
      <c r="L36" s="660">
        <f t="shared" si="3"/>
        <v>3000</v>
      </c>
      <c r="M36" s="660">
        <f t="shared" si="3"/>
        <v>4300</v>
      </c>
      <c r="N36" s="660">
        <f t="shared" si="3"/>
        <v>4500</v>
      </c>
      <c r="O36" s="668">
        <f t="shared" si="3"/>
        <v>5500</v>
      </c>
      <c r="P36" s="673"/>
      <c r="Q36" s="676">
        <f t="shared" si="2"/>
        <v>2500</v>
      </c>
    </row>
    <row r="37" spans="1:17" ht="18.75" customHeight="1" x14ac:dyDescent="0.25">
      <c r="A37" s="988"/>
      <c r="B37" s="665">
        <v>0.32</v>
      </c>
      <c r="C37" s="659">
        <f t="shared" si="1"/>
        <v>700</v>
      </c>
      <c r="D37" s="660">
        <f t="shared" si="3"/>
        <v>900</v>
      </c>
      <c r="E37" s="660">
        <f t="shared" si="3"/>
        <v>1200</v>
      </c>
      <c r="F37" s="660">
        <f t="shared" si="3"/>
        <v>1500</v>
      </c>
      <c r="G37" s="660">
        <f t="shared" si="3"/>
        <v>1700</v>
      </c>
      <c r="H37" s="660">
        <f t="shared" si="3"/>
        <v>2000</v>
      </c>
      <c r="I37" s="660">
        <f t="shared" si="3"/>
        <v>2300</v>
      </c>
      <c r="J37" s="660">
        <f t="shared" ref="D37:O55" si="4">ROUNDUP(((((24*365*$D$4)*J$9)*$D$3*$B37)*($D$5/2)+$D$6)/100,0)*100</f>
        <v>2500</v>
      </c>
      <c r="K37" s="660">
        <f t="shared" si="4"/>
        <v>2800</v>
      </c>
      <c r="L37" s="660">
        <f t="shared" si="4"/>
        <v>3100</v>
      </c>
      <c r="M37" s="660">
        <f t="shared" si="4"/>
        <v>4400</v>
      </c>
      <c r="N37" s="660">
        <f t="shared" si="4"/>
        <v>4700</v>
      </c>
      <c r="O37" s="668">
        <f t="shared" si="4"/>
        <v>5700</v>
      </c>
      <c r="P37" s="673"/>
      <c r="Q37" s="676">
        <f t="shared" si="2"/>
        <v>2576.9230769230771</v>
      </c>
    </row>
    <row r="38" spans="1:17" ht="18.75" customHeight="1" x14ac:dyDescent="0.25">
      <c r="A38" s="988"/>
      <c r="B38" s="665">
        <v>0.33</v>
      </c>
      <c r="C38" s="659">
        <f t="shared" si="1"/>
        <v>700</v>
      </c>
      <c r="D38" s="660">
        <f t="shared" si="4"/>
        <v>900</v>
      </c>
      <c r="E38" s="660">
        <f t="shared" si="4"/>
        <v>1200</v>
      </c>
      <c r="F38" s="660">
        <f t="shared" si="4"/>
        <v>1500</v>
      </c>
      <c r="G38" s="660">
        <f t="shared" si="4"/>
        <v>1800</v>
      </c>
      <c r="H38" s="660">
        <f t="shared" si="4"/>
        <v>2000</v>
      </c>
      <c r="I38" s="660">
        <f t="shared" si="4"/>
        <v>2300</v>
      </c>
      <c r="J38" s="660">
        <f t="shared" si="4"/>
        <v>2600</v>
      </c>
      <c r="K38" s="660">
        <f t="shared" si="4"/>
        <v>2900</v>
      </c>
      <c r="L38" s="660">
        <f t="shared" si="4"/>
        <v>3100</v>
      </c>
      <c r="M38" s="660">
        <f t="shared" si="4"/>
        <v>4500</v>
      </c>
      <c r="N38" s="660">
        <f t="shared" si="4"/>
        <v>4800</v>
      </c>
      <c r="O38" s="668">
        <f t="shared" si="4"/>
        <v>5900</v>
      </c>
      <c r="P38" s="673"/>
      <c r="Q38" s="676">
        <f t="shared" si="2"/>
        <v>2630.7692307692309</v>
      </c>
    </row>
    <row r="39" spans="1:17" ht="18.75" customHeight="1" x14ac:dyDescent="0.25">
      <c r="A39" s="988"/>
      <c r="B39" s="665">
        <v>0.34</v>
      </c>
      <c r="C39" s="659">
        <f t="shared" si="1"/>
        <v>700</v>
      </c>
      <c r="D39" s="660">
        <f t="shared" si="4"/>
        <v>1000</v>
      </c>
      <c r="E39" s="660">
        <f t="shared" si="4"/>
        <v>1200</v>
      </c>
      <c r="F39" s="660">
        <f t="shared" si="4"/>
        <v>1500</v>
      </c>
      <c r="G39" s="660">
        <f t="shared" si="4"/>
        <v>1800</v>
      </c>
      <c r="H39" s="660">
        <f t="shared" si="4"/>
        <v>2100</v>
      </c>
      <c r="I39" s="660">
        <f t="shared" si="4"/>
        <v>2400</v>
      </c>
      <c r="J39" s="660">
        <f t="shared" si="4"/>
        <v>2700</v>
      </c>
      <c r="K39" s="660">
        <f t="shared" si="4"/>
        <v>2900</v>
      </c>
      <c r="L39" s="660">
        <f t="shared" si="4"/>
        <v>3200</v>
      </c>
      <c r="M39" s="660">
        <f t="shared" si="4"/>
        <v>4600</v>
      </c>
      <c r="N39" s="660">
        <f t="shared" si="4"/>
        <v>4900</v>
      </c>
      <c r="O39" s="668">
        <f t="shared" si="4"/>
        <v>6000</v>
      </c>
      <c r="P39" s="673"/>
      <c r="Q39" s="676">
        <f t="shared" si="2"/>
        <v>2692.3076923076924</v>
      </c>
    </row>
    <row r="40" spans="1:17" ht="18.75" customHeight="1" x14ac:dyDescent="0.25">
      <c r="A40" s="988"/>
      <c r="B40" s="665">
        <v>0.35</v>
      </c>
      <c r="C40" s="659">
        <f t="shared" si="1"/>
        <v>700</v>
      </c>
      <c r="D40" s="660">
        <f t="shared" si="4"/>
        <v>1000</v>
      </c>
      <c r="E40" s="660">
        <f t="shared" si="4"/>
        <v>1300</v>
      </c>
      <c r="F40" s="660">
        <f t="shared" si="4"/>
        <v>1600</v>
      </c>
      <c r="G40" s="660">
        <f t="shared" si="4"/>
        <v>1900</v>
      </c>
      <c r="H40" s="660">
        <f t="shared" si="4"/>
        <v>2100</v>
      </c>
      <c r="I40" s="660">
        <f t="shared" si="4"/>
        <v>2400</v>
      </c>
      <c r="J40" s="660">
        <f t="shared" si="4"/>
        <v>2700</v>
      </c>
      <c r="K40" s="660">
        <f t="shared" si="4"/>
        <v>3000</v>
      </c>
      <c r="L40" s="660">
        <f t="shared" si="4"/>
        <v>3300</v>
      </c>
      <c r="M40" s="660">
        <f t="shared" si="4"/>
        <v>4800</v>
      </c>
      <c r="N40" s="660">
        <f t="shared" si="4"/>
        <v>5100</v>
      </c>
      <c r="O40" s="668">
        <f t="shared" si="4"/>
        <v>6200</v>
      </c>
      <c r="P40" s="673"/>
      <c r="Q40" s="676">
        <f t="shared" si="2"/>
        <v>2776.9230769230771</v>
      </c>
    </row>
    <row r="41" spans="1:17" ht="18.75" customHeight="1" x14ac:dyDescent="0.25">
      <c r="A41" s="988"/>
      <c r="B41" s="665">
        <v>0.36</v>
      </c>
      <c r="C41" s="659">
        <f t="shared" si="1"/>
        <v>700</v>
      </c>
      <c r="D41" s="660">
        <f t="shared" si="4"/>
        <v>1000</v>
      </c>
      <c r="E41" s="660">
        <f t="shared" si="4"/>
        <v>1300</v>
      </c>
      <c r="F41" s="660">
        <f t="shared" si="4"/>
        <v>1600</v>
      </c>
      <c r="G41" s="660">
        <f t="shared" si="4"/>
        <v>1900</v>
      </c>
      <c r="H41" s="660">
        <f t="shared" si="4"/>
        <v>2200</v>
      </c>
      <c r="I41" s="660">
        <f t="shared" si="4"/>
        <v>2500</v>
      </c>
      <c r="J41" s="660">
        <f t="shared" si="4"/>
        <v>2800</v>
      </c>
      <c r="K41" s="660">
        <f t="shared" si="4"/>
        <v>3100</v>
      </c>
      <c r="L41" s="660">
        <f t="shared" si="4"/>
        <v>3400</v>
      </c>
      <c r="M41" s="660">
        <f t="shared" si="4"/>
        <v>4900</v>
      </c>
      <c r="N41" s="660">
        <f t="shared" si="4"/>
        <v>5200</v>
      </c>
      <c r="O41" s="668">
        <f t="shared" si="4"/>
        <v>6400</v>
      </c>
      <c r="P41" s="673"/>
      <c r="Q41" s="676">
        <f t="shared" si="2"/>
        <v>2846.1538461538462</v>
      </c>
    </row>
    <row r="42" spans="1:17" ht="18.75" customHeight="1" x14ac:dyDescent="0.25">
      <c r="A42" s="988"/>
      <c r="B42" s="665">
        <v>0.37</v>
      </c>
      <c r="C42" s="659">
        <f t="shared" si="1"/>
        <v>700</v>
      </c>
      <c r="D42" s="660">
        <f t="shared" si="4"/>
        <v>1000</v>
      </c>
      <c r="E42" s="660">
        <f t="shared" si="4"/>
        <v>1300</v>
      </c>
      <c r="F42" s="660">
        <f t="shared" si="4"/>
        <v>1600</v>
      </c>
      <c r="G42" s="660">
        <f t="shared" si="4"/>
        <v>1900</v>
      </c>
      <c r="H42" s="660">
        <f t="shared" si="4"/>
        <v>2200</v>
      </c>
      <c r="I42" s="660">
        <f t="shared" si="4"/>
        <v>2600</v>
      </c>
      <c r="J42" s="660">
        <f t="shared" si="4"/>
        <v>2900</v>
      </c>
      <c r="K42" s="660">
        <f t="shared" si="4"/>
        <v>3200</v>
      </c>
      <c r="L42" s="660">
        <f t="shared" si="4"/>
        <v>3500</v>
      </c>
      <c r="M42" s="660">
        <f t="shared" si="4"/>
        <v>5000</v>
      </c>
      <c r="N42" s="660">
        <f t="shared" si="4"/>
        <v>5300</v>
      </c>
      <c r="O42" s="668">
        <f t="shared" si="4"/>
        <v>6500</v>
      </c>
      <c r="P42" s="673"/>
      <c r="Q42" s="676">
        <f t="shared" si="2"/>
        <v>2900</v>
      </c>
    </row>
    <row r="43" spans="1:17" ht="18.75" customHeight="1" x14ac:dyDescent="0.25">
      <c r="A43" s="988"/>
      <c r="B43" s="665">
        <v>0.38</v>
      </c>
      <c r="C43" s="659">
        <f t="shared" si="1"/>
        <v>700</v>
      </c>
      <c r="D43" s="660">
        <f t="shared" si="4"/>
        <v>1000</v>
      </c>
      <c r="E43" s="660">
        <f t="shared" si="4"/>
        <v>1300</v>
      </c>
      <c r="F43" s="660">
        <f t="shared" si="4"/>
        <v>1700</v>
      </c>
      <c r="G43" s="660">
        <f t="shared" si="4"/>
        <v>2000</v>
      </c>
      <c r="H43" s="660">
        <f t="shared" si="4"/>
        <v>2300</v>
      </c>
      <c r="I43" s="660">
        <f t="shared" si="4"/>
        <v>2600</v>
      </c>
      <c r="J43" s="660">
        <f t="shared" si="4"/>
        <v>2900</v>
      </c>
      <c r="K43" s="660">
        <f t="shared" si="4"/>
        <v>3200</v>
      </c>
      <c r="L43" s="660">
        <f t="shared" si="4"/>
        <v>3600</v>
      </c>
      <c r="M43" s="660">
        <f t="shared" si="4"/>
        <v>5100</v>
      </c>
      <c r="N43" s="660">
        <f t="shared" si="4"/>
        <v>5400</v>
      </c>
      <c r="O43" s="668">
        <f t="shared" si="4"/>
        <v>6700</v>
      </c>
      <c r="P43" s="673"/>
      <c r="Q43" s="676">
        <f t="shared" si="2"/>
        <v>2961.5384615384614</v>
      </c>
    </row>
    <row r="44" spans="1:17" ht="18.75" customHeight="1" x14ac:dyDescent="0.25">
      <c r="A44" s="988"/>
      <c r="B44" s="665">
        <v>0.39</v>
      </c>
      <c r="C44" s="659">
        <f t="shared" si="1"/>
        <v>700</v>
      </c>
      <c r="D44" s="660">
        <f t="shared" si="4"/>
        <v>1000</v>
      </c>
      <c r="E44" s="660">
        <f t="shared" si="4"/>
        <v>1400</v>
      </c>
      <c r="F44" s="660">
        <f t="shared" si="4"/>
        <v>1700</v>
      </c>
      <c r="G44" s="660">
        <f t="shared" si="4"/>
        <v>2000</v>
      </c>
      <c r="H44" s="660">
        <f t="shared" si="4"/>
        <v>2300</v>
      </c>
      <c r="I44" s="660">
        <f t="shared" si="4"/>
        <v>2700</v>
      </c>
      <c r="J44" s="660">
        <f t="shared" si="4"/>
        <v>3000</v>
      </c>
      <c r="K44" s="660">
        <f t="shared" si="4"/>
        <v>3300</v>
      </c>
      <c r="L44" s="660">
        <f t="shared" si="4"/>
        <v>3600</v>
      </c>
      <c r="M44" s="660">
        <f t="shared" si="4"/>
        <v>5300</v>
      </c>
      <c r="N44" s="660">
        <f t="shared" si="4"/>
        <v>5600</v>
      </c>
      <c r="O44" s="668">
        <f t="shared" si="4"/>
        <v>6900</v>
      </c>
      <c r="P44" s="673"/>
      <c r="Q44" s="676">
        <f t="shared" si="2"/>
        <v>3038.4615384615386</v>
      </c>
    </row>
    <row r="45" spans="1:17" ht="18.75" customHeight="1" x14ac:dyDescent="0.25">
      <c r="A45" s="988"/>
      <c r="B45" s="665">
        <v>0.4</v>
      </c>
      <c r="C45" s="659">
        <f t="shared" si="1"/>
        <v>700</v>
      </c>
      <c r="D45" s="660">
        <f t="shared" si="4"/>
        <v>1100</v>
      </c>
      <c r="E45" s="660">
        <f t="shared" si="4"/>
        <v>1400</v>
      </c>
      <c r="F45" s="660">
        <f t="shared" si="4"/>
        <v>1700</v>
      </c>
      <c r="G45" s="660">
        <f t="shared" si="4"/>
        <v>2100</v>
      </c>
      <c r="H45" s="660">
        <f t="shared" si="4"/>
        <v>2400</v>
      </c>
      <c r="I45" s="660">
        <f t="shared" si="4"/>
        <v>2700</v>
      </c>
      <c r="J45" s="660">
        <f t="shared" si="4"/>
        <v>3100</v>
      </c>
      <c r="K45" s="660">
        <f t="shared" si="4"/>
        <v>3400</v>
      </c>
      <c r="L45" s="660">
        <f t="shared" si="4"/>
        <v>3700</v>
      </c>
      <c r="M45" s="660">
        <f t="shared" si="4"/>
        <v>5400</v>
      </c>
      <c r="N45" s="660">
        <f t="shared" si="4"/>
        <v>5700</v>
      </c>
      <c r="O45" s="668">
        <f t="shared" si="4"/>
        <v>7000</v>
      </c>
      <c r="P45" s="673"/>
      <c r="Q45" s="676">
        <f t="shared" si="2"/>
        <v>3107.6923076923076</v>
      </c>
    </row>
    <row r="46" spans="1:17" ht="18.75" customHeight="1" x14ac:dyDescent="0.25">
      <c r="A46" s="988"/>
      <c r="B46" s="665">
        <v>0.41</v>
      </c>
      <c r="C46" s="659">
        <f t="shared" si="1"/>
        <v>700</v>
      </c>
      <c r="D46" s="660">
        <f t="shared" si="4"/>
        <v>1100</v>
      </c>
      <c r="E46" s="660">
        <f t="shared" si="4"/>
        <v>1400</v>
      </c>
      <c r="F46" s="660">
        <f t="shared" si="4"/>
        <v>1800</v>
      </c>
      <c r="G46" s="660">
        <f t="shared" si="4"/>
        <v>2100</v>
      </c>
      <c r="H46" s="660">
        <f t="shared" si="4"/>
        <v>2400</v>
      </c>
      <c r="I46" s="660">
        <f t="shared" si="4"/>
        <v>2800</v>
      </c>
      <c r="J46" s="660">
        <f t="shared" si="4"/>
        <v>3100</v>
      </c>
      <c r="K46" s="660">
        <f t="shared" si="4"/>
        <v>3500</v>
      </c>
      <c r="L46" s="660">
        <f t="shared" si="4"/>
        <v>3800</v>
      </c>
      <c r="M46" s="660">
        <f t="shared" si="4"/>
        <v>5500</v>
      </c>
      <c r="N46" s="660">
        <f t="shared" si="4"/>
        <v>5800</v>
      </c>
      <c r="O46" s="668">
        <f t="shared" si="4"/>
        <v>7200</v>
      </c>
      <c r="P46" s="673"/>
      <c r="Q46" s="676">
        <f t="shared" si="2"/>
        <v>3169.2307692307691</v>
      </c>
    </row>
    <row r="47" spans="1:17" ht="18.75" customHeight="1" x14ac:dyDescent="0.25">
      <c r="A47" s="988"/>
      <c r="B47" s="665">
        <v>0.42</v>
      </c>
      <c r="C47" s="659">
        <f t="shared" si="1"/>
        <v>700</v>
      </c>
      <c r="D47" s="660">
        <f t="shared" si="4"/>
        <v>1100</v>
      </c>
      <c r="E47" s="660">
        <f t="shared" si="4"/>
        <v>1400</v>
      </c>
      <c r="F47" s="660">
        <f t="shared" si="4"/>
        <v>1800</v>
      </c>
      <c r="G47" s="660">
        <f t="shared" si="4"/>
        <v>2100</v>
      </c>
      <c r="H47" s="660">
        <f t="shared" si="4"/>
        <v>2500</v>
      </c>
      <c r="I47" s="660">
        <f t="shared" si="4"/>
        <v>2800</v>
      </c>
      <c r="J47" s="660">
        <f t="shared" si="4"/>
        <v>3200</v>
      </c>
      <c r="K47" s="660">
        <f t="shared" si="4"/>
        <v>3500</v>
      </c>
      <c r="L47" s="660">
        <f t="shared" si="4"/>
        <v>3900</v>
      </c>
      <c r="M47" s="660">
        <f t="shared" si="4"/>
        <v>5600</v>
      </c>
      <c r="N47" s="660">
        <f t="shared" si="4"/>
        <v>6000</v>
      </c>
      <c r="O47" s="668">
        <f t="shared" si="4"/>
        <v>7400</v>
      </c>
      <c r="P47" s="673"/>
      <c r="Q47" s="676">
        <f t="shared" si="2"/>
        <v>3230.7692307692309</v>
      </c>
    </row>
    <row r="48" spans="1:17" ht="18.75" customHeight="1" x14ac:dyDescent="0.25">
      <c r="A48" s="988"/>
      <c r="B48" s="665">
        <v>0.43</v>
      </c>
      <c r="C48" s="659">
        <f t="shared" si="1"/>
        <v>800</v>
      </c>
      <c r="D48" s="660">
        <f t="shared" si="4"/>
        <v>1100</v>
      </c>
      <c r="E48" s="660">
        <f t="shared" si="4"/>
        <v>1500</v>
      </c>
      <c r="F48" s="660">
        <f t="shared" si="4"/>
        <v>1800</v>
      </c>
      <c r="G48" s="660">
        <f t="shared" si="4"/>
        <v>2200</v>
      </c>
      <c r="H48" s="660">
        <f t="shared" si="4"/>
        <v>2500</v>
      </c>
      <c r="I48" s="660">
        <f t="shared" si="4"/>
        <v>2900</v>
      </c>
      <c r="J48" s="660">
        <f t="shared" si="4"/>
        <v>3300</v>
      </c>
      <c r="K48" s="660">
        <f t="shared" si="4"/>
        <v>3600</v>
      </c>
      <c r="L48" s="660">
        <f t="shared" si="4"/>
        <v>4000</v>
      </c>
      <c r="M48" s="660">
        <f t="shared" si="4"/>
        <v>5800</v>
      </c>
      <c r="N48" s="660">
        <f t="shared" si="4"/>
        <v>6100</v>
      </c>
      <c r="O48" s="668">
        <f t="shared" si="4"/>
        <v>7500</v>
      </c>
      <c r="P48" s="673"/>
      <c r="Q48" s="676">
        <f t="shared" si="2"/>
        <v>3315.3846153846152</v>
      </c>
    </row>
    <row r="49" spans="1:17" ht="18.75" customHeight="1" x14ac:dyDescent="0.25">
      <c r="A49" s="988"/>
      <c r="B49" s="665">
        <v>0.44</v>
      </c>
      <c r="C49" s="659">
        <f t="shared" si="1"/>
        <v>800</v>
      </c>
      <c r="D49" s="660">
        <f t="shared" si="4"/>
        <v>1100</v>
      </c>
      <c r="E49" s="660">
        <f t="shared" si="4"/>
        <v>1500</v>
      </c>
      <c r="F49" s="660">
        <f t="shared" si="4"/>
        <v>1900</v>
      </c>
      <c r="G49" s="660">
        <f t="shared" si="4"/>
        <v>2200</v>
      </c>
      <c r="H49" s="660">
        <f t="shared" si="4"/>
        <v>2600</v>
      </c>
      <c r="I49" s="660">
        <f t="shared" si="4"/>
        <v>3000</v>
      </c>
      <c r="J49" s="660">
        <f t="shared" si="4"/>
        <v>3300</v>
      </c>
      <c r="K49" s="660">
        <f t="shared" si="4"/>
        <v>3700</v>
      </c>
      <c r="L49" s="660">
        <f t="shared" si="4"/>
        <v>4100</v>
      </c>
      <c r="M49" s="660">
        <f t="shared" si="4"/>
        <v>5900</v>
      </c>
      <c r="N49" s="660">
        <f t="shared" si="4"/>
        <v>6200</v>
      </c>
      <c r="O49" s="668">
        <f t="shared" si="4"/>
        <v>7700</v>
      </c>
      <c r="P49" s="673"/>
      <c r="Q49" s="676">
        <f t="shared" si="2"/>
        <v>3384.6153846153848</v>
      </c>
    </row>
    <row r="50" spans="1:17" ht="18.75" customHeight="1" x14ac:dyDescent="0.25">
      <c r="A50" s="988"/>
      <c r="B50" s="665">
        <v>0.45</v>
      </c>
      <c r="C50" s="659">
        <f t="shared" si="1"/>
        <v>800</v>
      </c>
      <c r="D50" s="660">
        <f t="shared" si="4"/>
        <v>1100</v>
      </c>
      <c r="E50" s="660">
        <f t="shared" si="4"/>
        <v>1500</v>
      </c>
      <c r="F50" s="660">
        <f t="shared" si="4"/>
        <v>1900</v>
      </c>
      <c r="G50" s="660">
        <f t="shared" si="4"/>
        <v>2300</v>
      </c>
      <c r="H50" s="660">
        <f t="shared" si="4"/>
        <v>2600</v>
      </c>
      <c r="I50" s="660">
        <f t="shared" si="4"/>
        <v>3000</v>
      </c>
      <c r="J50" s="660">
        <f t="shared" si="4"/>
        <v>3400</v>
      </c>
      <c r="K50" s="660">
        <f t="shared" si="4"/>
        <v>3800</v>
      </c>
      <c r="L50" s="660">
        <f t="shared" si="4"/>
        <v>4100</v>
      </c>
      <c r="M50" s="660">
        <f t="shared" si="4"/>
        <v>6000</v>
      </c>
      <c r="N50" s="660">
        <f t="shared" si="4"/>
        <v>6400</v>
      </c>
      <c r="O50" s="668">
        <f t="shared" si="4"/>
        <v>7900</v>
      </c>
      <c r="P50" s="673"/>
      <c r="Q50" s="676">
        <f t="shared" si="2"/>
        <v>3446.1538461538462</v>
      </c>
    </row>
    <row r="51" spans="1:17" ht="18.75" customHeight="1" x14ac:dyDescent="0.25">
      <c r="A51" s="988"/>
      <c r="B51" s="665">
        <v>0.46</v>
      </c>
      <c r="C51" s="659">
        <f t="shared" si="1"/>
        <v>800</v>
      </c>
      <c r="D51" s="660">
        <f t="shared" si="4"/>
        <v>1200</v>
      </c>
      <c r="E51" s="660">
        <f t="shared" si="4"/>
        <v>1500</v>
      </c>
      <c r="F51" s="660">
        <f t="shared" si="4"/>
        <v>1900</v>
      </c>
      <c r="G51" s="660">
        <f t="shared" si="4"/>
        <v>2300</v>
      </c>
      <c r="H51" s="660">
        <f t="shared" si="4"/>
        <v>2700</v>
      </c>
      <c r="I51" s="660">
        <f t="shared" si="4"/>
        <v>3100</v>
      </c>
      <c r="J51" s="660">
        <f t="shared" si="4"/>
        <v>3500</v>
      </c>
      <c r="K51" s="660">
        <f t="shared" si="4"/>
        <v>3800</v>
      </c>
      <c r="L51" s="660">
        <f t="shared" si="4"/>
        <v>4200</v>
      </c>
      <c r="M51" s="660">
        <f t="shared" si="4"/>
        <v>6100</v>
      </c>
      <c r="N51" s="660">
        <f t="shared" si="4"/>
        <v>6500</v>
      </c>
      <c r="O51" s="668">
        <f t="shared" si="4"/>
        <v>8000</v>
      </c>
      <c r="P51" s="673"/>
      <c r="Q51" s="676">
        <f t="shared" si="2"/>
        <v>3507.6923076923076</v>
      </c>
    </row>
    <row r="52" spans="1:17" ht="18.75" customHeight="1" x14ac:dyDescent="0.25">
      <c r="A52" s="988"/>
      <c r="B52" s="665">
        <v>0.47</v>
      </c>
      <c r="C52" s="659">
        <f t="shared" si="1"/>
        <v>800</v>
      </c>
      <c r="D52" s="660">
        <f t="shared" si="4"/>
        <v>1200</v>
      </c>
      <c r="E52" s="660">
        <f t="shared" si="4"/>
        <v>1600</v>
      </c>
      <c r="F52" s="660">
        <f t="shared" si="4"/>
        <v>2000</v>
      </c>
      <c r="G52" s="660">
        <f t="shared" si="4"/>
        <v>2400</v>
      </c>
      <c r="H52" s="660">
        <f t="shared" si="4"/>
        <v>2700</v>
      </c>
      <c r="I52" s="660">
        <f t="shared" si="4"/>
        <v>3100</v>
      </c>
      <c r="J52" s="660">
        <f t="shared" si="4"/>
        <v>3500</v>
      </c>
      <c r="K52" s="660">
        <f t="shared" si="4"/>
        <v>3900</v>
      </c>
      <c r="L52" s="660">
        <f t="shared" si="4"/>
        <v>4300</v>
      </c>
      <c r="M52" s="660">
        <f t="shared" si="4"/>
        <v>6300</v>
      </c>
      <c r="N52" s="660">
        <f t="shared" si="4"/>
        <v>6600</v>
      </c>
      <c r="O52" s="668">
        <f t="shared" si="4"/>
        <v>8200</v>
      </c>
      <c r="P52" s="673"/>
      <c r="Q52" s="676">
        <f t="shared" si="2"/>
        <v>3584.6153846153848</v>
      </c>
    </row>
    <row r="53" spans="1:17" ht="18.75" customHeight="1" x14ac:dyDescent="0.25">
      <c r="A53" s="988"/>
      <c r="B53" s="665">
        <v>0.48</v>
      </c>
      <c r="C53" s="659">
        <f t="shared" si="1"/>
        <v>800</v>
      </c>
      <c r="D53" s="660">
        <f t="shared" si="4"/>
        <v>1200</v>
      </c>
      <c r="E53" s="660">
        <f t="shared" si="4"/>
        <v>1600</v>
      </c>
      <c r="F53" s="660">
        <f t="shared" si="4"/>
        <v>2000</v>
      </c>
      <c r="G53" s="660">
        <f t="shared" si="4"/>
        <v>2400</v>
      </c>
      <c r="H53" s="660">
        <f t="shared" si="4"/>
        <v>2800</v>
      </c>
      <c r="I53" s="660">
        <f t="shared" si="4"/>
        <v>3200</v>
      </c>
      <c r="J53" s="660">
        <f t="shared" si="4"/>
        <v>3600</v>
      </c>
      <c r="K53" s="660">
        <f t="shared" si="4"/>
        <v>4000</v>
      </c>
      <c r="L53" s="660">
        <f t="shared" si="4"/>
        <v>4400</v>
      </c>
      <c r="M53" s="660">
        <f t="shared" si="4"/>
        <v>6400</v>
      </c>
      <c r="N53" s="660">
        <f t="shared" si="4"/>
        <v>6800</v>
      </c>
      <c r="O53" s="668">
        <f t="shared" si="4"/>
        <v>8400</v>
      </c>
      <c r="P53" s="673"/>
      <c r="Q53" s="676">
        <f t="shared" si="2"/>
        <v>3661.5384615384614</v>
      </c>
    </row>
    <row r="54" spans="1:17" ht="18.75" customHeight="1" x14ac:dyDescent="0.25">
      <c r="A54" s="988"/>
      <c r="B54" s="665">
        <v>0.49</v>
      </c>
      <c r="C54" s="659">
        <f t="shared" si="1"/>
        <v>800</v>
      </c>
      <c r="D54" s="660">
        <f t="shared" si="4"/>
        <v>1200</v>
      </c>
      <c r="E54" s="660">
        <f t="shared" si="4"/>
        <v>1600</v>
      </c>
      <c r="F54" s="660">
        <f t="shared" si="4"/>
        <v>2000</v>
      </c>
      <c r="G54" s="660">
        <f t="shared" si="4"/>
        <v>2400</v>
      </c>
      <c r="H54" s="660">
        <f t="shared" si="4"/>
        <v>2800</v>
      </c>
      <c r="I54" s="660">
        <f t="shared" si="4"/>
        <v>3200</v>
      </c>
      <c r="J54" s="660">
        <f t="shared" si="4"/>
        <v>3700</v>
      </c>
      <c r="K54" s="660">
        <f t="shared" si="4"/>
        <v>4100</v>
      </c>
      <c r="L54" s="660">
        <f t="shared" si="4"/>
        <v>4500</v>
      </c>
      <c r="M54" s="660">
        <f t="shared" si="4"/>
        <v>6500</v>
      </c>
      <c r="N54" s="660">
        <f t="shared" si="4"/>
        <v>6900</v>
      </c>
      <c r="O54" s="668">
        <f t="shared" si="4"/>
        <v>8500</v>
      </c>
      <c r="P54" s="673"/>
      <c r="Q54" s="676">
        <f t="shared" si="2"/>
        <v>3707.6923076923076</v>
      </c>
    </row>
    <row r="55" spans="1:17" ht="18.75" customHeight="1" thickBot="1" x14ac:dyDescent="0.3">
      <c r="A55" s="989"/>
      <c r="B55" s="666">
        <v>0.5</v>
      </c>
      <c r="C55" s="669">
        <f t="shared" si="1"/>
        <v>800</v>
      </c>
      <c r="D55" s="670">
        <f t="shared" si="4"/>
        <v>1200</v>
      </c>
      <c r="E55" s="670">
        <f t="shared" si="4"/>
        <v>1600</v>
      </c>
      <c r="F55" s="670">
        <f t="shared" si="4"/>
        <v>2100</v>
      </c>
      <c r="G55" s="670">
        <f t="shared" si="4"/>
        <v>2500</v>
      </c>
      <c r="H55" s="670">
        <f t="shared" si="4"/>
        <v>2900</v>
      </c>
      <c r="I55" s="670">
        <f t="shared" si="4"/>
        <v>3300</v>
      </c>
      <c r="J55" s="670">
        <f t="shared" si="4"/>
        <v>3700</v>
      </c>
      <c r="K55" s="670">
        <f t="shared" si="4"/>
        <v>4100</v>
      </c>
      <c r="L55" s="670">
        <f t="shared" si="4"/>
        <v>4600</v>
      </c>
      <c r="M55" s="670">
        <f t="shared" si="4"/>
        <v>6600</v>
      </c>
      <c r="N55" s="670">
        <f t="shared" si="4"/>
        <v>7000</v>
      </c>
      <c r="O55" s="671">
        <f t="shared" si="4"/>
        <v>8700</v>
      </c>
      <c r="P55" s="674"/>
      <c r="Q55" s="677">
        <f t="shared" si="2"/>
        <v>3776.9230769230771</v>
      </c>
    </row>
    <row r="56" spans="1:17" ht="7.5" customHeight="1" thickTop="1" x14ac:dyDescent="0.25">
      <c r="C56" s="678"/>
      <c r="D56" s="679"/>
      <c r="E56" s="679"/>
      <c r="F56" s="679"/>
      <c r="G56" s="679"/>
      <c r="H56" s="679"/>
      <c r="I56" s="679"/>
      <c r="J56" s="679"/>
      <c r="K56" s="679"/>
      <c r="L56" s="679"/>
      <c r="M56" s="679"/>
      <c r="N56" s="680"/>
      <c r="O56" s="680"/>
      <c r="P56" s="980">
        <f>AVERAGE(C57:O57,Q10:Q55)</f>
        <v>2259.3645484949834</v>
      </c>
      <c r="Q56" s="981"/>
    </row>
    <row r="57" spans="1:17" ht="15.75" thickBot="1" x14ac:dyDescent="0.3">
      <c r="A57" s="979"/>
      <c r="B57" s="979"/>
      <c r="C57" s="681">
        <f>AVERAGE(C10:C55)</f>
        <v>626.08695652173913</v>
      </c>
      <c r="D57" s="682">
        <f t="shared" ref="D57:O57" si="5">AVERAGE(D10:D55)</f>
        <v>850</v>
      </c>
      <c r="E57" s="682">
        <f t="shared" si="5"/>
        <v>1073.9130434782608</v>
      </c>
      <c r="F57" s="682">
        <f t="shared" si="5"/>
        <v>1317.391304347826</v>
      </c>
      <c r="G57" s="682">
        <f t="shared" si="5"/>
        <v>1541.304347826087</v>
      </c>
      <c r="H57" s="682">
        <f t="shared" si="5"/>
        <v>1750</v>
      </c>
      <c r="I57" s="682">
        <f t="shared" si="5"/>
        <v>1997.8260869565217</v>
      </c>
      <c r="J57" s="682">
        <f t="shared" si="5"/>
        <v>2232.608695652174</v>
      </c>
      <c r="K57" s="682">
        <f t="shared" si="5"/>
        <v>2450</v>
      </c>
      <c r="L57" s="682">
        <f t="shared" si="5"/>
        <v>2684.782608695652</v>
      </c>
      <c r="M57" s="682">
        <f t="shared" si="5"/>
        <v>3823.913043478261</v>
      </c>
      <c r="N57" s="682">
        <f t="shared" si="5"/>
        <v>4056.521739130435</v>
      </c>
      <c r="O57" s="683">
        <f t="shared" si="5"/>
        <v>4967.391304347826</v>
      </c>
      <c r="P57" s="982"/>
      <c r="Q57" s="983"/>
    </row>
  </sheetData>
  <sheetProtection algorithmName="SHA-512" hashValue="8oIk5C93W/Rc4ai7En9c8L4Wy4chslMxkP8GRvDeZWavSRdeXZfIwGzydcbgrZwq3py2AQDr31PpM4yeR0QqmA==" saltValue="Dg39qnD5SQzg5zLjsi35BA==" spinCount="100000" sheet="1" objects="1" scenarios="1"/>
  <mergeCells count="9">
    <mergeCell ref="A1:Q1"/>
    <mergeCell ref="A57:B57"/>
    <mergeCell ref="P56:Q57"/>
    <mergeCell ref="C8:O8"/>
    <mergeCell ref="A10:A55"/>
    <mergeCell ref="A6:C6"/>
    <mergeCell ref="A5:C5"/>
    <mergeCell ref="A4:C4"/>
    <mergeCell ref="A3:C3"/>
  </mergeCells>
  <pageMargins left="0.59055118110236227" right="0.59055118110236227" top="0.78740157480314965" bottom="0.59055118110236227" header="0.31496062992125984" footer="0.31496062992125984"/>
  <pageSetup paperSize="9" scale="77" fitToHeight="0" orientation="landscape" blackAndWhite="1" horizontalDpi="300" verticalDpi="300" r:id="rId1"/>
  <rowBreaks count="2" manualBreakCount="2">
    <brk id="34" max="16" man="1"/>
    <brk id="57" max="16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>
    <pageSetUpPr fitToPage="1"/>
  </sheetPr>
  <dimension ref="A1:H51"/>
  <sheetViews>
    <sheetView view="pageBreakPreview" zoomScaleNormal="100" zoomScaleSheetLayoutView="100" workbookViewId="0">
      <selection activeCell="J10" sqref="J10"/>
    </sheetView>
  </sheetViews>
  <sheetFormatPr baseColWidth="10" defaultRowHeight="15" x14ac:dyDescent="0.25"/>
  <cols>
    <col min="1" max="1" width="21.42578125" customWidth="1"/>
    <col min="2" max="2" width="14.28515625" customWidth="1"/>
    <col min="3" max="3" width="2.85546875" customWidth="1"/>
    <col min="4" max="4" width="21.42578125" customWidth="1"/>
    <col min="5" max="5" width="14.28515625" customWidth="1"/>
    <col min="6" max="6" width="2.85546875" customWidth="1"/>
    <col min="7" max="7" width="21.42578125" customWidth="1"/>
    <col min="8" max="8" width="14.28515625" customWidth="1"/>
  </cols>
  <sheetData>
    <row r="1" spans="1:8" ht="27" thickBot="1" x14ac:dyDescent="0.3">
      <c r="A1" s="764" t="s">
        <v>282</v>
      </c>
      <c r="B1" s="765"/>
      <c r="C1" s="765"/>
      <c r="D1" s="765"/>
      <c r="E1" s="765"/>
      <c r="F1" s="765"/>
      <c r="G1" s="765"/>
      <c r="H1" s="766"/>
    </row>
    <row r="2" spans="1:8" ht="7.5" customHeight="1" thickBot="1" x14ac:dyDescent="0.3"/>
    <row r="3" spans="1:8" ht="37.5" customHeight="1" thickBot="1" x14ac:dyDescent="0.3">
      <c r="A3" s="998" t="s">
        <v>281</v>
      </c>
      <c r="B3" s="999"/>
      <c r="C3" s="645"/>
      <c r="D3" s="1000" t="s">
        <v>283</v>
      </c>
      <c r="E3" s="1001"/>
      <c r="G3" s="1000" t="s">
        <v>284</v>
      </c>
      <c r="H3" s="1001"/>
    </row>
    <row r="4" spans="1:8" ht="18.75" customHeight="1" thickTop="1" x14ac:dyDescent="0.25">
      <c r="A4" s="733" t="s">
        <v>113</v>
      </c>
      <c r="B4" s="717">
        <f>SUM('Aufteilung Aufwände'!B4:E4)</f>
        <v>1363417.1653333334</v>
      </c>
      <c r="C4" s="647"/>
      <c r="D4" s="733" t="s">
        <v>253</v>
      </c>
      <c r="E4" s="717">
        <f>(Liquiditätsplan!Q20+Liquiditätsplan!V20+Liquiditätsplan!W20+Liquiditätsplan!X20)/1.2</f>
        <v>2000000</v>
      </c>
      <c r="G4" s="733" t="s">
        <v>59</v>
      </c>
      <c r="H4" s="717">
        <f>SUM(Investitionsplan!R5,Investitionsplan!R6,Investitionsplan!W5,Investitionsplan!W6,Investitionsplan!X5,Investitionsplan!X6,Investitionsplan!Y5,Investitionsplan!Y6)</f>
        <v>28000</v>
      </c>
    </row>
    <row r="5" spans="1:8" ht="18.75" customHeight="1" x14ac:dyDescent="0.25">
      <c r="A5" s="734" t="s">
        <v>169</v>
      </c>
      <c r="B5" s="735">
        <f>SUM('Aufteilung Aufwände'!B23:E23)</f>
        <v>537974.64462481788</v>
      </c>
      <c r="C5" s="645"/>
      <c r="D5" s="734" t="s">
        <v>254</v>
      </c>
      <c r="E5" s="735">
        <f>(Liquiditätsplan!Q21+Liquiditätsplan!V21+Liquiditätsplan!W21+Liquiditätsplan!X21)/1.2</f>
        <v>2220000</v>
      </c>
      <c r="G5" s="734" t="s">
        <v>211</v>
      </c>
      <c r="H5" s="735">
        <f>SUM(Investitionsplan!R7:R11,Investitionsplan!W7:W11,Investitionsplan!X7:X11,Investitionsplan!Y7:Y11)</f>
        <v>42000</v>
      </c>
    </row>
    <row r="6" spans="1:8" ht="18.75" customHeight="1" thickBot="1" x14ac:dyDescent="0.3">
      <c r="A6" s="736" t="s">
        <v>280</v>
      </c>
      <c r="B6" s="729">
        <f>SUM('Aufteilung Aufwände'!B5:E18)+SUM('Aufteilung Aufwände'!B21:E22)</f>
        <v>461961.45929052273</v>
      </c>
      <c r="C6" s="645"/>
      <c r="D6" s="734" t="s">
        <v>260</v>
      </c>
      <c r="E6" s="735">
        <f>(Liquiditätsplan!Q22+Liquiditätsplan!V22+Liquiditätsplan!W22+Liquiditätsplan!X22)/1.2</f>
        <v>48000</v>
      </c>
      <c r="G6" s="734" t="s">
        <v>285</v>
      </c>
      <c r="H6" s="735">
        <f>SUM(Investitionsplan!R12,Investitionsplan!W12,Investitionsplan!X12,Investitionsplan!Y12)</f>
        <v>10000</v>
      </c>
    </row>
    <row r="7" spans="1:8" ht="18.75" customHeight="1" thickBot="1" x14ac:dyDescent="0.3">
      <c r="A7" s="645"/>
      <c r="B7" s="645"/>
      <c r="C7" s="645"/>
      <c r="D7" s="736" t="s">
        <v>259</v>
      </c>
      <c r="E7" s="729">
        <f>(Liquiditätsplan!Q23+Liquiditätsplan!V23+Liquiditätsplan!W23+Liquiditätsplan!X23)/1.2</f>
        <v>15000</v>
      </c>
      <c r="G7" s="734" t="s">
        <v>286</v>
      </c>
      <c r="H7" s="735">
        <f>SUM(Investitionsplan!R32,Investitionsplan!W32,Investitionsplan!X32,Investitionsplan!Y32)</f>
        <v>95000</v>
      </c>
    </row>
    <row r="8" spans="1:8" ht="18.75" customHeight="1" thickBot="1" x14ac:dyDescent="0.3">
      <c r="G8" s="736" t="s">
        <v>287</v>
      </c>
      <c r="H8" s="729">
        <f>SUM(Investitionsplan!R21,Investitionsplan!W21,Investitionsplan!X21,Investitionsplan!Y21)</f>
        <v>20000</v>
      </c>
    </row>
    <row r="9" spans="1:8" ht="7.5" customHeight="1" x14ac:dyDescent="0.25"/>
    <row r="10" spans="1:8" ht="15" customHeight="1" x14ac:dyDescent="0.25"/>
    <row r="11" spans="1:8" ht="15" customHeight="1" x14ac:dyDescent="0.25"/>
    <row r="12" spans="1:8" ht="15" customHeight="1" x14ac:dyDescent="0.25"/>
    <row r="13" spans="1:8" ht="15" customHeight="1" x14ac:dyDescent="0.25"/>
    <row r="14" spans="1:8" ht="15" customHeight="1" x14ac:dyDescent="0.25"/>
    <row r="15" spans="1:8" ht="15" customHeight="1" x14ac:dyDescent="0.25"/>
    <row r="16" spans="1:8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7.5" customHeight="1" x14ac:dyDescent="0.25"/>
    <row r="31" ht="15" customHeight="1" x14ac:dyDescent="0.25"/>
    <row r="3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7.5" customHeight="1" x14ac:dyDescent="0.25"/>
  </sheetData>
  <sheetProtection algorithmName="SHA-512" hashValue="U6uUQG1BVUR5N4TNEK5EINIKrvPtlN0DK4lsYZqXOQjUtsbK/a1ud7/yaZhnPOrf2GAtbYiS0MbdF2tDZp30CQ==" saltValue="0iQoBeS3JyaA+uF4c5pOwQ==" spinCount="100000" sheet="1" objects="1" scenarios="1"/>
  <mergeCells count="4">
    <mergeCell ref="A3:B3"/>
    <mergeCell ref="D3:E3"/>
    <mergeCell ref="G3:H3"/>
    <mergeCell ref="A1:H1"/>
  </mergeCells>
  <pageMargins left="0.70866141732283472" right="0.70866141732283472" top="0.78740157480314965" bottom="0.78740157480314965" header="0.31496062992125984" footer="0.31496062992125984"/>
  <pageSetup paperSize="9" scale="68" orientation="portrait" blackAndWhite="1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F13"/>
  <sheetViews>
    <sheetView workbookViewId="0">
      <selection activeCell="F2" sqref="F2"/>
    </sheetView>
  </sheetViews>
  <sheetFormatPr baseColWidth="10" defaultRowHeight="15" x14ac:dyDescent="0.25"/>
  <sheetData>
    <row r="2" spans="2:6" x14ac:dyDescent="0.25">
      <c r="B2">
        <v>1</v>
      </c>
      <c r="C2">
        <v>1</v>
      </c>
      <c r="D2">
        <v>1</v>
      </c>
      <c r="E2">
        <v>1</v>
      </c>
      <c r="F2" t="s">
        <v>48</v>
      </c>
    </row>
    <row r="3" spans="2:6" x14ac:dyDescent="0.25">
      <c r="B3">
        <v>2</v>
      </c>
      <c r="C3">
        <v>2</v>
      </c>
      <c r="D3">
        <v>2</v>
      </c>
      <c r="E3">
        <v>2</v>
      </c>
    </row>
    <row r="4" spans="2:6" x14ac:dyDescent="0.25">
      <c r="B4">
        <v>3</v>
      </c>
      <c r="C4">
        <v>3</v>
      </c>
      <c r="D4">
        <v>3</v>
      </c>
    </row>
    <row r="5" spans="2:6" x14ac:dyDescent="0.25">
      <c r="B5">
        <v>4</v>
      </c>
      <c r="C5">
        <v>4</v>
      </c>
    </row>
    <row r="6" spans="2:6" x14ac:dyDescent="0.25">
      <c r="B6">
        <v>5</v>
      </c>
      <c r="C6">
        <v>5</v>
      </c>
    </row>
    <row r="7" spans="2:6" x14ac:dyDescent="0.25">
      <c r="B7">
        <v>6</v>
      </c>
      <c r="C7">
        <v>6</v>
      </c>
    </row>
    <row r="8" spans="2:6" x14ac:dyDescent="0.25">
      <c r="B8">
        <v>7</v>
      </c>
    </row>
    <row r="9" spans="2:6" x14ac:dyDescent="0.25">
      <c r="B9">
        <v>8</v>
      </c>
    </row>
    <row r="10" spans="2:6" x14ac:dyDescent="0.25">
      <c r="B10">
        <v>9</v>
      </c>
    </row>
    <row r="11" spans="2:6" x14ac:dyDescent="0.25">
      <c r="B11">
        <v>10</v>
      </c>
    </row>
    <row r="12" spans="2:6" x14ac:dyDescent="0.25">
      <c r="B12">
        <v>11</v>
      </c>
    </row>
    <row r="13" spans="2:6" x14ac:dyDescent="0.25">
      <c r="B13">
        <v>12</v>
      </c>
    </row>
  </sheetData>
  <sheetProtection algorithmName="SHA-512" hashValue="Y+JSWq/xUBeHtuEo1A8i5w3ecf6sLLX8G7NFLxWwbK5sHDR4h31d6lvdnlLVzBC27qA6s1+j1UNR3YDar92ESg==" saltValue="fTmFypp/5R3pBJaH2WEQmg==" spinCount="100000"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17BE609C-B170-45B1-882F-A05478E5D1BF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03A31181-8578-4ED2-BFCB-F0C7DBE3E54F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15</vt:i4>
      </vt:variant>
      <vt:variant>
        <vt:lpstr>Benannte Bereiche</vt:lpstr>
      </vt:variant>
      <vt:variant>
        <vt:i4>21</vt:i4>
      </vt:variant>
    </vt:vector>
  </HeadingPairs>
  <TitlesOfParts>
    <vt:vector size="36" baseType="lpstr">
      <vt:lpstr>Stammdaten</vt:lpstr>
      <vt:lpstr>Investitionsplan</vt:lpstr>
      <vt:lpstr>Plankosten</vt:lpstr>
      <vt:lpstr>Abschreibung</vt:lpstr>
      <vt:lpstr>Plan G&amp;V</vt:lpstr>
      <vt:lpstr>Liquiditätsplan</vt:lpstr>
      <vt:lpstr>Planbilanz</vt:lpstr>
      <vt:lpstr>Cash Flow</vt:lpstr>
      <vt:lpstr>Kennzahlen</vt:lpstr>
      <vt:lpstr>Break-Even-Point</vt:lpstr>
      <vt:lpstr>Break-Even-Point(Netto)</vt:lpstr>
      <vt:lpstr>Aufteilung Aufwände</vt:lpstr>
      <vt:lpstr>Lizenzgebühr</vt:lpstr>
      <vt:lpstr>Präsentation</vt:lpstr>
      <vt:lpstr>Auswahltabellen</vt:lpstr>
      <vt:lpstr>Anually</vt:lpstr>
      <vt:lpstr>Bimonthly</vt:lpstr>
      <vt:lpstr>Abschreibung!Druckbereich</vt:lpstr>
      <vt:lpstr>'Aufteilung Aufwände'!Druckbereich</vt:lpstr>
      <vt:lpstr>'Break-Even-Point'!Druckbereich</vt:lpstr>
      <vt:lpstr>'Break-Even-Point(Netto)'!Druckbereich</vt:lpstr>
      <vt:lpstr>'Cash Flow'!Druckbereich</vt:lpstr>
      <vt:lpstr>Investitionsplan!Druckbereich</vt:lpstr>
      <vt:lpstr>Kennzahlen!Druckbereich</vt:lpstr>
      <vt:lpstr>Liquiditätsplan!Druckbereich</vt:lpstr>
      <vt:lpstr>Lizenzgebühr!Druckbereich</vt:lpstr>
      <vt:lpstr>'Plan G&amp;V'!Druckbereich</vt:lpstr>
      <vt:lpstr>Planbilanz!Druckbereich</vt:lpstr>
      <vt:lpstr>Plankosten!Druckbereich</vt:lpstr>
      <vt:lpstr>Präsentation!Druckbereich</vt:lpstr>
      <vt:lpstr>Stammdaten!Druckbereich</vt:lpstr>
      <vt:lpstr>Monthly</vt:lpstr>
      <vt:lpstr>Quaterly</vt:lpstr>
      <vt:lpstr>SemiAnually</vt:lpstr>
      <vt:lpstr>x</vt:lpstr>
      <vt:lpstr>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Dominik</dc:creator>
  <cp:lastModifiedBy>Dominik</cp:lastModifiedBy>
  <cp:lastPrinted>2018-01-19T07:22:59Z</cp:lastPrinted>
  <dcterms:created xsi:type="dcterms:W3CDTF">2017-11-17T17:38:13Z</dcterms:created>
  <dcterms:modified xsi:type="dcterms:W3CDTF">2018-01-19T09:08:07Z</dcterms:modified>
</cp:coreProperties>
</file>