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5110" yWindow="0" windowWidth="19560" windowHeight="8115" tabRatio="769" firstSheet="4" activeTab="10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0" r:id="rId10"/>
    <sheet name="Break-Even-Point" sheetId="14" r:id="rId11"/>
    <sheet name="Auswahltabellen" sheetId="4" state="hidden" r:id="rId12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0">'Break-Even-Point'!$A$1:$F$26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Kennzahlen!$A$1:$H$18</definedName>
    <definedName name="_xlnm.Print_Area" localSheetId="5">Liquiditätsplan!$A$1:$X$86</definedName>
    <definedName name="_xlnm.Print_Area" localSheetId="9">Lizenzgebühr!$A$1:$K$19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1" i="9" l="1"/>
  <c r="W21" i="9"/>
  <c r="R21" i="9"/>
  <c r="X22" i="9"/>
  <c r="W22" i="9"/>
  <c r="Q23" i="9"/>
  <c r="V23" i="9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V9" i="6" l="1"/>
  <c r="Q22" i="9"/>
  <c r="V22" i="9"/>
  <c r="A27" i="8" l="1" a="1"/>
  <c r="A27" i="8" s="1"/>
  <c r="A18" i="8" a="1"/>
  <c r="A18" i="8" s="1"/>
  <c r="F19" i="2"/>
  <c r="G19" i="2"/>
  <c r="H19" i="2"/>
  <c r="I19" i="2"/>
  <c r="R19" i="2" s="1"/>
  <c r="J19" i="2"/>
  <c r="K19" i="2"/>
  <c r="L19" i="2"/>
  <c r="M19" i="2"/>
  <c r="N19" i="2"/>
  <c r="O19" i="2"/>
  <c r="P19" i="2"/>
  <c r="Q19" i="2"/>
  <c r="S19" i="2"/>
  <c r="T19" i="2"/>
  <c r="U19" i="2"/>
  <c r="W19" i="2" s="1"/>
  <c r="V19" i="2"/>
  <c r="X19" i="2"/>
  <c r="Y19" i="2"/>
  <c r="A5" i="8" a="1"/>
  <c r="D5" i="8" s="1"/>
  <c r="B21" i="2"/>
  <c r="S21" i="9"/>
  <c r="C31" i="8" l="1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 s="1"/>
  <c r="D13" i="8"/>
  <c r="D12" i="8"/>
  <c r="E12" i="8" s="1"/>
  <c r="D11" i="8"/>
  <c r="D10" i="8"/>
  <c r="D9" i="8"/>
  <c r="E9" i="8" s="1"/>
  <c r="D8" i="8"/>
  <c r="E8" i="8" s="1"/>
  <c r="D7" i="8"/>
  <c r="E7" i="8" s="1"/>
  <c r="D6" i="8"/>
  <c r="E13" i="8"/>
  <c r="E5" i="8"/>
  <c r="E11" i="8"/>
  <c r="E10" i="8"/>
  <c r="E6" i="8"/>
  <c r="U21" i="9"/>
  <c r="T21" i="9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X27" i="2"/>
  <c r="Y27" i="2"/>
  <c r="H10" i="12"/>
  <c r="G10" i="12"/>
  <c r="F10" i="12"/>
  <c r="E10" i="12"/>
  <c r="W27" i="2" l="1"/>
  <c r="R27" i="2"/>
  <c r="D3" i="11"/>
  <c r="V31" i="9" l="1"/>
  <c r="Q31" i="9"/>
  <c r="E26" i="11" s="1"/>
  <c r="G26" i="11" s="1"/>
  <c r="I26" i="11" s="1"/>
  <c r="K26" i="11" s="1"/>
  <c r="Q32" i="9"/>
  <c r="O26" i="9"/>
  <c r="V21" i="9"/>
  <c r="V24" i="9"/>
  <c r="V20" i="9"/>
  <c r="Q21" i="9"/>
  <c r="Q24" i="9"/>
  <c r="Q20" i="9"/>
  <c r="D7" i="9"/>
  <c r="V67" i="9"/>
  <c r="V68" i="9"/>
  <c r="Q70" i="9"/>
  <c r="Q68" i="9"/>
  <c r="A66" i="9"/>
  <c r="A65" i="9"/>
  <c r="X86" i="9"/>
  <c r="T86" i="9"/>
  <c r="U66" i="9" s="1"/>
  <c r="U86" i="9"/>
  <c r="W66" i="9" s="1"/>
  <c r="S86" i="9"/>
  <c r="T66" i="9" s="1"/>
  <c r="R86" i="9"/>
  <c r="S66" i="9" s="1"/>
  <c r="K86" i="9"/>
  <c r="N66" i="9" s="1"/>
  <c r="N86" i="9"/>
  <c r="R66" i="9" s="1"/>
  <c r="H86" i="9"/>
  <c r="K66" i="9" s="1"/>
  <c r="E86" i="9"/>
  <c r="H66" i="9" s="1"/>
  <c r="V82" i="9"/>
  <c r="W86" i="9" s="1"/>
  <c r="X66" i="9" s="1"/>
  <c r="Q82" i="9"/>
  <c r="Q66" i="9" l="1"/>
  <c r="V66" i="9"/>
  <c r="V86" i="9"/>
  <c r="Q86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V61" i="9"/>
  <c r="Q61" i="9"/>
  <c r="V55" i="9"/>
  <c r="Q55" i="9"/>
  <c r="F15" i="9"/>
  <c r="H69" i="9" s="1"/>
  <c r="G15" i="9"/>
  <c r="I69" i="9" s="1"/>
  <c r="H15" i="9"/>
  <c r="J69" i="9" s="1"/>
  <c r="I15" i="9"/>
  <c r="K69" i="9" s="1"/>
  <c r="J15" i="9"/>
  <c r="L69" i="9" s="1"/>
  <c r="K15" i="9"/>
  <c r="M69" i="9" s="1"/>
  <c r="L15" i="9"/>
  <c r="N69" i="9" s="1"/>
  <c r="M15" i="9"/>
  <c r="O69" i="9" s="1"/>
  <c r="N15" i="9"/>
  <c r="P69" i="9" s="1"/>
  <c r="O15" i="9"/>
  <c r="P15" i="9"/>
  <c r="R15" i="9"/>
  <c r="S15" i="9"/>
  <c r="T15" i="9"/>
  <c r="U15" i="9"/>
  <c r="W15" i="9"/>
  <c r="X15" i="9"/>
  <c r="V12" i="9"/>
  <c r="V11" i="9"/>
  <c r="Q11" i="9"/>
  <c r="T69" i="9" l="1"/>
  <c r="X69" i="9"/>
  <c r="W69" i="9"/>
  <c r="U69" i="9"/>
  <c r="R69" i="9"/>
  <c r="S69" i="9"/>
  <c r="V70" i="9"/>
  <c r="Q12" i="9"/>
  <c r="E15" i="9"/>
  <c r="G69" i="9" s="1"/>
  <c r="Q69" i="9" s="1"/>
  <c r="V69" i="9" l="1"/>
  <c r="B7" i="10" l="1"/>
  <c r="U32" i="9" l="1"/>
  <c r="T32" i="9"/>
  <c r="S32" i="9"/>
  <c r="R32" i="9"/>
  <c r="V32" i="9" s="1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 l="1"/>
  <c r="R26" i="9"/>
  <c r="W26" i="9"/>
  <c r="Q13" i="9"/>
  <c r="T26" i="9"/>
  <c r="S26" i="9"/>
  <c r="X26" i="9"/>
  <c r="U26" i="9"/>
  <c r="F34" i="9"/>
  <c r="X16" i="9" l="1"/>
  <c r="K16" i="11" s="1"/>
  <c r="K26" i="9"/>
  <c r="S16" i="9"/>
  <c r="V26" i="9"/>
  <c r="U16" i="9"/>
  <c r="T16" i="9"/>
  <c r="W16" i="9"/>
  <c r="I16" i="11" s="1"/>
  <c r="J26" i="9"/>
  <c r="I26" i="9"/>
  <c r="G26" i="9"/>
  <c r="P26" i="9"/>
  <c r="F26" i="9"/>
  <c r="L26" i="9"/>
  <c r="E34" i="9"/>
  <c r="H26" i="9"/>
  <c r="N26" i="9"/>
  <c r="M26" i="9"/>
  <c r="E26" i="9"/>
  <c r="H11" i="12" l="1"/>
  <c r="M16" i="9"/>
  <c r="K16" i="9"/>
  <c r="E36" i="9"/>
  <c r="E16" i="9"/>
  <c r="N16" i="9"/>
  <c r="L16" i="9"/>
  <c r="P16" i="9"/>
  <c r="R16" i="9"/>
  <c r="V16" i="9" s="1"/>
  <c r="I16" i="9"/>
  <c r="J16" i="9"/>
  <c r="H16" i="9"/>
  <c r="F36" i="9"/>
  <c r="F16" i="9"/>
  <c r="G16" i="9"/>
  <c r="O16" i="9"/>
  <c r="Q26" i="9"/>
  <c r="B21" i="8"/>
  <c r="L30" i="8" l="1"/>
  <c r="J28" i="8"/>
  <c r="E28" i="8"/>
  <c r="H28" i="8" s="1"/>
  <c r="J27" i="8"/>
  <c r="H27" i="8"/>
  <c r="E27" i="8"/>
  <c r="F27" i="8" s="1"/>
  <c r="G27" i="8" s="1"/>
  <c r="E29" i="8"/>
  <c r="H29" i="8" s="1"/>
  <c r="F29" i="8"/>
  <c r="G29" i="8" s="1"/>
  <c r="J29" i="8"/>
  <c r="B32" i="8"/>
  <c r="J30" i="8"/>
  <c r="H30" i="8"/>
  <c r="E30" i="8"/>
  <c r="F30" i="8" s="1"/>
  <c r="G30" i="8" s="1"/>
  <c r="L13" i="8"/>
  <c r="Q16" i="9"/>
  <c r="K19" i="8"/>
  <c r="M19" i="8"/>
  <c r="I19" i="8"/>
  <c r="G19" i="8"/>
  <c r="G18" i="8"/>
  <c r="E6" i="11" s="1"/>
  <c r="K18" i="8"/>
  <c r="I6" i="11" s="1"/>
  <c r="M18" i="8"/>
  <c r="I18" i="8"/>
  <c r="G6" i="11" s="1"/>
  <c r="F7" i="8"/>
  <c r="G7" i="8" s="1"/>
  <c r="H7" i="8"/>
  <c r="J7" i="8"/>
  <c r="F11" i="8"/>
  <c r="G11" i="8" s="1"/>
  <c r="H11" i="8"/>
  <c r="J11" i="8"/>
  <c r="F8" i="8"/>
  <c r="G8" i="8" s="1"/>
  <c r="J8" i="8"/>
  <c r="H8" i="8"/>
  <c r="H12" i="8"/>
  <c r="F12" i="8"/>
  <c r="G12" i="8" s="1"/>
  <c r="J12" i="8"/>
  <c r="J5" i="8"/>
  <c r="H5" i="8"/>
  <c r="F9" i="8"/>
  <c r="G9" i="8" s="1"/>
  <c r="H9" i="8"/>
  <c r="J9" i="8"/>
  <c r="J13" i="8"/>
  <c r="G13" i="8"/>
  <c r="F13" i="8"/>
  <c r="H13" i="8"/>
  <c r="F6" i="8"/>
  <c r="G6" i="8" s="1"/>
  <c r="H6" i="8"/>
  <c r="J6" i="8"/>
  <c r="F10" i="8"/>
  <c r="G10" i="8" s="1"/>
  <c r="J10" i="8"/>
  <c r="F5" i="8"/>
  <c r="G5" i="8" s="1"/>
  <c r="B15" i="8"/>
  <c r="B23" i="8" s="1"/>
  <c r="X10" i="6"/>
  <c r="X12" i="6" s="1"/>
  <c r="X14" i="6" s="1"/>
  <c r="W10" i="6"/>
  <c r="W12" i="6" s="1"/>
  <c r="W13" i="6" s="1"/>
  <c r="S10" i="6"/>
  <c r="S12" i="6" s="1"/>
  <c r="S14" i="6" s="1"/>
  <c r="T10" i="6"/>
  <c r="T12" i="6" s="1"/>
  <c r="T13" i="6" s="1"/>
  <c r="U10" i="6"/>
  <c r="U12" i="6" s="1"/>
  <c r="U14" i="6" s="1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15" i="6"/>
  <c r="V16" i="6"/>
  <c r="V15" i="9"/>
  <c r="G16" i="11" s="1"/>
  <c r="Q15" i="6"/>
  <c r="Q16" i="6"/>
  <c r="Q9" i="6"/>
  <c r="Q15" i="9" s="1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H12" i="6"/>
  <c r="H14" i="6" s="1"/>
  <c r="N12" i="6"/>
  <c r="N14" i="6" s="1"/>
  <c r="G11" i="12" l="1"/>
  <c r="I30" i="8"/>
  <c r="K30" i="8" s="1"/>
  <c r="M30" i="8" s="1"/>
  <c r="I29" i="8"/>
  <c r="K29" i="8" s="1"/>
  <c r="L29" i="8" s="1"/>
  <c r="M29" i="8" s="1"/>
  <c r="F28" i="8"/>
  <c r="G28" i="8" s="1"/>
  <c r="I28" i="8" s="1"/>
  <c r="K28" i="8" s="1"/>
  <c r="L28" i="8" s="1"/>
  <c r="M28" i="8" s="1"/>
  <c r="I13" i="8"/>
  <c r="K13" i="8" s="1"/>
  <c r="M13" i="8" s="1"/>
  <c r="I12" i="8"/>
  <c r="K12" i="8" s="1"/>
  <c r="I7" i="8"/>
  <c r="K7" i="8" s="1"/>
  <c r="L7" i="8" s="1"/>
  <c r="H10" i="8"/>
  <c r="H15" i="8" s="1"/>
  <c r="E16" i="11"/>
  <c r="F11" i="12" s="1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 s="1"/>
  <c r="L6" i="8" s="1"/>
  <c r="I9" i="8"/>
  <c r="K9" i="8" s="1"/>
  <c r="L9" i="8" s="1"/>
  <c r="J15" i="8"/>
  <c r="I5" i="8"/>
  <c r="X13" i="6"/>
  <c r="W14" i="6"/>
  <c r="T14" i="6"/>
  <c r="S13" i="6"/>
  <c r="U13" i="6"/>
  <c r="U18" i="6" s="1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V10" i="6"/>
  <c r="V12" i="6" s="1"/>
  <c r="Q10" i="6"/>
  <c r="Q12" i="6"/>
  <c r="W18" i="6"/>
  <c r="G12" i="13" s="1"/>
  <c r="S28" i="2"/>
  <c r="T28" i="2"/>
  <c r="U28" i="2"/>
  <c r="V28" i="2"/>
  <c r="X28" i="2"/>
  <c r="Y28" i="2"/>
  <c r="S29" i="2"/>
  <c r="T29" i="2"/>
  <c r="U29" i="2"/>
  <c r="V29" i="2"/>
  <c r="X29" i="2"/>
  <c r="Y29" i="2"/>
  <c r="S30" i="2"/>
  <c r="T30" i="2"/>
  <c r="U30" i="2"/>
  <c r="V30" i="2"/>
  <c r="X30" i="2"/>
  <c r="Y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R91" i="3"/>
  <c r="S91" i="3"/>
  <c r="T91" i="3"/>
  <c r="U91" i="3"/>
  <c r="W91" i="3"/>
  <c r="X91" i="3"/>
  <c r="F91" i="3"/>
  <c r="G91" i="3"/>
  <c r="H91" i="3"/>
  <c r="I91" i="3"/>
  <c r="J91" i="3"/>
  <c r="K91" i="3"/>
  <c r="L91" i="3"/>
  <c r="M91" i="3"/>
  <c r="N91" i="3"/>
  <c r="O91" i="3"/>
  <c r="P91" i="3"/>
  <c r="E91" i="3"/>
  <c r="T28" i="3"/>
  <c r="R28" i="3"/>
  <c r="E11" i="12" l="1"/>
  <c r="G32" i="8"/>
  <c r="E9" i="11" s="1"/>
  <c r="F32" i="8"/>
  <c r="L12" i="8"/>
  <c r="M12" i="8" s="1"/>
  <c r="I10" i="8"/>
  <c r="K10" i="8" s="1"/>
  <c r="L10" i="8" s="1"/>
  <c r="M10" i="8" s="1"/>
  <c r="E10" i="11"/>
  <c r="M7" i="8"/>
  <c r="F15" i="8"/>
  <c r="N36" i="6" s="1"/>
  <c r="G15" i="8"/>
  <c r="G23" i="8" s="1"/>
  <c r="G7" i="11"/>
  <c r="J34" i="8"/>
  <c r="R29" i="2"/>
  <c r="R30" i="2"/>
  <c r="W30" i="2"/>
  <c r="W29" i="2"/>
  <c r="K27" i="8"/>
  <c r="I32" i="8"/>
  <c r="G9" i="11" s="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H18" i="6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Q91" i="3"/>
  <c r="Z91" i="3" s="1"/>
  <c r="V91" i="3"/>
  <c r="R10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K13" i="3" l="1"/>
  <c r="T13" i="3"/>
  <c r="G13" i="3"/>
  <c r="O13" i="3"/>
  <c r="G21" i="3"/>
  <c r="K21" i="3"/>
  <c r="O21" i="3"/>
  <c r="T21" i="3"/>
  <c r="E12" i="11"/>
  <c r="H12" i="13"/>
  <c r="G34" i="8"/>
  <c r="I15" i="8"/>
  <c r="G10" i="11"/>
  <c r="F34" i="8"/>
  <c r="J36" i="6"/>
  <c r="I36" i="6"/>
  <c r="P36" i="6"/>
  <c r="F36" i="6"/>
  <c r="O36" i="6"/>
  <c r="P13" i="3"/>
  <c r="L13" i="3"/>
  <c r="E21" i="3"/>
  <c r="I21" i="3"/>
  <c r="M21" i="3"/>
  <c r="H13" i="3"/>
  <c r="U13" i="3"/>
  <c r="N13" i="3"/>
  <c r="L21" i="3"/>
  <c r="P21" i="3"/>
  <c r="U21" i="3"/>
  <c r="J13" i="3"/>
  <c r="S13" i="3"/>
  <c r="H21" i="3"/>
  <c r="E13" i="3"/>
  <c r="M13" i="3"/>
  <c r="I13" i="3"/>
  <c r="R13" i="3"/>
  <c r="W13" i="3"/>
  <c r="R21" i="3"/>
  <c r="W21" i="3"/>
  <c r="F13" i="3"/>
  <c r="X13" i="3"/>
  <c r="F21" i="3"/>
  <c r="J21" i="3"/>
  <c r="N21" i="3"/>
  <c r="S21" i="3"/>
  <c r="X21" i="3"/>
  <c r="E36" i="6"/>
  <c r="L36" i="6"/>
  <c r="G36" i="6"/>
  <c r="M36" i="6"/>
  <c r="H36" i="6"/>
  <c r="G12" i="11"/>
  <c r="K32" i="8"/>
  <c r="I9" i="11" s="1"/>
  <c r="L27" i="8"/>
  <c r="W36" i="6"/>
  <c r="G5" i="12" s="1"/>
  <c r="I10" i="11"/>
  <c r="L8" i="8"/>
  <c r="M8" i="8" s="1"/>
  <c r="K10" i="11" s="1"/>
  <c r="V36" i="6"/>
  <c r="F5" i="12" s="1"/>
  <c r="I8" i="11"/>
  <c r="L11" i="8"/>
  <c r="M11" i="8" s="1"/>
  <c r="K8" i="11" s="1"/>
  <c r="I7" i="11"/>
  <c r="L5" i="8"/>
  <c r="I23" i="8"/>
  <c r="I34" i="8" s="1"/>
  <c r="M6" i="8"/>
  <c r="K15" i="8"/>
  <c r="V18" i="6"/>
  <c r="F12" i="13" s="1"/>
  <c r="Q18" i="6"/>
  <c r="E12" i="13" s="1"/>
  <c r="N29" i="3"/>
  <c r="J29" i="3"/>
  <c r="S29" i="3"/>
  <c r="F29" i="3"/>
  <c r="E29" i="3"/>
  <c r="M29" i="3"/>
  <c r="R29" i="3"/>
  <c r="P29" i="3"/>
  <c r="L29" i="3"/>
  <c r="H29" i="3"/>
  <c r="U29" i="3"/>
  <c r="X29" i="3"/>
  <c r="I29" i="3"/>
  <c r="W29" i="3"/>
  <c r="O29" i="3"/>
  <c r="K29" i="3"/>
  <c r="G29" i="3"/>
  <c r="T29" i="3"/>
  <c r="V17" i="3"/>
  <c r="V19" i="3"/>
  <c r="V18" i="3"/>
  <c r="Q17" i="3"/>
  <c r="Q19" i="3"/>
  <c r="Q18" i="3"/>
  <c r="K23" i="3"/>
  <c r="K27" i="3" s="1"/>
  <c r="V11" i="3"/>
  <c r="V10" i="3"/>
  <c r="Q16" i="3"/>
  <c r="V16" i="3"/>
  <c r="V9" i="3"/>
  <c r="Q8" i="3"/>
  <c r="V8" i="3"/>
  <c r="Q11" i="3"/>
  <c r="Q10" i="3"/>
  <c r="Q9" i="3"/>
  <c r="X137" i="3"/>
  <c r="W137" i="3"/>
  <c r="U137" i="3"/>
  <c r="T137" i="3"/>
  <c r="S137" i="3"/>
  <c r="R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X136" i="3"/>
  <c r="W136" i="3"/>
  <c r="U136" i="3"/>
  <c r="T136" i="3"/>
  <c r="S136" i="3"/>
  <c r="R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E139" i="3" s="1"/>
  <c r="X129" i="3"/>
  <c r="W129" i="3"/>
  <c r="U129" i="3"/>
  <c r="T129" i="3"/>
  <c r="S129" i="3"/>
  <c r="R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X128" i="3"/>
  <c r="W128" i="3"/>
  <c r="W131" i="3" s="1"/>
  <c r="U128" i="3"/>
  <c r="T128" i="3"/>
  <c r="S128" i="3"/>
  <c r="R128" i="3"/>
  <c r="R131" i="3" s="1"/>
  <c r="P128" i="3"/>
  <c r="O128" i="3"/>
  <c r="N128" i="3"/>
  <c r="M128" i="3"/>
  <c r="M131" i="3" s="1"/>
  <c r="L128" i="3"/>
  <c r="K128" i="3"/>
  <c r="J128" i="3"/>
  <c r="I128" i="3"/>
  <c r="I131" i="3" s="1"/>
  <c r="H128" i="3"/>
  <c r="G128" i="3"/>
  <c r="F128" i="3"/>
  <c r="E128" i="3"/>
  <c r="E131" i="3" s="1"/>
  <c r="X122" i="3"/>
  <c r="X124" i="3" s="1"/>
  <c r="W122" i="3"/>
  <c r="W124" i="3" s="1"/>
  <c r="U122" i="3"/>
  <c r="T122" i="3"/>
  <c r="S122" i="3"/>
  <c r="R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U121" i="3"/>
  <c r="U124" i="3" s="1"/>
  <c r="T121" i="3"/>
  <c r="T124" i="3" s="1"/>
  <c r="S121" i="3"/>
  <c r="S124" i="3" s="1"/>
  <c r="R121" i="3"/>
  <c r="R124" i="3" s="1"/>
  <c r="P121" i="3"/>
  <c r="P124" i="3" s="1"/>
  <c r="O121" i="3"/>
  <c r="O124" i="3" s="1"/>
  <c r="N121" i="3"/>
  <c r="N124" i="3" s="1"/>
  <c r="M121" i="3"/>
  <c r="M124" i="3" s="1"/>
  <c r="L121" i="3"/>
  <c r="L124" i="3" s="1"/>
  <c r="K121" i="3"/>
  <c r="K124" i="3" s="1"/>
  <c r="J121" i="3"/>
  <c r="J124" i="3" s="1"/>
  <c r="I121" i="3"/>
  <c r="I124" i="3" s="1"/>
  <c r="H121" i="3"/>
  <c r="H124" i="3" s="1"/>
  <c r="G121" i="3"/>
  <c r="G124" i="3" s="1"/>
  <c r="F121" i="3"/>
  <c r="F124" i="3" s="1"/>
  <c r="E121" i="3"/>
  <c r="E124" i="3" s="1"/>
  <c r="X115" i="3"/>
  <c r="W115" i="3"/>
  <c r="U115" i="3"/>
  <c r="T115" i="3"/>
  <c r="S115" i="3"/>
  <c r="R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W114" i="3"/>
  <c r="U114" i="3"/>
  <c r="T114" i="3"/>
  <c r="S114" i="3"/>
  <c r="R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2" i="3"/>
  <c r="W92" i="3"/>
  <c r="U92" i="3"/>
  <c r="T92" i="3"/>
  <c r="S92" i="3"/>
  <c r="R92" i="3"/>
  <c r="P92" i="3"/>
  <c r="O92" i="3"/>
  <c r="N92" i="3"/>
  <c r="M92" i="3"/>
  <c r="L92" i="3"/>
  <c r="K92" i="3"/>
  <c r="J92" i="3"/>
  <c r="I92" i="3"/>
  <c r="H92" i="3"/>
  <c r="G92" i="3"/>
  <c r="F92" i="3"/>
  <c r="E92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X83" i="3"/>
  <c r="W83" i="3"/>
  <c r="U83" i="3"/>
  <c r="T83" i="3"/>
  <c r="S83" i="3"/>
  <c r="R83" i="3"/>
  <c r="P83" i="3"/>
  <c r="O83" i="3"/>
  <c r="N83" i="3"/>
  <c r="M83" i="3"/>
  <c r="L83" i="3"/>
  <c r="K83" i="3"/>
  <c r="J83" i="3"/>
  <c r="I83" i="3"/>
  <c r="H83" i="3"/>
  <c r="G83" i="3"/>
  <c r="F83" i="3"/>
  <c r="E83" i="3"/>
  <c r="X82" i="3"/>
  <c r="W82" i="3"/>
  <c r="U82" i="3"/>
  <c r="T82" i="3"/>
  <c r="S82" i="3"/>
  <c r="R82" i="3"/>
  <c r="P82" i="3"/>
  <c r="O82" i="3"/>
  <c r="N82" i="3"/>
  <c r="M82" i="3"/>
  <c r="L82" i="3"/>
  <c r="K82" i="3"/>
  <c r="J82" i="3"/>
  <c r="I82" i="3"/>
  <c r="H82" i="3"/>
  <c r="G82" i="3"/>
  <c r="F82" i="3"/>
  <c r="E82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75" i="3"/>
  <c r="W75" i="3"/>
  <c r="U75" i="3"/>
  <c r="T75" i="3"/>
  <c r="S75" i="3"/>
  <c r="R75" i="3"/>
  <c r="P75" i="3"/>
  <c r="O75" i="3"/>
  <c r="N75" i="3"/>
  <c r="M75" i="3"/>
  <c r="L75" i="3"/>
  <c r="K75" i="3"/>
  <c r="J75" i="3"/>
  <c r="I75" i="3"/>
  <c r="H75" i="3"/>
  <c r="G75" i="3"/>
  <c r="F75" i="3"/>
  <c r="E75" i="3"/>
  <c r="X74" i="3"/>
  <c r="W74" i="3"/>
  <c r="U74" i="3"/>
  <c r="T74" i="3"/>
  <c r="S74" i="3"/>
  <c r="R74" i="3"/>
  <c r="P74" i="3"/>
  <c r="O74" i="3"/>
  <c r="N74" i="3"/>
  <c r="M74" i="3"/>
  <c r="L74" i="3"/>
  <c r="K74" i="3"/>
  <c r="J74" i="3"/>
  <c r="I74" i="3"/>
  <c r="H74" i="3"/>
  <c r="G74" i="3"/>
  <c r="F74" i="3"/>
  <c r="E74" i="3"/>
  <c r="X73" i="3"/>
  <c r="W73" i="3"/>
  <c r="U73" i="3"/>
  <c r="T73" i="3"/>
  <c r="S73" i="3"/>
  <c r="R73" i="3"/>
  <c r="P73" i="3"/>
  <c r="O73" i="3"/>
  <c r="N73" i="3"/>
  <c r="M73" i="3"/>
  <c r="L73" i="3"/>
  <c r="K73" i="3"/>
  <c r="J73" i="3"/>
  <c r="I73" i="3"/>
  <c r="H73" i="3"/>
  <c r="G73" i="3"/>
  <c r="F73" i="3"/>
  <c r="E73" i="3"/>
  <c r="X67" i="3"/>
  <c r="W67" i="3"/>
  <c r="U67" i="3"/>
  <c r="T67" i="3"/>
  <c r="S67" i="3"/>
  <c r="R67" i="3"/>
  <c r="P67" i="3"/>
  <c r="O67" i="3"/>
  <c r="N67" i="3"/>
  <c r="M67" i="3"/>
  <c r="L67" i="3"/>
  <c r="K67" i="3"/>
  <c r="J67" i="3"/>
  <c r="I67" i="3"/>
  <c r="H67" i="3"/>
  <c r="G67" i="3"/>
  <c r="F67" i="3"/>
  <c r="E67" i="3"/>
  <c r="X66" i="3"/>
  <c r="W66" i="3"/>
  <c r="U66" i="3"/>
  <c r="T66" i="3"/>
  <c r="S66" i="3"/>
  <c r="R66" i="3"/>
  <c r="P66" i="3"/>
  <c r="O66" i="3"/>
  <c r="N66" i="3"/>
  <c r="M66" i="3"/>
  <c r="L66" i="3"/>
  <c r="K66" i="3"/>
  <c r="J66" i="3"/>
  <c r="I66" i="3"/>
  <c r="H66" i="3"/>
  <c r="G66" i="3"/>
  <c r="F66" i="3"/>
  <c r="E66" i="3"/>
  <c r="X65" i="3"/>
  <c r="W65" i="3"/>
  <c r="U65" i="3"/>
  <c r="T65" i="3"/>
  <c r="S65" i="3"/>
  <c r="R65" i="3"/>
  <c r="P65" i="3"/>
  <c r="O65" i="3"/>
  <c r="N65" i="3"/>
  <c r="M65" i="3"/>
  <c r="L65" i="3"/>
  <c r="K65" i="3"/>
  <c r="J65" i="3"/>
  <c r="I65" i="3"/>
  <c r="H65" i="3"/>
  <c r="G65" i="3"/>
  <c r="F65" i="3"/>
  <c r="E65" i="3"/>
  <c r="X59" i="3"/>
  <c r="W59" i="3"/>
  <c r="U59" i="3"/>
  <c r="T59" i="3"/>
  <c r="S59" i="3"/>
  <c r="R59" i="3"/>
  <c r="P59" i="3"/>
  <c r="O59" i="3"/>
  <c r="N59" i="3"/>
  <c r="M59" i="3"/>
  <c r="L59" i="3"/>
  <c r="K59" i="3"/>
  <c r="J59" i="3"/>
  <c r="I59" i="3"/>
  <c r="H59" i="3"/>
  <c r="G59" i="3"/>
  <c r="F59" i="3"/>
  <c r="E59" i="3"/>
  <c r="X58" i="3"/>
  <c r="W58" i="3"/>
  <c r="U58" i="3"/>
  <c r="T58" i="3"/>
  <c r="S58" i="3"/>
  <c r="R58" i="3"/>
  <c r="P58" i="3"/>
  <c r="O58" i="3"/>
  <c r="N58" i="3"/>
  <c r="M58" i="3"/>
  <c r="L58" i="3"/>
  <c r="K58" i="3"/>
  <c r="J58" i="3"/>
  <c r="I58" i="3"/>
  <c r="H58" i="3"/>
  <c r="G58" i="3"/>
  <c r="F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X11" i="2"/>
  <c r="Y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13" i="2"/>
  <c r="Y13" i="2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X50" i="3"/>
  <c r="W50" i="3"/>
  <c r="U50" i="3"/>
  <c r="T50" i="3"/>
  <c r="S50" i="3"/>
  <c r="R50" i="3"/>
  <c r="P50" i="3"/>
  <c r="O50" i="3"/>
  <c r="N50" i="3"/>
  <c r="M50" i="3"/>
  <c r="L50" i="3"/>
  <c r="K50" i="3"/>
  <c r="J50" i="3"/>
  <c r="I50" i="3"/>
  <c r="H50" i="3"/>
  <c r="G50" i="3"/>
  <c r="F50" i="3"/>
  <c r="E50" i="3"/>
  <c r="X49" i="3"/>
  <c r="W49" i="3"/>
  <c r="U49" i="3"/>
  <c r="T49" i="3"/>
  <c r="S49" i="3"/>
  <c r="R49" i="3"/>
  <c r="P49" i="3"/>
  <c r="O49" i="3"/>
  <c r="N49" i="3"/>
  <c r="M49" i="3"/>
  <c r="L49" i="3"/>
  <c r="K49" i="3"/>
  <c r="J49" i="3"/>
  <c r="I49" i="3"/>
  <c r="H49" i="3"/>
  <c r="G49" i="3"/>
  <c r="F49" i="3"/>
  <c r="E49" i="3"/>
  <c r="X43" i="3"/>
  <c r="W43" i="3"/>
  <c r="U43" i="3"/>
  <c r="T43" i="3"/>
  <c r="S43" i="3"/>
  <c r="R43" i="3"/>
  <c r="P43" i="3"/>
  <c r="O43" i="3"/>
  <c r="N43" i="3"/>
  <c r="M43" i="3"/>
  <c r="L43" i="3"/>
  <c r="K43" i="3"/>
  <c r="J43" i="3"/>
  <c r="I43" i="3"/>
  <c r="H43" i="3"/>
  <c r="G43" i="3"/>
  <c r="F43" i="3"/>
  <c r="E43" i="3"/>
  <c r="X42" i="3"/>
  <c r="W42" i="3"/>
  <c r="U42" i="3"/>
  <c r="T42" i="3"/>
  <c r="S42" i="3"/>
  <c r="R42" i="3"/>
  <c r="P42" i="3"/>
  <c r="O42" i="3"/>
  <c r="N42" i="3"/>
  <c r="M42" i="3"/>
  <c r="L42" i="3"/>
  <c r="K42" i="3"/>
  <c r="J42" i="3"/>
  <c r="I42" i="3"/>
  <c r="H42" i="3"/>
  <c r="G42" i="3"/>
  <c r="F42" i="3"/>
  <c r="E42" i="3"/>
  <c r="E36" i="3"/>
  <c r="F36" i="3"/>
  <c r="G36" i="3"/>
  <c r="H36" i="3"/>
  <c r="I36" i="3"/>
  <c r="J36" i="3"/>
  <c r="K36" i="3"/>
  <c r="L36" i="3"/>
  <c r="M36" i="3"/>
  <c r="N36" i="3"/>
  <c r="O36" i="3"/>
  <c r="P36" i="3"/>
  <c r="R36" i="3"/>
  <c r="S36" i="3"/>
  <c r="T36" i="3"/>
  <c r="U36" i="3"/>
  <c r="W36" i="3"/>
  <c r="X36" i="3"/>
  <c r="X35" i="3"/>
  <c r="W35" i="3"/>
  <c r="U35" i="3"/>
  <c r="S35" i="3"/>
  <c r="S38" i="3" s="1"/>
  <c r="T35" i="3"/>
  <c r="T38" i="3" s="1"/>
  <c r="R35" i="3"/>
  <c r="F35" i="3"/>
  <c r="G35" i="3"/>
  <c r="H35" i="3"/>
  <c r="I35" i="3"/>
  <c r="J35" i="3"/>
  <c r="K35" i="3"/>
  <c r="L35" i="3"/>
  <c r="M35" i="3"/>
  <c r="N35" i="3"/>
  <c r="O35" i="3"/>
  <c r="P35" i="3"/>
  <c r="E35" i="3"/>
  <c r="U38" i="3" l="1"/>
  <c r="Q36" i="6"/>
  <c r="E5" i="12" s="1"/>
  <c r="G131" i="3"/>
  <c r="K131" i="3"/>
  <c r="K34" i="6" s="1"/>
  <c r="O131" i="3"/>
  <c r="T131" i="3"/>
  <c r="T34" i="6" s="1"/>
  <c r="G139" i="3"/>
  <c r="H131" i="3"/>
  <c r="L131" i="3"/>
  <c r="P131" i="3"/>
  <c r="U131" i="3"/>
  <c r="F131" i="3"/>
  <c r="J131" i="3"/>
  <c r="N131" i="3"/>
  <c r="S131" i="3"/>
  <c r="X131" i="3"/>
  <c r="H61" i="3"/>
  <c r="L61" i="3"/>
  <c r="P61" i="3"/>
  <c r="U61" i="3"/>
  <c r="H69" i="3"/>
  <c r="L69" i="3"/>
  <c r="P69" i="3"/>
  <c r="U69" i="3"/>
  <c r="H77" i="3"/>
  <c r="L77" i="3"/>
  <c r="P77" i="3"/>
  <c r="U77" i="3"/>
  <c r="H85" i="3"/>
  <c r="L85" i="3"/>
  <c r="P85" i="3"/>
  <c r="U85" i="3"/>
  <c r="H94" i="3"/>
  <c r="L94" i="3"/>
  <c r="P94" i="3"/>
  <c r="U94" i="3"/>
  <c r="H101" i="3"/>
  <c r="L101" i="3"/>
  <c r="P101" i="3"/>
  <c r="U101" i="3"/>
  <c r="H117" i="3"/>
  <c r="L117" i="3"/>
  <c r="P117" i="3"/>
  <c r="U117" i="3"/>
  <c r="F23" i="3"/>
  <c r="F27" i="3" s="1"/>
  <c r="E61" i="3"/>
  <c r="I61" i="3"/>
  <c r="M61" i="3"/>
  <c r="R61" i="3"/>
  <c r="W61" i="3"/>
  <c r="E69" i="3"/>
  <c r="I69" i="3"/>
  <c r="M69" i="3"/>
  <c r="R69" i="3"/>
  <c r="W69" i="3"/>
  <c r="E77" i="3"/>
  <c r="I77" i="3"/>
  <c r="M77" i="3"/>
  <c r="R77" i="3"/>
  <c r="W77" i="3"/>
  <c r="E85" i="3"/>
  <c r="I85" i="3"/>
  <c r="M85" i="3"/>
  <c r="R85" i="3"/>
  <c r="W85" i="3"/>
  <c r="E94" i="3"/>
  <c r="I94" i="3"/>
  <c r="M94" i="3"/>
  <c r="R94" i="3"/>
  <c r="W94" i="3"/>
  <c r="E101" i="3"/>
  <c r="I101" i="3"/>
  <c r="M101" i="3"/>
  <c r="R101" i="3"/>
  <c r="W101" i="3"/>
  <c r="E117" i="3"/>
  <c r="I117" i="3"/>
  <c r="M117" i="3"/>
  <c r="R117" i="3"/>
  <c r="W117" i="3"/>
  <c r="K139" i="3"/>
  <c r="O139" i="3"/>
  <c r="O54" i="9" s="1"/>
  <c r="T139" i="3"/>
  <c r="T35" i="6" s="1"/>
  <c r="F61" i="3"/>
  <c r="N61" i="3"/>
  <c r="S61" i="3"/>
  <c r="X61" i="3"/>
  <c r="F69" i="3"/>
  <c r="J69" i="3"/>
  <c r="N69" i="3"/>
  <c r="S69" i="3"/>
  <c r="X69" i="3"/>
  <c r="F77" i="3"/>
  <c r="J77" i="3"/>
  <c r="N77" i="3"/>
  <c r="S77" i="3"/>
  <c r="X77" i="3"/>
  <c r="F85" i="3"/>
  <c r="J85" i="3"/>
  <c r="N85" i="3"/>
  <c r="S85" i="3"/>
  <c r="X85" i="3"/>
  <c r="F94" i="3"/>
  <c r="J94" i="3"/>
  <c r="N94" i="3"/>
  <c r="S94" i="3"/>
  <c r="X94" i="3"/>
  <c r="F101" i="3"/>
  <c r="J101" i="3"/>
  <c r="N101" i="3"/>
  <c r="S101" i="3"/>
  <c r="X101" i="3"/>
  <c r="F117" i="3"/>
  <c r="J117" i="3"/>
  <c r="N117" i="3"/>
  <c r="S117" i="3"/>
  <c r="X117" i="3"/>
  <c r="U139" i="3"/>
  <c r="J61" i="3"/>
  <c r="G61" i="3"/>
  <c r="K61" i="3"/>
  <c r="O61" i="3"/>
  <c r="T61" i="3"/>
  <c r="G69" i="3"/>
  <c r="K69" i="3"/>
  <c r="O69" i="3"/>
  <c r="T69" i="3"/>
  <c r="G77" i="3"/>
  <c r="K77" i="3"/>
  <c r="O77" i="3"/>
  <c r="T77" i="3"/>
  <c r="G85" i="3"/>
  <c r="K85" i="3"/>
  <c r="O85" i="3"/>
  <c r="T85" i="3"/>
  <c r="G94" i="3"/>
  <c r="K94" i="3"/>
  <c r="O94" i="3"/>
  <c r="T94" i="3"/>
  <c r="G101" i="3"/>
  <c r="G30" i="6" s="1"/>
  <c r="K101" i="3"/>
  <c r="K49" i="9" s="1"/>
  <c r="O101" i="3"/>
  <c r="O49" i="9" s="1"/>
  <c r="T101" i="3"/>
  <c r="T49" i="9" s="1"/>
  <c r="G117" i="3"/>
  <c r="G51" i="9" s="1"/>
  <c r="K117" i="3"/>
  <c r="K51" i="9" s="1"/>
  <c r="O117" i="3"/>
  <c r="O51" i="9" s="1"/>
  <c r="T117" i="3"/>
  <c r="T51" i="9" s="1"/>
  <c r="J38" i="3"/>
  <c r="N38" i="3"/>
  <c r="F38" i="3"/>
  <c r="V21" i="3"/>
  <c r="P38" i="3"/>
  <c r="L38" i="3"/>
  <c r="H38" i="3"/>
  <c r="X38" i="3"/>
  <c r="V13" i="3"/>
  <c r="Q21" i="3"/>
  <c r="O38" i="3"/>
  <c r="K38" i="3"/>
  <c r="G38" i="3"/>
  <c r="Q13" i="3"/>
  <c r="H139" i="3"/>
  <c r="L139" i="3"/>
  <c r="P139" i="3"/>
  <c r="E38" i="3"/>
  <c r="M38" i="3"/>
  <c r="I38" i="3"/>
  <c r="R38" i="3"/>
  <c r="W38" i="3"/>
  <c r="I139" i="3"/>
  <c r="M139" i="3"/>
  <c r="R139" i="3"/>
  <c r="W139" i="3"/>
  <c r="F139" i="3"/>
  <c r="J139" i="3"/>
  <c r="N139" i="3"/>
  <c r="S139" i="3"/>
  <c r="X139" i="3"/>
  <c r="E23" i="3"/>
  <c r="E27" i="3" s="1"/>
  <c r="E45" i="3"/>
  <c r="E20" i="6" s="1"/>
  <c r="E54" i="3"/>
  <c r="E43" i="9" s="1"/>
  <c r="I54" i="3"/>
  <c r="I43" i="9" s="1"/>
  <c r="M54" i="3"/>
  <c r="M43" i="9" s="1"/>
  <c r="R54" i="3"/>
  <c r="R43" i="9" s="1"/>
  <c r="W54" i="3"/>
  <c r="W43" i="9" s="1"/>
  <c r="G33" i="6"/>
  <c r="K33" i="6"/>
  <c r="O33" i="6"/>
  <c r="G34" i="6"/>
  <c r="O34" i="6"/>
  <c r="G35" i="6"/>
  <c r="K35" i="6"/>
  <c r="F54" i="3"/>
  <c r="F43" i="9" s="1"/>
  <c r="J54" i="3"/>
  <c r="J43" i="9" s="1"/>
  <c r="N54" i="3"/>
  <c r="N43" i="9" s="1"/>
  <c r="S54" i="3"/>
  <c r="S43" i="9" s="1"/>
  <c r="X54" i="3"/>
  <c r="X43" i="9" s="1"/>
  <c r="G54" i="3"/>
  <c r="G43" i="9" s="1"/>
  <c r="K54" i="3"/>
  <c r="K43" i="9" s="1"/>
  <c r="O54" i="3"/>
  <c r="O43" i="9" s="1"/>
  <c r="T54" i="3"/>
  <c r="T43" i="9" s="1"/>
  <c r="H54" i="3"/>
  <c r="H43" i="9" s="1"/>
  <c r="L54" i="3"/>
  <c r="L43" i="9" s="1"/>
  <c r="P54" i="3"/>
  <c r="P43" i="9" s="1"/>
  <c r="U54" i="3"/>
  <c r="U43" i="9" s="1"/>
  <c r="T33" i="6"/>
  <c r="T52" i="9"/>
  <c r="O53" i="9"/>
  <c r="J23" i="3"/>
  <c r="J27" i="3" s="1"/>
  <c r="V29" i="3"/>
  <c r="L15" i="8"/>
  <c r="M27" i="8"/>
  <c r="M32" i="8" s="1"/>
  <c r="K9" i="11" s="1"/>
  <c r="L32" i="8"/>
  <c r="M5" i="8"/>
  <c r="I12" i="11"/>
  <c r="X36" i="6"/>
  <c r="H5" i="12" s="1"/>
  <c r="K23" i="8"/>
  <c r="K34" i="8" s="1"/>
  <c r="W12" i="2"/>
  <c r="R12" i="2"/>
  <c r="Q29" i="3"/>
  <c r="G45" i="3"/>
  <c r="K45" i="3"/>
  <c r="O45" i="3"/>
  <c r="T45" i="3"/>
  <c r="H45" i="3"/>
  <c r="L45" i="3"/>
  <c r="P45" i="3"/>
  <c r="U45" i="3"/>
  <c r="F45" i="3"/>
  <c r="J45" i="3"/>
  <c r="N45" i="3"/>
  <c r="Q59" i="3"/>
  <c r="Z59" i="3" s="1"/>
  <c r="V59" i="3"/>
  <c r="Q67" i="3"/>
  <c r="Z67" i="3" s="1"/>
  <c r="V67" i="3"/>
  <c r="Q74" i="3"/>
  <c r="Z74" i="3" s="1"/>
  <c r="Q75" i="3"/>
  <c r="Z75" i="3" s="1"/>
  <c r="V75" i="3"/>
  <c r="Q83" i="3"/>
  <c r="Z83" i="3" s="1"/>
  <c r="V83" i="3"/>
  <c r="Q92" i="3"/>
  <c r="Z92" i="3" s="1"/>
  <c r="V92" i="3"/>
  <c r="Q99" i="3"/>
  <c r="Z99" i="3" s="1"/>
  <c r="V99" i="3"/>
  <c r="Q108" i="3"/>
  <c r="Z108" i="3" s="1"/>
  <c r="V108" i="3"/>
  <c r="Q115" i="3"/>
  <c r="Z115" i="3" s="1"/>
  <c r="V115" i="3"/>
  <c r="Q122" i="3"/>
  <c r="Z122" i="3" s="1"/>
  <c r="V122" i="3"/>
  <c r="V124" i="3" s="1"/>
  <c r="V129" i="3"/>
  <c r="Q136" i="3"/>
  <c r="Z136" i="3" s="1"/>
  <c r="Q137" i="3"/>
  <c r="Z137" i="3" s="1"/>
  <c r="V137" i="3"/>
  <c r="N23" i="3"/>
  <c r="N27" i="3" s="1"/>
  <c r="H23" i="3"/>
  <c r="H27" i="3" s="1"/>
  <c r="S23" i="3"/>
  <c r="S27" i="3" s="1"/>
  <c r="I23" i="3"/>
  <c r="I27" i="3" s="1"/>
  <c r="M23" i="3"/>
  <c r="M27" i="3" s="1"/>
  <c r="P23" i="3"/>
  <c r="P27" i="3" s="1"/>
  <c r="X23" i="3"/>
  <c r="X27" i="3" s="1"/>
  <c r="X28" i="3" s="1"/>
  <c r="G23" i="3"/>
  <c r="G27" i="3" s="1"/>
  <c r="O23" i="3"/>
  <c r="O27" i="3" s="1"/>
  <c r="T23" i="3"/>
  <c r="T27" i="3" s="1"/>
  <c r="T31" i="3" s="1"/>
  <c r="R23" i="3"/>
  <c r="R27" i="3" s="1"/>
  <c r="L23" i="3"/>
  <c r="L27" i="3" s="1"/>
  <c r="W23" i="3"/>
  <c r="W27" i="3" s="1"/>
  <c r="W28" i="3" s="1"/>
  <c r="U23" i="3"/>
  <c r="U27" i="3" s="1"/>
  <c r="I45" i="3"/>
  <c r="M45" i="3"/>
  <c r="V42" i="3"/>
  <c r="W45" i="3"/>
  <c r="Q51" i="3"/>
  <c r="Z51" i="3" s="1"/>
  <c r="V51" i="3"/>
  <c r="Q129" i="3"/>
  <c r="Z129" i="3" s="1"/>
  <c r="S45" i="3"/>
  <c r="X45" i="3"/>
  <c r="V58" i="3"/>
  <c r="V73" i="3"/>
  <c r="V98" i="3"/>
  <c r="V105" i="3"/>
  <c r="V114" i="3"/>
  <c r="V128" i="3"/>
  <c r="V135" i="3"/>
  <c r="Q43" i="3"/>
  <c r="Z43" i="3" s="1"/>
  <c r="V43" i="3"/>
  <c r="Q52" i="3"/>
  <c r="Z52" i="3" s="1"/>
  <c r="V52" i="3"/>
  <c r="Q90" i="3"/>
  <c r="Z90" i="3" s="1"/>
  <c r="V90" i="3"/>
  <c r="Q135" i="3"/>
  <c r="V136" i="3"/>
  <c r="Q128" i="3"/>
  <c r="Q121" i="3"/>
  <c r="Q114" i="3"/>
  <c r="Q105" i="3"/>
  <c r="Q98" i="3"/>
  <c r="Q66" i="3"/>
  <c r="Z66" i="3" s="1"/>
  <c r="V65" i="3"/>
  <c r="V89" i="3"/>
  <c r="Q89" i="3"/>
  <c r="Q82" i="3"/>
  <c r="Z82" i="3" s="1"/>
  <c r="V81" i="3"/>
  <c r="V82" i="3"/>
  <c r="Q81" i="3"/>
  <c r="V74" i="3"/>
  <c r="Q73" i="3"/>
  <c r="V66" i="3"/>
  <c r="Q65" i="3"/>
  <c r="Q58" i="3"/>
  <c r="G24" i="6"/>
  <c r="Q50" i="3"/>
  <c r="Z50" i="3" s="1"/>
  <c r="E24" i="6"/>
  <c r="V49" i="3"/>
  <c r="W9" i="2"/>
  <c r="R9" i="2"/>
  <c r="R6" i="2"/>
  <c r="R8" i="2"/>
  <c r="W8" i="2"/>
  <c r="W11" i="2"/>
  <c r="R11" i="2"/>
  <c r="R7" i="2"/>
  <c r="W7" i="2"/>
  <c r="R13" i="2"/>
  <c r="W6" i="2"/>
  <c r="W13" i="2"/>
  <c r="V50" i="3"/>
  <c r="Q49" i="3"/>
  <c r="R45" i="3"/>
  <c r="Q42" i="3"/>
  <c r="V36" i="3"/>
  <c r="Q36" i="3"/>
  <c r="Z36" i="3" s="1"/>
  <c r="V35" i="3"/>
  <c r="Q35" i="3"/>
  <c r="Q131" i="3" l="1"/>
  <c r="Q124" i="3"/>
  <c r="O35" i="6"/>
  <c r="V94" i="3"/>
  <c r="N24" i="6"/>
  <c r="T53" i="9"/>
  <c r="Q117" i="3"/>
  <c r="V131" i="3"/>
  <c r="K24" i="6"/>
  <c r="L24" i="6"/>
  <c r="Q61" i="3"/>
  <c r="Q77" i="3"/>
  <c r="V85" i="3"/>
  <c r="V47" i="9" s="1"/>
  <c r="V69" i="3"/>
  <c r="V45" i="9" s="1"/>
  <c r="T32" i="6"/>
  <c r="T30" i="6"/>
  <c r="Q38" i="3"/>
  <c r="T54" i="9"/>
  <c r="O32" i="6"/>
  <c r="O30" i="6"/>
  <c r="W24" i="6"/>
  <c r="O52" i="9"/>
  <c r="V61" i="3"/>
  <c r="V44" i="9" s="1"/>
  <c r="V117" i="3"/>
  <c r="V51" i="9" s="1"/>
  <c r="V101" i="3"/>
  <c r="V49" i="9" s="1"/>
  <c r="Q69" i="3"/>
  <c r="Q45" i="9" s="1"/>
  <c r="Q85" i="3"/>
  <c r="Q94" i="3"/>
  <c r="Q48" i="9" s="1"/>
  <c r="Q101" i="3"/>
  <c r="Q49" i="9" s="1"/>
  <c r="Q139" i="3"/>
  <c r="V77" i="3"/>
  <c r="V46" i="9" s="1"/>
  <c r="E42" i="9"/>
  <c r="R24" i="6"/>
  <c r="V38" i="3"/>
  <c r="V41" i="9" s="1"/>
  <c r="V139" i="3"/>
  <c r="V54" i="9" s="1"/>
  <c r="I24" i="6"/>
  <c r="K53" i="9"/>
  <c r="F24" i="6"/>
  <c r="X24" i="6"/>
  <c r="T24" i="6"/>
  <c r="G49" i="9"/>
  <c r="K52" i="9"/>
  <c r="K32" i="6"/>
  <c r="K54" i="9"/>
  <c r="K30" i="6"/>
  <c r="H24" i="6"/>
  <c r="G54" i="9"/>
  <c r="G53" i="9"/>
  <c r="G52" i="9"/>
  <c r="G32" i="6"/>
  <c r="J24" i="6"/>
  <c r="M24" i="6"/>
  <c r="O24" i="6"/>
  <c r="S24" i="6"/>
  <c r="P24" i="6"/>
  <c r="P19" i="6"/>
  <c r="P41" i="9"/>
  <c r="R20" i="6"/>
  <c r="R42" i="9"/>
  <c r="U28" i="6"/>
  <c r="U47" i="9"/>
  <c r="K48" i="9"/>
  <c r="K29" i="6"/>
  <c r="M34" i="6"/>
  <c r="M53" i="9"/>
  <c r="W51" i="9"/>
  <c r="W32" i="6"/>
  <c r="E49" i="9"/>
  <c r="E30" i="6"/>
  <c r="W27" i="6"/>
  <c r="W46" i="9"/>
  <c r="M45" i="9"/>
  <c r="M26" i="6"/>
  <c r="I44" i="9"/>
  <c r="I25" i="6"/>
  <c r="N51" i="9"/>
  <c r="N32" i="6"/>
  <c r="U34" i="6"/>
  <c r="U53" i="9"/>
  <c r="U49" i="9"/>
  <c r="U30" i="6"/>
  <c r="U45" i="9"/>
  <c r="U26" i="6"/>
  <c r="T27" i="6"/>
  <c r="T46" i="9"/>
  <c r="T44" i="9"/>
  <c r="T25" i="6"/>
  <c r="P20" i="6"/>
  <c r="P42" i="9"/>
  <c r="S27" i="6"/>
  <c r="S46" i="9"/>
  <c r="O20" i="6"/>
  <c r="O42" i="9"/>
  <c r="R33" i="6"/>
  <c r="R52" i="9"/>
  <c r="X34" i="6"/>
  <c r="X53" i="9"/>
  <c r="X51" i="9"/>
  <c r="X32" i="6"/>
  <c r="J19" i="6"/>
  <c r="J41" i="9"/>
  <c r="X19" i="6"/>
  <c r="H16" i="13" s="1"/>
  <c r="H18" i="13" s="1"/>
  <c r="X41" i="9"/>
  <c r="N19" i="6"/>
  <c r="N41" i="9"/>
  <c r="M19" i="6"/>
  <c r="M41" i="9"/>
  <c r="G19" i="6"/>
  <c r="G41" i="9"/>
  <c r="Q54" i="3"/>
  <c r="Q43" i="9" s="1"/>
  <c r="V54" i="3"/>
  <c r="V43" i="9" s="1"/>
  <c r="R28" i="6"/>
  <c r="R47" i="9"/>
  <c r="O28" i="6"/>
  <c r="O47" i="9"/>
  <c r="P28" i="6"/>
  <c r="P47" i="9"/>
  <c r="E48" i="9"/>
  <c r="E29" i="6"/>
  <c r="G48" i="9"/>
  <c r="G29" i="6"/>
  <c r="M35" i="6"/>
  <c r="M54" i="9"/>
  <c r="I34" i="6"/>
  <c r="I53" i="9"/>
  <c r="W33" i="6"/>
  <c r="W52" i="9"/>
  <c r="E33" i="6"/>
  <c r="E52" i="9"/>
  <c r="E28" i="6"/>
  <c r="E47" i="9"/>
  <c r="I45" i="9"/>
  <c r="I26" i="6"/>
  <c r="W44" i="9"/>
  <c r="W25" i="6"/>
  <c r="E44" i="9"/>
  <c r="E25" i="6"/>
  <c r="S20" i="6"/>
  <c r="S42" i="9"/>
  <c r="F35" i="6"/>
  <c r="F54" i="9"/>
  <c r="N33" i="6"/>
  <c r="N52" i="9"/>
  <c r="J51" i="9"/>
  <c r="J32" i="6"/>
  <c r="F49" i="9"/>
  <c r="F30" i="6"/>
  <c r="N44" i="9"/>
  <c r="N25" i="6"/>
  <c r="P35" i="6"/>
  <c r="P54" i="9"/>
  <c r="P34" i="6"/>
  <c r="P53" i="9"/>
  <c r="P33" i="6"/>
  <c r="P52" i="9"/>
  <c r="P51" i="9"/>
  <c r="P32" i="6"/>
  <c r="P49" i="9"/>
  <c r="P30" i="6"/>
  <c r="P48" i="9"/>
  <c r="P29" i="6"/>
  <c r="P27" i="6"/>
  <c r="P46" i="9"/>
  <c r="P45" i="9"/>
  <c r="P26" i="6"/>
  <c r="P44" i="9"/>
  <c r="P25" i="6"/>
  <c r="R34" i="6"/>
  <c r="R53" i="9"/>
  <c r="O27" i="6"/>
  <c r="O46" i="9"/>
  <c r="O45" i="9"/>
  <c r="O26" i="6"/>
  <c r="O44" i="9"/>
  <c r="O25" i="6"/>
  <c r="J20" i="6"/>
  <c r="J42" i="9"/>
  <c r="L20" i="6"/>
  <c r="L42" i="9"/>
  <c r="X28" i="6"/>
  <c r="X47" i="9"/>
  <c r="X45" i="9"/>
  <c r="X26" i="6"/>
  <c r="K20" i="6"/>
  <c r="K42" i="9"/>
  <c r="R51" i="9"/>
  <c r="R32" i="6"/>
  <c r="S34" i="6"/>
  <c r="S53" i="9"/>
  <c r="S51" i="9"/>
  <c r="S32" i="6"/>
  <c r="O19" i="6"/>
  <c r="O22" i="6" s="1"/>
  <c r="O41" i="9"/>
  <c r="T28" i="6"/>
  <c r="T47" i="9"/>
  <c r="F48" i="9"/>
  <c r="F29" i="6"/>
  <c r="I33" i="6"/>
  <c r="I52" i="9"/>
  <c r="J35" i="6"/>
  <c r="J54" i="9"/>
  <c r="J49" i="9"/>
  <c r="J30" i="6"/>
  <c r="W20" i="6"/>
  <c r="W42" i="9"/>
  <c r="U33" i="6"/>
  <c r="U52" i="9"/>
  <c r="U44" i="9"/>
  <c r="U25" i="6"/>
  <c r="H19" i="6"/>
  <c r="H41" i="9"/>
  <c r="T19" i="6"/>
  <c r="T41" i="9"/>
  <c r="N28" i="6"/>
  <c r="N47" i="9"/>
  <c r="K28" i="6"/>
  <c r="K47" i="9"/>
  <c r="N48" i="9"/>
  <c r="N29" i="6"/>
  <c r="R45" i="9"/>
  <c r="R26" i="6"/>
  <c r="I35" i="6"/>
  <c r="I54" i="9"/>
  <c r="W34" i="6"/>
  <c r="W53" i="9"/>
  <c r="E34" i="6"/>
  <c r="E53" i="9"/>
  <c r="M51" i="9"/>
  <c r="M32" i="6"/>
  <c r="M49" i="9"/>
  <c r="M30" i="6"/>
  <c r="M48" i="9"/>
  <c r="M29" i="6"/>
  <c r="W28" i="6"/>
  <c r="W47" i="9"/>
  <c r="M27" i="6"/>
  <c r="M46" i="9"/>
  <c r="E45" i="9"/>
  <c r="E26" i="6"/>
  <c r="N34" i="6"/>
  <c r="N53" i="9"/>
  <c r="J33" i="6"/>
  <c r="J52" i="9"/>
  <c r="F51" i="9"/>
  <c r="F32" i="6"/>
  <c r="N27" i="6"/>
  <c r="N46" i="9"/>
  <c r="J44" i="9"/>
  <c r="J25" i="6"/>
  <c r="M20" i="6"/>
  <c r="M42" i="9"/>
  <c r="L35" i="6"/>
  <c r="L54" i="9"/>
  <c r="L34" i="6"/>
  <c r="L53" i="9"/>
  <c r="L33" i="6"/>
  <c r="L52" i="9"/>
  <c r="L51" i="9"/>
  <c r="L32" i="6"/>
  <c r="L49" i="9"/>
  <c r="L30" i="6"/>
  <c r="L48" i="9"/>
  <c r="L29" i="6"/>
  <c r="L27" i="6"/>
  <c r="L46" i="9"/>
  <c r="L45" i="9"/>
  <c r="L26" i="6"/>
  <c r="L44" i="9"/>
  <c r="L25" i="6"/>
  <c r="R35" i="6"/>
  <c r="R54" i="9"/>
  <c r="K27" i="6"/>
  <c r="K46" i="9"/>
  <c r="K45" i="9"/>
  <c r="K26" i="6"/>
  <c r="K44" i="9"/>
  <c r="K25" i="6"/>
  <c r="F20" i="6"/>
  <c r="F42" i="9"/>
  <c r="H20" i="6"/>
  <c r="H42" i="9"/>
  <c r="S28" i="6"/>
  <c r="S47" i="9"/>
  <c r="S45" i="9"/>
  <c r="S26" i="6"/>
  <c r="G20" i="6"/>
  <c r="G42" i="9"/>
  <c r="X35" i="6"/>
  <c r="X54" i="9"/>
  <c r="X33" i="6"/>
  <c r="X52" i="9"/>
  <c r="X49" i="9"/>
  <c r="X30" i="6"/>
  <c r="F19" i="6"/>
  <c r="F22" i="6" s="1"/>
  <c r="F41" i="9"/>
  <c r="I19" i="6"/>
  <c r="I41" i="9"/>
  <c r="F28" i="6"/>
  <c r="F47" i="9"/>
  <c r="F45" i="9"/>
  <c r="F26" i="6"/>
  <c r="E51" i="9"/>
  <c r="E32" i="6"/>
  <c r="W49" i="9"/>
  <c r="W30" i="6"/>
  <c r="I28" i="6"/>
  <c r="I47" i="9"/>
  <c r="E27" i="6"/>
  <c r="E46" i="9"/>
  <c r="X20" i="6"/>
  <c r="X42" i="9"/>
  <c r="F34" i="6"/>
  <c r="F53" i="9"/>
  <c r="F27" i="6"/>
  <c r="F46" i="9"/>
  <c r="U35" i="6"/>
  <c r="U54" i="9"/>
  <c r="U51" i="9"/>
  <c r="U32" i="6"/>
  <c r="U27" i="6"/>
  <c r="U46" i="9"/>
  <c r="T45" i="9"/>
  <c r="T26" i="6"/>
  <c r="N20" i="6"/>
  <c r="N42" i="9"/>
  <c r="S44" i="9"/>
  <c r="S25" i="6"/>
  <c r="S19" i="6"/>
  <c r="S41" i="9"/>
  <c r="W19" i="6"/>
  <c r="W41" i="9"/>
  <c r="E19" i="6"/>
  <c r="E41" i="9"/>
  <c r="L28" i="6"/>
  <c r="L47" i="9"/>
  <c r="N45" i="9"/>
  <c r="N26" i="6"/>
  <c r="U19" i="6"/>
  <c r="U41" i="9"/>
  <c r="L19" i="6"/>
  <c r="L41" i="9"/>
  <c r="R19" i="6"/>
  <c r="R22" i="6" s="1"/>
  <c r="R41" i="9"/>
  <c r="K19" i="6"/>
  <c r="K22" i="6" s="1"/>
  <c r="K41" i="9"/>
  <c r="U24" i="6"/>
  <c r="R44" i="9"/>
  <c r="R25" i="6"/>
  <c r="J28" i="6"/>
  <c r="J47" i="9"/>
  <c r="G28" i="6"/>
  <c r="G47" i="9"/>
  <c r="H28" i="6"/>
  <c r="H47" i="9"/>
  <c r="J48" i="9"/>
  <c r="J29" i="6"/>
  <c r="J45" i="9"/>
  <c r="J26" i="6"/>
  <c r="O48" i="9"/>
  <c r="O29" i="6"/>
  <c r="W35" i="6"/>
  <c r="W54" i="9"/>
  <c r="E35" i="6"/>
  <c r="E54" i="9"/>
  <c r="M33" i="6"/>
  <c r="M52" i="9"/>
  <c r="I51" i="9"/>
  <c r="I32" i="6"/>
  <c r="I49" i="9"/>
  <c r="I30" i="6"/>
  <c r="I48" i="9"/>
  <c r="I29" i="6"/>
  <c r="M28" i="6"/>
  <c r="M47" i="9"/>
  <c r="I27" i="6"/>
  <c r="I46" i="9"/>
  <c r="W45" i="9"/>
  <c r="W26" i="6"/>
  <c r="M44" i="9"/>
  <c r="M25" i="6"/>
  <c r="N35" i="6"/>
  <c r="N54" i="9"/>
  <c r="J34" i="6"/>
  <c r="J53" i="9"/>
  <c r="F33" i="6"/>
  <c r="F52" i="9"/>
  <c r="N49" i="9"/>
  <c r="N30" i="6"/>
  <c r="J27" i="6"/>
  <c r="J46" i="9"/>
  <c r="F44" i="9"/>
  <c r="F25" i="6"/>
  <c r="I20" i="6"/>
  <c r="I42" i="9"/>
  <c r="H35" i="6"/>
  <c r="H54" i="9"/>
  <c r="H34" i="6"/>
  <c r="H53" i="9"/>
  <c r="H33" i="6"/>
  <c r="H52" i="9"/>
  <c r="H51" i="9"/>
  <c r="H32" i="6"/>
  <c r="H49" i="9"/>
  <c r="H30" i="6"/>
  <c r="H48" i="9"/>
  <c r="H29" i="6"/>
  <c r="H27" i="6"/>
  <c r="H46" i="9"/>
  <c r="H45" i="9"/>
  <c r="H26" i="6"/>
  <c r="H44" i="9"/>
  <c r="H25" i="6"/>
  <c r="R27" i="6"/>
  <c r="R46" i="9"/>
  <c r="G27" i="6"/>
  <c r="G46" i="9"/>
  <c r="G45" i="9"/>
  <c r="G26" i="6"/>
  <c r="G44" i="9"/>
  <c r="G25" i="6"/>
  <c r="U20" i="6"/>
  <c r="U42" i="9"/>
  <c r="X27" i="6"/>
  <c r="X46" i="9"/>
  <c r="X44" i="9"/>
  <c r="X25" i="6"/>
  <c r="T20" i="6"/>
  <c r="T42" i="9"/>
  <c r="R49" i="9"/>
  <c r="R30" i="6"/>
  <c r="S35" i="6"/>
  <c r="S54" i="9"/>
  <c r="S33" i="6"/>
  <c r="S52" i="9"/>
  <c r="S49" i="9"/>
  <c r="S30" i="6"/>
  <c r="L34" i="8"/>
  <c r="X48" i="9"/>
  <c r="X29" i="6"/>
  <c r="W48" i="9"/>
  <c r="W29" i="6"/>
  <c r="U48" i="9"/>
  <c r="U29" i="6"/>
  <c r="T48" i="9"/>
  <c r="T29" i="6"/>
  <c r="S48" i="9"/>
  <c r="S29" i="6"/>
  <c r="R48" i="9"/>
  <c r="R29" i="6"/>
  <c r="R31" i="3"/>
  <c r="V27" i="3"/>
  <c r="T23" i="6"/>
  <c r="T40" i="9"/>
  <c r="M15" i="8"/>
  <c r="M23" i="8" s="1"/>
  <c r="M34" i="8" s="1"/>
  <c r="K7" i="11"/>
  <c r="K12" i="11" s="1"/>
  <c r="V53" i="9"/>
  <c r="B13" i="3"/>
  <c r="B21" i="3"/>
  <c r="Z29" i="3"/>
  <c r="B29" i="3" s="1"/>
  <c r="V52" i="9"/>
  <c r="Q23" i="3"/>
  <c r="V23" i="3"/>
  <c r="V45" i="3"/>
  <c r="V42" i="9" s="1"/>
  <c r="V48" i="9"/>
  <c r="Q54" i="9"/>
  <c r="Z135" i="3"/>
  <c r="Z139" i="3" s="1"/>
  <c r="B139" i="3" s="1"/>
  <c r="Q53" i="9"/>
  <c r="Z128" i="3"/>
  <c r="Z131" i="3" s="1"/>
  <c r="B131" i="3" s="1"/>
  <c r="Q52" i="9"/>
  <c r="Z121" i="3"/>
  <c r="Z124" i="3" s="1"/>
  <c r="B124" i="3" s="1"/>
  <c r="Q51" i="9"/>
  <c r="Z114" i="3"/>
  <c r="Z117" i="3" s="1"/>
  <c r="B117" i="3" s="1"/>
  <c r="Z105" i="3"/>
  <c r="Z98" i="3"/>
  <c r="Z101" i="3" s="1"/>
  <c r="B101" i="3" s="1"/>
  <c r="Z89" i="3"/>
  <c r="Z94" i="3" s="1"/>
  <c r="B94" i="3" s="1"/>
  <c r="Q47" i="9"/>
  <c r="Z81" i="3"/>
  <c r="Z85" i="3" s="1"/>
  <c r="B85" i="3" s="1"/>
  <c r="Q46" i="9"/>
  <c r="Z73" i="3"/>
  <c r="Z77" i="3" s="1"/>
  <c r="B77" i="3" s="1"/>
  <c r="Z65" i="3"/>
  <c r="Z69" i="3" s="1"/>
  <c r="B69" i="3" s="1"/>
  <c r="Q44" i="9"/>
  <c r="Z58" i="3"/>
  <c r="Z61" i="3" s="1"/>
  <c r="B61" i="3" s="1"/>
  <c r="Z49" i="3"/>
  <c r="Q45" i="3"/>
  <c r="Q42" i="9" s="1"/>
  <c r="Z42" i="3"/>
  <c r="Z45" i="3" s="1"/>
  <c r="B45" i="3" s="1"/>
  <c r="Z35" i="3"/>
  <c r="Z38" i="3" s="1"/>
  <c r="B38" i="3" s="1"/>
  <c r="Q41" i="9"/>
  <c r="Y32" i="2"/>
  <c r="X60" i="9" s="1"/>
  <c r="X32" i="2"/>
  <c r="W60" i="9" s="1"/>
  <c r="V32" i="2"/>
  <c r="U60" i="9" s="1"/>
  <c r="U32" i="2"/>
  <c r="T60" i="9" s="1"/>
  <c r="T32" i="2"/>
  <c r="S60" i="9" s="1"/>
  <c r="S32" i="2"/>
  <c r="R60" i="9" s="1"/>
  <c r="Q32" i="2"/>
  <c r="P60" i="9" s="1"/>
  <c r="P32" i="2"/>
  <c r="O60" i="9" s="1"/>
  <c r="O32" i="2"/>
  <c r="N60" i="9" s="1"/>
  <c r="N32" i="2"/>
  <c r="M60" i="9" s="1"/>
  <c r="M32" i="2"/>
  <c r="L60" i="9" s="1"/>
  <c r="L32" i="2"/>
  <c r="K60" i="9" s="1"/>
  <c r="K32" i="2"/>
  <c r="J60" i="9" s="1"/>
  <c r="J32" i="2"/>
  <c r="I60" i="9" s="1"/>
  <c r="I32" i="2"/>
  <c r="H60" i="9" s="1"/>
  <c r="H32" i="2"/>
  <c r="G60" i="9" s="1"/>
  <c r="G32" i="2"/>
  <c r="F60" i="9" s="1"/>
  <c r="F32" i="2"/>
  <c r="E60" i="9" s="1"/>
  <c r="V34" i="6" l="1"/>
  <c r="M22" i="6"/>
  <c r="V33" i="6"/>
  <c r="V24" i="6"/>
  <c r="X22" i="6"/>
  <c r="L22" i="6"/>
  <c r="V19" i="6"/>
  <c r="V22" i="6" s="1"/>
  <c r="G22" i="6"/>
  <c r="Q24" i="6"/>
  <c r="V20" i="6"/>
  <c r="V27" i="6"/>
  <c r="I22" i="6"/>
  <c r="Q20" i="6"/>
  <c r="N22" i="6"/>
  <c r="Q35" i="6"/>
  <c r="J22" i="6"/>
  <c r="V35" i="6"/>
  <c r="Q27" i="6"/>
  <c r="Q33" i="6"/>
  <c r="Q34" i="6"/>
  <c r="Q28" i="6"/>
  <c r="Q32" i="6"/>
  <c r="Q19" i="6"/>
  <c r="E16" i="13" s="1"/>
  <c r="E18" i="13" s="1"/>
  <c r="E22" i="6"/>
  <c r="S22" i="6"/>
  <c r="Q26" i="6"/>
  <c r="V32" i="6"/>
  <c r="Q29" i="6"/>
  <c r="T22" i="6"/>
  <c r="V30" i="6"/>
  <c r="U22" i="6"/>
  <c r="W22" i="6"/>
  <c r="G16" i="13"/>
  <c r="G18" i="13" s="1"/>
  <c r="H22" i="6"/>
  <c r="Z54" i="3"/>
  <c r="B54" i="3" s="1"/>
  <c r="V26" i="6"/>
  <c r="Q25" i="6"/>
  <c r="Q30" i="6"/>
  <c r="V25" i="6"/>
  <c r="V28" i="6"/>
  <c r="P22" i="6"/>
  <c r="V29" i="6"/>
  <c r="R23" i="6"/>
  <c r="R40" i="9"/>
  <c r="B23" i="3"/>
  <c r="R32" i="2"/>
  <c r="Q60" i="9" s="1"/>
  <c r="W32" i="2"/>
  <c r="V60" i="9" s="1"/>
  <c r="F16" i="13" l="1"/>
  <c r="F18" i="13" s="1"/>
  <c r="Q22" i="6"/>
  <c r="U28" i="3"/>
  <c r="U31" i="3" s="1"/>
  <c r="S28" i="3"/>
  <c r="Q27" i="3"/>
  <c r="Y18" i="2"/>
  <c r="Y21" i="2" s="1"/>
  <c r="X18" i="2"/>
  <c r="X21" i="2" s="1"/>
  <c r="V18" i="2"/>
  <c r="V21" i="2" s="1"/>
  <c r="U18" i="2"/>
  <c r="U21" i="2" s="1"/>
  <c r="T18" i="2"/>
  <c r="T21" i="2" s="1"/>
  <c r="S18" i="2"/>
  <c r="S21" i="2" s="1"/>
  <c r="Q18" i="2"/>
  <c r="Q21" i="2" s="1"/>
  <c r="P18" i="2"/>
  <c r="P21" i="2" s="1"/>
  <c r="O18" i="2"/>
  <c r="O21" i="2" s="1"/>
  <c r="N18" i="2"/>
  <c r="N21" i="2" s="1"/>
  <c r="M18" i="2"/>
  <c r="M21" i="2" s="1"/>
  <c r="L18" i="2"/>
  <c r="L21" i="2" s="1"/>
  <c r="K18" i="2"/>
  <c r="K21" i="2" s="1"/>
  <c r="J18" i="2"/>
  <c r="J21" i="2" s="1"/>
  <c r="I18" i="2"/>
  <c r="I21" i="2" s="1"/>
  <c r="H18" i="2"/>
  <c r="H21" i="2" s="1"/>
  <c r="G18" i="2"/>
  <c r="G21" i="2" s="1"/>
  <c r="F18" i="2"/>
  <c r="F21" i="2" s="1"/>
  <c r="V5" i="2"/>
  <c r="U5" i="2"/>
  <c r="T5" i="2"/>
  <c r="Q5" i="2"/>
  <c r="Q15" i="2" s="1"/>
  <c r="B15" i="2"/>
  <c r="V28" i="3" l="1"/>
  <c r="U23" i="6"/>
  <c r="U40" i="9"/>
  <c r="V31" i="3"/>
  <c r="V40" i="9" s="1"/>
  <c r="S31" i="3"/>
  <c r="Z27" i="3"/>
  <c r="B27" i="3" s="1"/>
  <c r="I28" i="3"/>
  <c r="I31" i="3" s="1"/>
  <c r="M28" i="3"/>
  <c r="M31" i="3" s="1"/>
  <c r="E28" i="3"/>
  <c r="E31" i="3" s="1"/>
  <c r="H28" i="3"/>
  <c r="H31" i="3" s="1"/>
  <c r="L28" i="3"/>
  <c r="L31" i="3" s="1"/>
  <c r="P28" i="3"/>
  <c r="P31" i="3" s="1"/>
  <c r="F28" i="3"/>
  <c r="F31" i="3" s="1"/>
  <c r="J28" i="3"/>
  <c r="J31" i="3" s="1"/>
  <c r="N28" i="3"/>
  <c r="N31" i="3" s="1"/>
  <c r="G28" i="3"/>
  <c r="G31" i="3" s="1"/>
  <c r="K28" i="3"/>
  <c r="K31" i="3" s="1"/>
  <c r="O28" i="3"/>
  <c r="O31" i="3" s="1"/>
  <c r="B23" i="2"/>
  <c r="B34" i="2" s="1"/>
  <c r="Q23" i="2"/>
  <c r="R18" i="2"/>
  <c r="R21" i="2" s="1"/>
  <c r="W18" i="2"/>
  <c r="W21" i="2" s="1"/>
  <c r="V15" i="2"/>
  <c r="Y5" i="2"/>
  <c r="Y15" i="2" s="1"/>
  <c r="Y23" i="2" s="1"/>
  <c r="X5" i="2"/>
  <c r="X15" i="2" s="1"/>
  <c r="X23" i="2" s="1"/>
  <c r="U15" i="2"/>
  <c r="T15" i="2"/>
  <c r="S5" i="2"/>
  <c r="S15" i="2" s="1"/>
  <c r="G5" i="2"/>
  <c r="H5" i="2"/>
  <c r="H15" i="2" s="1"/>
  <c r="H23" i="2" s="1"/>
  <c r="I5" i="2"/>
  <c r="I15" i="2" s="1"/>
  <c r="I23" i="2" s="1"/>
  <c r="J5" i="2"/>
  <c r="J15" i="2" s="1"/>
  <c r="J23" i="2" s="1"/>
  <c r="K5" i="2"/>
  <c r="K15" i="2" s="1"/>
  <c r="K23" i="2" s="1"/>
  <c r="L5" i="2"/>
  <c r="L15" i="2" s="1"/>
  <c r="L23" i="2" s="1"/>
  <c r="M5" i="2"/>
  <c r="M15" i="2" s="1"/>
  <c r="M23" i="2" s="1"/>
  <c r="N5" i="2"/>
  <c r="N15" i="2" s="1"/>
  <c r="N23" i="2" s="1"/>
  <c r="O5" i="2"/>
  <c r="O15" i="2" s="1"/>
  <c r="O23" i="2" s="1"/>
  <c r="P5" i="2"/>
  <c r="P15" i="2" s="1"/>
  <c r="P23" i="2" s="1"/>
  <c r="F5" i="2"/>
  <c r="F15" i="2" s="1"/>
  <c r="F23" i="2" s="1"/>
  <c r="J23" i="6" l="1"/>
  <c r="J40" i="9"/>
  <c r="H23" i="6"/>
  <c r="H40" i="9"/>
  <c r="B107" i="3"/>
  <c r="B106" i="3"/>
  <c r="K23" i="6"/>
  <c r="K40" i="9"/>
  <c r="F23" i="6"/>
  <c r="F40" i="9"/>
  <c r="E23" i="6"/>
  <c r="E40" i="9"/>
  <c r="S23" i="6"/>
  <c r="S40" i="9"/>
  <c r="G23" i="6"/>
  <c r="G40" i="9"/>
  <c r="P23" i="6"/>
  <c r="P40" i="9"/>
  <c r="M23" i="6"/>
  <c r="M40" i="9"/>
  <c r="N23" i="6"/>
  <c r="N40" i="9"/>
  <c r="L23" i="6"/>
  <c r="L40" i="9"/>
  <c r="I23" i="6"/>
  <c r="I40" i="9"/>
  <c r="O23" i="6"/>
  <c r="O40" i="9"/>
  <c r="T23" i="2"/>
  <c r="L34" i="2"/>
  <c r="K59" i="9"/>
  <c r="K62" i="9" s="1"/>
  <c r="M30" i="9"/>
  <c r="M34" i="9" s="1"/>
  <c r="M36" i="9" s="1"/>
  <c r="X34" i="2"/>
  <c r="W59" i="9"/>
  <c r="W62" i="9" s="1"/>
  <c r="X30" i="9"/>
  <c r="P34" i="2"/>
  <c r="O59" i="9"/>
  <c r="O62" i="9" s="1"/>
  <c r="H34" i="2"/>
  <c r="G59" i="9"/>
  <c r="G62" i="9" s="1"/>
  <c r="I30" i="9"/>
  <c r="I34" i="9" s="1"/>
  <c r="I36" i="9" s="1"/>
  <c r="Q34" i="2"/>
  <c r="P59" i="9"/>
  <c r="P62" i="9" s="1"/>
  <c r="O34" i="2"/>
  <c r="N59" i="9"/>
  <c r="N62" i="9" s="1"/>
  <c r="P30" i="9"/>
  <c r="P34" i="9" s="1"/>
  <c r="P36" i="9" s="1"/>
  <c r="K34" i="2"/>
  <c r="J59" i="9"/>
  <c r="J62" i="9" s="1"/>
  <c r="L30" i="9"/>
  <c r="L34" i="9" s="1"/>
  <c r="L36" i="9" s="1"/>
  <c r="N34" i="2"/>
  <c r="M59" i="9"/>
  <c r="M62" i="9" s="1"/>
  <c r="O30" i="9"/>
  <c r="O34" i="9" s="1"/>
  <c r="O36" i="9" s="1"/>
  <c r="J34" i="2"/>
  <c r="I59" i="9"/>
  <c r="I62" i="9" s="1"/>
  <c r="K30" i="9"/>
  <c r="Y34" i="2"/>
  <c r="X59" i="9"/>
  <c r="X62" i="9" s="1"/>
  <c r="F34" i="2"/>
  <c r="E59" i="9"/>
  <c r="E62" i="9" s="1"/>
  <c r="G30" i="9"/>
  <c r="M34" i="2"/>
  <c r="L59" i="9"/>
  <c r="L62" i="9" s="1"/>
  <c r="N30" i="9"/>
  <c r="I34" i="2"/>
  <c r="H59" i="9"/>
  <c r="H62" i="9" s="1"/>
  <c r="J30" i="9"/>
  <c r="J34" i="9" s="1"/>
  <c r="J36" i="9" s="1"/>
  <c r="T34" i="2"/>
  <c r="S59" i="9"/>
  <c r="S62" i="9" s="1"/>
  <c r="T30" i="9"/>
  <c r="V23" i="6"/>
  <c r="Q28" i="3"/>
  <c r="Q31" i="3" s="1"/>
  <c r="Q40" i="9" s="1"/>
  <c r="V23" i="2"/>
  <c r="U23" i="2"/>
  <c r="W5" i="2"/>
  <c r="W15" i="2" s="1"/>
  <c r="S23" i="2"/>
  <c r="R5" i="2"/>
  <c r="R15" i="2" s="1"/>
  <c r="R23" i="2" s="1"/>
  <c r="G15" i="2"/>
  <c r="G23" i="2" s="1"/>
  <c r="Q23" i="6" l="1"/>
  <c r="E4" i="13" s="1"/>
  <c r="F4" i="13"/>
  <c r="U106" i="3"/>
  <c r="P106" i="3"/>
  <c r="L106" i="3"/>
  <c r="H106" i="3"/>
  <c r="T106" i="3"/>
  <c r="O106" i="3"/>
  <c r="K106" i="3"/>
  <c r="G106" i="3"/>
  <c r="X106" i="3"/>
  <c r="S106" i="3"/>
  <c r="N106" i="3"/>
  <c r="J106" i="3"/>
  <c r="F106" i="3"/>
  <c r="W106" i="3"/>
  <c r="R106" i="3"/>
  <c r="M106" i="3"/>
  <c r="I106" i="3"/>
  <c r="E106" i="3"/>
  <c r="X107" i="3"/>
  <c r="S107" i="3"/>
  <c r="N107" i="3"/>
  <c r="J107" i="3"/>
  <c r="F107" i="3"/>
  <c r="W107" i="3"/>
  <c r="R107" i="3"/>
  <c r="M107" i="3"/>
  <c r="I107" i="3"/>
  <c r="E107" i="3"/>
  <c r="U107" i="3"/>
  <c r="P107" i="3"/>
  <c r="L107" i="3"/>
  <c r="H107" i="3"/>
  <c r="T107" i="3"/>
  <c r="O107" i="3"/>
  <c r="K107" i="3"/>
  <c r="G107" i="3"/>
  <c r="R34" i="2"/>
  <c r="Q59" i="9"/>
  <c r="Q62" i="9" s="1"/>
  <c r="U34" i="2"/>
  <c r="T59" i="9"/>
  <c r="T62" i="9" s="1"/>
  <c r="U30" i="9"/>
  <c r="G34" i="9"/>
  <c r="G36" i="9" s="1"/>
  <c r="G34" i="2"/>
  <c r="F59" i="9"/>
  <c r="F62" i="9" s="1"/>
  <c r="H30" i="9"/>
  <c r="Q30" i="9" s="1"/>
  <c r="V34" i="2"/>
  <c r="U59" i="9"/>
  <c r="U62" i="9" s="1"/>
  <c r="W30" i="9"/>
  <c r="S34" i="2"/>
  <c r="R59" i="9"/>
  <c r="R62" i="9" s="1"/>
  <c r="S30" i="9"/>
  <c r="R30" i="9"/>
  <c r="W23" i="2"/>
  <c r="E110" i="3" l="1"/>
  <c r="W110" i="3"/>
  <c r="S110" i="3"/>
  <c r="P110" i="3"/>
  <c r="I110" i="3"/>
  <c r="F110" i="3"/>
  <c r="X110" i="3"/>
  <c r="T110" i="3"/>
  <c r="U110" i="3"/>
  <c r="O110" i="3"/>
  <c r="M110" i="3"/>
  <c r="J110" i="3"/>
  <c r="G110" i="3"/>
  <c r="H110" i="3"/>
  <c r="R110" i="3"/>
  <c r="N110" i="3"/>
  <c r="K110" i="3"/>
  <c r="L110" i="3"/>
  <c r="Q107" i="3"/>
  <c r="Z107" i="3" s="1"/>
  <c r="V106" i="3"/>
  <c r="V107" i="3"/>
  <c r="Q106" i="3"/>
  <c r="W34" i="2"/>
  <c r="V59" i="9"/>
  <c r="V62" i="9" s="1"/>
  <c r="V30" i="9"/>
  <c r="W31" i="3"/>
  <c r="X31" i="3"/>
  <c r="V110" i="3" l="1"/>
  <c r="Q110" i="3"/>
  <c r="S31" i="6"/>
  <c r="S38" i="6" s="1"/>
  <c r="S50" i="9"/>
  <c r="S56" i="9" s="1"/>
  <c r="V50" i="9"/>
  <c r="V56" i="9" s="1"/>
  <c r="J31" i="6"/>
  <c r="J38" i="6" s="1"/>
  <c r="J50" i="9"/>
  <c r="J56" i="9" s="1"/>
  <c r="X31" i="6"/>
  <c r="X50" i="9"/>
  <c r="L31" i="6"/>
  <c r="L38" i="6" s="1"/>
  <c r="L50" i="9"/>
  <c r="L56" i="9" s="1"/>
  <c r="M31" i="6"/>
  <c r="M38" i="6" s="1"/>
  <c r="M50" i="9"/>
  <c r="M56" i="9" s="1"/>
  <c r="F31" i="6"/>
  <c r="F38" i="6" s="1"/>
  <c r="F50" i="9"/>
  <c r="F56" i="9" s="1"/>
  <c r="X23" i="6"/>
  <c r="X40" i="9"/>
  <c r="X56" i="9" s="1"/>
  <c r="W23" i="6"/>
  <c r="W40" i="9"/>
  <c r="W31" i="6"/>
  <c r="W50" i="9"/>
  <c r="R31" i="6"/>
  <c r="R50" i="9"/>
  <c r="R56" i="9" s="1"/>
  <c r="P31" i="6"/>
  <c r="P38" i="6" s="1"/>
  <c r="P50" i="9"/>
  <c r="P56" i="9" s="1"/>
  <c r="E31" i="6"/>
  <c r="E50" i="9"/>
  <c r="E56" i="9" s="1"/>
  <c r="K31" i="6"/>
  <c r="K38" i="6" s="1"/>
  <c r="K50" i="9"/>
  <c r="K56" i="9" s="1"/>
  <c r="H31" i="6"/>
  <c r="H38" i="6" s="1"/>
  <c r="H50" i="9"/>
  <c r="H56" i="9" s="1"/>
  <c r="U31" i="6"/>
  <c r="U38" i="6" s="1"/>
  <c r="U50" i="9"/>
  <c r="U56" i="9" s="1"/>
  <c r="I31" i="6"/>
  <c r="I38" i="6" s="1"/>
  <c r="I50" i="9"/>
  <c r="I56" i="9" s="1"/>
  <c r="O31" i="6"/>
  <c r="O38" i="6" s="1"/>
  <c r="O50" i="9"/>
  <c r="O56" i="9" s="1"/>
  <c r="Z106" i="3"/>
  <c r="Z110" i="3" s="1"/>
  <c r="B110" i="3" s="1"/>
  <c r="Q50" i="9"/>
  <c r="Q56" i="9" s="1"/>
  <c r="N31" i="6"/>
  <c r="N38" i="6" s="1"/>
  <c r="N50" i="9"/>
  <c r="N56" i="9" s="1"/>
  <c r="G31" i="6"/>
  <c r="G38" i="6" s="1"/>
  <c r="G50" i="9"/>
  <c r="G56" i="9" s="1"/>
  <c r="T31" i="6"/>
  <c r="T38" i="6" s="1"/>
  <c r="T50" i="9"/>
  <c r="T56" i="9" s="1"/>
  <c r="Z28" i="3"/>
  <c r="W56" i="9" l="1"/>
  <c r="Z31" i="3"/>
  <c r="B31" i="3" s="1"/>
  <c r="B28" i="3"/>
  <c r="Q31" i="6"/>
  <c r="E38" i="6"/>
  <c r="V31" i="6"/>
  <c r="R38" i="6"/>
  <c r="W38" i="6"/>
  <c r="G4" i="13"/>
  <c r="I34" i="11"/>
  <c r="X38" i="6"/>
  <c r="H4" i="13"/>
  <c r="K34" i="11"/>
  <c r="F72" i="9"/>
  <c r="F74" i="9" s="1"/>
  <c r="F76" i="9" s="1"/>
  <c r="J72" i="9"/>
  <c r="J74" i="9" s="1"/>
  <c r="J76" i="9" s="1"/>
  <c r="L72" i="9"/>
  <c r="L74" i="9" s="1"/>
  <c r="L76" i="9" s="1"/>
  <c r="I72" i="9"/>
  <c r="I74" i="9" s="1"/>
  <c r="I76" i="9" s="1"/>
  <c r="P72" i="9"/>
  <c r="P74" i="9" s="1"/>
  <c r="P76" i="9" s="1"/>
  <c r="O72" i="9"/>
  <c r="O74" i="9" s="1"/>
  <c r="O76" i="9" s="1"/>
  <c r="M72" i="9"/>
  <c r="M74" i="9" s="1"/>
  <c r="M76" i="9" s="1"/>
  <c r="E72" i="9"/>
  <c r="E74" i="9" s="1"/>
  <c r="E76" i="9" s="1"/>
  <c r="E78" i="9" s="1"/>
  <c r="H12" i="12" l="1"/>
  <c r="Q38" i="6"/>
  <c r="E34" i="11"/>
  <c r="H14" i="13"/>
  <c r="V38" i="6"/>
  <c r="G34" i="11"/>
  <c r="G12" i="12" s="1"/>
  <c r="F78" i="9"/>
  <c r="G72" i="9"/>
  <c r="G74" i="9" s="1"/>
  <c r="G76" i="9" s="1"/>
  <c r="F14" i="13" l="1"/>
  <c r="G14" i="13"/>
  <c r="F12" i="12"/>
  <c r="E14" i="13"/>
  <c r="E12" i="12"/>
  <c r="G78" i="9"/>
  <c r="E84" i="9" s="1"/>
  <c r="E85" i="9" l="1"/>
  <c r="G40" i="6" s="1"/>
  <c r="H65" i="9"/>
  <c r="F39" i="6"/>
  <c r="E39" i="6"/>
  <c r="G39" i="6"/>
  <c r="H29" i="9" l="1"/>
  <c r="H34" i="9" s="1"/>
  <c r="H36" i="9" s="1"/>
  <c r="F40" i="6"/>
  <c r="F42" i="6" s="1"/>
  <c r="F44" i="6" s="1"/>
  <c r="E40" i="6"/>
  <c r="E42" i="6" s="1"/>
  <c r="E44" i="6" s="1"/>
  <c r="G42" i="6"/>
  <c r="G44" i="6" s="1"/>
  <c r="Q67" i="9"/>
  <c r="H72" i="9"/>
  <c r="H74" i="9" s="1"/>
  <c r="H76" i="9" l="1"/>
  <c r="H78" i="9" s="1"/>
  <c r="I78" i="9" s="1"/>
  <c r="J78" i="9" s="1"/>
  <c r="H85" i="9" l="1"/>
  <c r="H84" i="9"/>
  <c r="J39" i="6" l="1"/>
  <c r="K65" i="9"/>
  <c r="H39" i="6"/>
  <c r="I39" i="6"/>
  <c r="H40" i="6"/>
  <c r="I40" i="6"/>
  <c r="K29" i="9"/>
  <c r="J40" i="6"/>
  <c r="H42" i="6" l="1"/>
  <c r="H44" i="6" s="1"/>
  <c r="K72" i="9"/>
  <c r="K74" i="9" s="1"/>
  <c r="J42" i="6"/>
  <c r="J44" i="6" s="1"/>
  <c r="K34" i="9"/>
  <c r="K36" i="9" s="1"/>
  <c r="I42" i="6"/>
  <c r="I44" i="6" s="1"/>
  <c r="K76" i="9" l="1"/>
  <c r="K78" i="9" s="1"/>
  <c r="L78" i="9" l="1"/>
  <c r="M78" i="9" s="1"/>
  <c r="K85" i="9" l="1"/>
  <c r="K84" i="9"/>
  <c r="K39" i="6" l="1"/>
  <c r="M39" i="6"/>
  <c r="L39" i="6"/>
  <c r="N65" i="9"/>
  <c r="M40" i="6"/>
  <c r="L40" i="6"/>
  <c r="K40" i="6"/>
  <c r="N29" i="9"/>
  <c r="L42" i="6" l="1"/>
  <c r="L44" i="6" s="1"/>
  <c r="M42" i="6"/>
  <c r="M44" i="6" s="1"/>
  <c r="N72" i="9"/>
  <c r="N74" i="9" s="1"/>
  <c r="Q65" i="9"/>
  <c r="Q72" i="9" s="1"/>
  <c r="Q74" i="9" s="1"/>
  <c r="N34" i="9"/>
  <c r="N36" i="9" s="1"/>
  <c r="Q29" i="9"/>
  <c r="Q34" i="9" s="1"/>
  <c r="Q36" i="9" s="1"/>
  <c r="K42" i="6"/>
  <c r="K44" i="6" s="1"/>
  <c r="C7" i="14" l="1"/>
  <c r="C5" i="14"/>
  <c r="C6" i="14"/>
  <c r="C4" i="14"/>
  <c r="Q76" i="9"/>
  <c r="N76" i="9"/>
  <c r="N78" i="9" s="1"/>
  <c r="O78" i="9" l="1"/>
  <c r="P78" i="9" s="1"/>
  <c r="N85" i="9" l="1"/>
  <c r="N84" i="9"/>
  <c r="Q78" i="9"/>
  <c r="E36" i="11" l="1"/>
  <c r="E18" i="11"/>
  <c r="O39" i="6"/>
  <c r="N39" i="6"/>
  <c r="R65" i="9"/>
  <c r="P39" i="6"/>
  <c r="Q84" i="9"/>
  <c r="O40" i="6"/>
  <c r="R29" i="9"/>
  <c r="P40" i="6"/>
  <c r="N40" i="6"/>
  <c r="Q85" i="9"/>
  <c r="Q40" i="6" l="1"/>
  <c r="E10" i="13" s="1"/>
  <c r="P42" i="6"/>
  <c r="P44" i="6" s="1"/>
  <c r="R34" i="9"/>
  <c r="R36" i="9" s="1"/>
  <c r="R72" i="9"/>
  <c r="R74" i="9" s="1"/>
  <c r="N42" i="6"/>
  <c r="N44" i="6" s="1"/>
  <c r="Q39" i="6"/>
  <c r="O42" i="6"/>
  <c r="O44" i="6" s="1"/>
  <c r="Q42" i="6" l="1"/>
  <c r="Q44" i="6" s="1"/>
  <c r="Q49" i="6" s="1"/>
  <c r="R76" i="9"/>
  <c r="R78" i="9" s="1"/>
  <c r="R85" i="9" l="1"/>
  <c r="R84" i="9"/>
  <c r="Q54" i="6"/>
  <c r="Q50" i="6"/>
  <c r="Q52" i="6" s="1"/>
  <c r="V51" i="6" s="1"/>
  <c r="S65" i="9" l="1"/>
  <c r="R39" i="6"/>
  <c r="Q55" i="6"/>
  <c r="Q56" i="6" s="1"/>
  <c r="R40" i="6"/>
  <c r="S29" i="9"/>
  <c r="Q45" i="6" l="1"/>
  <c r="L45" i="6" s="1"/>
  <c r="L47" i="6" s="1"/>
  <c r="E33" i="11"/>
  <c r="R42" i="6"/>
  <c r="R44" i="6" s="1"/>
  <c r="S34" i="9"/>
  <c r="S36" i="9" s="1"/>
  <c r="S72" i="9"/>
  <c r="S74" i="9" s="1"/>
  <c r="Q47" i="6" l="1"/>
  <c r="E28" i="11" s="1"/>
  <c r="G27" i="11" s="1"/>
  <c r="F45" i="6"/>
  <c r="F47" i="6" s="1"/>
  <c r="M45" i="6"/>
  <c r="M47" i="6" s="1"/>
  <c r="G45" i="6"/>
  <c r="G47" i="6" s="1"/>
  <c r="J45" i="6"/>
  <c r="J47" i="6" s="1"/>
  <c r="H45" i="6"/>
  <c r="H47" i="6" s="1"/>
  <c r="P45" i="6"/>
  <c r="P47" i="6" s="1"/>
  <c r="K45" i="6"/>
  <c r="K47" i="6" s="1"/>
  <c r="E45" i="6"/>
  <c r="E47" i="6" s="1"/>
  <c r="O45" i="6"/>
  <c r="O47" i="6" s="1"/>
  <c r="I45" i="6"/>
  <c r="I47" i="6" s="1"/>
  <c r="N45" i="6"/>
  <c r="N47" i="6" s="1"/>
  <c r="E6" i="12"/>
  <c r="S76" i="9"/>
  <c r="S78" i="9" s="1"/>
  <c r="S85" i="9" s="1"/>
  <c r="E4" i="12" l="1"/>
  <c r="E8" i="12" s="1"/>
  <c r="E30" i="11"/>
  <c r="E35" i="11" s="1"/>
  <c r="S84" i="9"/>
  <c r="T65" i="9" s="1"/>
  <c r="S40" i="6"/>
  <c r="T29" i="9"/>
  <c r="E17" i="11" l="1"/>
  <c r="E13" i="12" s="1"/>
  <c r="E38" i="11"/>
  <c r="E14" i="12"/>
  <c r="S39" i="6"/>
  <c r="S42" i="6" s="1"/>
  <c r="S44" i="6" s="1"/>
  <c r="T72" i="9"/>
  <c r="T74" i="9" s="1"/>
  <c r="T34" i="9"/>
  <c r="T36" i="9" s="1"/>
  <c r="E20" i="11" l="1"/>
  <c r="E22" i="11" s="1"/>
  <c r="F15" i="11" s="1"/>
  <c r="E40" i="11"/>
  <c r="E16" i="12"/>
  <c r="E18" i="12" s="1"/>
  <c r="T76" i="9"/>
  <c r="T78" i="9" s="1"/>
  <c r="T85" i="9" s="1"/>
  <c r="F9" i="11" l="1"/>
  <c r="F16" i="11"/>
  <c r="F6" i="11"/>
  <c r="F17" i="11"/>
  <c r="F10" i="11"/>
  <c r="F7" i="11"/>
  <c r="F18" i="11"/>
  <c r="F8" i="11"/>
  <c r="E6" i="13"/>
  <c r="F34" i="11"/>
  <c r="F35" i="11"/>
  <c r="F36" i="11"/>
  <c r="F28" i="11"/>
  <c r="F33" i="11"/>
  <c r="F26" i="11"/>
  <c r="E8" i="13"/>
  <c r="T84" i="9"/>
  <c r="T39" i="6" s="1"/>
  <c r="T40" i="6"/>
  <c r="U29" i="9"/>
  <c r="F20" i="11" l="1"/>
  <c r="F12" i="11"/>
  <c r="F30" i="11"/>
  <c r="F38" i="11"/>
  <c r="U65" i="9"/>
  <c r="U72" i="9" s="1"/>
  <c r="U74" i="9" s="1"/>
  <c r="U34" i="9"/>
  <c r="U36" i="9" s="1"/>
  <c r="V29" i="9"/>
  <c r="V34" i="9" s="1"/>
  <c r="V36" i="9" s="1"/>
  <c r="T42" i="6"/>
  <c r="T44" i="6" s="1"/>
  <c r="D6" i="14" l="1"/>
  <c r="D4" i="14"/>
  <c r="F22" i="11"/>
  <c r="F40" i="11"/>
  <c r="V65" i="9"/>
  <c r="V72" i="9" s="1"/>
  <c r="V74" i="9" s="1"/>
  <c r="U76" i="9"/>
  <c r="U78" i="9" s="1"/>
  <c r="U84" i="9" s="1"/>
  <c r="D7" i="14" l="1"/>
  <c r="D5" i="14"/>
  <c r="V76" i="9"/>
  <c r="V78" i="9"/>
  <c r="G18" i="11" s="1"/>
  <c r="U85" i="9"/>
  <c r="V85" i="9" s="1"/>
  <c r="W65" i="9"/>
  <c r="W72" i="9" s="1"/>
  <c r="W74" i="9" s="1"/>
  <c r="U39" i="6"/>
  <c r="V84" i="9"/>
  <c r="E7" i="14" l="1"/>
  <c r="E5" i="14"/>
  <c r="W85" i="9"/>
  <c r="X29" i="9" s="1"/>
  <c r="X34" i="9" s="1"/>
  <c r="X36" i="9" s="1"/>
  <c r="F4" i="14" s="1"/>
  <c r="G36" i="11"/>
  <c r="W29" i="9"/>
  <c r="W34" i="9" s="1"/>
  <c r="W36" i="9" s="1"/>
  <c r="U40" i="6"/>
  <c r="V40" i="6" s="1"/>
  <c r="F10" i="13" s="1"/>
  <c r="W84" i="9"/>
  <c r="X65" i="9" s="1"/>
  <c r="X72" i="9" s="1"/>
  <c r="X74" i="9" s="1"/>
  <c r="V39" i="6"/>
  <c r="F7" i="14" l="1"/>
  <c r="F5" i="14"/>
  <c r="E6" i="14"/>
  <c r="E4" i="14"/>
  <c r="C25" i="14" s="1"/>
  <c r="W76" i="9"/>
  <c r="W78" i="9" s="1"/>
  <c r="X84" i="9" s="1"/>
  <c r="X39" i="6" s="1"/>
  <c r="W40" i="6"/>
  <c r="G10" i="13" s="1"/>
  <c r="V42" i="6"/>
  <c r="V44" i="6" s="1"/>
  <c r="V49" i="6" s="1"/>
  <c r="U42" i="6"/>
  <c r="U44" i="6" s="1"/>
  <c r="W39" i="6"/>
  <c r="X76" i="9"/>
  <c r="F6" i="14" l="1"/>
  <c r="X78" i="9"/>
  <c r="K36" i="11" s="1"/>
  <c r="I18" i="11"/>
  <c r="I36" i="11"/>
  <c r="X85" i="9"/>
  <c r="X40" i="6" s="1"/>
  <c r="H10" i="13" s="1"/>
  <c r="W42" i="6"/>
  <c r="W44" i="6" s="1"/>
  <c r="W49" i="6" s="1"/>
  <c r="V54" i="6"/>
  <c r="V50" i="6"/>
  <c r="K18" i="11" l="1"/>
  <c r="X42" i="6"/>
  <c r="X44" i="6" s="1"/>
  <c r="X49" i="6" s="1"/>
  <c r="X50" i="6" s="1"/>
  <c r="V55" i="6"/>
  <c r="V56" i="6" s="1"/>
  <c r="W50" i="6"/>
  <c r="V52" i="6"/>
  <c r="W51" i="6" s="1"/>
  <c r="W52" i="6" l="1"/>
  <c r="X51" i="6" s="1"/>
  <c r="X54" i="6" s="1"/>
  <c r="X55" i="6" s="1"/>
  <c r="X56" i="6" s="1"/>
  <c r="V45" i="6"/>
  <c r="R45" i="6" s="1"/>
  <c r="R47" i="6" s="1"/>
  <c r="G33" i="11"/>
  <c r="W54" i="6"/>
  <c r="W55" i="6" s="1"/>
  <c r="W56" i="6" s="1"/>
  <c r="X52" i="6" l="1"/>
  <c r="S45" i="6"/>
  <c r="S47" i="6" s="1"/>
  <c r="U45" i="6"/>
  <c r="U47" i="6" s="1"/>
  <c r="V47" i="6"/>
  <c r="F4" i="12" s="1"/>
  <c r="T45" i="6"/>
  <c r="T47" i="6" s="1"/>
  <c r="F6" i="12"/>
  <c r="W45" i="6"/>
  <c r="W47" i="6" s="1"/>
  <c r="I33" i="11"/>
  <c r="X45" i="6"/>
  <c r="X47" i="6" s="1"/>
  <c r="K33" i="11"/>
  <c r="G28" i="11" l="1"/>
  <c r="G30" i="11" s="1"/>
  <c r="G35" i="11" s="1"/>
  <c r="F8" i="12"/>
  <c r="H6" i="12"/>
  <c r="I28" i="11"/>
  <c r="G4" i="12"/>
  <c r="K28" i="11"/>
  <c r="H4" i="12"/>
  <c r="G6" i="12"/>
  <c r="G17" i="11" l="1"/>
  <c r="F13" i="12" s="1"/>
  <c r="I27" i="11"/>
  <c r="K27" i="11" s="1"/>
  <c r="K30" i="11" s="1"/>
  <c r="K35" i="11" s="1"/>
  <c r="H8" i="12"/>
  <c r="F14" i="12"/>
  <c r="G8" i="12"/>
  <c r="G38" i="11"/>
  <c r="I30" i="11" l="1"/>
  <c r="I35" i="11" s="1"/>
  <c r="G14" i="12" s="1"/>
  <c r="F16" i="12"/>
  <c r="F18" i="12" s="1"/>
  <c r="G20" i="11"/>
  <c r="G22" i="11" s="1"/>
  <c r="H18" i="11" s="1"/>
  <c r="K17" i="11"/>
  <c r="K20" i="11" s="1"/>
  <c r="K22" i="11" s="1"/>
  <c r="G40" i="11"/>
  <c r="F6" i="13" s="1"/>
  <c r="K38" i="11"/>
  <c r="I38" i="11" l="1"/>
  <c r="I40" i="11" s="1"/>
  <c r="G6" i="13" s="1"/>
  <c r="H14" i="12"/>
  <c r="I17" i="11"/>
  <c r="I20" i="11" s="1"/>
  <c r="I22" i="11" s="1"/>
  <c r="J15" i="11" s="1"/>
  <c r="H9" i="11"/>
  <c r="F8" i="13"/>
  <c r="H33" i="11"/>
  <c r="H36" i="11"/>
  <c r="H16" i="11"/>
  <c r="H10" i="11"/>
  <c r="H17" i="11"/>
  <c r="H15" i="11"/>
  <c r="H7" i="11"/>
  <c r="H6" i="11"/>
  <c r="H8" i="11"/>
  <c r="H28" i="11"/>
  <c r="K40" i="11"/>
  <c r="H6" i="13" s="1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H13" i="12" l="1"/>
  <c r="H16" i="12" s="1"/>
  <c r="H18" i="12" s="1"/>
  <c r="G13" i="12"/>
  <c r="G16" i="12" s="1"/>
  <c r="G18" i="12" s="1"/>
  <c r="H12" i="11"/>
  <c r="J16" i="11"/>
  <c r="H20" i="11"/>
  <c r="J18" i="11"/>
  <c r="J10" i="11"/>
  <c r="J8" i="11"/>
  <c r="L26" i="11"/>
  <c r="L35" i="11"/>
  <c r="L33" i="11"/>
  <c r="H8" i="13"/>
  <c r="H30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H22" i="11" l="1"/>
  <c r="J20" i="11"/>
  <c r="H40" i="11"/>
  <c r="J30" i="11"/>
  <c r="J38" i="11"/>
  <c r="J12" i="11"/>
  <c r="L38" i="11"/>
  <c r="L30" i="11"/>
  <c r="L22" i="11"/>
  <c r="J22" i="11" l="1"/>
  <c r="J40" i="11"/>
  <c r="L40" i="11"/>
</calcChain>
</file>

<file path=xl/sharedStrings.xml><?xml version="1.0" encoding="utf-8"?>
<sst xmlns="http://schemas.openxmlformats.org/spreadsheetml/2006/main" count="731" uniqueCount="274">
  <si>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</si>
  <si>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</si>
  <si>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</si>
  <si>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</si>
  <si>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</si>
  <si>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</si>
  <si>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</si>
  <si>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</si>
  <si>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</si>
  <si>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</si>
  <si>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</si>
  <si>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</si>
  <si>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</si>
  <si>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</si>
  <si>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</si>
  <si>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</si>
  <si>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</si>
  <si>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</si>
  <si>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</si>
  <si>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</si>
  <si>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</si>
  <si>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</si>
  <si>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</si>
  <si>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</si>
  <si>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</si>
  <si>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</si>
  <si>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</si>
  <si>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</si>
  <si>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</si>
  <si>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</si>
  <si>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</si>
  <si>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</si>
  <si>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</si>
  <si>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</si>
  <si>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</si>
  <si>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</si>
  <si>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</si>
  <si>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</si>
  <si>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</si>
  <si>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</si>
  <si>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</si>
  <si>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</si>
  <si>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</si>
  <si>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</si>
  <si>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</si>
  <si>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</si>
  <si>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</si>
  <si>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</si>
  <si>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</si>
  <si>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</si>
  <si>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</si>
  <si>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</si>
  <si>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</si>
  <si>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</si>
  <si>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</si>
  <si>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</si>
  <si>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</si>
  <si>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</si>
  <si>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</si>
  <si>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</si>
  <si>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</si>
  <si>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</si>
  <si>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</si>
  <si>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</si>
  <si>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</si>
  <si>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</si>
  <si>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</si>
  <si>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</si>
  <si>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</si>
  <si>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</si>
  <si>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</si>
  <si>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</si>
  <si>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</si>
  <si>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</si>
  <si>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</si>
  <si>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</si>
  <si>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</si>
  <si>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</si>
  <si>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</si>
  <si>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</si>
  <si>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</si>
  <si>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</si>
  <si>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</si>
  <si>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</si>
  <si>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</si>
  <si>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</si>
  <si>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</si>
  <si>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</si>
  <si>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</si>
  <si>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</si>
  <si>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</si>
  <si>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</si>
  <si>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</si>
  <si>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</si>
  <si>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</si>
  <si>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</si>
  <si>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</si>
  <si>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</si>
  <si>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</si>
  <si>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</si>
  <si>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</si>
  <si>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</si>
  <si>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</si>
  <si>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</si>
  <si>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</si>
  <si>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</si>
  <si>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</si>
  <si>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</si>
  <si>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</si>
  <si>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</si>
  <si>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</si>
  <si>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</si>
  <si>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</si>
  <si>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</si>
  <si>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</si>
  <si>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</si>
  <si>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</si>
  <si>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</si>
  <si>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</si>
  <si>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</si>
  <si>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</si>
  <si>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</si>
  <si>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</si>
  <si>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</si>
  <si>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</si>
  <si>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</si>
  <si>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</si>
  <si>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</si>
  <si>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</si>
  <si>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</si>
  <si>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</si>
  <si>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</si>
  <si>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</si>
  <si>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</si>
  <si>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</si>
  <si>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</si>
  <si>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</si>
  <si>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</si>
  <si>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</si>
  <si>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</si>
  <si>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</si>
  <si>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</si>
  <si>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</si>
  <si>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</si>
  <si>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</si>
  <si>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</si>
  <si>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</si>
  <si>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</si>
  <si>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</si>
  <si>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</si>
  <si>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</si>
  <si>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</si>
  <si>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</si>
  <si>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</si>
  <si>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</si>
  <si>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</si>
  <si>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Gebühr</t>
  </si>
  <si>
    <t>Lizenzgebühr</t>
  </si>
  <si>
    <t>Energie- 
ersparnis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</si>
  <si>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</si>
  <si>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</si>
  <si>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</si>
  <si>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</si>
  <si>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</si>
  <si>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</si>
  <si>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</si>
  <si>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</si>
  <si>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</si>
  <si>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</si>
  <si>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</si>
  <si>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</si>
  <si>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</si>
  <si>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</si>
  <si>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</si>
  <si>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</si>
  <si>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</si>
  <si>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</si>
  <si>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</si>
  <si>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</si>
  <si>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</si>
  <si>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</si>
  <si>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</si>
  <si>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</si>
  <si>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</si>
  <si>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</si>
  <si>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</si>
  <si>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</si>
  <si>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</si>
  <si>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</si>
  <si>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</si>
  <si>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</si>
  <si>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</si>
  <si>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</si>
  <si>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</si>
  <si>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</si>
  <si>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</si>
  <si>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</si>
  <si>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</si>
  <si>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</si>
  <si>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</si>
  <si>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</si>
  <si>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</si>
  <si>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</si>
  <si>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</si>
  <si>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</si>
  <si>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</si>
  <si>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</si>
  <si>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</si>
  <si>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</si>
  <si>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</si>
  <si>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</si>
  <si>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</si>
  <si>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</si>
  <si>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</si>
  <si>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</si>
  <si>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</si>
  <si>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</si>
  <si>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</si>
  <si>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</si>
  <si>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</si>
  <si>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</si>
  <si>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</si>
  <si>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</si>
  <si>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</si>
  <si>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</si>
  <si>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</si>
  <si>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</si>
  <si>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</si>
  <si>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</si>
  <si>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</si>
  <si>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</si>
  <si>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</si>
  <si>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</si>
  <si>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</si>
  <si>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</si>
  <si>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</si>
  <si>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</si>
  <si>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</si>
  <si>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</si>
  <si>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</si>
  <si>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</si>
  <si>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Geldeingangsdauer in Tagen</t>
  </si>
  <si>
    <t>Lieferantenkreditdauer in Tagen</t>
  </si>
  <si>
    <t>Lagerumschlagshäufigkeit</t>
  </si>
  <si>
    <t>Lagerdauer in Tagen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</si>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</sst>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0\ &quot;Tage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33">
    <xf numFmtId="0" fontId="0" fillId="0" borderId="0" xfId="0"/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35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0" fontId="0" fillId="7" borderId="148" xfId="0" applyNumberFormat="1" applyFill="1" applyBorder="1" applyAlignment="1" applyProtection="1">
      <alignment vertical="center"/>
      <protection locked="0"/>
    </xf>
    <xf numFmtId="164" fontId="0" fillId="0" borderId="47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54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234" xfId="0" applyNumberFormat="1" applyFill="1" applyBorder="1" applyAlignment="1" applyProtection="1">
      <alignment vertical="center"/>
    </xf>
    <xf numFmtId="164" fontId="0" fillId="0" borderId="235" xfId="0" applyNumberFormat="1" applyFill="1" applyBorder="1" applyAlignment="1" applyProtection="1">
      <alignment vertical="center"/>
    </xf>
    <xf numFmtId="164" fontId="0" fillId="0" borderId="236" xfId="0" applyNumberFormat="1" applyFill="1" applyBorder="1" applyAlignment="1" applyProtection="1">
      <alignment vertical="center"/>
    </xf>
    <xf numFmtId="164" fontId="0" fillId="0" borderId="237" xfId="0" applyNumberFormat="1" applyFill="1" applyBorder="1" applyAlignment="1" applyProtection="1">
      <alignment vertical="center"/>
    </xf>
    <xf numFmtId="164" fontId="0" fillId="0" borderId="175" xfId="0" applyNumberFormat="1" applyFill="1" applyBorder="1" applyAlignment="1" applyProtection="1">
      <alignment vertical="center"/>
    </xf>
    <xf numFmtId="164" fontId="0" fillId="2" borderId="238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9" xfId="0" applyNumberFormat="1" applyFill="1" applyBorder="1" applyAlignment="1" applyProtection="1">
      <alignment vertical="center"/>
    </xf>
    <xf numFmtId="164" fontId="0" fillId="2" borderId="240" xfId="0" applyNumberFormat="1" applyFill="1" applyBorder="1" applyAlignment="1" applyProtection="1">
      <alignment vertical="center"/>
    </xf>
    <xf numFmtId="164" fontId="0" fillId="2" borderId="254" xfId="0" applyNumberFormat="1" applyFill="1" applyBorder="1" applyAlignment="1" applyProtection="1">
      <alignment vertical="center"/>
    </xf>
    <xf numFmtId="164" fontId="0" fillId="2" borderId="153" xfId="0" applyNumberFormat="1" applyFill="1" applyBorder="1" applyAlignment="1" applyProtection="1">
      <alignment vertical="center"/>
    </xf>
    <xf numFmtId="164" fontId="0" fillId="10" borderId="42" xfId="0" applyNumberFormat="1" applyFill="1" applyBorder="1" applyAlignment="1" applyProtection="1">
      <alignment vertical="center"/>
    </xf>
    <xf numFmtId="164" fontId="0" fillId="10" borderId="174" xfId="0" applyNumberFormat="1" applyFill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7" borderId="58" xfId="0" applyNumberFormat="1" applyFill="1" applyBorder="1" applyAlignment="1" applyProtection="1">
      <alignment vertical="center"/>
      <protection locked="0"/>
    </xf>
    <xf numFmtId="164" fontId="0" fillId="7" borderId="252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164" fontId="0" fillId="7" borderId="142" xfId="0" applyNumberFormat="1" applyFill="1" applyBorder="1" applyAlignment="1" applyProtection="1">
      <alignment vertical="center"/>
      <protection locked="0"/>
    </xf>
    <xf numFmtId="164" fontId="0" fillId="7" borderId="177" xfId="0" applyNumberFormat="1" applyFill="1" applyBorder="1" applyAlignment="1" applyProtection="1">
      <alignment vertical="center"/>
      <protection locked="0"/>
    </xf>
    <xf numFmtId="10" fontId="0" fillId="0" borderId="47" xfId="0" applyNumberFormat="1" applyBorder="1" applyAlignment="1" applyProtection="1">
      <alignment vertical="center"/>
    </xf>
    <xf numFmtId="10" fontId="0" fillId="0" borderId="53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4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40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10" fontId="0" fillId="0" borderId="141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31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0" fillId="0" borderId="132" xfId="0" applyBorder="1" applyAlignment="1" applyProtection="1">
      <alignment vertical="center"/>
    </xf>
    <xf numFmtId="0" fontId="2" fillId="0" borderId="157" xfId="0" applyFont="1" applyBorder="1" applyAlignment="1" applyProtection="1">
      <alignment vertical="center"/>
    </xf>
    <xf numFmtId="164" fontId="0" fillId="0" borderId="240" xfId="0" applyNumberFormat="1" applyBorder="1" applyAlignment="1" applyProtection="1">
      <alignment vertical="center"/>
    </xf>
    <xf numFmtId="0" fontId="0" fillId="0" borderId="246" xfId="0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67" xfId="0" applyNumberFormat="1" applyFont="1" applyFill="1" applyBorder="1" applyAlignment="1" applyProtection="1">
      <alignment vertical="center"/>
    </xf>
    <xf numFmtId="164" fontId="0" fillId="0" borderId="238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9" xfId="0" applyNumberFormat="1" applyBorder="1" applyAlignment="1" applyProtection="1">
      <alignment vertical="center"/>
    </xf>
    <xf numFmtId="164" fontId="0" fillId="0" borderId="241" xfId="0" applyNumberFormat="1" applyBorder="1" applyAlignment="1" applyProtection="1">
      <alignment vertical="center"/>
    </xf>
    <xf numFmtId="164" fontId="0" fillId="0" borderId="108" xfId="0" applyNumberFormat="1" applyBorder="1" applyAlignment="1" applyProtection="1">
      <alignment vertical="center"/>
    </xf>
    <xf numFmtId="164" fontId="0" fillId="0" borderId="142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0" fontId="0" fillId="0" borderId="142" xfId="0" applyBorder="1" applyAlignment="1" applyProtection="1">
      <alignment vertical="center"/>
    </xf>
    <xf numFmtId="0" fontId="0" fillId="0" borderId="177" xfId="0" applyBorder="1" applyAlignment="1" applyProtection="1">
      <alignment vertical="center"/>
    </xf>
    <xf numFmtId="0" fontId="0" fillId="0" borderId="106" xfId="0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140" xfId="0" applyNumberFormat="1" applyFill="1" applyBorder="1" applyAlignment="1" applyProtection="1">
      <alignment vertical="center"/>
    </xf>
    <xf numFmtId="0" fontId="0" fillId="0" borderId="131" xfId="0" applyFill="1" applyBorder="1" applyAlignment="1" applyProtection="1">
      <alignment vertical="center"/>
    </xf>
    <xf numFmtId="8" fontId="12" fillId="6" borderId="258" xfId="0" applyNumberFormat="1" applyFont="1" applyFill="1" applyBorder="1" applyAlignment="1" applyProtection="1">
      <alignment vertical="center"/>
    </xf>
    <xf numFmtId="8" fontId="12" fillId="6" borderId="259" xfId="0" applyNumberFormat="1" applyFont="1" applyFill="1" applyBorder="1" applyAlignment="1" applyProtection="1">
      <alignment vertical="center"/>
    </xf>
    <xf numFmtId="8" fontId="12" fillId="6" borderId="260" xfId="0" applyNumberFormat="1" applyFont="1" applyFill="1" applyBorder="1" applyAlignment="1" applyProtection="1">
      <alignment vertical="center"/>
    </xf>
    <xf numFmtId="8" fontId="12" fillId="6" borderId="221" xfId="0" applyNumberFormat="1" applyFont="1" applyFill="1" applyBorder="1" applyAlignment="1" applyProtection="1">
      <alignment vertical="center"/>
    </xf>
    <xf numFmtId="8" fontId="12" fillId="6" borderId="261" xfId="0" applyNumberFormat="1" applyFont="1" applyFill="1" applyBorder="1" applyAlignment="1" applyProtection="1">
      <alignment vertical="center"/>
    </xf>
    <xf numFmtId="8" fontId="12" fillId="6" borderId="262" xfId="0" applyNumberFormat="1" applyFont="1" applyFill="1" applyBorder="1" applyAlignment="1" applyProtection="1">
      <alignment vertical="center"/>
    </xf>
    <xf numFmtId="8" fontId="12" fillId="6" borderId="246" xfId="0" applyNumberFormat="1" applyFont="1" applyFill="1" applyBorder="1" applyAlignment="1" applyProtection="1">
      <alignment vertical="center"/>
    </xf>
    <xf numFmtId="0" fontId="2" fillId="2" borderId="184" xfId="0" applyFont="1" applyFill="1" applyBorder="1" applyAlignment="1" applyProtection="1">
      <alignment vertical="center"/>
    </xf>
    <xf numFmtId="0" fontId="2" fillId="2" borderId="185" xfId="0" applyFont="1" applyFill="1" applyBorder="1" applyAlignment="1" applyProtection="1">
      <alignment vertical="center"/>
    </xf>
    <xf numFmtId="8" fontId="2" fillId="2" borderId="263" xfId="0" applyNumberFormat="1" applyFont="1" applyFill="1" applyBorder="1" applyAlignment="1" applyProtection="1">
      <alignment vertical="center"/>
    </xf>
    <xf numFmtId="8" fontId="2" fillId="2" borderId="264" xfId="0" applyNumberFormat="1" applyFont="1" applyFill="1" applyBorder="1" applyAlignment="1" applyProtection="1">
      <alignment vertical="center"/>
    </xf>
    <xf numFmtId="8" fontId="2" fillId="2" borderId="265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2" borderId="266" xfId="0" applyNumberFormat="1" applyFont="1" applyFill="1" applyBorder="1" applyAlignment="1" applyProtection="1">
      <alignment vertical="center"/>
    </xf>
    <xf numFmtId="8" fontId="2" fillId="2" borderId="165" xfId="0" applyNumberFormat="1" applyFont="1" applyFill="1" applyBorder="1" applyAlignment="1" applyProtection="1">
      <alignment vertical="center"/>
    </xf>
    <xf numFmtId="8" fontId="2" fillId="2" borderId="188" xfId="0" applyNumberFormat="1" applyFont="1" applyFill="1" applyBorder="1" applyAlignment="1" applyProtection="1">
      <alignment vertical="center"/>
    </xf>
    <xf numFmtId="8" fontId="2" fillId="6" borderId="268" xfId="0" applyNumberFormat="1" applyFont="1" applyFill="1" applyBorder="1" applyAlignment="1" applyProtection="1">
      <alignment vertical="center"/>
    </xf>
    <xf numFmtId="8" fontId="2" fillId="6" borderId="121" xfId="0" applyNumberFormat="1" applyFont="1" applyFill="1" applyBorder="1" applyAlignment="1" applyProtection="1">
      <alignment vertical="center"/>
    </xf>
    <xf numFmtId="8" fontId="2" fillId="6" borderId="269" xfId="0" applyNumberFormat="1" applyFont="1" applyFill="1" applyBorder="1" applyAlignment="1" applyProtection="1">
      <alignment vertical="center"/>
    </xf>
    <xf numFmtId="8" fontId="2" fillId="6" borderId="204" xfId="0" applyNumberFormat="1" applyFont="1" applyFill="1" applyBorder="1" applyAlignment="1" applyProtection="1">
      <alignment vertical="center"/>
    </xf>
    <xf numFmtId="8" fontId="2" fillId="6" borderId="270" xfId="0" applyNumberFormat="1" applyFont="1" applyFill="1" applyBorder="1" applyAlignment="1" applyProtection="1">
      <alignment vertical="center"/>
    </xf>
    <xf numFmtId="8" fontId="2" fillId="6" borderId="194" xfId="0" applyNumberFormat="1" applyFont="1" applyFill="1" applyBorder="1" applyAlignment="1" applyProtection="1">
      <alignment vertical="center"/>
    </xf>
    <xf numFmtId="8" fontId="2" fillId="6" borderId="271" xfId="0" applyNumberFormat="1" applyFont="1" applyFill="1" applyBorder="1" applyAlignment="1" applyProtection="1">
      <alignment vertical="center"/>
    </xf>
    <xf numFmtId="0" fontId="0" fillId="2" borderId="253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55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50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5" xfId="0" applyNumberFormat="1" applyFill="1" applyBorder="1" applyAlignment="1" applyProtection="1">
      <alignment vertical="center"/>
    </xf>
    <xf numFmtId="164" fontId="0" fillId="10" borderId="56" xfId="0" applyNumberFormat="1" applyFill="1" applyBorder="1" applyAlignment="1" applyProtection="1">
      <alignment vertical="center"/>
    </xf>
    <xf numFmtId="10" fontId="0" fillId="11" borderId="100" xfId="0" applyNumberFormat="1" applyFill="1" applyBorder="1" applyAlignment="1" applyProtection="1">
      <alignment vertical="center"/>
    </xf>
    <xf numFmtId="164" fontId="0" fillId="0" borderId="62" xfId="0" applyNumberFormat="1" applyFill="1" applyBorder="1" applyAlignment="1" applyProtection="1">
      <alignment vertical="center"/>
    </xf>
    <xf numFmtId="164" fontId="0" fillId="0" borderId="252" xfId="0" applyNumberFormat="1" applyFill="1" applyBorder="1" applyAlignment="1" applyProtection="1">
      <alignment vertical="center"/>
    </xf>
    <xf numFmtId="0" fontId="0" fillId="0" borderId="98" xfId="0" applyFont="1" applyBorder="1" applyAlignment="1" applyProtection="1">
      <alignment horizontal="center" vertical="center"/>
    </xf>
    <xf numFmtId="164" fontId="0" fillId="0" borderId="166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3" xfId="0" applyNumberFormat="1" applyFill="1" applyBorder="1" applyAlignment="1" applyProtection="1">
      <alignment vertical="center"/>
    </xf>
    <xf numFmtId="164" fontId="0" fillId="0" borderId="278" xfId="0" applyNumberFormat="1" applyBorder="1" applyAlignment="1" applyProtection="1">
      <alignment vertical="center"/>
    </xf>
    <xf numFmtId="164" fontId="0" fillId="7" borderId="272" xfId="0" applyNumberFormat="1" applyFill="1" applyBorder="1" applyAlignment="1" applyProtection="1">
      <alignment vertical="center"/>
      <protection locked="0"/>
    </xf>
    <xf numFmtId="10" fontId="0" fillId="7" borderId="273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52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0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48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0" fontId="0" fillId="7" borderId="54" xfId="0" applyNumberFormat="1" applyFill="1" applyBorder="1" applyAlignment="1" applyProtection="1">
      <alignment vertical="center"/>
      <protection locked="0"/>
    </xf>
    <xf numFmtId="164" fontId="0" fillId="7" borderId="238" xfId="0" applyNumberFormat="1" applyFill="1" applyBorder="1" applyAlignment="1" applyProtection="1">
      <alignment vertical="center"/>
      <protection locked="0"/>
    </xf>
    <xf numFmtId="164" fontId="0" fillId="7" borderId="50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2" xfId="0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vertical="center"/>
      <protection locked="0"/>
    </xf>
    <xf numFmtId="0" fontId="0" fillId="7" borderId="177" xfId="0" applyFill="1" applyBorder="1" applyAlignment="1" applyProtection="1">
      <alignment vertical="center"/>
      <protection locked="0"/>
    </xf>
    <xf numFmtId="164" fontId="0" fillId="7" borderId="74" xfId="0" applyNumberFormat="1" applyFill="1" applyBorder="1" applyAlignment="1" applyProtection="1">
      <alignment vertical="center"/>
      <protection locked="0"/>
    </xf>
    <xf numFmtId="164" fontId="0" fillId="7" borderId="54" xfId="0" applyNumberFormat="1" applyFill="1" applyBorder="1" applyAlignment="1" applyProtection="1">
      <alignment vertical="center"/>
      <protection locked="0"/>
    </xf>
    <xf numFmtId="164" fontId="0" fillId="7" borderId="141" xfId="0" applyNumberFormat="1" applyFill="1" applyBorder="1" applyAlignment="1" applyProtection="1">
      <alignment vertical="center"/>
      <protection locked="0"/>
    </xf>
    <xf numFmtId="0" fontId="0" fillId="7" borderId="106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62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0" fontId="0" fillId="7" borderId="131" xfId="0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0" fontId="0" fillId="0" borderId="45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74" xfId="0" applyNumberFormat="1" applyFill="1" applyBorder="1" applyAlignment="1" applyProtection="1">
      <alignment vertical="center"/>
    </xf>
    <xf numFmtId="10" fontId="0" fillId="0" borderId="75" xfId="0" applyNumberFormat="1" applyFill="1" applyBorder="1" applyAlignment="1" applyProtection="1">
      <alignment vertical="center"/>
    </xf>
    <xf numFmtId="10" fontId="0" fillId="0" borderId="84" xfId="0" applyNumberFormat="1" applyBorder="1" applyAlignment="1" applyProtection="1">
      <alignment vertical="center"/>
    </xf>
    <xf numFmtId="10" fontId="0" fillId="0" borderId="166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8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7" xfId="0" applyFont="1" applyBorder="1" applyAlignment="1" applyProtection="1">
      <alignment vertical="center" wrapText="1"/>
    </xf>
    <xf numFmtId="0" fontId="6" fillId="0" borderId="33" xfId="0" applyFont="1" applyBorder="1" applyAlignment="1" applyProtection="1">
      <alignment vertical="center" wrapText="1"/>
    </xf>
    <xf numFmtId="0" fontId="6" fillId="0" borderId="158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20" xfId="0" applyFont="1" applyFill="1" applyBorder="1" applyAlignment="1" applyProtection="1">
      <alignment vertical="center"/>
    </xf>
    <xf numFmtId="0" fontId="0" fillId="0" borderId="221" xfId="0" applyFill="1" applyBorder="1" applyAlignment="1" applyProtection="1">
      <alignment vertical="center"/>
    </xf>
    <xf numFmtId="0" fontId="0" fillId="0" borderId="246" xfId="0" applyFill="1" applyBorder="1" applyAlignment="1" applyProtection="1">
      <alignment vertical="center"/>
    </xf>
    <xf numFmtId="0" fontId="2" fillId="0" borderId="115" xfId="0" applyFont="1" applyBorder="1" applyAlignment="1" applyProtection="1">
      <alignment vertical="center" wrapText="1"/>
    </xf>
    <xf numFmtId="164" fontId="0" fillId="0" borderId="44" xfId="0" applyNumberFormat="1" applyFill="1" applyBorder="1" applyAlignment="1" applyProtection="1">
      <alignment vertical="center"/>
    </xf>
    <xf numFmtId="10" fontId="0" fillId="10" borderId="51" xfId="0" applyNumberFormat="1" applyFill="1" applyBorder="1" applyAlignment="1" applyProtection="1">
      <alignment vertical="center"/>
    </xf>
    <xf numFmtId="164" fontId="8" fillId="9" borderId="89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10" fontId="8" fillId="9" borderId="93" xfId="0" applyNumberFormat="1" applyFont="1" applyFill="1" applyBorder="1" applyAlignment="1" applyProtection="1">
      <alignment vertical="center"/>
    </xf>
    <xf numFmtId="10" fontId="8" fillId="9" borderId="113" xfId="0" applyNumberFormat="1" applyFont="1" applyFill="1" applyBorder="1" applyAlignment="1" applyProtection="1">
      <alignment vertical="center"/>
    </xf>
    <xf numFmtId="164" fontId="0" fillId="0" borderId="80" xfId="0" applyNumberFormat="1" applyFill="1" applyBorder="1" applyAlignment="1" applyProtection="1">
      <alignment vertical="center"/>
    </xf>
    <xf numFmtId="164" fontId="0" fillId="0" borderId="83" xfId="0" applyNumberFormat="1" applyFill="1" applyBorder="1" applyAlignment="1" applyProtection="1">
      <alignment vertical="center"/>
    </xf>
    <xf numFmtId="164" fontId="6" fillId="5" borderId="182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6" fillId="5" borderId="183" xfId="0" applyNumberFormat="1" applyFont="1" applyFill="1" applyBorder="1" applyAlignment="1" applyProtection="1">
      <alignment vertical="center"/>
    </xf>
    <xf numFmtId="164" fontId="6" fillId="5" borderId="212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64" fontId="0" fillId="9" borderId="92" xfId="0" applyNumberFormat="1" applyFont="1" applyFill="1" applyBorder="1" applyAlignment="1" applyProtection="1">
      <alignment vertical="center"/>
    </xf>
    <xf numFmtId="10" fontId="0" fillId="9" borderId="93" xfId="0" applyNumberFormat="1" applyFont="1" applyFill="1" applyBorder="1" applyAlignment="1" applyProtection="1">
      <alignment vertical="center"/>
    </xf>
    <xf numFmtId="10" fontId="0" fillId="9" borderId="113" xfId="0" applyNumberFormat="1" applyFon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8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155" xfId="0" applyNumberFormat="1" applyFill="1" applyBorder="1" applyAlignment="1" applyProtection="1">
      <alignment vertical="center"/>
    </xf>
    <xf numFmtId="10" fontId="0" fillId="0" borderId="84" xfId="0" applyNumberFormat="1" applyFill="1" applyBorder="1" applyAlignment="1" applyProtection="1">
      <alignment vertical="center"/>
    </xf>
    <xf numFmtId="10" fontId="0" fillId="0" borderId="214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45" xfId="0" applyNumberFormat="1" applyFill="1" applyBorder="1" applyAlignment="1" applyProtection="1">
      <alignment vertical="center"/>
    </xf>
    <xf numFmtId="10" fontId="0" fillId="0" borderId="216" xfId="0" applyNumberForma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5" xfId="0" applyNumberFormat="1" applyFont="1" applyFill="1" applyBorder="1" applyAlignment="1" applyProtection="1">
      <alignment vertical="center"/>
    </xf>
    <xf numFmtId="10" fontId="6" fillId="5" borderId="67" xfId="0" applyNumberFormat="1" applyFont="1" applyFill="1" applyBorder="1" applyAlignment="1" applyProtection="1">
      <alignment vertical="center"/>
    </xf>
    <xf numFmtId="10" fontId="0" fillId="0" borderId="96" xfId="0" applyNumberFormat="1" applyBorder="1" applyAlignment="1" applyProtection="1">
      <alignment horizontal="right" vertical="center"/>
    </xf>
    <xf numFmtId="10" fontId="0" fillId="0" borderId="281" xfId="0" applyNumberFormat="1" applyFill="1" applyBorder="1" applyAlignment="1" applyProtection="1">
      <alignment vertical="center"/>
    </xf>
    <xf numFmtId="10" fontId="0" fillId="0" borderId="108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7" fillId="0" borderId="87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7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5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8" xfId="0" applyNumberFormat="1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55" xfId="0" applyFill="1" applyBorder="1" applyAlignment="1" applyProtection="1">
      <alignment horizontal="right" vertical="center"/>
    </xf>
    <xf numFmtId="0" fontId="0" fillId="0" borderId="154" xfId="0" applyFill="1" applyBorder="1" applyAlignment="1" applyProtection="1">
      <alignment horizontal="right" vertical="center"/>
    </xf>
    <xf numFmtId="164" fontId="0" fillId="0" borderId="48" xfId="0" applyNumberFormat="1" applyFill="1" applyBorder="1" applyAlignment="1" applyProtection="1">
      <alignment vertical="center"/>
    </xf>
    <xf numFmtId="164" fontId="8" fillId="9" borderId="95" xfId="0" applyNumberFormat="1" applyFont="1" applyFill="1" applyBorder="1" applyAlignment="1" applyProtection="1">
      <alignment vertical="center"/>
    </xf>
    <xf numFmtId="164" fontId="0" fillId="0" borderId="141" xfId="0" applyNumberFormat="1" applyFill="1" applyBorder="1" applyAlignment="1" applyProtection="1">
      <alignment vertical="center"/>
    </xf>
    <xf numFmtId="164" fontId="0" fillId="0" borderId="86" xfId="0" applyNumberFormat="1" applyFill="1" applyBorder="1" applyAlignment="1" applyProtection="1">
      <alignment vertical="center"/>
    </xf>
    <xf numFmtId="164" fontId="0" fillId="0" borderId="284" xfId="0" applyNumberFormat="1" applyFill="1" applyBorder="1" applyAlignment="1" applyProtection="1">
      <alignment vertical="center"/>
    </xf>
    <xf numFmtId="164" fontId="0" fillId="0" borderId="285" xfId="0" applyNumberFormat="1" applyFill="1" applyBorder="1" applyAlignment="1" applyProtection="1">
      <alignment vertical="center"/>
    </xf>
    <xf numFmtId="164" fontId="0" fillId="0" borderId="199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7" xfId="0" applyFill="1" applyBorder="1" applyAlignment="1" applyProtection="1">
      <alignment horizontal="left" vertical="center"/>
    </xf>
    <xf numFmtId="164" fontId="0" fillId="2" borderId="50" xfId="0" applyNumberFormat="1" applyFill="1" applyBorder="1" applyAlignment="1" applyProtection="1">
      <alignment vertical="center"/>
    </xf>
    <xf numFmtId="164" fontId="0" fillId="2" borderId="52" xfId="0" applyNumberFormat="1" applyFill="1" applyBorder="1" applyAlignment="1" applyProtection="1">
      <alignment vertical="center"/>
    </xf>
    <xf numFmtId="164" fontId="0" fillId="2" borderId="54" xfId="0" applyNumberFormat="1" applyFill="1" applyBorder="1" applyAlignment="1" applyProtection="1">
      <alignment vertical="center"/>
    </xf>
    <xf numFmtId="164" fontId="0" fillId="2" borderId="58" xfId="0" applyNumberFormat="1" applyFill="1" applyBorder="1" applyAlignment="1" applyProtection="1">
      <alignment vertical="center"/>
    </xf>
    <xf numFmtId="164" fontId="0" fillId="2" borderId="60" xfId="0" applyNumberFormat="1" applyFill="1" applyBorder="1" applyAlignment="1" applyProtection="1">
      <alignment vertical="center"/>
    </xf>
    <xf numFmtId="164" fontId="0" fillId="2" borderId="62" xfId="0" applyNumberFormat="1" applyFill="1" applyBorder="1" applyAlignment="1" applyProtection="1">
      <alignment vertical="center"/>
    </xf>
    <xf numFmtId="0" fontId="0" fillId="2" borderId="55" xfId="0" applyFill="1" applyBorder="1" applyAlignment="1" applyProtection="1">
      <alignment horizontal="left" vertical="center"/>
    </xf>
    <xf numFmtId="0" fontId="0" fillId="2" borderId="102" xfId="0" applyFill="1" applyBorder="1" applyAlignment="1" applyProtection="1">
      <alignment horizontal="left" vertical="center"/>
    </xf>
    <xf numFmtId="0" fontId="0" fillId="2" borderId="283" xfId="0" applyFill="1" applyBorder="1" applyAlignment="1" applyProtection="1">
      <alignment horizontal="left" vertical="center"/>
    </xf>
    <xf numFmtId="10" fontId="0" fillId="0" borderId="44" xfId="0" applyNumberFormat="1" applyFill="1" applyBorder="1" applyAlignment="1" applyProtection="1">
      <alignment vertical="center"/>
    </xf>
    <xf numFmtId="10" fontId="0" fillId="0" borderId="46" xfId="0" applyNumberFormat="1" applyFill="1" applyBorder="1" applyAlignment="1" applyProtection="1">
      <alignment vertical="center"/>
    </xf>
    <xf numFmtId="10" fontId="0" fillId="0" borderId="48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52" xfId="0" applyNumberFormat="1" applyFill="1" applyBorder="1" applyAlignment="1" applyProtection="1">
      <alignment vertical="center"/>
    </xf>
    <xf numFmtId="10" fontId="0" fillId="0" borderId="54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54" xfId="0" applyNumberFormat="1" applyFill="1" applyBorder="1" applyAlignment="1" applyProtection="1">
      <alignment vertical="center"/>
    </xf>
    <xf numFmtId="10" fontId="0" fillId="0" borderId="153" xfId="0" applyNumberFormat="1" applyFill="1" applyBorder="1" applyAlignment="1" applyProtection="1">
      <alignment vertical="center"/>
    </xf>
    <xf numFmtId="165" fontId="0" fillId="0" borderId="50" xfId="0" applyNumberFormat="1" applyFill="1" applyBorder="1" applyAlignment="1" applyProtection="1">
      <alignment vertical="center"/>
    </xf>
    <xf numFmtId="165" fontId="0" fillId="0" borderId="52" xfId="0" applyNumberFormat="1" applyFill="1" applyBorder="1" applyAlignment="1" applyProtection="1">
      <alignment vertical="center"/>
    </xf>
    <xf numFmtId="165" fontId="0" fillId="0" borderId="54" xfId="0" applyNumberFormat="1" applyFill="1" applyBorder="1" applyAlignment="1" applyProtection="1">
      <alignment vertical="center"/>
    </xf>
    <xf numFmtId="3" fontId="0" fillId="0" borderId="58" xfId="0" applyNumberFormat="1" applyFill="1" applyBorder="1" applyAlignment="1" applyProtection="1">
      <alignment vertical="center"/>
    </xf>
    <xf numFmtId="3" fontId="0" fillId="0" borderId="60" xfId="0" applyNumberFormat="1" applyFill="1" applyBorder="1" applyAlignment="1" applyProtection="1">
      <alignment vertical="center"/>
    </xf>
    <xf numFmtId="3" fontId="0" fillId="0" borderId="62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6" xfId="0" applyNumberFormat="1" applyFill="1" applyBorder="1" applyAlignment="1" applyProtection="1">
      <alignment vertical="center"/>
    </xf>
    <xf numFmtId="165" fontId="0" fillId="0" borderId="237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101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5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6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8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0" fillId="9" borderId="93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8" fillId="9" borderId="94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6" xfId="0" applyNumberFormat="1" applyFont="1" applyFill="1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97" xfId="0" applyNumberFormat="1" applyFont="1" applyFill="1" applyBorder="1" applyAlignment="1" applyProtection="1">
      <alignment vertical="center"/>
    </xf>
    <xf numFmtId="164" fontId="6" fillId="5" borderId="63" xfId="0" applyNumberFormat="1" applyFont="1" applyFill="1" applyBorder="1" applyAlignment="1" applyProtection="1">
      <alignment vertical="center"/>
    </xf>
    <xf numFmtId="164" fontId="6" fillId="5" borderId="89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0" fillId="7" borderId="287" xfId="0" applyNumberFormat="1" applyFill="1" applyBorder="1" applyAlignment="1" applyProtection="1">
      <alignment vertical="center"/>
      <protection locked="0"/>
    </xf>
    <xf numFmtId="0" fontId="0" fillId="7" borderId="287" xfId="0" applyFill="1" applyBorder="1" applyAlignment="1" applyProtection="1">
      <alignment horizontal="center" vertical="center"/>
      <protection locked="0"/>
    </xf>
    <xf numFmtId="0" fontId="0" fillId="7" borderId="288" xfId="0" applyFill="1" applyBorder="1" applyAlignment="1" applyProtection="1">
      <alignment horizontal="center" vertical="center"/>
      <protection locked="0"/>
    </xf>
    <xf numFmtId="164" fontId="0" fillId="0" borderId="284" xfId="0" applyNumberFormat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0" fillId="0" borderId="289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290" xfId="0" applyNumberFormat="1" applyFill="1" applyBorder="1" applyAlignment="1" applyProtection="1">
      <alignment vertical="center"/>
    </xf>
    <xf numFmtId="164" fontId="0" fillId="0" borderId="291" xfId="0" applyNumberFormat="1" applyBorder="1" applyAlignment="1" applyProtection="1">
      <alignment vertical="center"/>
    </xf>
    <xf numFmtId="0" fontId="0" fillId="0" borderId="149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51" xfId="0" applyBorder="1" applyAlignment="1" applyProtection="1">
      <alignment horizontal="right" vertical="center"/>
    </xf>
    <xf numFmtId="0" fontId="2" fillId="0" borderId="115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0" fontId="10" fillId="0" borderId="125" xfId="0" applyFont="1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0" fontId="6" fillId="0" borderId="148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6" xfId="0" applyNumberFormat="1" applyBorder="1" applyAlignment="1" applyProtection="1">
      <alignment vertical="center"/>
    </xf>
    <xf numFmtId="164" fontId="0" fillId="0" borderId="117" xfId="0" applyNumberFormat="1" applyBorder="1" applyAlignment="1" applyProtection="1">
      <alignment vertical="center"/>
    </xf>
    <xf numFmtId="0" fontId="0" fillId="0" borderId="119" xfId="0" applyBorder="1" applyAlignment="1" applyProtection="1">
      <alignment vertical="center"/>
    </xf>
    <xf numFmtId="0" fontId="6" fillId="0" borderId="112" xfId="0" applyFont="1" applyBorder="1" applyAlignment="1" applyProtection="1">
      <alignment horizontal="right" vertical="center"/>
    </xf>
    <xf numFmtId="164" fontId="6" fillId="5" borderId="113" xfId="0" applyNumberFormat="1" applyFont="1" applyFill="1" applyBorder="1" applyAlignment="1" applyProtection="1">
      <alignment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0" fillId="0" borderId="118" xfId="0" applyNumberFormat="1" applyBorder="1" applyAlignment="1" applyProtection="1">
      <alignment vertical="center"/>
    </xf>
    <xf numFmtId="164" fontId="0" fillId="7" borderId="150" xfId="0" applyNumberFormat="1" applyFill="1" applyBorder="1" applyAlignment="1" applyProtection="1">
      <alignment vertical="center"/>
      <protection locked="0"/>
    </xf>
    <xf numFmtId="1" fontId="0" fillId="7" borderId="43" xfId="0" applyNumberFormat="1" applyFill="1" applyBorder="1" applyAlignment="1" applyProtection="1">
      <alignment horizontal="center" vertical="center"/>
      <protection locked="0"/>
    </xf>
    <xf numFmtId="1" fontId="0" fillId="7" borderId="49" xfId="0" applyNumberFormat="1" applyFill="1" applyBorder="1" applyAlignment="1" applyProtection="1">
      <alignment horizontal="center" vertical="center"/>
      <protection locked="0"/>
    </xf>
    <xf numFmtId="0" fontId="0" fillId="3" borderId="124" xfId="0" applyFill="1" applyBorder="1" applyAlignment="1" applyProtection="1">
      <alignment vertical="center"/>
      <protection locked="0"/>
    </xf>
    <xf numFmtId="1" fontId="0" fillId="7" borderId="135" xfId="0" applyNumberFormat="1" applyFill="1" applyBorder="1" applyAlignment="1" applyProtection="1">
      <alignment horizontal="center" vertical="center"/>
      <protection locked="0"/>
    </xf>
    <xf numFmtId="0" fontId="0" fillId="3" borderId="125" xfId="0" applyFill="1" applyBorder="1" applyAlignment="1" applyProtection="1">
      <alignment vertical="center"/>
      <protection locked="0"/>
    </xf>
    <xf numFmtId="1" fontId="0" fillId="7" borderId="120" xfId="0" applyNumberFormat="1" applyFill="1" applyBorder="1" applyAlignment="1" applyProtection="1">
      <alignment horizontal="center" vertical="center"/>
      <protection locked="0"/>
    </xf>
    <xf numFmtId="0" fontId="0" fillId="7" borderId="135" xfId="0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164" fontId="0" fillId="9" borderId="113" xfId="0" applyNumberFormat="1" applyFont="1" applyFill="1" applyBorder="1" applyAlignment="1" applyProtection="1">
      <alignment vertical="center"/>
    </xf>
    <xf numFmtId="0" fontId="0" fillId="0" borderId="56" xfId="0" applyFill="1" applyBorder="1" applyAlignment="1" applyProtection="1">
      <alignment vertical="center"/>
    </xf>
    <xf numFmtId="0" fontId="0" fillId="0" borderId="134" xfId="0" applyFill="1" applyBorder="1" applyAlignment="1" applyProtection="1">
      <alignment vertical="center"/>
    </xf>
    <xf numFmtId="0" fontId="0" fillId="0" borderId="135" xfId="0" applyFill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0" borderId="228" xfId="0" applyNumberFormat="1" applyFont="1" applyBorder="1" applyAlignment="1" applyProtection="1">
      <alignment vertical="center"/>
    </xf>
    <xf numFmtId="164" fontId="8" fillId="0" borderId="229" xfId="0" applyNumberFormat="1" applyFont="1" applyBorder="1" applyAlignment="1" applyProtection="1">
      <alignment vertical="center"/>
    </xf>
    <xf numFmtId="164" fontId="8" fillId="0" borderId="230" xfId="0" applyNumberFormat="1" applyFont="1" applyBorder="1" applyAlignment="1" applyProtection="1">
      <alignment vertical="center"/>
    </xf>
    <xf numFmtId="164" fontId="8" fillId="0" borderId="231" xfId="0" applyNumberFormat="1" applyFont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234" xfId="0" applyNumberFormat="1" applyFont="1" applyFill="1" applyBorder="1" applyAlignment="1" applyProtection="1">
      <alignment vertical="center"/>
    </xf>
    <xf numFmtId="164" fontId="8" fillId="9" borderId="236" xfId="0" applyNumberFormat="1" applyFont="1" applyFill="1" applyBorder="1" applyAlignment="1" applyProtection="1">
      <alignment vertical="center"/>
    </xf>
    <xf numFmtId="164" fontId="8" fillId="9" borderId="235" xfId="0" applyNumberFormat="1" applyFont="1" applyFill="1" applyBorder="1" applyAlignment="1" applyProtection="1">
      <alignment vertical="center"/>
    </xf>
    <xf numFmtId="164" fontId="8" fillId="9" borderId="237" xfId="0" applyNumberFormat="1" applyFont="1" applyFill="1" applyBorder="1" applyAlignment="1" applyProtection="1">
      <alignment vertical="center"/>
    </xf>
    <xf numFmtId="164" fontId="8" fillId="9" borderId="112" xfId="0" applyNumberFormat="1" applyFont="1" applyFill="1" applyBorder="1" applyAlignment="1" applyProtection="1">
      <alignment vertical="center"/>
    </xf>
    <xf numFmtId="164" fontId="8" fillId="9" borderId="136" xfId="0" applyNumberFormat="1" applyFont="1" applyFill="1" applyBorder="1" applyAlignment="1" applyProtection="1">
      <alignment vertical="center"/>
    </xf>
    <xf numFmtId="164" fontId="8" fillId="9" borderId="143" xfId="0" applyNumberFormat="1" applyFont="1" applyFill="1" applyBorder="1" applyAlignment="1" applyProtection="1">
      <alignment vertical="center"/>
    </xf>
    <xf numFmtId="164" fontId="8" fillId="9" borderId="223" xfId="0" applyNumberFormat="1" applyFont="1" applyFill="1" applyBorder="1" applyAlignment="1" applyProtection="1">
      <alignment vertical="center"/>
    </xf>
    <xf numFmtId="164" fontId="8" fillId="9" borderId="145" xfId="0" applyNumberFormat="1" applyFont="1" applyFill="1" applyBorder="1" applyAlignment="1" applyProtection="1">
      <alignment vertical="center"/>
    </xf>
    <xf numFmtId="164" fontId="8" fillId="9" borderId="147" xfId="0" applyNumberFormat="1" applyFont="1" applyFill="1" applyBorder="1" applyAlignment="1" applyProtection="1">
      <alignment vertical="center"/>
    </xf>
    <xf numFmtId="164" fontId="6" fillId="5" borderId="191" xfId="0" applyNumberFormat="1" applyFont="1" applyFill="1" applyBorder="1" applyAlignment="1" applyProtection="1">
      <alignment vertical="center"/>
    </xf>
    <xf numFmtId="164" fontId="8" fillId="9" borderId="250" xfId="0" applyNumberFormat="1" applyFont="1" applyFill="1" applyBorder="1" applyAlignment="1" applyProtection="1">
      <alignment vertical="center"/>
    </xf>
    <xf numFmtId="164" fontId="0" fillId="7" borderId="254" xfId="0" applyNumberFormat="1" applyFill="1" applyBorder="1" applyAlignment="1" applyProtection="1">
      <alignment vertical="center"/>
      <protection locked="0"/>
    </xf>
    <xf numFmtId="0" fontId="6" fillId="0" borderId="242" xfId="0" applyFont="1" applyBorder="1" applyAlignment="1" applyProtection="1">
      <alignment horizontal="center" vertical="center" wrapText="1"/>
    </xf>
    <xf numFmtId="0" fontId="6" fillId="0" borderId="243" xfId="0" applyFont="1" applyBorder="1" applyAlignment="1" applyProtection="1">
      <alignment horizontal="center" vertical="center"/>
    </xf>
    <xf numFmtId="10" fontId="0" fillId="0" borderId="110" xfId="0" applyNumberFormat="1" applyBorder="1" applyAlignment="1" applyProtection="1">
      <alignment vertical="center"/>
    </xf>
    <xf numFmtId="8" fontId="0" fillId="0" borderId="214" xfId="0" applyNumberFormat="1" applyBorder="1" applyAlignment="1" applyProtection="1">
      <alignment vertical="center"/>
    </xf>
    <xf numFmtId="10" fontId="0" fillId="0" borderId="124" xfId="0" applyNumberFormat="1" applyBorder="1" applyAlignment="1" applyProtection="1">
      <alignment vertical="center"/>
    </xf>
    <xf numFmtId="8" fontId="0" fillId="0" borderId="245" xfId="0" applyNumberFormat="1" applyBorder="1" applyAlignment="1" applyProtection="1">
      <alignment vertical="center"/>
    </xf>
    <xf numFmtId="10" fontId="0" fillId="0" borderId="125" xfId="0" applyNumberFormat="1" applyBorder="1" applyAlignment="1" applyProtection="1">
      <alignment vertical="center"/>
    </xf>
    <xf numFmtId="8" fontId="0" fillId="0" borderId="215" xfId="0" applyNumberFormat="1" applyBorder="1" applyAlignment="1" applyProtection="1">
      <alignment vertical="center"/>
    </xf>
    <xf numFmtId="8" fontId="0" fillId="0" borderId="244" xfId="0" applyNumberFormat="1" applyBorder="1" applyAlignment="1" applyProtection="1">
      <alignment vertical="center"/>
    </xf>
    <xf numFmtId="0" fontId="0" fillId="4" borderId="110" xfId="0" applyFill="1" applyBorder="1" applyProtection="1"/>
    <xf numFmtId="0" fontId="0" fillId="0" borderId="214" xfId="0" applyBorder="1" applyProtection="1"/>
    <xf numFmtId="0" fontId="0" fillId="8" borderId="124" xfId="0" applyFill="1" applyBorder="1" applyProtection="1"/>
    <xf numFmtId="0" fontId="0" fillId="0" borderId="245" xfId="0" applyBorder="1" applyProtection="1"/>
    <xf numFmtId="0" fontId="0" fillId="7" borderId="110" xfId="0" applyFill="1" applyBorder="1" applyProtection="1"/>
    <xf numFmtId="0" fontId="0" fillId="3" borderId="124" xfId="0" applyFill="1" applyBorder="1" applyProtection="1"/>
    <xf numFmtId="0" fontId="0" fillId="6" borderId="110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4" xfId="0" applyFill="1" applyBorder="1" applyProtection="1"/>
    <xf numFmtId="0" fontId="0" fillId="10" borderId="292" xfId="0" applyFill="1" applyBorder="1" applyProtection="1"/>
    <xf numFmtId="0" fontId="0" fillId="0" borderId="29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9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9" xfId="0" applyFont="1" applyBorder="1" applyAlignment="1" applyProtection="1">
      <alignment vertical="center"/>
    </xf>
    <xf numFmtId="164" fontId="6" fillId="5" borderId="112" xfId="0" applyNumberFormat="1" applyFont="1" applyFill="1" applyBorder="1" applyAlignment="1" applyProtection="1">
      <alignment vertical="center"/>
    </xf>
    <xf numFmtId="0" fontId="8" fillId="0" borderId="115" xfId="0" applyFont="1" applyBorder="1" applyAlignment="1" applyProtection="1">
      <alignment vertical="center"/>
    </xf>
    <xf numFmtId="0" fontId="10" fillId="0" borderId="136" xfId="0" applyFont="1" applyBorder="1" applyAlignment="1" applyProtection="1">
      <alignment horizontal="right"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8" fillId="9" borderId="146" xfId="0" applyNumberFormat="1" applyFont="1" applyFill="1" applyBorder="1" applyAlignment="1" applyProtection="1">
      <alignment vertical="center"/>
    </xf>
    <xf numFmtId="0" fontId="6" fillId="0" borderId="116" xfId="0" applyFont="1" applyBorder="1" applyAlignment="1" applyProtection="1">
      <alignment vertical="center"/>
    </xf>
    <xf numFmtId="0" fontId="0" fillId="7" borderId="134" xfId="0" applyFill="1" applyBorder="1" applyAlignment="1" applyProtection="1">
      <alignment horizontal="center" vertical="center"/>
      <protection locked="0"/>
    </xf>
    <xf numFmtId="0" fontId="0" fillId="10" borderId="43" xfId="0" applyFill="1" applyBorder="1" applyAlignment="1" applyProtection="1">
      <alignment horizontal="center" vertical="center"/>
    </xf>
    <xf numFmtId="0" fontId="0" fillId="10" borderId="57" xfId="0" applyFill="1" applyBorder="1" applyAlignment="1" applyProtection="1">
      <alignment vertical="center"/>
    </xf>
    <xf numFmtId="0" fontId="0" fillId="10" borderId="79" xfId="0" applyFill="1" applyBorder="1" applyAlignment="1" applyProtection="1">
      <alignment vertical="center"/>
    </xf>
    <xf numFmtId="164" fontId="0" fillId="10" borderId="80" xfId="0" applyNumberFormat="1" applyFill="1" applyBorder="1" applyAlignment="1" applyProtection="1">
      <alignment vertical="center"/>
    </xf>
    <xf numFmtId="164" fontId="0" fillId="10" borderId="83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0" borderId="105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0" fillId="0" borderId="107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8" xfId="0" applyBorder="1" applyAlignment="1" applyProtection="1">
      <alignment horizontal="left" vertical="top" wrapText="1"/>
    </xf>
    <xf numFmtId="0" fontId="6" fillId="0" borderId="104" xfId="0" applyFont="1" applyBorder="1" applyAlignment="1" applyProtection="1">
      <alignment horizontal="left" vertical="top"/>
    </xf>
    <xf numFmtId="0" fontId="6" fillId="0" borderId="102" xfId="0" applyFont="1" applyBorder="1" applyAlignment="1" applyProtection="1">
      <alignment horizontal="left" vertical="top"/>
    </xf>
    <xf numFmtId="0" fontId="6" fillId="0" borderId="76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6" xfId="0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8" fillId="9" borderId="88" xfId="0" applyNumberFormat="1" applyFont="1" applyFill="1" applyBorder="1" applyAlignment="1" applyProtection="1">
      <alignment horizontal="center" vertical="center"/>
    </xf>
    <xf numFmtId="0" fontId="8" fillId="9" borderId="122" xfId="0" applyFont="1" applyFill="1" applyBorder="1" applyAlignment="1" applyProtection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14" fillId="0" borderId="40" xfId="0" applyFont="1" applyBorder="1" applyAlignment="1" applyProtection="1">
      <alignment horizontal="center" vertical="center" wrapText="1"/>
    </xf>
    <xf numFmtId="0" fontId="14" fillId="0" borderId="41" xfId="0" applyFont="1" applyBorder="1" applyAlignment="1" applyProtection="1">
      <alignment horizontal="center" vertical="center" wrapText="1"/>
    </xf>
    <xf numFmtId="0" fontId="6" fillId="0" borderId="69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6" fillId="0" borderId="15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7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7" xfId="0" applyFill="1" applyBorder="1" applyAlignment="1" applyProtection="1">
      <alignment vertical="center"/>
    </xf>
    <xf numFmtId="0" fontId="12" fillId="0" borderId="220" xfId="0" applyFont="1" applyBorder="1" applyAlignment="1" applyProtection="1">
      <alignment horizontal="right" vertical="center"/>
    </xf>
    <xf numFmtId="0" fontId="12" fillId="0" borderId="221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7" xfId="0" applyFont="1" applyBorder="1" applyAlignment="1" applyProtection="1">
      <alignment horizontal="right" vertical="center"/>
    </xf>
    <xf numFmtId="0" fontId="2" fillId="0" borderId="204" xfId="0" applyFont="1" applyBorder="1" applyAlignment="1" applyProtection="1">
      <alignment horizontal="right" vertical="center"/>
    </xf>
    <xf numFmtId="0" fontId="10" fillId="0" borderId="87" xfId="0" applyFont="1" applyBorder="1" applyAlignment="1" applyProtection="1">
      <alignment horizontal="right" vertical="center"/>
    </xf>
    <xf numFmtId="0" fontId="10" fillId="0" borderId="219" xfId="0" applyFont="1" applyBorder="1" applyAlignment="1" applyProtection="1">
      <alignment horizontal="right" vertical="center"/>
    </xf>
    <xf numFmtId="0" fontId="10" fillId="0" borderId="122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81" xfId="0" applyFont="1" applyBorder="1" applyAlignment="1" applyProtection="1">
      <alignment horizontal="right" vertical="center"/>
    </xf>
    <xf numFmtId="0" fontId="10" fillId="0" borderId="220" xfId="0" applyFont="1" applyBorder="1" applyAlignment="1" applyProtection="1">
      <alignment horizontal="left" vertical="center"/>
    </xf>
    <xf numFmtId="0" fontId="10" fillId="0" borderId="221" xfId="0" applyFont="1" applyBorder="1" applyAlignment="1" applyProtection="1">
      <alignment horizontal="left" vertical="center"/>
    </xf>
    <xf numFmtId="0" fontId="10" fillId="0" borderId="222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61" xfId="0" applyFill="1" applyBorder="1" applyAlignment="1" applyProtection="1">
      <alignment vertical="center"/>
    </xf>
    <xf numFmtId="0" fontId="0" fillId="3" borderId="154" xfId="0" applyFill="1" applyBorder="1" applyAlignment="1" applyProtection="1">
      <alignment horizontal="left" vertical="center"/>
      <protection locked="0"/>
    </xf>
    <xf numFmtId="0" fontId="0" fillId="3" borderId="162" xfId="0" applyFill="1" applyBorder="1" applyAlignment="1" applyProtection="1">
      <alignment horizontal="left" vertical="center"/>
      <protection locked="0"/>
    </xf>
    <xf numFmtId="0" fontId="0" fillId="3" borderId="163" xfId="0" applyFill="1" applyBorder="1" applyAlignment="1" applyProtection="1">
      <alignment horizontal="left" vertical="center"/>
      <protection locked="0"/>
    </xf>
    <xf numFmtId="0" fontId="0" fillId="3" borderId="77" xfId="0" applyFill="1" applyBorder="1" applyAlignment="1" applyProtection="1">
      <alignment horizontal="left" vertical="center"/>
      <protection locked="0"/>
    </xf>
    <xf numFmtId="0" fontId="0" fillId="3" borderId="217" xfId="0" applyFill="1" applyBorder="1" applyAlignment="1" applyProtection="1">
      <alignment horizontal="left" vertical="center"/>
      <protection locked="0"/>
    </xf>
    <xf numFmtId="0" fontId="0" fillId="3" borderId="218" xfId="0" applyFill="1" applyBorder="1" applyAlignment="1" applyProtection="1">
      <alignment horizontal="left" vertical="center"/>
      <protection locked="0"/>
    </xf>
    <xf numFmtId="0" fontId="10" fillId="0" borderId="251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161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3" xfId="0" applyFont="1" applyBorder="1" applyAlignment="1" applyProtection="1">
      <alignment horizontal="left" vertical="center"/>
    </xf>
    <xf numFmtId="0" fontId="2" fillId="0" borderId="158" xfId="0" applyFont="1" applyBorder="1" applyAlignment="1" applyProtection="1">
      <alignment horizontal="left" vertical="center"/>
    </xf>
    <xf numFmtId="0" fontId="0" fillId="0" borderId="201" xfId="0" applyBorder="1" applyAlignment="1" applyProtection="1">
      <alignment horizontal="left" vertical="center"/>
    </xf>
    <xf numFmtId="0" fontId="0" fillId="0" borderId="202" xfId="0" applyBorder="1" applyAlignment="1" applyProtection="1">
      <alignment horizontal="left" vertical="center"/>
    </xf>
    <xf numFmtId="164" fontId="0" fillId="0" borderId="50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74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75" xfId="0" applyNumberFormat="1" applyFill="1" applyBorder="1" applyAlignment="1" applyProtection="1">
      <alignment horizontal="center" vertical="center"/>
    </xf>
    <xf numFmtId="164" fontId="0" fillId="0" borderId="202" xfId="0" applyNumberFormat="1" applyFill="1" applyBorder="1" applyAlignment="1" applyProtection="1">
      <alignment horizontal="center" vertical="center"/>
    </xf>
    <xf numFmtId="164" fontId="0" fillId="0" borderId="208" xfId="0" applyNumberFormat="1" applyFill="1" applyBorder="1" applyAlignment="1" applyProtection="1">
      <alignment horizontal="center" vertical="center"/>
    </xf>
    <xf numFmtId="164" fontId="0" fillId="0" borderId="175" xfId="0" applyNumberFormat="1" applyFill="1" applyBorder="1" applyAlignment="1" applyProtection="1">
      <alignment horizontal="center" vertical="center"/>
    </xf>
    <xf numFmtId="164" fontId="0" fillId="0" borderId="75" xfId="0" applyNumberFormat="1" applyFill="1" applyBorder="1" applyAlignment="1" applyProtection="1">
      <alignment horizontal="center" vertical="center"/>
    </xf>
    <xf numFmtId="164" fontId="0" fillId="0" borderId="276" xfId="0" applyNumberFormat="1" applyFill="1" applyBorder="1" applyAlignment="1" applyProtection="1">
      <alignment horizontal="center" vertical="center"/>
    </xf>
    <xf numFmtId="164" fontId="0" fillId="0" borderId="277" xfId="0" applyNumberFormat="1" applyFill="1" applyBorder="1" applyAlignment="1" applyProtection="1">
      <alignment horizontal="center" vertical="center"/>
    </xf>
    <xf numFmtId="0" fontId="0" fillId="0" borderId="154" xfId="0" applyFill="1" applyBorder="1" applyAlignment="1" applyProtection="1">
      <alignment horizontal="left" vertical="center"/>
    </xf>
    <xf numFmtId="0" fontId="0" fillId="0" borderId="162" xfId="0" applyFill="1" applyBorder="1" applyAlignment="1" applyProtection="1">
      <alignment horizontal="left" vertical="center"/>
    </xf>
    <xf numFmtId="0" fontId="0" fillId="0" borderId="163" xfId="0" applyFill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left" vertical="center"/>
    </xf>
    <xf numFmtId="0" fontId="0" fillId="0" borderId="248" xfId="0" applyFill="1" applyBorder="1" applyAlignment="1" applyProtection="1">
      <alignment horizontal="left" vertical="center"/>
    </xf>
    <xf numFmtId="0" fontId="0" fillId="0" borderId="249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7" xfId="0" applyFill="1" applyBorder="1" applyAlignment="1" applyProtection="1">
      <alignment horizontal="left" vertical="center" wrapText="1"/>
    </xf>
    <xf numFmtId="0" fontId="0" fillId="0" borderId="154" xfId="0" applyFill="1" applyBorder="1" applyAlignment="1" applyProtection="1">
      <alignment vertical="center"/>
    </xf>
    <xf numFmtId="0" fontId="0" fillId="0" borderId="162" xfId="0" applyFill="1" applyBorder="1" applyAlignment="1" applyProtection="1">
      <alignment vertical="center"/>
    </xf>
    <xf numFmtId="0" fontId="0" fillId="0" borderId="163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7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158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67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161" xfId="0" applyFill="1" applyBorder="1" applyAlignment="1" applyProtection="1">
      <alignment horizontal="left" vertical="center"/>
      <protection locked="0"/>
    </xf>
    <xf numFmtId="0" fontId="10" fillId="0" borderId="201" xfId="0" applyFont="1" applyBorder="1" applyAlignment="1" applyProtection="1">
      <alignment horizontal="right" vertical="center"/>
    </xf>
    <xf numFmtId="0" fontId="10" fillId="0" borderId="202" xfId="0" applyFont="1" applyBorder="1" applyAlignment="1" applyProtection="1">
      <alignment horizontal="right" vertical="center"/>
    </xf>
    <xf numFmtId="0" fontId="0" fillId="0" borderId="154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4" xfId="0" applyFont="1" applyBorder="1" applyAlignment="1" applyProtection="1">
      <alignment horizontal="right" vertical="center"/>
    </xf>
    <xf numFmtId="0" fontId="10" fillId="0" borderId="225" xfId="0" applyFont="1" applyBorder="1" applyAlignment="1" applyProtection="1">
      <alignment horizontal="right" vertical="center"/>
    </xf>
    <xf numFmtId="0" fontId="0" fillId="0" borderId="256" xfId="0" applyBorder="1" applyAlignment="1" applyProtection="1">
      <alignment horizontal="right" vertical="center"/>
    </xf>
    <xf numFmtId="0" fontId="0" fillId="0" borderId="257" xfId="0" applyBorder="1" applyAlignment="1" applyProtection="1">
      <alignment horizontal="right" vertical="center"/>
    </xf>
    <xf numFmtId="0" fontId="0" fillId="0" borderId="279" xfId="0" applyBorder="1" applyAlignment="1" applyProtection="1">
      <alignment horizontal="right" vertical="center"/>
    </xf>
    <xf numFmtId="0" fontId="0" fillId="0" borderId="224" xfId="0" applyBorder="1" applyAlignment="1" applyProtection="1">
      <alignment horizontal="right" vertical="center"/>
    </xf>
    <xf numFmtId="0" fontId="0" fillId="0" borderId="225" xfId="0" applyBorder="1" applyAlignment="1" applyProtection="1">
      <alignment horizontal="right" vertical="center"/>
    </xf>
    <xf numFmtId="0" fontId="0" fillId="0" borderId="280" xfId="0" applyBorder="1" applyAlignment="1" applyProtection="1">
      <alignment horizontal="right" vertical="center"/>
    </xf>
    <xf numFmtId="0" fontId="0" fillId="0" borderId="97" xfId="0" applyBorder="1" applyAlignment="1" applyProtection="1">
      <alignment horizontal="right" vertical="center"/>
    </xf>
    <xf numFmtId="0" fontId="0" fillId="0" borderId="63" xfId="0" applyBorder="1" applyAlignment="1" applyProtection="1">
      <alignment horizontal="right" vertical="center"/>
    </xf>
    <xf numFmtId="0" fontId="0" fillId="0" borderId="247" xfId="0" applyFill="1" applyBorder="1" applyAlignment="1" applyProtection="1">
      <alignment horizontal="center" vertical="center"/>
    </xf>
    <xf numFmtId="0" fontId="0" fillId="0" borderId="248" xfId="0" applyFill="1" applyBorder="1" applyAlignment="1" applyProtection="1">
      <alignment horizontal="center" vertical="center"/>
    </xf>
    <xf numFmtId="0" fontId="0" fillId="0" borderId="249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horizontal="center" vertical="center"/>
    </xf>
    <xf numFmtId="0" fontId="0" fillId="0" borderId="217" xfId="0" applyFill="1" applyBorder="1" applyAlignment="1" applyProtection="1">
      <alignment horizontal="center" vertical="center"/>
    </xf>
    <xf numFmtId="0" fontId="0" fillId="0" borderId="218" xfId="0" applyFill="1" applyBorder="1" applyAlignment="1" applyProtection="1">
      <alignment horizontal="center" vertical="center"/>
    </xf>
    <xf numFmtId="0" fontId="2" fillId="0" borderId="181" xfId="0" applyFont="1" applyBorder="1" applyAlignment="1" applyProtection="1">
      <alignment horizontal="right" vertical="center"/>
    </xf>
    <xf numFmtId="0" fontId="13" fillId="0" borderId="154" xfId="0" applyFont="1" applyBorder="1" applyAlignment="1" applyProtection="1">
      <alignment horizontal="left" vertical="center"/>
    </xf>
    <xf numFmtId="0" fontId="13" fillId="0" borderId="162" xfId="0" applyFont="1" applyBorder="1" applyAlignment="1" applyProtection="1">
      <alignment horizontal="left" vertical="center"/>
    </xf>
    <xf numFmtId="0" fontId="13" fillId="0" borderId="163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7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61" xfId="0" applyFont="1" applyBorder="1" applyAlignment="1" applyProtection="1">
      <alignment horizontal="left" vertical="center"/>
    </xf>
    <xf numFmtId="0" fontId="0" fillId="0" borderId="196" xfId="0" applyFill="1" applyBorder="1" applyAlignment="1" applyProtection="1">
      <alignment horizontal="left" vertical="center"/>
    </xf>
    <xf numFmtId="0" fontId="0" fillId="0" borderId="282" xfId="0" applyFill="1" applyBorder="1" applyAlignment="1" applyProtection="1">
      <alignment horizontal="left" vertical="center"/>
    </xf>
    <xf numFmtId="0" fontId="0" fillId="0" borderId="201" xfId="0" applyFill="1" applyBorder="1" applyAlignment="1" applyProtection="1">
      <alignment horizontal="left" vertical="center"/>
    </xf>
    <xf numFmtId="0" fontId="0" fillId="0" borderId="202" xfId="0" applyFill="1" applyBorder="1" applyAlignment="1" applyProtection="1">
      <alignment horizontal="left" vertical="center"/>
    </xf>
    <xf numFmtId="0" fontId="0" fillId="0" borderId="286" xfId="0" applyFill="1" applyBorder="1" applyAlignment="1" applyProtection="1">
      <alignment horizontal="left" vertical="center"/>
    </xf>
    <xf numFmtId="0" fontId="0" fillId="0" borderId="195" xfId="0" applyFill="1" applyBorder="1" applyAlignment="1" applyProtection="1">
      <alignment horizontal="left" vertical="center"/>
    </xf>
    <xf numFmtId="164" fontId="0" fillId="0" borderId="233" xfId="0" applyNumberFormat="1" applyBorder="1"/>
    <xf numFmtId="164" fontId="0" fillId="0" borderId="152" xfId="0" applyNumberFormat="1" applyBorder="1"/>
    <xf numFmtId="0" fontId="0" fillId="0" borderId="195" xfId="0" applyBorder="1"/>
    <xf numFmtId="0" fontId="0" fillId="0" borderId="201" xfId="0" applyBorder="1"/>
    <xf numFmtId="0" fontId="0" fillId="0" borderId="123" xfId="0" applyBorder="1"/>
    <xf numFmtId="0" fontId="0" fillId="0" borderId="29" xfId="0" applyBorder="1"/>
    <xf numFmtId="0" fontId="0" fillId="0" borderId="295" xfId="0" applyBorder="1"/>
    <xf numFmtId="164" fontId="0" fillId="0" borderId="44" xfId="0" applyNumberFormat="1" applyBorder="1"/>
    <xf numFmtId="164" fontId="0" fillId="0" borderId="42" xfId="0" applyNumberFormat="1" applyBorder="1"/>
    <xf numFmtId="164" fontId="0" fillId="0" borderId="214" xfId="0" applyNumberFormat="1" applyBorder="1"/>
    <xf numFmtId="164" fontId="0" fillId="0" borderId="232" xfId="0" applyNumberFormat="1" applyBorder="1"/>
    <xf numFmtId="0" fontId="6" fillId="0" borderId="2" xfId="0" applyFont="1" applyBorder="1" applyAlignment="1">
      <alignment horizontal="right" vertical="center"/>
    </xf>
    <xf numFmtId="164" fontId="6" fillId="0" borderId="4" xfId="0" applyNumberFormat="1" applyFont="1" applyBorder="1" applyAlignment="1">
      <alignment vertical="center"/>
    </xf>
    <xf numFmtId="0" fontId="6" fillId="0" borderId="182" xfId="0" applyFont="1" applyBorder="1" applyAlignment="1">
      <alignment horizontal="right" vertical="center"/>
    </xf>
    <xf numFmtId="0" fontId="0" fillId="0" borderId="253" xfId="0" applyBorder="1"/>
    <xf numFmtId="164" fontId="0" fillId="0" borderId="238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154" xfId="0" applyBorder="1"/>
    <xf numFmtId="164" fontId="0" fillId="0" borderId="137" xfId="0" applyNumberFormat="1" applyBorder="1"/>
    <xf numFmtId="164" fontId="0" fillId="0" borderId="134" xfId="0" applyNumberFormat="1" applyBorder="1"/>
    <xf numFmtId="164" fontId="0" fillId="0" borderId="245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Lizenzgebühr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Lizenzgebühr!$B$3</c:f>
              <c:strCache>
                <c:ptCount val="1"/>
                <c:pt idx="0">
                  <c:v>Gebühr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(Lizenzgebühr!$A$4,Lizenzgebühr!$A$5,Lizenzgebühr!$A$7)</c:f>
              <c:numCache>
                <c:formatCode>0.00%</c:formatCode>
                <c:ptCount val="3"/>
                <c:pt idx="0">
                  <c:v>0.05</c:v>
                </c:pt>
                <c:pt idx="1">
                  <c:v>0.3</c:v>
                </c:pt>
                <c:pt idx="2">
                  <c:v>0.55000000000000004</c:v>
                </c:pt>
              </c:numCache>
            </c:numRef>
          </c:cat>
          <c:val>
            <c:numRef>
              <c:f>(Lizenzgebühr!$B$4:$B$5,Lizenzgebühr!$B$7)</c:f>
              <c:numCache>
                <c:formatCode>"€"#,##0.00_);[Red]\("€"#,##0.00\)</c:formatCode>
                <c:ptCount val="3"/>
                <c:pt idx="0">
                  <c:v>500</c:v>
                </c:pt>
                <c:pt idx="1">
                  <c:v>2000</c:v>
                </c:pt>
                <c:pt idx="2">
                  <c:v>3500.0000000000009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9-42F0-8488-DAD8169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49656"/>
        <c:axId val="439353264"/>
      </c:lineChart>
      <c:catAx>
        <c:axId val="4393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Energieersparnis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53264"/>
        <c:crosses val="autoZero"/>
        <c:auto val="1"/>
        <c:lblAlgn val="ctr"/>
        <c:lblOffset val="100"/>
        <c:tickLblSkip val="1"/>
        <c:noMultiLvlLbl val="0"/>
      </c:catAx>
      <c:valAx>
        <c:axId val="439353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338953.63333333336</c:v>
                </c:pt>
                <c:pt idx="2">
                  <c:v>1045382.7444444445</c:v>
                </c:pt>
                <c:pt idx="3">
                  <c:v>2213334.0777777778</c:v>
                </c:pt>
                <c:pt idx="4">
                  <c:v>4349185.4111111108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631084.98529023165</c:v>
                </c:pt>
                <c:pt idx="2">
                  <c:v>1313348.0075898957</c:v>
                </c:pt>
                <c:pt idx="3">
                  <c:v>2035647.6379120576</c:v>
                </c:pt>
                <c:pt idx="4">
                  <c:v>2989730.199573338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Dia_Lizenzgebuehr">
          <a:extLst>
            <a:ext uri="{FF2B5EF4-FFF2-40B4-BE49-F238E27FC236}">
              <a16:creationId xmlns:a16="http://schemas.microsoft.com/office/drawing/2014/main" id="{B764A954-5768-441B-AA30-043CB5CFF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C6" sqref="C6"/>
    </sheetView>
  </sheetViews>
  <sheetFormatPr baseColWidth="10" defaultRowHeight="15" x14ac:dyDescent="0.25"/>
  <cols>
    <col min="1" max="2" width="14.28515625" style="173" customWidth="1"/>
    <col min="3" max="3" width="25.7109375" style="173" bestFit="1" customWidth="1"/>
    <col min="4" max="4" width="34.28515625" style="173" customWidth="1"/>
    <col min="5" max="16384" width="11.42578125" style="173"/>
  </cols>
  <sheetData>
    <row r="1" spans="1:4" ht="27" thickBot="1" x14ac:dyDescent="0.45">
      <c r="A1" s="674" t="s">
        <v>5</v>
      </c>
      <c r="B1" s="675"/>
      <c r="C1" s="675"/>
      <c r="D1" s="676"/>
    </row>
    <row r="2" spans="1:4" ht="7.5" customHeight="1" thickBot="1" x14ac:dyDescent="0.3"/>
    <row r="3" spans="1:4" ht="16.5" thickBot="1" x14ac:dyDescent="0.3">
      <c r="A3" s="677" t="s">
        <v>0</v>
      </c>
      <c r="B3" s="678"/>
      <c r="C3" s="678"/>
      <c r="D3" s="679"/>
    </row>
    <row r="4" spans="1:4" ht="7.5" customHeight="1" x14ac:dyDescent="0.25">
      <c r="A4" s="538"/>
      <c r="B4" s="539"/>
      <c r="C4" s="539"/>
      <c r="D4" s="540"/>
    </row>
    <row r="5" spans="1:4" ht="18.75" customHeight="1" thickBot="1" x14ac:dyDescent="0.3">
      <c r="A5" s="698" t="s">
        <v>10</v>
      </c>
      <c r="B5" s="699"/>
      <c r="C5" s="541" t="s">
        <v>12</v>
      </c>
      <c r="D5" s="542" t="s">
        <v>13</v>
      </c>
    </row>
    <row r="6" spans="1:4" ht="30.75" thickTop="1" x14ac:dyDescent="0.25">
      <c r="A6" s="696" t="s">
        <v>1</v>
      </c>
      <c r="B6" s="697"/>
      <c r="C6" s="84" t="s">
        <v>36</v>
      </c>
      <c r="D6" s="85" t="s">
        <v>245</v>
      </c>
    </row>
    <row r="7" spans="1:4" ht="30" x14ac:dyDescent="0.25">
      <c r="A7" s="680" t="s">
        <v>2</v>
      </c>
      <c r="B7" s="681"/>
      <c r="C7" s="86" t="s">
        <v>37</v>
      </c>
      <c r="D7" s="87" t="s">
        <v>246</v>
      </c>
    </row>
    <row r="8" spans="1:4" ht="30" x14ac:dyDescent="0.25">
      <c r="A8" s="680" t="s">
        <v>3</v>
      </c>
      <c r="B8" s="681"/>
      <c r="C8" s="86" t="s">
        <v>38</v>
      </c>
      <c r="D8" s="87" t="s">
        <v>247</v>
      </c>
    </row>
    <row r="9" spans="1:4" ht="30" x14ac:dyDescent="0.25">
      <c r="A9" s="685" t="s">
        <v>4</v>
      </c>
      <c r="B9" s="686"/>
      <c r="C9" s="88" t="s">
        <v>39</v>
      </c>
      <c r="D9" s="89" t="s">
        <v>15</v>
      </c>
    </row>
    <row r="10" spans="1:4" ht="7.5" customHeight="1" thickBot="1" x14ac:dyDescent="0.3">
      <c r="A10" s="215"/>
      <c r="B10" s="216"/>
      <c r="C10" s="216"/>
      <c r="D10" s="543"/>
    </row>
    <row r="11" spans="1:4" ht="7.5" customHeight="1" thickBot="1" x14ac:dyDescent="0.3">
      <c r="A11" s="544"/>
      <c r="B11" s="544"/>
      <c r="C11" s="544"/>
      <c r="D11" s="544"/>
    </row>
    <row r="12" spans="1:4" ht="16.5" thickBot="1" x14ac:dyDescent="0.3">
      <c r="A12" s="677" t="s">
        <v>14</v>
      </c>
      <c r="B12" s="678"/>
      <c r="C12" s="678"/>
      <c r="D12" s="679"/>
    </row>
    <row r="13" spans="1:4" ht="7.5" customHeight="1" x14ac:dyDescent="0.25">
      <c r="A13" s="545"/>
      <c r="B13" s="546"/>
      <c r="C13" s="546"/>
      <c r="D13" s="547"/>
    </row>
    <row r="14" spans="1:4" ht="18.75" customHeight="1" x14ac:dyDescent="0.25">
      <c r="A14" s="548" t="s">
        <v>11</v>
      </c>
      <c r="B14" s="684" t="s">
        <v>6</v>
      </c>
      <c r="C14" s="684"/>
      <c r="D14" s="90"/>
    </row>
    <row r="15" spans="1:4" ht="37.5" customHeight="1" x14ac:dyDescent="0.25">
      <c r="A15" s="549" t="s">
        <v>16</v>
      </c>
      <c r="B15" s="683" t="s">
        <v>8</v>
      </c>
      <c r="C15" s="683"/>
      <c r="D15" s="91"/>
    </row>
    <row r="16" spans="1:4" ht="20.25" customHeight="1" x14ac:dyDescent="0.25">
      <c r="A16" s="549" t="s">
        <v>9</v>
      </c>
      <c r="B16" s="682" t="s">
        <v>7</v>
      </c>
      <c r="C16" s="682"/>
      <c r="D16" s="92"/>
    </row>
    <row r="17" spans="1:4" x14ac:dyDescent="0.25">
      <c r="A17" s="550" t="s">
        <v>17</v>
      </c>
      <c r="B17" s="700">
        <v>43101</v>
      </c>
      <c r="C17" s="700"/>
      <c r="D17" s="93"/>
    </row>
    <row r="18" spans="1:4" ht="8.25" customHeight="1" thickBot="1" x14ac:dyDescent="0.3">
      <c r="A18" s="215"/>
      <c r="B18" s="216"/>
      <c r="C18" s="216"/>
      <c r="D18" s="543"/>
    </row>
    <row r="21" spans="1:4" ht="15.75" thickBot="1" x14ac:dyDescent="0.3"/>
    <row r="22" spans="1:4" ht="15.75" thickBot="1" x14ac:dyDescent="0.3">
      <c r="B22" s="656" t="s">
        <v>263</v>
      </c>
      <c r="C22" s="657"/>
    </row>
    <row r="23" spans="1:4" ht="15.75" thickBot="1" x14ac:dyDescent="0.3">
      <c r="B23" s="538"/>
      <c r="C23" s="540"/>
    </row>
    <row r="24" spans="1:4" ht="15.75" thickTop="1" x14ac:dyDescent="0.25">
      <c r="B24" s="644"/>
      <c r="C24" s="645" t="s">
        <v>248</v>
      </c>
    </row>
    <row r="25" spans="1:4" ht="15.75" thickBot="1" x14ac:dyDescent="0.3">
      <c r="B25" s="646"/>
      <c r="C25" s="647" t="s">
        <v>249</v>
      </c>
    </row>
    <row r="26" spans="1:4" ht="16.5" thickTop="1" thickBot="1" x14ac:dyDescent="0.3">
      <c r="B26" s="538"/>
      <c r="C26" s="540"/>
    </row>
    <row r="27" spans="1:4" ht="15.75" thickTop="1" x14ac:dyDescent="0.25">
      <c r="B27" s="648"/>
      <c r="C27" s="645" t="s">
        <v>250</v>
      </c>
    </row>
    <row r="28" spans="1:4" ht="15.75" thickBot="1" x14ac:dyDescent="0.3">
      <c r="B28" s="649"/>
      <c r="C28" s="647" t="s">
        <v>251</v>
      </c>
    </row>
    <row r="29" spans="1:4" ht="16.5" thickTop="1" thickBot="1" x14ac:dyDescent="0.3">
      <c r="B29" s="538"/>
      <c r="C29" s="540"/>
    </row>
    <row r="30" spans="1:4" ht="15.75" thickTop="1" x14ac:dyDescent="0.25">
      <c r="B30" s="650"/>
      <c r="C30" s="645" t="s">
        <v>252</v>
      </c>
    </row>
    <row r="31" spans="1:4" x14ac:dyDescent="0.25">
      <c r="B31" s="651"/>
      <c r="C31" s="652" t="s">
        <v>253</v>
      </c>
    </row>
    <row r="32" spans="1:4" ht="15.75" thickBot="1" x14ac:dyDescent="0.3">
      <c r="B32" s="653"/>
      <c r="C32" s="647" t="s">
        <v>254</v>
      </c>
    </row>
    <row r="33" spans="1:7" ht="16.5" thickTop="1" thickBot="1" x14ac:dyDescent="0.3">
      <c r="B33" s="538"/>
      <c r="C33" s="540"/>
    </row>
    <row r="34" spans="1:7" ht="16.5" thickTop="1" thickBot="1" x14ac:dyDescent="0.3">
      <c r="B34" s="654"/>
      <c r="C34" s="655" t="s">
        <v>258</v>
      </c>
    </row>
    <row r="35" spans="1:7" ht="16.5" thickTop="1" thickBot="1" x14ac:dyDescent="0.3">
      <c r="B35" s="215"/>
      <c r="C35" s="543"/>
    </row>
    <row r="40" spans="1:7" x14ac:dyDescent="0.25">
      <c r="A40" s="693" t="s">
        <v>40</v>
      </c>
      <c r="B40" s="694"/>
      <c r="C40" s="694"/>
      <c r="D40" s="695"/>
    </row>
    <row r="41" spans="1:7" ht="30" customHeight="1" x14ac:dyDescent="0.25">
      <c r="A41" s="687" t="s">
        <v>41</v>
      </c>
      <c r="B41" s="688"/>
      <c r="C41" s="688"/>
      <c r="D41" s="689"/>
      <c r="G41" s="551"/>
    </row>
    <row r="42" spans="1:7" ht="7.5" customHeight="1" x14ac:dyDescent="0.25">
      <c r="A42" s="552"/>
      <c r="B42" s="553"/>
      <c r="C42" s="553"/>
      <c r="D42" s="554"/>
    </row>
    <row r="43" spans="1:7" ht="30" customHeight="1" x14ac:dyDescent="0.25">
      <c r="A43" s="690" t="s">
        <v>42</v>
      </c>
      <c r="B43" s="691"/>
      <c r="C43" s="691"/>
      <c r="D43" s="692"/>
    </row>
    <row r="44" spans="1:7" x14ac:dyDescent="0.25">
      <c r="A44" s="555"/>
      <c r="B44" s="555"/>
      <c r="C44" s="555"/>
      <c r="D44" s="555"/>
    </row>
  </sheetData>
  <sheetProtection algorithmName="SHA-512" hashValue="4ZGeSNC4Jh5HpQ1GyJHCl/+aO6sPUbDU46jVx63qIAX15OeuR/3NDrmEIqnocUC0klq7HdZemw9omDnW9oWO9Q==" saltValue="g0/DPdPKjISoU+L7xUBu9w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B11" sqref="B11"/>
    </sheetView>
  </sheetViews>
  <sheetFormatPr baseColWidth="10" defaultRowHeight="15" outlineLevelRow="2" outlineLevelCol="1" x14ac:dyDescent="0.25"/>
  <cols>
    <col min="1" max="1" width="49.7109375" style="41" bestFit="1" customWidth="1"/>
    <col min="2" max="2" width="18.42578125" style="41" customWidth="1"/>
    <col min="3" max="3" width="7" style="41" bestFit="1" customWidth="1"/>
    <col min="4" max="4" width="6.85546875" style="41" bestFit="1" customWidth="1"/>
    <col min="5" max="5" width="9" style="41" bestFit="1" customWidth="1"/>
    <col min="6" max="17" width="14.28515625" style="41" customWidth="1" outlineLevel="1"/>
    <col min="18" max="18" width="14.28515625" style="41" customWidth="1"/>
    <col min="19" max="22" width="14.28515625" style="41" customWidth="1" outlineLevel="1"/>
    <col min="23" max="25" width="14.28515625" style="41" customWidth="1"/>
    <col min="26" max="16384" width="11.42578125" style="41"/>
  </cols>
  <sheetData>
    <row r="1" spans="1:25" ht="27" thickBot="1" x14ac:dyDescent="0.3">
      <c r="A1" s="701" t="s">
        <v>18</v>
      </c>
      <c r="B1" s="702"/>
      <c r="C1" s="702"/>
      <c r="D1" s="702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2"/>
      <c r="P1" s="702"/>
      <c r="Q1" s="702"/>
      <c r="R1" s="702"/>
      <c r="S1" s="702"/>
      <c r="T1" s="702"/>
      <c r="U1" s="702"/>
      <c r="V1" s="702"/>
      <c r="W1" s="702"/>
      <c r="X1" s="702"/>
      <c r="Y1" s="703"/>
    </row>
    <row r="2" spans="1:25" ht="7.5" customHeight="1" thickBot="1" x14ac:dyDescent="0.3"/>
    <row r="3" spans="1:25" x14ac:dyDescent="0.25">
      <c r="A3" s="722" t="s">
        <v>30</v>
      </c>
      <c r="B3" s="726" t="s">
        <v>19</v>
      </c>
      <c r="C3" s="726" t="s">
        <v>32</v>
      </c>
      <c r="D3" s="726" t="s">
        <v>255</v>
      </c>
      <c r="E3" s="724" t="s">
        <v>256</v>
      </c>
      <c r="F3" s="711" t="s">
        <v>20</v>
      </c>
      <c r="G3" s="709"/>
      <c r="H3" s="709"/>
      <c r="I3" s="709"/>
      <c r="J3" s="709"/>
      <c r="K3" s="709"/>
      <c r="L3" s="709"/>
      <c r="M3" s="709"/>
      <c r="N3" s="709"/>
      <c r="O3" s="709"/>
      <c r="P3" s="709"/>
      <c r="Q3" s="710"/>
      <c r="R3" s="704" t="s">
        <v>20</v>
      </c>
      <c r="S3" s="708" t="s">
        <v>25</v>
      </c>
      <c r="T3" s="709"/>
      <c r="U3" s="709"/>
      <c r="V3" s="710"/>
      <c r="W3" s="706" t="s">
        <v>25</v>
      </c>
      <c r="X3" s="718" t="s">
        <v>26</v>
      </c>
      <c r="Y3" s="720" t="s">
        <v>27</v>
      </c>
    </row>
    <row r="4" spans="1:25" s="5" customFormat="1" ht="15" customHeight="1" thickBot="1" x14ac:dyDescent="0.3">
      <c r="A4" s="723"/>
      <c r="B4" s="727"/>
      <c r="C4" s="727"/>
      <c r="D4" s="727"/>
      <c r="E4" s="725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05"/>
      <c r="S4" s="4" t="s">
        <v>21</v>
      </c>
      <c r="T4" s="2" t="s">
        <v>22</v>
      </c>
      <c r="U4" s="2" t="s">
        <v>23</v>
      </c>
      <c r="V4" s="2" t="s">
        <v>24</v>
      </c>
      <c r="W4" s="707"/>
      <c r="X4" s="719"/>
      <c r="Y4" s="721"/>
    </row>
    <row r="5" spans="1:25" ht="18.75" customHeight="1" outlineLevel="2" thickTop="1" x14ac:dyDescent="0.25">
      <c r="A5" s="21" t="s">
        <v>60</v>
      </c>
      <c r="B5" s="107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2">
        <f>SUM(F5:Q5)</f>
        <v>25000</v>
      </c>
      <c r="S5" s="73" t="str">
        <f>IF(AND($E5&gt;12,$E5&lt;=15),$B5,"")</f>
        <v/>
      </c>
      <c r="T5" s="74" t="str">
        <f>IF(AND($E5&gt;15,$E5&lt;=18),$B5,"")</f>
        <v/>
      </c>
      <c r="U5" s="74" t="str">
        <f>IF(AND($E5&gt;18,$E5&lt;=21),$B5,"")</f>
        <v/>
      </c>
      <c r="V5" s="74" t="str">
        <f>IF(AND($E5&gt;21,$E5&lt;=24),$B5,"")</f>
        <v/>
      </c>
      <c r="W5" s="75">
        <f>SUM(S5:V5)</f>
        <v>0</v>
      </c>
      <c r="X5" s="8" t="str">
        <f>IF(AND($E5&gt;24,$E5&lt;=36),$B5,"")</f>
        <v/>
      </c>
      <c r="Y5" s="9" t="str">
        <f>IF(AND($E5&gt;36,$E5&lt;=48),$B5,"")</f>
        <v/>
      </c>
    </row>
    <row r="6" spans="1:25" ht="18.75" customHeight="1" outlineLevel="2" x14ac:dyDescent="0.25">
      <c r="A6" s="22" t="s">
        <v>61</v>
      </c>
      <c r="B6" s="108">
        <v>3000</v>
      </c>
      <c r="C6" s="97">
        <v>5</v>
      </c>
      <c r="D6" s="97">
        <v>1</v>
      </c>
      <c r="E6" s="98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76">
        <f t="shared" ref="R6:R13" si="2">SUM(F6:Q6)</f>
        <v>3000</v>
      </c>
      <c r="S6" s="77" t="str">
        <f t="shared" ref="S6:S13" si="3">IF(AND($E6&gt;12,$E6&lt;=15),$B6,"")</f>
        <v/>
      </c>
      <c r="T6" s="78" t="str">
        <f t="shared" ref="T6:T13" si="4">IF(AND($E6&gt;15,$E6&lt;=18),$B6,"")</f>
        <v/>
      </c>
      <c r="U6" s="78" t="str">
        <f t="shared" ref="U6:U13" si="5">IF(AND($E6&gt;18,$E6&lt;=21),$B6,"")</f>
        <v/>
      </c>
      <c r="V6" s="78" t="str">
        <f t="shared" ref="V6:V13" si="6">IF(AND($E6&gt;21,$E6&lt;=24),$B6,"")</f>
        <v/>
      </c>
      <c r="W6" s="79">
        <f t="shared" ref="W6:W13" si="7">SUM(S6:V6)</f>
        <v>0</v>
      </c>
      <c r="X6" s="12" t="str">
        <f t="shared" ref="X6:X13" si="8">IF(AND($E6&gt;24,$E6&lt;=36),$B6,"")</f>
        <v/>
      </c>
      <c r="Y6" s="13" t="str">
        <f t="shared" ref="Y6:Y13" si="9">IF(AND($E6&gt;36,$E6&lt;=48),$B6,"")</f>
        <v/>
      </c>
    </row>
    <row r="7" spans="1:25" ht="18.75" customHeight="1" outlineLevel="2" x14ac:dyDescent="0.25">
      <c r="A7" s="22" t="s">
        <v>62</v>
      </c>
      <c r="B7" s="108">
        <v>10000</v>
      </c>
      <c r="C7" s="97">
        <v>4</v>
      </c>
      <c r="D7" s="97">
        <v>1</v>
      </c>
      <c r="E7" s="98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1" t="str">
        <f t="shared" si="0"/>
        <v/>
      </c>
      <c r="R7" s="76">
        <f t="shared" ref="R7:R11" si="10">SUM(F7:Q7)</f>
        <v>10000</v>
      </c>
      <c r="S7" s="77" t="str">
        <f t="shared" si="3"/>
        <v/>
      </c>
      <c r="T7" s="78" t="str">
        <f t="shared" si="4"/>
        <v/>
      </c>
      <c r="U7" s="78" t="str">
        <f t="shared" si="5"/>
        <v/>
      </c>
      <c r="V7" s="78" t="str">
        <f t="shared" si="6"/>
        <v/>
      </c>
      <c r="W7" s="79">
        <f t="shared" ref="W7:W11" si="11">SUM(S7:V7)</f>
        <v>0</v>
      </c>
      <c r="X7" s="12" t="str">
        <f t="shared" si="8"/>
        <v/>
      </c>
      <c r="Y7" s="13" t="str">
        <f t="shared" si="9"/>
        <v/>
      </c>
    </row>
    <row r="8" spans="1:25" ht="18.75" customHeight="1" outlineLevel="2" x14ac:dyDescent="0.25">
      <c r="A8" s="22" t="s">
        <v>66</v>
      </c>
      <c r="B8" s="108">
        <v>12000</v>
      </c>
      <c r="C8" s="97">
        <v>4</v>
      </c>
      <c r="D8" s="97">
        <v>1</v>
      </c>
      <c r="E8" s="98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1" t="str">
        <f t="shared" si="0"/>
        <v/>
      </c>
      <c r="R8" s="76">
        <f t="shared" si="10"/>
        <v>12000</v>
      </c>
      <c r="S8" s="77" t="str">
        <f t="shared" si="3"/>
        <v/>
      </c>
      <c r="T8" s="78" t="str">
        <f t="shared" si="4"/>
        <v/>
      </c>
      <c r="U8" s="78" t="str">
        <f t="shared" si="5"/>
        <v/>
      </c>
      <c r="V8" s="78" t="str">
        <f t="shared" si="6"/>
        <v/>
      </c>
      <c r="W8" s="79">
        <f t="shared" si="11"/>
        <v>0</v>
      </c>
      <c r="X8" s="12" t="str">
        <f t="shared" si="8"/>
        <v/>
      </c>
      <c r="Y8" s="13" t="str">
        <f t="shared" si="9"/>
        <v/>
      </c>
    </row>
    <row r="9" spans="1:25" ht="18.75" customHeight="1" outlineLevel="2" x14ac:dyDescent="0.25">
      <c r="A9" s="99" t="s">
        <v>63</v>
      </c>
      <c r="B9" s="108">
        <v>8000</v>
      </c>
      <c r="C9" s="97">
        <v>4</v>
      </c>
      <c r="D9" s="97">
        <v>1</v>
      </c>
      <c r="E9" s="98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1" t="str">
        <f t="shared" si="0"/>
        <v/>
      </c>
      <c r="R9" s="76">
        <f t="shared" si="10"/>
        <v>8000</v>
      </c>
      <c r="S9" s="77" t="str">
        <f t="shared" si="3"/>
        <v/>
      </c>
      <c r="T9" s="78" t="str">
        <f t="shared" si="4"/>
        <v/>
      </c>
      <c r="U9" s="78" t="str">
        <f t="shared" si="5"/>
        <v/>
      </c>
      <c r="V9" s="78" t="str">
        <f t="shared" si="6"/>
        <v/>
      </c>
      <c r="W9" s="79">
        <f t="shared" si="11"/>
        <v>0</v>
      </c>
      <c r="X9" s="12" t="str">
        <f t="shared" si="8"/>
        <v/>
      </c>
      <c r="Y9" s="13" t="str">
        <f t="shared" si="9"/>
        <v/>
      </c>
    </row>
    <row r="10" spans="1:25" ht="18.75" customHeight="1" outlineLevel="2" x14ac:dyDescent="0.25">
      <c r="A10" s="99" t="s">
        <v>63</v>
      </c>
      <c r="B10" s="108">
        <v>2000</v>
      </c>
      <c r="C10" s="97">
        <v>4</v>
      </c>
      <c r="D10" s="97">
        <v>13</v>
      </c>
      <c r="E10" s="98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1" t="str">
        <f t="shared" si="0"/>
        <v/>
      </c>
      <c r="R10" s="76">
        <f t="shared" ref="R10" si="12">SUM(F10:Q10)</f>
        <v>0</v>
      </c>
      <c r="S10" s="77">
        <f t="shared" si="3"/>
        <v>2000</v>
      </c>
      <c r="T10" s="78" t="str">
        <f t="shared" si="4"/>
        <v/>
      </c>
      <c r="U10" s="78" t="str">
        <f t="shared" si="5"/>
        <v/>
      </c>
      <c r="V10" s="78" t="str">
        <f t="shared" si="6"/>
        <v/>
      </c>
      <c r="W10" s="79">
        <f t="shared" ref="W10" si="13">SUM(S10:V10)</f>
        <v>2000</v>
      </c>
      <c r="X10" s="12" t="str">
        <f t="shared" si="8"/>
        <v/>
      </c>
      <c r="Y10" s="13" t="str">
        <f t="shared" si="9"/>
        <v/>
      </c>
    </row>
    <row r="11" spans="1:25" ht="18.75" customHeight="1" outlineLevel="2" x14ac:dyDescent="0.25">
      <c r="A11" s="22" t="s">
        <v>64</v>
      </c>
      <c r="B11" s="108">
        <v>10000</v>
      </c>
      <c r="C11" s="97">
        <v>4</v>
      </c>
      <c r="D11" s="97">
        <v>2</v>
      </c>
      <c r="E11" s="98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1" t="str">
        <f t="shared" si="0"/>
        <v/>
      </c>
      <c r="R11" s="76">
        <f t="shared" si="10"/>
        <v>10000</v>
      </c>
      <c r="S11" s="77" t="str">
        <f t="shared" si="3"/>
        <v/>
      </c>
      <c r="T11" s="78" t="str">
        <f t="shared" si="4"/>
        <v/>
      </c>
      <c r="U11" s="78" t="str">
        <f t="shared" si="5"/>
        <v/>
      </c>
      <c r="V11" s="78" t="str">
        <f t="shared" si="6"/>
        <v/>
      </c>
      <c r="W11" s="79">
        <f t="shared" si="11"/>
        <v>0</v>
      </c>
      <c r="X11" s="12" t="str">
        <f t="shared" si="8"/>
        <v/>
      </c>
      <c r="Y11" s="13" t="str">
        <f t="shared" si="9"/>
        <v/>
      </c>
    </row>
    <row r="12" spans="1:25" ht="18.75" customHeight="1" outlineLevel="2" x14ac:dyDescent="0.25">
      <c r="A12" s="23" t="s">
        <v>67</v>
      </c>
      <c r="B12" s="109">
        <v>10000</v>
      </c>
      <c r="C12" s="101">
        <v>5</v>
      </c>
      <c r="D12" s="101">
        <v>5</v>
      </c>
      <c r="E12" s="102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15" t="str">
        <f t="shared" si="0"/>
        <v/>
      </c>
      <c r="R12" s="80">
        <f t="shared" ref="R12" si="14">SUM(F12:Q12)</f>
        <v>10000</v>
      </c>
      <c r="S12" s="81" t="str">
        <f t="shared" si="3"/>
        <v/>
      </c>
      <c r="T12" s="82" t="str">
        <f t="shared" si="4"/>
        <v/>
      </c>
      <c r="U12" s="82" t="str">
        <f t="shared" si="5"/>
        <v/>
      </c>
      <c r="V12" s="82" t="str">
        <f t="shared" si="6"/>
        <v/>
      </c>
      <c r="W12" s="83">
        <f t="shared" ref="W12" si="15">SUM(S12:V12)</f>
        <v>0</v>
      </c>
      <c r="X12" s="16" t="str">
        <f t="shared" si="8"/>
        <v/>
      </c>
      <c r="Y12" s="17" t="str">
        <f t="shared" si="9"/>
        <v/>
      </c>
    </row>
    <row r="13" spans="1:25" ht="18.75" customHeight="1" outlineLevel="2" thickBot="1" x14ac:dyDescent="0.3">
      <c r="A13" s="23"/>
      <c r="B13" s="109"/>
      <c r="C13" s="101"/>
      <c r="D13" s="101"/>
      <c r="E13" s="102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15" t="str">
        <f t="shared" si="0"/>
        <v/>
      </c>
      <c r="R13" s="80">
        <f t="shared" si="2"/>
        <v>0</v>
      </c>
      <c r="S13" s="81" t="str">
        <f t="shared" si="3"/>
        <v/>
      </c>
      <c r="T13" s="82" t="str">
        <f t="shared" si="4"/>
        <v/>
      </c>
      <c r="U13" s="82" t="str">
        <f t="shared" si="5"/>
        <v/>
      </c>
      <c r="V13" s="82" t="str">
        <f t="shared" si="6"/>
        <v/>
      </c>
      <c r="W13" s="83">
        <f t="shared" si="7"/>
        <v>0</v>
      </c>
      <c r="X13" s="16" t="str">
        <f t="shared" si="8"/>
        <v/>
      </c>
      <c r="Y13" s="17" t="str">
        <f t="shared" si="9"/>
        <v/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0"/>
      <c r="S14" s="31"/>
      <c r="T14" s="28"/>
      <c r="U14" s="28"/>
      <c r="V14" s="28"/>
      <c r="W14" s="32"/>
      <c r="X14" s="33"/>
      <c r="Y14" s="34"/>
    </row>
    <row r="15" spans="1:25" ht="18.75" customHeight="1" outlineLevel="1" thickBot="1" x14ac:dyDescent="0.3">
      <c r="A15" s="490" t="s">
        <v>28</v>
      </c>
      <c r="B15" s="557">
        <f>SUM(B5:B14)</f>
        <v>80000</v>
      </c>
      <c r="C15" s="42"/>
      <c r="D15" s="43"/>
      <c r="E15" s="44"/>
      <c r="F15" s="447">
        <f t="shared" ref="F15:Y15" si="16">SUM(F5:F14)</f>
        <v>58000</v>
      </c>
      <c r="G15" s="560">
        <f t="shared" si="16"/>
        <v>0</v>
      </c>
      <c r="H15" s="560">
        <f t="shared" si="16"/>
        <v>10000</v>
      </c>
      <c r="I15" s="560">
        <f t="shared" si="16"/>
        <v>0</v>
      </c>
      <c r="J15" s="560">
        <f t="shared" si="16"/>
        <v>0</v>
      </c>
      <c r="K15" s="560">
        <f t="shared" si="16"/>
        <v>10000</v>
      </c>
      <c r="L15" s="560">
        <f t="shared" si="16"/>
        <v>0</v>
      </c>
      <c r="M15" s="560">
        <f t="shared" si="16"/>
        <v>0</v>
      </c>
      <c r="N15" s="560">
        <f t="shared" si="16"/>
        <v>0</v>
      </c>
      <c r="O15" s="560">
        <f t="shared" si="16"/>
        <v>0</v>
      </c>
      <c r="P15" s="560">
        <f t="shared" si="16"/>
        <v>0</v>
      </c>
      <c r="Q15" s="560">
        <f t="shared" si="16"/>
        <v>0</v>
      </c>
      <c r="R15" s="561">
        <f t="shared" si="16"/>
        <v>78000</v>
      </c>
      <c r="S15" s="449">
        <f t="shared" si="16"/>
        <v>2000</v>
      </c>
      <c r="T15" s="560">
        <f t="shared" si="16"/>
        <v>0</v>
      </c>
      <c r="U15" s="560">
        <f t="shared" si="16"/>
        <v>0</v>
      </c>
      <c r="V15" s="560">
        <f t="shared" si="16"/>
        <v>0</v>
      </c>
      <c r="W15" s="562">
        <f t="shared" si="16"/>
        <v>2000</v>
      </c>
      <c r="X15" s="563">
        <f t="shared" si="16"/>
        <v>0</v>
      </c>
      <c r="Y15" s="502">
        <f t="shared" si="16"/>
        <v>0</v>
      </c>
    </row>
    <row r="16" spans="1:25" ht="7.5" customHeight="1" outlineLevel="1" thickBot="1" x14ac:dyDescent="0.3">
      <c r="A16" s="712"/>
      <c r="B16" s="713"/>
      <c r="C16" s="713"/>
      <c r="D16" s="713"/>
      <c r="E16" s="713"/>
      <c r="F16" s="713"/>
      <c r="G16" s="713"/>
      <c r="H16" s="713"/>
      <c r="I16" s="713"/>
      <c r="J16" s="713"/>
      <c r="K16" s="713"/>
      <c r="L16" s="713"/>
      <c r="M16" s="713"/>
      <c r="N16" s="713"/>
      <c r="O16" s="713"/>
      <c r="P16" s="713"/>
      <c r="Q16" s="713"/>
      <c r="R16" s="713"/>
      <c r="S16" s="713"/>
      <c r="T16" s="713"/>
      <c r="U16" s="713"/>
      <c r="V16" s="713"/>
      <c r="W16" s="713"/>
      <c r="X16" s="713"/>
      <c r="Y16" s="714"/>
    </row>
    <row r="17" spans="1:25" ht="18.75" customHeight="1" outlineLevel="1" thickBot="1" x14ac:dyDescent="0.3">
      <c r="A17" s="658" t="s">
        <v>29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7"/>
    </row>
    <row r="18" spans="1:25" ht="18.75" customHeight="1" outlineLevel="2" thickTop="1" x14ac:dyDescent="0.25">
      <c r="A18" s="21" t="s">
        <v>143</v>
      </c>
      <c r="B18" s="572">
        <v>20000</v>
      </c>
      <c r="C18" s="573">
        <v>20</v>
      </c>
      <c r="D18" s="573">
        <v>1</v>
      </c>
      <c r="E18" s="574">
        <v>10</v>
      </c>
      <c r="F18" s="575" t="str">
        <f>IF($E18=F$4,$B18,"")</f>
        <v/>
      </c>
      <c r="G18" s="576" t="str">
        <f t="shared" ref="G18:Q19" si="17">IF($E18=G$4,$B18,"")</f>
        <v/>
      </c>
      <c r="H18" s="576" t="str">
        <f t="shared" si="17"/>
        <v/>
      </c>
      <c r="I18" s="576" t="str">
        <f t="shared" si="17"/>
        <v/>
      </c>
      <c r="J18" s="576" t="str">
        <f t="shared" si="17"/>
        <v/>
      </c>
      <c r="K18" s="576" t="str">
        <f t="shared" si="17"/>
        <v/>
      </c>
      <c r="L18" s="576" t="str">
        <f t="shared" si="17"/>
        <v/>
      </c>
      <c r="M18" s="576" t="str">
        <f t="shared" si="17"/>
        <v/>
      </c>
      <c r="N18" s="576" t="str">
        <f t="shared" si="17"/>
        <v/>
      </c>
      <c r="O18" s="576">
        <f t="shared" si="17"/>
        <v>20000</v>
      </c>
      <c r="P18" s="576" t="str">
        <f t="shared" si="17"/>
        <v/>
      </c>
      <c r="Q18" s="576" t="str">
        <f t="shared" si="17"/>
        <v/>
      </c>
      <c r="R18" s="577">
        <f>SUM(F18:Q18)</f>
        <v>20000</v>
      </c>
      <c r="S18" s="506" t="str">
        <f>IF(AND($E18&gt;12,$E18&lt;=15),$B18,"")</f>
        <v/>
      </c>
      <c r="T18" s="578" t="str">
        <f>IF(AND($E18&gt;15,$E18&lt;=18),$B18,"")</f>
        <v/>
      </c>
      <c r="U18" s="578" t="str">
        <f>IF(AND($E18&gt;18,$E18&lt;=21),$B18,"")</f>
        <v/>
      </c>
      <c r="V18" s="578" t="str">
        <f>IF(AND($E18&gt;21,$E18&lt;=24),$B18,"")</f>
        <v/>
      </c>
      <c r="W18" s="579">
        <f>SUM(S18:V18)</f>
        <v>0</v>
      </c>
      <c r="X18" s="580" t="str">
        <f>IF(AND($E18&gt;24,$E18&lt;=36),$B18,"")</f>
        <v/>
      </c>
      <c r="Y18" s="237" t="str">
        <f>IF(AND($E18&gt;36,$E18&lt;=48),$B18,"")</f>
        <v/>
      </c>
    </row>
    <row r="19" spans="1:25" ht="18.75" customHeight="1" outlineLevel="2" thickBot="1" x14ac:dyDescent="0.3">
      <c r="A19" s="127"/>
      <c r="B19" s="141"/>
      <c r="C19" s="667"/>
      <c r="D19" s="667"/>
      <c r="E19" s="608"/>
      <c r="F19" s="130" t="str">
        <f>IF($E19=F$4,$B19,"")</f>
        <v/>
      </c>
      <c r="G19" s="131" t="str">
        <f t="shared" si="17"/>
        <v/>
      </c>
      <c r="H19" s="131" t="str">
        <f t="shared" si="17"/>
        <v/>
      </c>
      <c r="I19" s="131" t="str">
        <f t="shared" si="17"/>
        <v/>
      </c>
      <c r="J19" s="131" t="str">
        <f t="shared" si="17"/>
        <v/>
      </c>
      <c r="K19" s="131" t="str">
        <f t="shared" si="17"/>
        <v/>
      </c>
      <c r="L19" s="131" t="str">
        <f t="shared" si="17"/>
        <v/>
      </c>
      <c r="M19" s="131" t="str">
        <f t="shared" si="17"/>
        <v/>
      </c>
      <c r="N19" s="131" t="str">
        <f t="shared" si="17"/>
        <v/>
      </c>
      <c r="O19" s="131" t="str">
        <f t="shared" si="17"/>
        <v/>
      </c>
      <c r="P19" s="131" t="str">
        <f t="shared" si="17"/>
        <v/>
      </c>
      <c r="Q19" s="161" t="str">
        <f t="shared" si="17"/>
        <v/>
      </c>
      <c r="R19" s="132">
        <f>SUM(F19:Q19)</f>
        <v>0</v>
      </c>
      <c r="S19" s="133" t="str">
        <f>IF(AND($E19&gt;12,$E19&lt;=15),$B19,"")</f>
        <v/>
      </c>
      <c r="T19" s="134" t="str">
        <f>IF(AND($E19&gt;15,$E19&lt;=18),$B19,"")</f>
        <v/>
      </c>
      <c r="U19" s="134" t="str">
        <f>IF(AND($E19&gt;18,$E19&lt;=21),$B19,"")</f>
        <v/>
      </c>
      <c r="V19" s="134" t="str">
        <f>IF(AND($E19&gt;21,$E19&lt;=24),$B19,"")</f>
        <v/>
      </c>
      <c r="W19" s="135">
        <f>SUM(S19:V19)</f>
        <v>0</v>
      </c>
      <c r="X19" s="136" t="str">
        <f>IF(AND($E19&gt;24,$E19&lt;=36),$B19,"")</f>
        <v/>
      </c>
      <c r="Y19" s="137" t="str">
        <f>IF(AND($E19&gt;36,$E19&lt;=48),$B19,"")</f>
        <v/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0"/>
      <c r="S20" s="31"/>
      <c r="T20" s="28"/>
      <c r="U20" s="28"/>
      <c r="V20" s="28"/>
      <c r="W20" s="32"/>
      <c r="X20" s="33"/>
      <c r="Y20" s="34"/>
    </row>
    <row r="21" spans="1:25" ht="18.75" customHeight="1" outlineLevel="1" thickBot="1" x14ac:dyDescent="0.3">
      <c r="A21" s="490" t="s">
        <v>28</v>
      </c>
      <c r="B21" s="557">
        <f>SUM(B18:B20)</f>
        <v>20000</v>
      </c>
      <c r="C21" s="42"/>
      <c r="D21" s="43"/>
      <c r="E21" s="44"/>
      <c r="F21" s="447">
        <f t="shared" ref="F21:Y21" si="18">SUM(F18:F20)</f>
        <v>0</v>
      </c>
      <c r="G21" s="560">
        <f t="shared" si="18"/>
        <v>0</v>
      </c>
      <c r="H21" s="560">
        <f t="shared" si="18"/>
        <v>0</v>
      </c>
      <c r="I21" s="560">
        <f t="shared" si="18"/>
        <v>0</v>
      </c>
      <c r="J21" s="560">
        <f t="shared" si="18"/>
        <v>0</v>
      </c>
      <c r="K21" s="560">
        <f t="shared" si="18"/>
        <v>0</v>
      </c>
      <c r="L21" s="560">
        <f t="shared" si="18"/>
        <v>0</v>
      </c>
      <c r="M21" s="560">
        <f t="shared" si="18"/>
        <v>0</v>
      </c>
      <c r="N21" s="560">
        <f t="shared" si="18"/>
        <v>0</v>
      </c>
      <c r="O21" s="560">
        <f t="shared" si="18"/>
        <v>20000</v>
      </c>
      <c r="P21" s="560">
        <f t="shared" si="18"/>
        <v>0</v>
      </c>
      <c r="Q21" s="560">
        <f t="shared" si="18"/>
        <v>0</v>
      </c>
      <c r="R21" s="561">
        <f t="shared" si="18"/>
        <v>20000</v>
      </c>
      <c r="S21" s="449">
        <f t="shared" si="18"/>
        <v>0</v>
      </c>
      <c r="T21" s="560">
        <f t="shared" si="18"/>
        <v>0</v>
      </c>
      <c r="U21" s="560">
        <f t="shared" si="18"/>
        <v>0</v>
      </c>
      <c r="V21" s="560">
        <f t="shared" si="18"/>
        <v>0</v>
      </c>
      <c r="W21" s="562">
        <f t="shared" si="18"/>
        <v>0</v>
      </c>
      <c r="X21" s="563">
        <f t="shared" si="18"/>
        <v>0</v>
      </c>
      <c r="Y21" s="502">
        <f t="shared" si="18"/>
        <v>0</v>
      </c>
    </row>
    <row r="22" spans="1:25" ht="7.5" customHeight="1" outlineLevel="1" thickBot="1" x14ac:dyDescent="0.3">
      <c r="A22" s="48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7"/>
    </row>
    <row r="23" spans="1:25" s="49" customFormat="1" ht="18.75" customHeight="1" thickBot="1" x14ac:dyDescent="0.3">
      <c r="A23" s="564" t="s">
        <v>33</v>
      </c>
      <c r="B23" s="565">
        <f>B21+B15</f>
        <v>100000</v>
      </c>
      <c r="C23" s="52"/>
      <c r="D23" s="52"/>
      <c r="E23" s="126"/>
      <c r="F23" s="567">
        <f t="shared" ref="F23:Y23" si="19">F21+F15</f>
        <v>58000</v>
      </c>
      <c r="G23" s="568">
        <f t="shared" si="19"/>
        <v>0</v>
      </c>
      <c r="H23" s="568">
        <f t="shared" si="19"/>
        <v>10000</v>
      </c>
      <c r="I23" s="568">
        <f t="shared" si="19"/>
        <v>0</v>
      </c>
      <c r="J23" s="568">
        <f t="shared" si="19"/>
        <v>0</v>
      </c>
      <c r="K23" s="568">
        <f t="shared" si="19"/>
        <v>10000</v>
      </c>
      <c r="L23" s="568">
        <f t="shared" si="19"/>
        <v>0</v>
      </c>
      <c r="M23" s="568">
        <f t="shared" si="19"/>
        <v>0</v>
      </c>
      <c r="N23" s="568">
        <f t="shared" si="19"/>
        <v>0</v>
      </c>
      <c r="O23" s="568">
        <f t="shared" si="19"/>
        <v>20000</v>
      </c>
      <c r="P23" s="568">
        <f t="shared" si="19"/>
        <v>0</v>
      </c>
      <c r="Q23" s="568">
        <f t="shared" si="19"/>
        <v>0</v>
      </c>
      <c r="R23" s="566">
        <f t="shared" si="19"/>
        <v>98000</v>
      </c>
      <c r="S23" s="455">
        <f t="shared" si="19"/>
        <v>2000</v>
      </c>
      <c r="T23" s="568">
        <f t="shared" si="19"/>
        <v>0</v>
      </c>
      <c r="U23" s="568">
        <f t="shared" si="19"/>
        <v>0</v>
      </c>
      <c r="V23" s="568">
        <f t="shared" si="19"/>
        <v>0</v>
      </c>
      <c r="W23" s="566">
        <f t="shared" si="19"/>
        <v>2000</v>
      </c>
      <c r="X23" s="336">
        <f t="shared" si="19"/>
        <v>0</v>
      </c>
      <c r="Y23" s="337">
        <f t="shared" si="19"/>
        <v>0</v>
      </c>
    </row>
    <row r="24" spans="1:25" ht="7.5" customHeight="1" thickBot="1" x14ac:dyDescent="0.3">
      <c r="A24" s="715"/>
      <c r="B24" s="716"/>
      <c r="C24" s="716"/>
      <c r="D24" s="716"/>
      <c r="E24" s="716"/>
      <c r="F24" s="716"/>
      <c r="G24" s="716"/>
      <c r="H24" s="716"/>
      <c r="I24" s="716"/>
      <c r="J24" s="716"/>
      <c r="K24" s="716"/>
      <c r="L24" s="716"/>
      <c r="M24" s="716"/>
      <c r="N24" s="716"/>
      <c r="O24" s="716"/>
      <c r="P24" s="716"/>
      <c r="Q24" s="716"/>
      <c r="R24" s="716"/>
      <c r="S24" s="716"/>
      <c r="T24" s="716"/>
      <c r="U24" s="716"/>
      <c r="V24" s="716"/>
      <c r="W24" s="716"/>
      <c r="X24" s="716"/>
      <c r="Y24" s="717"/>
    </row>
    <row r="25" spans="1:25" ht="15" customHeight="1" x14ac:dyDescent="0.25">
      <c r="A25" s="722" t="s">
        <v>261</v>
      </c>
      <c r="B25" s="726" t="s">
        <v>19</v>
      </c>
      <c r="C25" s="726" t="s">
        <v>32</v>
      </c>
      <c r="D25" s="726" t="s">
        <v>255</v>
      </c>
      <c r="E25" s="724" t="s">
        <v>256</v>
      </c>
      <c r="F25" s="711" t="s">
        <v>20</v>
      </c>
      <c r="G25" s="709"/>
      <c r="H25" s="709"/>
      <c r="I25" s="709"/>
      <c r="J25" s="709"/>
      <c r="K25" s="709"/>
      <c r="L25" s="709"/>
      <c r="M25" s="709"/>
      <c r="N25" s="709"/>
      <c r="O25" s="709"/>
      <c r="P25" s="709"/>
      <c r="Q25" s="710"/>
      <c r="R25" s="704" t="s">
        <v>20</v>
      </c>
      <c r="S25" s="708" t="s">
        <v>25</v>
      </c>
      <c r="T25" s="709"/>
      <c r="U25" s="709"/>
      <c r="V25" s="710"/>
      <c r="W25" s="706" t="s">
        <v>25</v>
      </c>
      <c r="X25" s="718" t="s">
        <v>26</v>
      </c>
      <c r="Y25" s="720" t="s">
        <v>27</v>
      </c>
    </row>
    <row r="26" spans="1:25" ht="15" customHeight="1" thickBot="1" x14ac:dyDescent="0.3">
      <c r="A26" s="723"/>
      <c r="B26" s="727"/>
      <c r="C26" s="727"/>
      <c r="D26" s="727"/>
      <c r="E26" s="725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05"/>
      <c r="S26" s="4" t="s">
        <v>21</v>
      </c>
      <c r="T26" s="2" t="s">
        <v>22</v>
      </c>
      <c r="U26" s="2" t="s">
        <v>23</v>
      </c>
      <c r="V26" s="2" t="s">
        <v>24</v>
      </c>
      <c r="W26" s="707"/>
      <c r="X26" s="719"/>
      <c r="Y26" s="721"/>
    </row>
    <row r="27" spans="1:25" ht="18.75" customHeight="1" outlineLevel="1" thickTop="1" x14ac:dyDescent="0.25">
      <c r="A27" s="21" t="s">
        <v>96</v>
      </c>
      <c r="B27" s="572">
        <v>35000</v>
      </c>
      <c r="C27" s="573">
        <v>4</v>
      </c>
      <c r="D27" s="573">
        <v>2</v>
      </c>
      <c r="E27" s="574">
        <v>3</v>
      </c>
      <c r="F27" s="575" t="str">
        <f t="shared" ref="F27:Q30" si="20">IF($E27=F$26,$B27,"")</f>
        <v/>
      </c>
      <c r="G27" s="576" t="str">
        <f t="shared" si="20"/>
        <v/>
      </c>
      <c r="H27" s="576">
        <f t="shared" si="20"/>
        <v>35000</v>
      </c>
      <c r="I27" s="576" t="str">
        <f t="shared" si="20"/>
        <v/>
      </c>
      <c r="J27" s="576" t="str">
        <f t="shared" si="20"/>
        <v/>
      </c>
      <c r="K27" s="576" t="str">
        <f t="shared" si="20"/>
        <v/>
      </c>
      <c r="L27" s="576" t="str">
        <f t="shared" si="20"/>
        <v/>
      </c>
      <c r="M27" s="576" t="str">
        <f t="shared" si="20"/>
        <v/>
      </c>
      <c r="N27" s="576" t="str">
        <f t="shared" si="20"/>
        <v/>
      </c>
      <c r="O27" s="576" t="str">
        <f t="shared" si="20"/>
        <v/>
      </c>
      <c r="P27" s="576" t="str">
        <f t="shared" si="20"/>
        <v/>
      </c>
      <c r="Q27" s="576" t="str">
        <f t="shared" si="20"/>
        <v/>
      </c>
      <c r="R27" s="577">
        <f>SUM(F27:Q27)</f>
        <v>35000</v>
      </c>
      <c r="S27" s="506" t="str">
        <f>IF(AND($E27&gt;12,$E27&lt;=15),$B27,"")</f>
        <v/>
      </c>
      <c r="T27" s="578" t="str">
        <f>IF(AND($E27&gt;15,$E27&lt;=18),$B27,"")</f>
        <v/>
      </c>
      <c r="U27" s="578" t="str">
        <f>IF(AND($E27&gt;18,$E27&lt;=21),$B27,"")</f>
        <v/>
      </c>
      <c r="V27" s="578" t="str">
        <f>IF(AND($E27&gt;21,$E27&lt;=24),$B27,"")</f>
        <v/>
      </c>
      <c r="W27" s="579">
        <f>SUM(S27:V27)</f>
        <v>0</v>
      </c>
      <c r="X27" s="580" t="str">
        <f>IF(AND($E27&gt;24,$E27&lt;=36),$B27,"")</f>
        <v/>
      </c>
      <c r="Y27" s="237" t="str">
        <f>IF(AND($E27&gt;36,$E27&lt;=48),$B27,"")</f>
        <v/>
      </c>
    </row>
    <row r="28" spans="1:25" ht="18.75" customHeight="1" outlineLevel="1" x14ac:dyDescent="0.25">
      <c r="A28" s="22" t="s">
        <v>96</v>
      </c>
      <c r="B28" s="96">
        <v>35000</v>
      </c>
      <c r="C28" s="97">
        <v>4</v>
      </c>
      <c r="D28" s="97">
        <v>13</v>
      </c>
      <c r="E28" s="98">
        <v>14</v>
      </c>
      <c r="F28" s="10" t="str">
        <f t="shared" si="20"/>
        <v/>
      </c>
      <c r="G28" s="11" t="str">
        <f t="shared" si="20"/>
        <v/>
      </c>
      <c r="H28" s="11" t="str">
        <f t="shared" si="20"/>
        <v/>
      </c>
      <c r="I28" s="11" t="str">
        <f t="shared" si="20"/>
        <v/>
      </c>
      <c r="J28" s="11" t="str">
        <f t="shared" si="20"/>
        <v/>
      </c>
      <c r="K28" s="11" t="str">
        <f t="shared" si="20"/>
        <v/>
      </c>
      <c r="L28" s="11" t="str">
        <f t="shared" si="20"/>
        <v/>
      </c>
      <c r="M28" s="11" t="str">
        <f t="shared" si="20"/>
        <v/>
      </c>
      <c r="N28" s="11" t="str">
        <f t="shared" si="20"/>
        <v/>
      </c>
      <c r="O28" s="11" t="str">
        <f t="shared" si="20"/>
        <v/>
      </c>
      <c r="P28" s="11" t="str">
        <f t="shared" si="20"/>
        <v/>
      </c>
      <c r="Q28" s="11" t="str">
        <f t="shared" si="20"/>
        <v/>
      </c>
      <c r="R28" s="76">
        <f t="shared" ref="R28:R30" si="21">SUM(F28:Q28)</f>
        <v>0</v>
      </c>
      <c r="S28" s="77">
        <f t="shared" ref="S28:S30" si="22">IF(AND($E28&gt;12,$E28&lt;=15),$B28,"")</f>
        <v>35000</v>
      </c>
      <c r="T28" s="78" t="str">
        <f t="shared" ref="T28:T30" si="23">IF(AND($E28&gt;15,$E28&lt;=18),$B28,"")</f>
        <v/>
      </c>
      <c r="U28" s="78" t="str">
        <f t="shared" ref="U28:U30" si="24">IF(AND($E28&gt;18,$E28&lt;=21),$B28,"")</f>
        <v/>
      </c>
      <c r="V28" s="78" t="str">
        <f t="shared" ref="V28:V30" si="25">IF(AND($E28&gt;21,$E28&lt;=24),$B28,"")</f>
        <v/>
      </c>
      <c r="W28" s="79">
        <f t="shared" ref="W28:W30" si="26">SUM(S28:V28)</f>
        <v>35000</v>
      </c>
      <c r="X28" s="12" t="str">
        <f t="shared" ref="X28:X30" si="27">IF(AND($E28&gt;24,$E28&lt;=36),$B28,"")</f>
        <v/>
      </c>
      <c r="Y28" s="13" t="str">
        <f t="shared" ref="Y28:Y30" si="28">IF(AND($E28&gt;36,$E28&lt;=48),$B28,"")</f>
        <v/>
      </c>
    </row>
    <row r="29" spans="1:25" ht="18.75" customHeight="1" outlineLevel="1" x14ac:dyDescent="0.25">
      <c r="A29" s="22" t="s">
        <v>97</v>
      </c>
      <c r="B29" s="96">
        <v>25000</v>
      </c>
      <c r="C29" s="97">
        <v>4</v>
      </c>
      <c r="D29" s="97">
        <v>13</v>
      </c>
      <c r="E29" s="98">
        <v>14</v>
      </c>
      <c r="F29" s="10" t="str">
        <f t="shared" si="20"/>
        <v/>
      </c>
      <c r="G29" s="11" t="str">
        <f t="shared" si="20"/>
        <v/>
      </c>
      <c r="H29" s="11" t="str">
        <f t="shared" si="20"/>
        <v/>
      </c>
      <c r="I29" s="11" t="str">
        <f t="shared" si="20"/>
        <v/>
      </c>
      <c r="J29" s="11" t="str">
        <f t="shared" si="20"/>
        <v/>
      </c>
      <c r="K29" s="11" t="str">
        <f t="shared" si="20"/>
        <v/>
      </c>
      <c r="L29" s="11" t="str">
        <f t="shared" si="20"/>
        <v/>
      </c>
      <c r="M29" s="11" t="str">
        <f t="shared" si="20"/>
        <v/>
      </c>
      <c r="N29" s="11" t="str">
        <f t="shared" si="20"/>
        <v/>
      </c>
      <c r="O29" s="11" t="str">
        <f t="shared" si="20"/>
        <v/>
      </c>
      <c r="P29" s="11" t="str">
        <f t="shared" si="20"/>
        <v/>
      </c>
      <c r="Q29" s="11" t="str">
        <f t="shared" si="20"/>
        <v/>
      </c>
      <c r="R29" s="76">
        <f t="shared" si="21"/>
        <v>0</v>
      </c>
      <c r="S29" s="77">
        <f t="shared" si="22"/>
        <v>25000</v>
      </c>
      <c r="T29" s="78" t="str">
        <f t="shared" si="23"/>
        <v/>
      </c>
      <c r="U29" s="78" t="str">
        <f t="shared" si="24"/>
        <v/>
      </c>
      <c r="V29" s="78" t="str">
        <f t="shared" si="25"/>
        <v/>
      </c>
      <c r="W29" s="79">
        <f t="shared" si="26"/>
        <v>25000</v>
      </c>
      <c r="X29" s="12" t="str">
        <f t="shared" si="27"/>
        <v/>
      </c>
      <c r="Y29" s="13" t="str">
        <f t="shared" si="28"/>
        <v/>
      </c>
    </row>
    <row r="30" spans="1:25" ht="18.75" customHeight="1" outlineLevel="1" thickBot="1" x14ac:dyDescent="0.3">
      <c r="A30" s="127"/>
      <c r="B30" s="128"/>
      <c r="C30" s="128"/>
      <c r="D30" s="128"/>
      <c r="E30" s="129"/>
      <c r="F30" s="130" t="str">
        <f t="shared" si="20"/>
        <v/>
      </c>
      <c r="G30" s="131" t="str">
        <f t="shared" si="20"/>
        <v/>
      </c>
      <c r="H30" s="131" t="str">
        <f t="shared" si="20"/>
        <v/>
      </c>
      <c r="I30" s="131" t="str">
        <f t="shared" si="20"/>
        <v/>
      </c>
      <c r="J30" s="131" t="str">
        <f t="shared" si="20"/>
        <v/>
      </c>
      <c r="K30" s="131" t="str">
        <f t="shared" si="20"/>
        <v/>
      </c>
      <c r="L30" s="131" t="str">
        <f t="shared" si="20"/>
        <v/>
      </c>
      <c r="M30" s="131" t="str">
        <f t="shared" si="20"/>
        <v/>
      </c>
      <c r="N30" s="131" t="str">
        <f t="shared" si="20"/>
        <v/>
      </c>
      <c r="O30" s="131" t="str">
        <f t="shared" si="20"/>
        <v/>
      </c>
      <c r="P30" s="131" t="str">
        <f t="shared" si="20"/>
        <v/>
      </c>
      <c r="Q30" s="131" t="str">
        <f t="shared" si="20"/>
        <v/>
      </c>
      <c r="R30" s="132">
        <f t="shared" si="21"/>
        <v>0</v>
      </c>
      <c r="S30" s="133" t="str">
        <f t="shared" si="22"/>
        <v/>
      </c>
      <c r="T30" s="134" t="str">
        <f t="shared" si="23"/>
        <v/>
      </c>
      <c r="U30" s="134" t="str">
        <f t="shared" si="24"/>
        <v/>
      </c>
      <c r="V30" s="134" t="str">
        <f t="shared" si="25"/>
        <v/>
      </c>
      <c r="W30" s="135">
        <f t="shared" si="26"/>
        <v>0</v>
      </c>
      <c r="X30" s="136" t="str">
        <f t="shared" si="27"/>
        <v/>
      </c>
      <c r="Y30" s="137" t="str">
        <f t="shared" si="28"/>
        <v/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0"/>
      <c r="S31" s="31"/>
      <c r="T31" s="28"/>
      <c r="U31" s="28"/>
      <c r="V31" s="28"/>
      <c r="W31" s="32"/>
      <c r="X31" s="33"/>
      <c r="Y31" s="34"/>
    </row>
    <row r="32" spans="1:25" ht="18.75" customHeight="1" thickBot="1" x14ac:dyDescent="0.3">
      <c r="A32" s="35" t="s">
        <v>34</v>
      </c>
      <c r="B32" s="36">
        <f>SUM(B27:B31)</f>
        <v>95000</v>
      </c>
      <c r="C32" s="64"/>
      <c r="D32" s="65"/>
      <c r="E32" s="66"/>
      <c r="F32" s="569">
        <f t="shared" ref="F32:Y32" si="29">SUM(F27:F31)</f>
        <v>0</v>
      </c>
      <c r="G32" s="570">
        <f t="shared" si="29"/>
        <v>0</v>
      </c>
      <c r="H32" s="570">
        <f t="shared" si="29"/>
        <v>35000</v>
      </c>
      <c r="I32" s="570">
        <f t="shared" si="29"/>
        <v>0</v>
      </c>
      <c r="J32" s="570">
        <f t="shared" si="29"/>
        <v>0</v>
      </c>
      <c r="K32" s="570">
        <f t="shared" si="29"/>
        <v>0</v>
      </c>
      <c r="L32" s="570">
        <f t="shared" si="29"/>
        <v>0</v>
      </c>
      <c r="M32" s="570">
        <f t="shared" si="29"/>
        <v>0</v>
      </c>
      <c r="N32" s="570">
        <f t="shared" si="29"/>
        <v>0</v>
      </c>
      <c r="O32" s="570">
        <f t="shared" si="29"/>
        <v>0</v>
      </c>
      <c r="P32" s="570">
        <f t="shared" si="29"/>
        <v>0</v>
      </c>
      <c r="Q32" s="570">
        <f t="shared" si="29"/>
        <v>0</v>
      </c>
      <c r="R32" s="37">
        <f t="shared" si="29"/>
        <v>35000</v>
      </c>
      <c r="S32" s="571">
        <f t="shared" si="29"/>
        <v>60000</v>
      </c>
      <c r="T32" s="570">
        <f t="shared" si="29"/>
        <v>0</v>
      </c>
      <c r="U32" s="570">
        <f t="shared" si="29"/>
        <v>0</v>
      </c>
      <c r="V32" s="570">
        <f t="shared" si="29"/>
        <v>0</v>
      </c>
      <c r="W32" s="38">
        <f t="shared" si="29"/>
        <v>60000</v>
      </c>
      <c r="X32" s="39">
        <f t="shared" si="29"/>
        <v>0</v>
      </c>
      <c r="Y32" s="40">
        <f t="shared" si="29"/>
        <v>0</v>
      </c>
    </row>
    <row r="33" spans="1:25" ht="7.5" customHeight="1" thickBot="1" x14ac:dyDescent="0.3">
      <c r="A33" s="712"/>
      <c r="B33" s="713"/>
      <c r="C33" s="713"/>
      <c r="D33" s="713"/>
      <c r="E33" s="713"/>
      <c r="F33" s="713"/>
      <c r="G33" s="713"/>
      <c r="H33" s="713"/>
      <c r="I33" s="713"/>
      <c r="J33" s="713"/>
      <c r="K33" s="713"/>
      <c r="L33" s="713"/>
      <c r="M33" s="713"/>
      <c r="N33" s="713"/>
      <c r="O33" s="713"/>
      <c r="P33" s="713"/>
      <c r="Q33" s="713"/>
      <c r="R33" s="713"/>
      <c r="S33" s="713"/>
      <c r="T33" s="713"/>
      <c r="U33" s="713"/>
      <c r="V33" s="713"/>
      <c r="W33" s="713"/>
      <c r="X33" s="713"/>
      <c r="Y33" s="714"/>
    </row>
    <row r="34" spans="1:25" ht="22.5" customHeight="1" thickBot="1" x14ac:dyDescent="0.3">
      <c r="A34" s="486" t="s">
        <v>35</v>
      </c>
      <c r="B34" s="62">
        <f>B32+B23</f>
        <v>195000</v>
      </c>
      <c r="C34" s="63"/>
      <c r="D34" s="63"/>
      <c r="E34" s="138"/>
      <c r="F34" s="56">
        <f t="shared" ref="F34:Y34" si="30">F32+F23</f>
        <v>58000</v>
      </c>
      <c r="G34" s="57">
        <f t="shared" si="30"/>
        <v>0</v>
      </c>
      <c r="H34" s="57">
        <f t="shared" si="30"/>
        <v>45000</v>
      </c>
      <c r="I34" s="57">
        <f t="shared" si="30"/>
        <v>0</v>
      </c>
      <c r="J34" s="57">
        <f t="shared" si="30"/>
        <v>0</v>
      </c>
      <c r="K34" s="57">
        <f t="shared" si="30"/>
        <v>10000</v>
      </c>
      <c r="L34" s="57">
        <f t="shared" si="30"/>
        <v>0</v>
      </c>
      <c r="M34" s="57">
        <f t="shared" si="30"/>
        <v>0</v>
      </c>
      <c r="N34" s="57">
        <f t="shared" si="30"/>
        <v>0</v>
      </c>
      <c r="O34" s="57">
        <f t="shared" si="30"/>
        <v>20000</v>
      </c>
      <c r="P34" s="57">
        <f t="shared" si="30"/>
        <v>0</v>
      </c>
      <c r="Q34" s="57">
        <f t="shared" si="30"/>
        <v>0</v>
      </c>
      <c r="R34" s="58">
        <f t="shared" si="30"/>
        <v>133000</v>
      </c>
      <c r="S34" s="59">
        <f t="shared" si="30"/>
        <v>62000</v>
      </c>
      <c r="T34" s="57">
        <f t="shared" si="30"/>
        <v>0</v>
      </c>
      <c r="U34" s="57">
        <f t="shared" si="30"/>
        <v>0</v>
      </c>
      <c r="V34" s="57">
        <f t="shared" si="30"/>
        <v>0</v>
      </c>
      <c r="W34" s="58">
        <f t="shared" si="30"/>
        <v>62000</v>
      </c>
      <c r="X34" s="60">
        <f t="shared" si="30"/>
        <v>0</v>
      </c>
      <c r="Y34" s="61">
        <f t="shared" si="30"/>
        <v>0</v>
      </c>
    </row>
  </sheetData>
  <sheetProtection algorithmName="SHA-512" hashValue="Ew/OhmKYzWCUSBoImjzxBhp0tFpvo8EJBsin+dcWxwlF4u0mkzXLuXDvDe3tJB89wi6L1X1pUOjhJt9hajof4A==" saltValue="ZVA8R0pBcj4o+YhgIS5c+g==" spinCount="100000" sheet="1" objects="1" scenarios="1" selectLockedCells="1"/>
  <mergeCells count="26">
    <mergeCell ref="S25:V25"/>
    <mergeCell ref="W25:W26"/>
    <mergeCell ref="X25:X26"/>
    <mergeCell ref="Y25:Y26"/>
    <mergeCell ref="A25:A26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3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9"/>
  <sheetViews>
    <sheetView showGridLines="0" view="pageBreakPreview" zoomScaleNormal="100" zoomScaleSheetLayoutView="100" workbookViewId="0">
      <pane xSplit="4" ySplit="1" topLeftCell="E26" activePane="bottomRight" state="frozen"/>
      <selection pane="topRight" activeCell="E1" sqref="E1"/>
      <selection pane="bottomLeft" activeCell="A2" sqref="A2"/>
      <selection pane="bottomRight" activeCell="E29" sqref="E29"/>
    </sheetView>
  </sheetViews>
  <sheetFormatPr baseColWidth="10" defaultRowHeight="15" outlineLevelCol="1" x14ac:dyDescent="0.25"/>
  <cols>
    <col min="1" max="1" width="51.42578125" style="41" bestFit="1" customWidth="1"/>
    <col min="2" max="2" width="11.42578125" style="41"/>
    <col min="3" max="3" width="8.140625" style="41" bestFit="1" customWidth="1"/>
    <col min="4" max="4" width="9.28515625" style="41" bestFit="1" customWidth="1"/>
    <col min="5" max="15" width="11.42578125" style="41" customWidth="1" outlineLevel="1"/>
    <col min="16" max="16" width="10.5703125" style="41" customWidth="1" outlineLevel="1"/>
    <col min="17" max="17" width="13" style="41" bestFit="1" customWidth="1"/>
    <col min="18" max="21" width="11.42578125" style="41" hidden="1" customWidth="1" outlineLevel="1"/>
    <col min="22" max="22" width="13" style="41" bestFit="1" customWidth="1" collapsed="1"/>
    <col min="23" max="24" width="13" style="41" bestFit="1" customWidth="1"/>
    <col min="25" max="25" width="11.42578125" style="41"/>
    <col min="26" max="26" width="16.5703125" style="41" bestFit="1" customWidth="1"/>
    <col min="27" max="16384" width="11.42578125" style="41"/>
  </cols>
  <sheetData>
    <row r="1" spans="1:24" ht="27" thickBot="1" x14ac:dyDescent="0.3">
      <c r="A1" s="701" t="s">
        <v>43</v>
      </c>
      <c r="B1" s="702"/>
      <c r="C1" s="702"/>
      <c r="D1" s="702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2"/>
      <c r="P1" s="702"/>
      <c r="Q1" s="702"/>
      <c r="R1" s="702"/>
      <c r="S1" s="702"/>
      <c r="T1" s="702"/>
      <c r="U1" s="702"/>
      <c r="V1" s="702"/>
      <c r="W1" s="702"/>
      <c r="X1" s="703"/>
    </row>
    <row r="2" spans="1:24" ht="15.75" thickBot="1" x14ac:dyDescent="0.3"/>
    <row r="3" spans="1:24" x14ac:dyDescent="0.25">
      <c r="A3" s="581" t="s">
        <v>95</v>
      </c>
      <c r="B3" s="601">
        <v>30</v>
      </c>
    </row>
    <row r="4" spans="1:24" x14ac:dyDescent="0.25">
      <c r="A4" s="582" t="s">
        <v>93</v>
      </c>
      <c r="B4" s="151">
        <v>0.34</v>
      </c>
    </row>
    <row r="5" spans="1:24" ht="15.75" thickBot="1" x14ac:dyDescent="0.3">
      <c r="A5" s="583" t="s">
        <v>89</v>
      </c>
      <c r="B5" s="152">
        <v>0.05</v>
      </c>
    </row>
    <row r="6" spans="1:24" ht="22.5" customHeight="1" thickBot="1" x14ac:dyDescent="0.3">
      <c r="A6" s="584" t="s">
        <v>90</v>
      </c>
      <c r="B6" s="738" t="s">
        <v>54</v>
      </c>
      <c r="C6" s="739"/>
      <c r="D6" s="751" t="s">
        <v>257</v>
      </c>
      <c r="E6" s="709" t="s">
        <v>20</v>
      </c>
      <c r="F6" s="709"/>
      <c r="G6" s="709"/>
      <c r="H6" s="709"/>
      <c r="I6" s="709"/>
      <c r="J6" s="709"/>
      <c r="K6" s="709"/>
      <c r="L6" s="709"/>
      <c r="M6" s="709"/>
      <c r="N6" s="709"/>
      <c r="O6" s="709"/>
      <c r="P6" s="710"/>
      <c r="Q6" s="704" t="s">
        <v>20</v>
      </c>
      <c r="R6" s="708" t="s">
        <v>25</v>
      </c>
      <c r="S6" s="709"/>
      <c r="T6" s="709"/>
      <c r="U6" s="710"/>
      <c r="V6" s="706" t="s">
        <v>25</v>
      </c>
      <c r="W6" s="718" t="s">
        <v>26</v>
      </c>
      <c r="X6" s="720" t="s">
        <v>27</v>
      </c>
    </row>
    <row r="7" spans="1:24" ht="18.75" customHeight="1" thickBot="1" x14ac:dyDescent="0.3">
      <c r="A7" s="585" t="s">
        <v>52</v>
      </c>
      <c r="B7" s="740"/>
      <c r="C7" s="740"/>
      <c r="D7" s="752"/>
      <c r="E7" s="113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05"/>
      <c r="R7" s="4" t="s">
        <v>21</v>
      </c>
      <c r="S7" s="2" t="s">
        <v>22</v>
      </c>
      <c r="T7" s="2" t="s">
        <v>23</v>
      </c>
      <c r="U7" s="2" t="s">
        <v>24</v>
      </c>
      <c r="V7" s="707"/>
      <c r="W7" s="719"/>
      <c r="X7" s="721"/>
    </row>
    <row r="8" spans="1:24" ht="18.75" customHeight="1" thickTop="1" x14ac:dyDescent="0.25">
      <c r="A8" s="94" t="s">
        <v>1</v>
      </c>
      <c r="B8" s="745">
        <v>3000</v>
      </c>
      <c r="C8" s="745"/>
      <c r="D8" s="602">
        <v>1</v>
      </c>
      <c r="E8" s="6">
        <f>IF($D8="","",IF($D8&lt;=E$7,$B8,""))</f>
        <v>3000</v>
      </c>
      <c r="F8" s="7">
        <f t="shared" ref="F8:P11" si="0">IF($D8="","",IF($D8&lt;=F$7,$B8,""))</f>
        <v>3000</v>
      </c>
      <c r="G8" s="7">
        <f t="shared" si="0"/>
        <v>3000</v>
      </c>
      <c r="H8" s="7">
        <f t="shared" si="0"/>
        <v>3000</v>
      </c>
      <c r="I8" s="7">
        <f t="shared" si="0"/>
        <v>3000</v>
      </c>
      <c r="J8" s="7">
        <f t="shared" si="0"/>
        <v>3000</v>
      </c>
      <c r="K8" s="7">
        <f t="shared" si="0"/>
        <v>3000</v>
      </c>
      <c r="L8" s="7">
        <f t="shared" si="0"/>
        <v>3000</v>
      </c>
      <c r="M8" s="7">
        <f t="shared" si="0"/>
        <v>3000</v>
      </c>
      <c r="N8" s="7">
        <f t="shared" si="0"/>
        <v>3000</v>
      </c>
      <c r="O8" s="7">
        <f t="shared" si="0"/>
        <v>3000</v>
      </c>
      <c r="P8" s="7">
        <f t="shared" si="0"/>
        <v>3000</v>
      </c>
      <c r="Q8" s="272">
        <f>SUM(E8:P8)</f>
        <v>36000</v>
      </c>
      <c r="R8" s="310">
        <f>IF($D8="","",IF(AND($D8&lt;=15,$D8&gt;12),(15-$D8+1)*$B8*(1+$B$5)^1,IF(AND($D8&lt;=15,$D8&lt;=12),3*$B8*(1+$B$5)^1,"")))</f>
        <v>9450</v>
      </c>
      <c r="S8" s="7">
        <f t="shared" ref="S8:U11" si="1">IF($D8="","",IF(AND($D8&lt;=15,$D8&gt;12),(15-$D8+1)*$B8*(1+$B$5)^1,IF(AND($D8&lt;=15,$D8&lt;=12),3*$B8*(1+$B$5)^1,"")))</f>
        <v>9450</v>
      </c>
      <c r="T8" s="7">
        <f t="shared" si="1"/>
        <v>9450</v>
      </c>
      <c r="U8" s="7">
        <f t="shared" si="1"/>
        <v>9450</v>
      </c>
      <c r="V8" s="272">
        <f>SUM(R8:U8)</f>
        <v>37800</v>
      </c>
      <c r="W8" s="8">
        <f>IF($D8="","",IF(AND($D8&lt;=36,$D8&gt;24),(36-$D8+1)*$B8*(1+$B$5)^2,IF(AND($D8&lt;=36,$D8&lt;=24),(36-24)*$B8*(1+$B$5)^2,"")))</f>
        <v>39690</v>
      </c>
      <c r="X8" s="9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95" t="s">
        <v>2</v>
      </c>
      <c r="B9" s="744">
        <v>3000</v>
      </c>
      <c r="C9" s="744"/>
      <c r="D9" s="603">
        <v>1</v>
      </c>
      <c r="E9" s="10">
        <f t="shared" ref="E9:E11" si="2">IF($D9="","",IF($D9&lt;=E$7,$B9,""))</f>
        <v>3000</v>
      </c>
      <c r="F9" s="11">
        <f t="shared" si="0"/>
        <v>3000</v>
      </c>
      <c r="G9" s="11">
        <f t="shared" si="0"/>
        <v>3000</v>
      </c>
      <c r="H9" s="11">
        <f t="shared" si="0"/>
        <v>3000</v>
      </c>
      <c r="I9" s="11">
        <f t="shared" si="0"/>
        <v>3000</v>
      </c>
      <c r="J9" s="11">
        <f t="shared" si="0"/>
        <v>3000</v>
      </c>
      <c r="K9" s="11">
        <f t="shared" si="0"/>
        <v>3000</v>
      </c>
      <c r="L9" s="11">
        <f t="shared" si="0"/>
        <v>3000</v>
      </c>
      <c r="M9" s="11">
        <f t="shared" si="0"/>
        <v>3000</v>
      </c>
      <c r="N9" s="11">
        <f t="shared" si="0"/>
        <v>3000</v>
      </c>
      <c r="O9" s="11">
        <f t="shared" si="0"/>
        <v>3000</v>
      </c>
      <c r="P9" s="11">
        <f t="shared" si="0"/>
        <v>3000</v>
      </c>
      <c r="Q9" s="586">
        <f t="shared" ref="Q9:Q11" si="3">SUM(E9:P9)</f>
        <v>36000</v>
      </c>
      <c r="R9" s="311">
        <f t="shared" ref="R9:R11" si="4">IF($D9="","",IF(AND($D9&lt;=15,$D9&gt;12),(15-$D9+1)*$B9*(1+$B$5)^1,IF(AND($D9&lt;=15,$D9&lt;=12),3*$B9*(1+$B$5)^1,"")))</f>
        <v>9450</v>
      </c>
      <c r="S9" s="11">
        <f t="shared" si="1"/>
        <v>9450</v>
      </c>
      <c r="T9" s="11">
        <f t="shared" si="1"/>
        <v>9450</v>
      </c>
      <c r="U9" s="11">
        <f t="shared" si="1"/>
        <v>9450</v>
      </c>
      <c r="V9" s="586">
        <f t="shared" ref="V9:V11" si="5">SUM(R9:U9)</f>
        <v>37800</v>
      </c>
      <c r="W9" s="12">
        <f t="shared" ref="W9:W11" si="6">IF($D9="","",IF(AND($D9&lt;=36,$D9&gt;24),(36-$D9+1)*$B9*(1+$B$5)^2,IF(AND($D9&lt;=36,$D9&lt;=24),(36-24)*$B9*(1+$B$5)^2,"")))</f>
        <v>39690</v>
      </c>
      <c r="X9" s="13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95" t="s">
        <v>3</v>
      </c>
      <c r="B10" s="744">
        <v>3000</v>
      </c>
      <c r="C10" s="744"/>
      <c r="D10" s="603">
        <v>1</v>
      </c>
      <c r="E10" s="10">
        <f t="shared" si="2"/>
        <v>3000</v>
      </c>
      <c r="F10" s="11">
        <f t="shared" si="0"/>
        <v>3000</v>
      </c>
      <c r="G10" s="11">
        <f t="shared" si="0"/>
        <v>3000</v>
      </c>
      <c r="H10" s="11">
        <f t="shared" si="0"/>
        <v>3000</v>
      </c>
      <c r="I10" s="11">
        <f t="shared" si="0"/>
        <v>3000</v>
      </c>
      <c r="J10" s="11">
        <f t="shared" si="0"/>
        <v>3000</v>
      </c>
      <c r="K10" s="11">
        <f t="shared" si="0"/>
        <v>3000</v>
      </c>
      <c r="L10" s="11">
        <f t="shared" si="0"/>
        <v>3000</v>
      </c>
      <c r="M10" s="11">
        <f t="shared" si="0"/>
        <v>3000</v>
      </c>
      <c r="N10" s="11">
        <f t="shared" si="0"/>
        <v>3000</v>
      </c>
      <c r="O10" s="11">
        <f t="shared" si="0"/>
        <v>3000</v>
      </c>
      <c r="P10" s="11">
        <f t="shared" si="0"/>
        <v>3000</v>
      </c>
      <c r="Q10" s="586">
        <f t="shared" si="3"/>
        <v>36000</v>
      </c>
      <c r="R10" s="311">
        <f t="shared" si="4"/>
        <v>9450</v>
      </c>
      <c r="S10" s="11">
        <f t="shared" si="1"/>
        <v>9450</v>
      </c>
      <c r="T10" s="11">
        <f t="shared" si="1"/>
        <v>9450</v>
      </c>
      <c r="U10" s="11">
        <f t="shared" si="1"/>
        <v>9450</v>
      </c>
      <c r="V10" s="586">
        <f t="shared" si="5"/>
        <v>37800</v>
      </c>
      <c r="W10" s="12">
        <f t="shared" si="6"/>
        <v>39690</v>
      </c>
      <c r="X10" s="13">
        <f t="shared" si="7"/>
        <v>41674.500000000007</v>
      </c>
    </row>
    <row r="11" spans="1:24" ht="18.75" customHeight="1" thickBot="1" x14ac:dyDescent="0.3">
      <c r="A11" s="604" t="s">
        <v>4</v>
      </c>
      <c r="B11" s="743">
        <v>3000</v>
      </c>
      <c r="C11" s="743"/>
      <c r="D11" s="605">
        <v>1</v>
      </c>
      <c r="E11" s="130">
        <f t="shared" si="2"/>
        <v>3000</v>
      </c>
      <c r="F11" s="131">
        <f t="shared" si="0"/>
        <v>3000</v>
      </c>
      <c r="G11" s="131">
        <f t="shared" si="0"/>
        <v>3000</v>
      </c>
      <c r="H11" s="131">
        <f t="shared" si="0"/>
        <v>3000</v>
      </c>
      <c r="I11" s="131">
        <f t="shared" si="0"/>
        <v>3000</v>
      </c>
      <c r="J11" s="131">
        <f t="shared" si="0"/>
        <v>3000</v>
      </c>
      <c r="K11" s="131">
        <f t="shared" si="0"/>
        <v>3000</v>
      </c>
      <c r="L11" s="131">
        <f t="shared" si="0"/>
        <v>3000</v>
      </c>
      <c r="M11" s="131">
        <f t="shared" si="0"/>
        <v>3000</v>
      </c>
      <c r="N11" s="131">
        <f t="shared" si="0"/>
        <v>3000</v>
      </c>
      <c r="O11" s="131">
        <f t="shared" si="0"/>
        <v>3000</v>
      </c>
      <c r="P11" s="131">
        <f t="shared" si="0"/>
        <v>3000</v>
      </c>
      <c r="Q11" s="587">
        <f t="shared" si="3"/>
        <v>36000</v>
      </c>
      <c r="R11" s="162">
        <f t="shared" si="4"/>
        <v>9450</v>
      </c>
      <c r="S11" s="131">
        <f t="shared" si="1"/>
        <v>9450</v>
      </c>
      <c r="T11" s="131">
        <f t="shared" si="1"/>
        <v>9450</v>
      </c>
      <c r="U11" s="131">
        <f t="shared" si="1"/>
        <v>9450</v>
      </c>
      <c r="V11" s="587">
        <f t="shared" si="5"/>
        <v>37800</v>
      </c>
      <c r="W11" s="136">
        <f t="shared" si="6"/>
        <v>39690</v>
      </c>
      <c r="X11" s="137">
        <f t="shared" si="7"/>
        <v>41674.500000000007</v>
      </c>
    </row>
    <row r="12" spans="1:24" ht="7.5" customHeight="1" thickTop="1" thickBot="1" x14ac:dyDescent="0.3">
      <c r="A12" s="606"/>
      <c r="B12" s="750"/>
      <c r="C12" s="750"/>
      <c r="D12" s="607"/>
      <c r="E12" s="343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329"/>
      <c r="R12" s="331"/>
      <c r="S12" s="328"/>
      <c r="T12" s="328"/>
      <c r="U12" s="328"/>
      <c r="V12" s="329"/>
      <c r="W12" s="330"/>
      <c r="X12" s="332"/>
    </row>
    <row r="13" spans="1:24" ht="18.75" customHeight="1" thickBot="1" x14ac:dyDescent="0.3">
      <c r="A13" s="663" t="s">
        <v>91</v>
      </c>
      <c r="B13" s="741">
        <f>SUM(Q13,V13,W13,X13)/48</f>
        <v>12930.375</v>
      </c>
      <c r="C13" s="742"/>
      <c r="D13" s="662"/>
      <c r="E13" s="626">
        <f>SUM(E8:E12)</f>
        <v>12000</v>
      </c>
      <c r="F13" s="560">
        <f t="shared" ref="F13:X13" si="8">SUM(F8:F12)</f>
        <v>12000</v>
      </c>
      <c r="G13" s="560">
        <f t="shared" si="8"/>
        <v>12000</v>
      </c>
      <c r="H13" s="560">
        <f t="shared" si="8"/>
        <v>12000</v>
      </c>
      <c r="I13" s="560">
        <f t="shared" si="8"/>
        <v>12000</v>
      </c>
      <c r="J13" s="560">
        <f t="shared" si="8"/>
        <v>12000</v>
      </c>
      <c r="K13" s="560">
        <f t="shared" si="8"/>
        <v>12000</v>
      </c>
      <c r="L13" s="560">
        <f t="shared" si="8"/>
        <v>12000</v>
      </c>
      <c r="M13" s="560">
        <f t="shared" si="8"/>
        <v>12000</v>
      </c>
      <c r="N13" s="560">
        <f t="shared" si="8"/>
        <v>12000</v>
      </c>
      <c r="O13" s="560">
        <f t="shared" si="8"/>
        <v>12000</v>
      </c>
      <c r="P13" s="560">
        <f t="shared" si="8"/>
        <v>12000</v>
      </c>
      <c r="Q13" s="561">
        <f t="shared" si="8"/>
        <v>144000</v>
      </c>
      <c r="R13" s="449">
        <f t="shared" si="8"/>
        <v>37800</v>
      </c>
      <c r="S13" s="560">
        <f t="shared" si="8"/>
        <v>37800</v>
      </c>
      <c r="T13" s="560">
        <f t="shared" si="8"/>
        <v>37800</v>
      </c>
      <c r="U13" s="560">
        <f t="shared" si="8"/>
        <v>37800</v>
      </c>
      <c r="V13" s="561">
        <f t="shared" si="8"/>
        <v>151200</v>
      </c>
      <c r="W13" s="563">
        <f t="shared" si="8"/>
        <v>158760</v>
      </c>
      <c r="X13" s="502">
        <f t="shared" si="8"/>
        <v>166698.00000000003</v>
      </c>
    </row>
    <row r="14" spans="1:24" ht="7.5" customHeight="1" thickBot="1" x14ac:dyDescent="0.3">
      <c r="A14" s="746"/>
      <c r="B14" s="747"/>
      <c r="C14" s="747"/>
      <c r="D14" s="747"/>
      <c r="E14" s="747"/>
      <c r="F14" s="747"/>
      <c r="G14" s="747"/>
      <c r="H14" s="747"/>
      <c r="I14" s="747"/>
      <c r="J14" s="747"/>
      <c r="K14" s="747"/>
      <c r="L14" s="747"/>
      <c r="M14" s="747"/>
      <c r="N14" s="747"/>
      <c r="O14" s="747"/>
      <c r="P14" s="747"/>
      <c r="Q14" s="747"/>
      <c r="R14" s="747"/>
      <c r="S14" s="747"/>
      <c r="T14" s="747"/>
      <c r="U14" s="747"/>
      <c r="V14" s="747"/>
      <c r="W14" s="747"/>
      <c r="X14" s="748"/>
    </row>
    <row r="15" spans="1:24" ht="18.75" customHeight="1" thickBot="1" x14ac:dyDescent="0.3">
      <c r="A15" s="588" t="s">
        <v>53</v>
      </c>
      <c r="B15" s="326"/>
      <c r="C15" s="326"/>
      <c r="D15" s="589"/>
    </row>
    <row r="16" spans="1:24" ht="15.75" thickTop="1" x14ac:dyDescent="0.25">
      <c r="A16" s="94" t="s">
        <v>65</v>
      </c>
      <c r="B16" s="745">
        <v>1700</v>
      </c>
      <c r="C16" s="745"/>
      <c r="D16" s="20">
        <v>2</v>
      </c>
      <c r="E16" s="6" t="str">
        <f t="shared" ref="E16:P16" si="9">IF($D16="","",IF($D16&lt;=E$7,$B16,""))</f>
        <v/>
      </c>
      <c r="F16" s="7">
        <f t="shared" si="9"/>
        <v>1700</v>
      </c>
      <c r="G16" s="7">
        <f t="shared" si="9"/>
        <v>1700</v>
      </c>
      <c r="H16" s="7">
        <f t="shared" si="9"/>
        <v>1700</v>
      </c>
      <c r="I16" s="7">
        <f t="shared" si="9"/>
        <v>1700</v>
      </c>
      <c r="J16" s="7">
        <f t="shared" si="9"/>
        <v>1700</v>
      </c>
      <c r="K16" s="7">
        <f t="shared" si="9"/>
        <v>1700</v>
      </c>
      <c r="L16" s="7">
        <f t="shared" si="9"/>
        <v>1700</v>
      </c>
      <c r="M16" s="7">
        <f t="shared" si="9"/>
        <v>1700</v>
      </c>
      <c r="N16" s="7">
        <f t="shared" si="9"/>
        <v>1700</v>
      </c>
      <c r="O16" s="7">
        <f t="shared" si="9"/>
        <v>1700</v>
      </c>
      <c r="P16" s="7">
        <f t="shared" si="9"/>
        <v>1700</v>
      </c>
      <c r="Q16" s="272">
        <f>SUM(E16:P16)</f>
        <v>18700</v>
      </c>
      <c r="R16" s="310">
        <f>IF($D16="","",IF(AND($D16&lt;=15,$D16&gt;12),(15-$D16+1)*$B16*(1+$B$5)^1,IF(AND($D16&lt;=15,$D16&lt;=12),3*$B16*(1+$B$5)^1,"")))</f>
        <v>5355</v>
      </c>
      <c r="S16" s="7">
        <f>IF($D16="","",IF(AND($D16&lt;=15,$D16&gt;12),(15-$D16+1)*$B16*(1+$B$5)^1,IF(AND($D16&lt;=15,$D16&lt;=12),3*$B16*(1+$B$5)^1,"")))</f>
        <v>5355</v>
      </c>
      <c r="T16" s="7">
        <f>IF($D16="","",IF(AND($D16&lt;=15,$D16&gt;12),(15-$D16+1)*$B16*(1+$B$5)^1,IF(AND($D16&lt;=15,$D16&lt;=12),3*$B16*(1+$B$5)^1,"")))</f>
        <v>5355</v>
      </c>
      <c r="U16" s="7">
        <f>IF($D16="","",IF(AND($D16&lt;=15,$D16&gt;12),(15-$D16+1)*$B16*(1+$B$5)^1,IF(AND($D16&lt;=15,$D16&lt;=12),3*$B16*(1+$B$5)^1,"")))</f>
        <v>5355</v>
      </c>
      <c r="V16" s="272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5" t="s">
        <v>74</v>
      </c>
      <c r="B17" s="744">
        <v>2700</v>
      </c>
      <c r="C17" s="744"/>
      <c r="D17" s="98">
        <v>3</v>
      </c>
      <c r="E17" s="10" t="str">
        <f t="shared" ref="E17:E19" si="10">IF($D17="","",IF($D17&lt;=E$7,$B17,""))</f>
        <v/>
      </c>
      <c r="F17" s="11" t="str">
        <f t="shared" ref="F17:P19" si="11">IF($D17="","",IF($D17&lt;=F$7,$B17,""))</f>
        <v/>
      </c>
      <c r="G17" s="11">
        <f t="shared" si="11"/>
        <v>2700</v>
      </c>
      <c r="H17" s="11">
        <f t="shared" si="11"/>
        <v>2700</v>
      </c>
      <c r="I17" s="11">
        <f t="shared" si="11"/>
        <v>2700</v>
      </c>
      <c r="J17" s="11">
        <f t="shared" si="11"/>
        <v>2700</v>
      </c>
      <c r="K17" s="11">
        <f t="shared" si="11"/>
        <v>2700</v>
      </c>
      <c r="L17" s="11">
        <f t="shared" si="11"/>
        <v>2700</v>
      </c>
      <c r="M17" s="11">
        <f t="shared" si="11"/>
        <v>2700</v>
      </c>
      <c r="N17" s="11">
        <f t="shared" si="11"/>
        <v>2700</v>
      </c>
      <c r="O17" s="11">
        <f t="shared" si="11"/>
        <v>2700</v>
      </c>
      <c r="P17" s="11">
        <f t="shared" si="11"/>
        <v>2700</v>
      </c>
      <c r="Q17" s="586">
        <f t="shared" ref="Q17:Q19" si="12">SUM(E17:P17)</f>
        <v>27000</v>
      </c>
      <c r="R17" s="311">
        <f t="shared" ref="R17:R19" si="13">IF($D17="","",IF(AND($D17&lt;=15,$D17&gt;12),(15-$D17+1)*$B17*(1+$B$5)^1,IF(AND($D17&lt;=15,$D17&lt;=12),3*$B17*(1+$B$5)^1,"")))</f>
        <v>8505</v>
      </c>
      <c r="S17" s="11">
        <f t="shared" ref="S17:U19" si="14">IF($D17="","",IF(AND($D17&lt;=15,$D17&gt;12),(15-$D17+1)*$B17*(1+$B$5)^1,IF(AND($D17&lt;=15,$D17&lt;=12),3*$B17*(1+$B$5)^1,"")))</f>
        <v>8505</v>
      </c>
      <c r="T17" s="11">
        <f t="shared" si="14"/>
        <v>8505</v>
      </c>
      <c r="U17" s="11">
        <f t="shared" si="14"/>
        <v>8505</v>
      </c>
      <c r="V17" s="586">
        <f t="shared" ref="V17:V19" si="15">SUM(R17:U17)</f>
        <v>34020</v>
      </c>
      <c r="W17" s="12">
        <f t="shared" ref="W17:W19" si="16">IF($D17="","",IF(AND($D17&lt;=36,$D17&gt;24),(36-$D17+1)*$B17*(1+$B$5)^2,IF(AND($D17&lt;=36,$D17&lt;=24),(36-24)*$B17*(1+$B$5)^2,"")))</f>
        <v>35721</v>
      </c>
      <c r="X17" s="13">
        <f t="shared" ref="X17:X19" si="17">IF($D17="","",IF(AND($D17&lt;=48,$D17&gt;36),(48-$D17+1)*$B17*(1+$B$5)^3,IF(AND($D17&lt;=48,$D17&lt;=36),(48-36)*$B17*(1+$B$5)^3,"")))</f>
        <v>37507.050000000003</v>
      </c>
    </row>
    <row r="18" spans="1:26" x14ac:dyDescent="0.25">
      <c r="A18" s="99" t="s">
        <v>75</v>
      </c>
      <c r="B18" s="744">
        <v>2700</v>
      </c>
      <c r="C18" s="744"/>
      <c r="D18" s="102">
        <v>4</v>
      </c>
      <c r="E18" s="14" t="str">
        <f t="shared" si="10"/>
        <v/>
      </c>
      <c r="F18" s="15" t="str">
        <f t="shared" si="11"/>
        <v/>
      </c>
      <c r="G18" s="15" t="str">
        <f t="shared" si="11"/>
        <v/>
      </c>
      <c r="H18" s="15">
        <f t="shared" si="11"/>
        <v>2700</v>
      </c>
      <c r="I18" s="15">
        <f t="shared" si="11"/>
        <v>2700</v>
      </c>
      <c r="J18" s="15">
        <f t="shared" si="11"/>
        <v>2700</v>
      </c>
      <c r="K18" s="15">
        <f t="shared" si="11"/>
        <v>2700</v>
      </c>
      <c r="L18" s="15">
        <f t="shared" si="11"/>
        <v>2700</v>
      </c>
      <c r="M18" s="15">
        <f t="shared" si="11"/>
        <v>2700</v>
      </c>
      <c r="N18" s="15">
        <f t="shared" si="11"/>
        <v>2700</v>
      </c>
      <c r="O18" s="15">
        <f t="shared" si="11"/>
        <v>2700</v>
      </c>
      <c r="P18" s="15">
        <f t="shared" si="11"/>
        <v>2700</v>
      </c>
      <c r="Q18" s="273">
        <f t="shared" si="12"/>
        <v>24300</v>
      </c>
      <c r="R18" s="590">
        <f t="shared" si="13"/>
        <v>8505</v>
      </c>
      <c r="S18" s="15">
        <f t="shared" si="14"/>
        <v>8505</v>
      </c>
      <c r="T18" s="15">
        <f t="shared" si="14"/>
        <v>8505</v>
      </c>
      <c r="U18" s="15">
        <f t="shared" si="14"/>
        <v>8505</v>
      </c>
      <c r="V18" s="273">
        <f t="shared" si="15"/>
        <v>34020</v>
      </c>
      <c r="W18" s="16">
        <f t="shared" si="16"/>
        <v>35721</v>
      </c>
      <c r="X18" s="17">
        <f t="shared" si="17"/>
        <v>37507.050000000003</v>
      </c>
    </row>
    <row r="19" spans="1:26" ht="15.75" thickBot="1" x14ac:dyDescent="0.3">
      <c r="A19" s="604" t="s">
        <v>92</v>
      </c>
      <c r="B19" s="743">
        <v>2500</v>
      </c>
      <c r="C19" s="743"/>
      <c r="D19" s="608">
        <v>13</v>
      </c>
      <c r="E19" s="130" t="str">
        <f t="shared" si="10"/>
        <v/>
      </c>
      <c r="F19" s="131" t="str">
        <f t="shared" si="11"/>
        <v/>
      </c>
      <c r="G19" s="131" t="str">
        <f t="shared" si="11"/>
        <v/>
      </c>
      <c r="H19" s="131" t="str">
        <f t="shared" si="11"/>
        <v/>
      </c>
      <c r="I19" s="131" t="str">
        <f t="shared" si="11"/>
        <v/>
      </c>
      <c r="J19" s="131" t="str">
        <f t="shared" si="11"/>
        <v/>
      </c>
      <c r="K19" s="131" t="str">
        <f t="shared" si="11"/>
        <v/>
      </c>
      <c r="L19" s="131" t="str">
        <f t="shared" si="11"/>
        <v/>
      </c>
      <c r="M19" s="131" t="str">
        <f t="shared" si="11"/>
        <v/>
      </c>
      <c r="N19" s="131" t="str">
        <f t="shared" si="11"/>
        <v/>
      </c>
      <c r="O19" s="131" t="str">
        <f t="shared" si="11"/>
        <v/>
      </c>
      <c r="P19" s="131" t="str">
        <f t="shared" si="11"/>
        <v/>
      </c>
      <c r="Q19" s="587">
        <f t="shared" si="12"/>
        <v>0</v>
      </c>
      <c r="R19" s="162">
        <f t="shared" si="13"/>
        <v>7875</v>
      </c>
      <c r="S19" s="131">
        <f t="shared" si="14"/>
        <v>7875</v>
      </c>
      <c r="T19" s="131">
        <f t="shared" si="14"/>
        <v>7875</v>
      </c>
      <c r="U19" s="131">
        <f t="shared" si="14"/>
        <v>7875</v>
      </c>
      <c r="V19" s="587">
        <f t="shared" si="15"/>
        <v>31500</v>
      </c>
      <c r="W19" s="136">
        <f t="shared" si="16"/>
        <v>33075</v>
      </c>
      <c r="X19" s="137">
        <f t="shared" si="17"/>
        <v>34728.750000000007</v>
      </c>
    </row>
    <row r="20" spans="1:26" ht="7.5" customHeight="1" thickTop="1" thickBot="1" x14ac:dyDescent="0.3">
      <c r="A20" s="606"/>
      <c r="B20" s="749"/>
      <c r="C20" s="749"/>
      <c r="D20" s="609"/>
      <c r="E20" s="343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329"/>
      <c r="R20" s="331"/>
      <c r="S20" s="328"/>
      <c r="T20" s="328"/>
      <c r="U20" s="328"/>
      <c r="V20" s="329"/>
      <c r="W20" s="330"/>
      <c r="X20" s="332"/>
    </row>
    <row r="21" spans="1:26" ht="18.75" customHeight="1" thickBot="1" x14ac:dyDescent="0.3">
      <c r="A21" s="663" t="s">
        <v>91</v>
      </c>
      <c r="B21" s="741">
        <f>SUM(Q21,V21,W21,X21)/48</f>
        <v>9402.6333333333332</v>
      </c>
      <c r="C21" s="742"/>
      <c r="D21" s="662"/>
      <c r="E21" s="627">
        <f t="shared" ref="E21:X21" si="18">SUM(E16:E20)</f>
        <v>0</v>
      </c>
      <c r="F21" s="628">
        <f t="shared" si="18"/>
        <v>1700</v>
      </c>
      <c r="G21" s="628">
        <f t="shared" si="18"/>
        <v>4400</v>
      </c>
      <c r="H21" s="628">
        <f t="shared" si="18"/>
        <v>7100</v>
      </c>
      <c r="I21" s="628">
        <f t="shared" si="18"/>
        <v>7100</v>
      </c>
      <c r="J21" s="628">
        <f t="shared" si="18"/>
        <v>7100</v>
      </c>
      <c r="K21" s="628">
        <f t="shared" si="18"/>
        <v>7100</v>
      </c>
      <c r="L21" s="628">
        <f t="shared" si="18"/>
        <v>7100</v>
      </c>
      <c r="M21" s="628">
        <f t="shared" si="18"/>
        <v>7100</v>
      </c>
      <c r="N21" s="628">
        <f t="shared" si="18"/>
        <v>7100</v>
      </c>
      <c r="O21" s="628">
        <f t="shared" si="18"/>
        <v>7100</v>
      </c>
      <c r="P21" s="628">
        <f t="shared" si="18"/>
        <v>7100</v>
      </c>
      <c r="Q21" s="664">
        <f t="shared" si="18"/>
        <v>70000</v>
      </c>
      <c r="R21" s="630">
        <f t="shared" si="18"/>
        <v>30240</v>
      </c>
      <c r="S21" s="628">
        <f t="shared" si="18"/>
        <v>30240</v>
      </c>
      <c r="T21" s="628">
        <f t="shared" si="18"/>
        <v>30240</v>
      </c>
      <c r="U21" s="628">
        <f t="shared" si="18"/>
        <v>30240</v>
      </c>
      <c r="V21" s="664">
        <f t="shared" si="18"/>
        <v>120960</v>
      </c>
      <c r="W21" s="665">
        <f t="shared" si="18"/>
        <v>127008</v>
      </c>
      <c r="X21" s="631">
        <f t="shared" si="18"/>
        <v>133358.40000000002</v>
      </c>
    </row>
    <row r="22" spans="1:26" ht="7.5" customHeight="1" thickBot="1" x14ac:dyDescent="0.3">
      <c r="A22" s="746"/>
      <c r="B22" s="747"/>
      <c r="C22" s="747"/>
      <c r="D22" s="747"/>
      <c r="E22" s="747"/>
      <c r="F22" s="747"/>
      <c r="G22" s="747"/>
      <c r="H22" s="747"/>
      <c r="I22" s="747"/>
      <c r="J22" s="747"/>
      <c r="K22" s="747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8"/>
    </row>
    <row r="23" spans="1:26" ht="18.75" customHeight="1" thickBot="1" x14ac:dyDescent="0.3">
      <c r="A23" s="591" t="s">
        <v>91</v>
      </c>
      <c r="B23" s="736">
        <f>SUM(Q23,V23,W23,X23)/48</f>
        <v>22333.008333333331</v>
      </c>
      <c r="C23" s="737"/>
      <c r="D23" s="666"/>
      <c r="E23" s="567">
        <f t="shared" ref="E23:X23" si="19">SUM(E13+E21)</f>
        <v>12000</v>
      </c>
      <c r="F23" s="568">
        <f t="shared" si="19"/>
        <v>13700</v>
      </c>
      <c r="G23" s="568">
        <f t="shared" si="19"/>
        <v>16400</v>
      </c>
      <c r="H23" s="568">
        <f t="shared" si="19"/>
        <v>19100</v>
      </c>
      <c r="I23" s="568">
        <f t="shared" si="19"/>
        <v>19100</v>
      </c>
      <c r="J23" s="568">
        <f t="shared" si="19"/>
        <v>19100</v>
      </c>
      <c r="K23" s="568">
        <f t="shared" si="19"/>
        <v>19100</v>
      </c>
      <c r="L23" s="568">
        <f t="shared" si="19"/>
        <v>19100</v>
      </c>
      <c r="M23" s="568">
        <f t="shared" si="19"/>
        <v>19100</v>
      </c>
      <c r="N23" s="568">
        <f t="shared" si="19"/>
        <v>19100</v>
      </c>
      <c r="O23" s="568">
        <f t="shared" si="19"/>
        <v>19100</v>
      </c>
      <c r="P23" s="568">
        <f t="shared" si="19"/>
        <v>19100</v>
      </c>
      <c r="Q23" s="566">
        <f t="shared" si="19"/>
        <v>214000</v>
      </c>
      <c r="R23" s="455">
        <f t="shared" si="19"/>
        <v>68040</v>
      </c>
      <c r="S23" s="568">
        <f t="shared" si="19"/>
        <v>68040</v>
      </c>
      <c r="T23" s="568">
        <f t="shared" si="19"/>
        <v>68040</v>
      </c>
      <c r="U23" s="568">
        <f t="shared" si="19"/>
        <v>68040</v>
      </c>
      <c r="V23" s="566">
        <f t="shared" si="19"/>
        <v>272160</v>
      </c>
      <c r="W23" s="336">
        <f t="shared" si="19"/>
        <v>285768</v>
      </c>
      <c r="X23" s="337">
        <f t="shared" si="19"/>
        <v>300056.40000000002</v>
      </c>
    </row>
    <row r="24" spans="1:26" ht="15.75" thickBot="1" x14ac:dyDescent="0.3">
      <c r="B24" s="592"/>
      <c r="C24" s="593"/>
    </row>
    <row r="25" spans="1:26" ht="15" customHeight="1" x14ac:dyDescent="0.25">
      <c r="A25" s="730" t="s">
        <v>114</v>
      </c>
      <c r="B25" s="732" t="s">
        <v>116</v>
      </c>
      <c r="C25" s="732" t="s">
        <v>45</v>
      </c>
      <c r="D25" s="734" t="s">
        <v>256</v>
      </c>
      <c r="E25" s="711" t="s">
        <v>20</v>
      </c>
      <c r="F25" s="709"/>
      <c r="G25" s="709"/>
      <c r="H25" s="709"/>
      <c r="I25" s="709"/>
      <c r="J25" s="709"/>
      <c r="K25" s="709"/>
      <c r="L25" s="709"/>
      <c r="M25" s="709"/>
      <c r="N25" s="709"/>
      <c r="O25" s="709"/>
      <c r="P25" s="710"/>
      <c r="Q25" s="704" t="s">
        <v>20</v>
      </c>
      <c r="R25" s="708" t="s">
        <v>25</v>
      </c>
      <c r="S25" s="709"/>
      <c r="T25" s="709"/>
      <c r="U25" s="710"/>
      <c r="V25" s="706" t="s">
        <v>25</v>
      </c>
      <c r="W25" s="718" t="s">
        <v>26</v>
      </c>
      <c r="X25" s="720" t="s">
        <v>27</v>
      </c>
      <c r="Z25" s="728" t="s">
        <v>50</v>
      </c>
    </row>
    <row r="26" spans="1:26" ht="15.75" thickBot="1" x14ac:dyDescent="0.3">
      <c r="A26" s="731"/>
      <c r="B26" s="733"/>
      <c r="C26" s="733"/>
      <c r="D26" s="735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05"/>
      <c r="R26" s="4" t="s">
        <v>21</v>
      </c>
      <c r="S26" s="2" t="s">
        <v>22</v>
      </c>
      <c r="T26" s="2" t="s">
        <v>23</v>
      </c>
      <c r="U26" s="2" t="s">
        <v>24</v>
      </c>
      <c r="V26" s="707"/>
      <c r="W26" s="719"/>
      <c r="X26" s="721"/>
      <c r="Z26" s="729"/>
    </row>
    <row r="27" spans="1:26" ht="18.75" customHeight="1" thickTop="1" x14ac:dyDescent="0.25">
      <c r="A27" s="119" t="s">
        <v>55</v>
      </c>
      <c r="B27" s="74">
        <f>Z27</f>
        <v>29926.231166666668</v>
      </c>
      <c r="C27" s="114" t="s">
        <v>46</v>
      </c>
      <c r="D27" s="115" t="s">
        <v>49</v>
      </c>
      <c r="E27" s="6">
        <f>E23*(1+$B$4)</f>
        <v>16080.000000000002</v>
      </c>
      <c r="F27" s="7">
        <f t="shared" ref="F27:X27" si="20">F23*(1+$B$4)</f>
        <v>18358</v>
      </c>
      <c r="G27" s="7">
        <f t="shared" si="20"/>
        <v>21976</v>
      </c>
      <c r="H27" s="7">
        <f t="shared" si="20"/>
        <v>25594</v>
      </c>
      <c r="I27" s="7">
        <f t="shared" si="20"/>
        <v>25594</v>
      </c>
      <c r="J27" s="7">
        <f t="shared" si="20"/>
        <v>25594</v>
      </c>
      <c r="K27" s="7">
        <f t="shared" si="20"/>
        <v>25594</v>
      </c>
      <c r="L27" s="7">
        <f t="shared" si="20"/>
        <v>25594</v>
      </c>
      <c r="M27" s="7">
        <f t="shared" si="20"/>
        <v>25594</v>
      </c>
      <c r="N27" s="7">
        <f t="shared" si="20"/>
        <v>25594</v>
      </c>
      <c r="O27" s="7">
        <f t="shared" si="20"/>
        <v>25594</v>
      </c>
      <c r="P27" s="7">
        <f t="shared" si="20"/>
        <v>25594</v>
      </c>
      <c r="Q27" s="272">
        <f>SUM(E27:P27)</f>
        <v>286760</v>
      </c>
      <c r="R27" s="310">
        <f t="shared" si="20"/>
        <v>91173.6</v>
      </c>
      <c r="S27" s="310">
        <f t="shared" si="20"/>
        <v>91173.6</v>
      </c>
      <c r="T27" s="310">
        <f t="shared" si="20"/>
        <v>91173.6</v>
      </c>
      <c r="U27" s="310">
        <f t="shared" si="20"/>
        <v>91173.6</v>
      </c>
      <c r="V27" s="272">
        <f>SUM(R27:U27)</f>
        <v>364694.4</v>
      </c>
      <c r="W27" s="8">
        <f t="shared" si="20"/>
        <v>382929.12</v>
      </c>
      <c r="X27" s="9">
        <f t="shared" si="20"/>
        <v>402075.57600000006</v>
      </c>
      <c r="Z27" s="594">
        <f>((Q27+V27+W27+X27)/4)/12</f>
        <v>29926.231166666668</v>
      </c>
    </row>
    <row r="28" spans="1:26" ht="18.75" customHeight="1" x14ac:dyDescent="0.25">
      <c r="A28" s="120" t="s">
        <v>56</v>
      </c>
      <c r="B28" s="78">
        <f>Z28</f>
        <v>4987.7051944444438</v>
      </c>
      <c r="C28" s="116" t="s">
        <v>47</v>
      </c>
      <c r="D28" s="98">
        <v>5</v>
      </c>
      <c r="E28" s="10">
        <f>($Q$27/12)*IF($D28=IF(MOD(E$26,6)=0,6,MOD(E$26,6)),1,0)</f>
        <v>0</v>
      </c>
      <c r="F28" s="11">
        <f t="shared" ref="F28:P28" si="21">($Q$27/12)*IF($D28=IF(MOD(F$26,6)=0,6,MOD(F$26,6)),1,0)</f>
        <v>0</v>
      </c>
      <c r="G28" s="11">
        <f t="shared" si="21"/>
        <v>0</v>
      </c>
      <c r="H28" s="11">
        <f t="shared" si="21"/>
        <v>0</v>
      </c>
      <c r="I28" s="11">
        <f t="shared" si="21"/>
        <v>23896.666666666668</v>
      </c>
      <c r="J28" s="11">
        <f t="shared" si="21"/>
        <v>0</v>
      </c>
      <c r="K28" s="11">
        <f t="shared" si="21"/>
        <v>0</v>
      </c>
      <c r="L28" s="11">
        <f t="shared" si="21"/>
        <v>0</v>
      </c>
      <c r="M28" s="11">
        <f t="shared" si="21"/>
        <v>0</v>
      </c>
      <c r="N28" s="11">
        <f t="shared" si="21"/>
        <v>0</v>
      </c>
      <c r="O28" s="11">
        <f t="shared" si="21"/>
        <v>23896.666666666668</v>
      </c>
      <c r="P28" s="11">
        <f t="shared" si="21"/>
        <v>0</v>
      </c>
      <c r="Q28" s="586">
        <f t="shared" ref="Q28" si="22">SUM(E28:P28)</f>
        <v>47793.333333333336</v>
      </c>
      <c r="R28" s="311" t="str">
        <f>IF(AND($D28&gt;=1,$D28&lt;=3),$V$27/12,"")</f>
        <v/>
      </c>
      <c r="S28" s="11">
        <f>IF(AND($D28&gt;=4,$D28&lt;=6),$V$27/12,"")</f>
        <v>30391.200000000001</v>
      </c>
      <c r="T28" s="11" t="str">
        <f>IF(AND($D28&gt;=1,$D28&lt;=3),$V$27/12,"")</f>
        <v/>
      </c>
      <c r="U28" s="11">
        <f>IF(AND($D28&gt;=4,$D28&lt;=6),$V$27/12,"")</f>
        <v>30391.200000000001</v>
      </c>
      <c r="V28" s="586">
        <f t="shared" ref="V28:V29" si="23">SUM(R28:U28)</f>
        <v>60782.400000000001</v>
      </c>
      <c r="W28" s="12">
        <f>W27/12*2</f>
        <v>63821.52</v>
      </c>
      <c r="X28" s="13">
        <f>X27/12*2</f>
        <v>67012.596000000005</v>
      </c>
      <c r="Z28" s="595">
        <f>((Q28+V28+W28+X28)/4)/12</f>
        <v>4987.7051944444438</v>
      </c>
    </row>
    <row r="29" spans="1:26" ht="18.75" customHeight="1" thickBot="1" x14ac:dyDescent="0.3">
      <c r="A29" s="123" t="s">
        <v>94</v>
      </c>
      <c r="B29" s="112">
        <f>Z29</f>
        <v>228.75</v>
      </c>
      <c r="C29" s="124" t="s">
        <v>46</v>
      </c>
      <c r="D29" s="125" t="s">
        <v>49</v>
      </c>
      <c r="E29" s="14">
        <f t="shared" ref="E29:P29" si="24">COUNT(E$8:E$12,E$16:E$20)*$B$3</f>
        <v>120</v>
      </c>
      <c r="F29" s="15">
        <f t="shared" si="24"/>
        <v>150</v>
      </c>
      <c r="G29" s="15">
        <f t="shared" si="24"/>
        <v>180</v>
      </c>
      <c r="H29" s="15">
        <f t="shared" si="24"/>
        <v>210</v>
      </c>
      <c r="I29" s="15">
        <f t="shared" si="24"/>
        <v>210</v>
      </c>
      <c r="J29" s="15">
        <f t="shared" si="24"/>
        <v>210</v>
      </c>
      <c r="K29" s="15">
        <f t="shared" si="24"/>
        <v>210</v>
      </c>
      <c r="L29" s="15">
        <f t="shared" si="24"/>
        <v>210</v>
      </c>
      <c r="M29" s="15">
        <f t="shared" si="24"/>
        <v>210</v>
      </c>
      <c r="N29" s="15">
        <f t="shared" si="24"/>
        <v>210</v>
      </c>
      <c r="O29" s="15">
        <f t="shared" si="24"/>
        <v>210</v>
      </c>
      <c r="P29" s="15">
        <f t="shared" si="24"/>
        <v>210</v>
      </c>
      <c r="Q29" s="273">
        <f t="shared" ref="Q29" si="25">SUM(E29:P29)</f>
        <v>2340</v>
      </c>
      <c r="R29" s="590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15">
        <f>(COUNT(U$8:U$12,U$16:U$20)*3)*$B$3</f>
        <v>720</v>
      </c>
      <c r="V29" s="273">
        <f t="shared" si="23"/>
        <v>2880</v>
      </c>
      <c r="W29" s="16">
        <f>(COUNT(W$8:W$12,W$16:W$20)*12)*$B$3</f>
        <v>2880</v>
      </c>
      <c r="X29" s="17">
        <f>(COUNT(X$8:X$12,X$16:X$20)*12)*$B$3</f>
        <v>2880</v>
      </c>
      <c r="Z29" s="595">
        <f>((Q29+V29+W29+X29)/4)/12</f>
        <v>228.75</v>
      </c>
    </row>
    <row r="30" spans="1:26" ht="7.5" customHeight="1" thickTop="1" thickBot="1" x14ac:dyDescent="0.3">
      <c r="A30" s="121"/>
      <c r="B30" s="122"/>
      <c r="C30" s="117"/>
      <c r="D30" s="118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0"/>
      <c r="R30" s="31"/>
      <c r="S30" s="28"/>
      <c r="T30" s="28"/>
      <c r="U30" s="28"/>
      <c r="V30" s="30"/>
      <c r="W30" s="33"/>
      <c r="X30" s="34"/>
      <c r="Z30" s="596"/>
    </row>
    <row r="31" spans="1:26" s="659" customFormat="1" ht="18.75" customHeight="1" thickBot="1" x14ac:dyDescent="0.3">
      <c r="A31" s="597" t="s">
        <v>57</v>
      </c>
      <c r="B31" s="598">
        <f>Z31</f>
        <v>35142.686361111111</v>
      </c>
      <c r="D31" s="660"/>
      <c r="E31" s="661">
        <f>SUM(E27:E30)</f>
        <v>16200.000000000002</v>
      </c>
      <c r="F31" s="570">
        <f t="shared" ref="F31:X31" si="26">SUM(F27:F30)</f>
        <v>18508</v>
      </c>
      <c r="G31" s="570">
        <f t="shared" si="26"/>
        <v>22156</v>
      </c>
      <c r="H31" s="570">
        <f t="shared" si="26"/>
        <v>25804</v>
      </c>
      <c r="I31" s="570">
        <f t="shared" si="26"/>
        <v>49700.666666666672</v>
      </c>
      <c r="J31" s="570">
        <f t="shared" si="26"/>
        <v>25804</v>
      </c>
      <c r="K31" s="570">
        <f t="shared" si="26"/>
        <v>25804</v>
      </c>
      <c r="L31" s="570">
        <f t="shared" si="26"/>
        <v>25804</v>
      </c>
      <c r="M31" s="570">
        <f t="shared" si="26"/>
        <v>25804</v>
      </c>
      <c r="N31" s="570">
        <f t="shared" si="26"/>
        <v>25804</v>
      </c>
      <c r="O31" s="570">
        <f t="shared" si="26"/>
        <v>49700.666666666672</v>
      </c>
      <c r="P31" s="570">
        <f t="shared" si="26"/>
        <v>25804</v>
      </c>
      <c r="Q31" s="37">
        <f t="shared" si="26"/>
        <v>336893.33333333331</v>
      </c>
      <c r="R31" s="569">
        <f t="shared" si="26"/>
        <v>91893.6</v>
      </c>
      <c r="S31" s="570">
        <f t="shared" si="26"/>
        <v>122284.8</v>
      </c>
      <c r="T31" s="570">
        <f t="shared" si="26"/>
        <v>91893.6</v>
      </c>
      <c r="U31" s="570">
        <f t="shared" si="26"/>
        <v>122284.8</v>
      </c>
      <c r="V31" s="37">
        <f t="shared" si="26"/>
        <v>428356.80000000005</v>
      </c>
      <c r="W31" s="39">
        <f t="shared" si="26"/>
        <v>449630.64</v>
      </c>
      <c r="X31" s="40">
        <f t="shared" si="26"/>
        <v>471968.17200000008</v>
      </c>
      <c r="Z31" s="599">
        <f>SUM(Z27:Z30)</f>
        <v>35142.686361111111</v>
      </c>
    </row>
    <row r="32" spans="1:26" ht="15.75" thickBot="1" x14ac:dyDescent="0.3">
      <c r="B32" s="592"/>
      <c r="C32" s="593"/>
    </row>
    <row r="33" spans="1:26" ht="15" customHeight="1" x14ac:dyDescent="0.25">
      <c r="A33" s="730" t="s">
        <v>44</v>
      </c>
      <c r="B33" s="732" t="s">
        <v>19</v>
      </c>
      <c r="C33" s="732" t="s">
        <v>45</v>
      </c>
      <c r="D33" s="734" t="s">
        <v>256</v>
      </c>
      <c r="E33" s="711" t="s">
        <v>20</v>
      </c>
      <c r="F33" s="709"/>
      <c r="G33" s="709"/>
      <c r="H33" s="709"/>
      <c r="I33" s="709"/>
      <c r="J33" s="709"/>
      <c r="K33" s="709"/>
      <c r="L33" s="709"/>
      <c r="M33" s="709"/>
      <c r="N33" s="709"/>
      <c r="O33" s="709"/>
      <c r="P33" s="710"/>
      <c r="Q33" s="704" t="s">
        <v>20</v>
      </c>
      <c r="R33" s="708" t="s">
        <v>25</v>
      </c>
      <c r="S33" s="709"/>
      <c r="T33" s="709"/>
      <c r="U33" s="710"/>
      <c r="V33" s="706" t="s">
        <v>25</v>
      </c>
      <c r="W33" s="718" t="s">
        <v>26</v>
      </c>
      <c r="X33" s="720" t="s">
        <v>27</v>
      </c>
      <c r="Z33" s="728" t="s">
        <v>50</v>
      </c>
    </row>
    <row r="34" spans="1:26" ht="15.75" thickBot="1" x14ac:dyDescent="0.3">
      <c r="A34" s="731"/>
      <c r="B34" s="733"/>
      <c r="C34" s="733"/>
      <c r="D34" s="735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05"/>
      <c r="R34" s="4" t="s">
        <v>21</v>
      </c>
      <c r="S34" s="2" t="s">
        <v>22</v>
      </c>
      <c r="T34" s="2" t="s">
        <v>23</v>
      </c>
      <c r="U34" s="2" t="s">
        <v>24</v>
      </c>
      <c r="V34" s="707"/>
      <c r="W34" s="719"/>
      <c r="X34" s="721"/>
      <c r="Z34" s="729"/>
    </row>
    <row r="35" spans="1:26" ht="18.75" customHeight="1" thickTop="1" x14ac:dyDescent="0.25">
      <c r="A35" s="94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27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27"/>
        <v>0</v>
      </c>
      <c r="H35" s="7">
        <f t="shared" si="27"/>
        <v>0</v>
      </c>
      <c r="I35" s="7">
        <f t="shared" si="27"/>
        <v>0</v>
      </c>
      <c r="J35" s="7">
        <f t="shared" si="27"/>
        <v>0</v>
      </c>
      <c r="K35" s="7">
        <f t="shared" si="27"/>
        <v>0</v>
      </c>
      <c r="L35" s="7">
        <f t="shared" si="27"/>
        <v>0</v>
      </c>
      <c r="M35" s="7">
        <f t="shared" si="27"/>
        <v>0</v>
      </c>
      <c r="N35" s="7">
        <f t="shared" si="27"/>
        <v>0</v>
      </c>
      <c r="O35" s="7">
        <f t="shared" si="27"/>
        <v>0</v>
      </c>
      <c r="P35" s="7">
        <f t="shared" si="27"/>
        <v>0</v>
      </c>
      <c r="Q35" s="272">
        <f>SUM(E35:P35)</f>
        <v>0</v>
      </c>
      <c r="R35" s="310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7">
        <f>IF(AND($C35="j",$D35&gt;=10,$D35&lt;=12),$B35,IF(AND($C35="h",$D35&gt;=4,$D35&lt;=6),$B35,IF(AND($C35="q",$D35&gt;=1,$D35&lt;=3),$B35,IF($C35="z",IF($D35=2,2*$B35,$B35),IF($C35="m",3*$B35,0)))))</f>
        <v>0</v>
      </c>
      <c r="V35" s="272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94">
        <f>Q35/12</f>
        <v>0</v>
      </c>
    </row>
    <row r="36" spans="1:26" ht="18.75" customHeight="1" thickBot="1" x14ac:dyDescent="0.3">
      <c r="A36" s="99"/>
      <c r="B36" s="100"/>
      <c r="C36" s="101"/>
      <c r="D36" s="102"/>
      <c r="E36" s="14">
        <f t="shared" ref="E36" si="28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27"/>
        <v>0</v>
      </c>
      <c r="G36" s="15">
        <f t="shared" si="27"/>
        <v>0</v>
      </c>
      <c r="H36" s="15">
        <f t="shared" si="27"/>
        <v>0</v>
      </c>
      <c r="I36" s="15">
        <f t="shared" si="27"/>
        <v>0</v>
      </c>
      <c r="J36" s="15">
        <f t="shared" si="27"/>
        <v>0</v>
      </c>
      <c r="K36" s="15">
        <f t="shared" si="27"/>
        <v>0</v>
      </c>
      <c r="L36" s="15">
        <f t="shared" si="27"/>
        <v>0</v>
      </c>
      <c r="M36" s="15">
        <f t="shared" si="27"/>
        <v>0</v>
      </c>
      <c r="N36" s="15">
        <f t="shared" si="27"/>
        <v>0</v>
      </c>
      <c r="O36" s="15">
        <f t="shared" si="27"/>
        <v>0</v>
      </c>
      <c r="P36" s="15">
        <f t="shared" si="27"/>
        <v>0</v>
      </c>
      <c r="Q36" s="273">
        <f t="shared" ref="Q36" si="29">SUM(E36:P36)</f>
        <v>0</v>
      </c>
      <c r="R36" s="590">
        <f t="shared" ref="R36" si="30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31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32">IF(AND($C36="j",$D36&gt;=7,$D36&lt;=9),$B36,IF(AND($C36="h",$D36&gt;=1,$D36&lt;=3),$B36,IF(AND($C36="q",$D36&gt;=1,$D36&lt;=3),$B36,IF($C36="z",IF($D36=1,2*$B36,$B36),IF($C36="m",3*$B36,0)))))</f>
        <v>0</v>
      </c>
      <c r="U36" s="15">
        <f t="shared" ref="U36" si="33">IF(AND($C36="j",$D36&gt;=10,$D36&lt;=12),$B36,IF(AND($C36="h",$D36&gt;=4,$D36&lt;=6),$B36,IF(AND($C36="q",$D36&gt;=1,$D36&lt;=3),$B36,IF($C36="z",IF($D36=2,2*$B36,$B36),IF($C36="m",3*$B36,0)))))</f>
        <v>0</v>
      </c>
      <c r="V36" s="273">
        <f t="shared" ref="V36" si="34">SUM(R36:U36)</f>
        <v>0</v>
      </c>
      <c r="W36" s="16">
        <f t="shared" ref="W36:X36" si="35">IF($C36="j",$B36,IF($C36="h",2*$B36,IF($C36="q",4*$B36,IF($C36="z",6*$B36,12*$B36))))</f>
        <v>0</v>
      </c>
      <c r="X36" s="17">
        <f t="shared" si="35"/>
        <v>0</v>
      </c>
      <c r="Z36" s="600">
        <f t="shared" ref="Z36" si="36">Q36/12</f>
        <v>0</v>
      </c>
    </row>
    <row r="37" spans="1:26" ht="7.5" customHeight="1" thickTop="1" thickBot="1" x14ac:dyDescent="0.3">
      <c r="A37" s="103"/>
      <c r="B37" s="104"/>
      <c r="C37" s="105"/>
      <c r="D37" s="106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30"/>
      <c r="R37" s="31"/>
      <c r="S37" s="28"/>
      <c r="T37" s="28"/>
      <c r="U37" s="28"/>
      <c r="V37" s="30"/>
      <c r="W37" s="33"/>
      <c r="X37" s="34"/>
      <c r="Z37" s="596"/>
    </row>
    <row r="38" spans="1:26" s="659" customFormat="1" ht="18.75" customHeight="1" thickBot="1" x14ac:dyDescent="0.3">
      <c r="A38" s="597" t="s">
        <v>51</v>
      </c>
      <c r="B38" s="598">
        <f>Z38</f>
        <v>0</v>
      </c>
      <c r="E38" s="661">
        <f>SUM(E35:E37)</f>
        <v>0</v>
      </c>
      <c r="F38" s="570">
        <f t="shared" ref="F38:X38" si="37">SUM(F35:F37)</f>
        <v>0</v>
      </c>
      <c r="G38" s="570">
        <f t="shared" si="37"/>
        <v>0</v>
      </c>
      <c r="H38" s="570">
        <f t="shared" si="37"/>
        <v>0</v>
      </c>
      <c r="I38" s="570">
        <f t="shared" si="37"/>
        <v>0</v>
      </c>
      <c r="J38" s="570">
        <f t="shared" si="37"/>
        <v>0</v>
      </c>
      <c r="K38" s="570">
        <f t="shared" si="37"/>
        <v>0</v>
      </c>
      <c r="L38" s="570">
        <f t="shared" si="37"/>
        <v>0</v>
      </c>
      <c r="M38" s="570">
        <f t="shared" si="37"/>
        <v>0</v>
      </c>
      <c r="N38" s="570">
        <f t="shared" si="37"/>
        <v>0</v>
      </c>
      <c r="O38" s="570">
        <f t="shared" si="37"/>
        <v>0</v>
      </c>
      <c r="P38" s="570">
        <f t="shared" si="37"/>
        <v>0</v>
      </c>
      <c r="Q38" s="37">
        <f t="shared" si="37"/>
        <v>0</v>
      </c>
      <c r="R38" s="569">
        <f t="shared" si="37"/>
        <v>0</v>
      </c>
      <c r="S38" s="570">
        <f t="shared" si="37"/>
        <v>0</v>
      </c>
      <c r="T38" s="570">
        <f t="shared" si="37"/>
        <v>0</v>
      </c>
      <c r="U38" s="570">
        <f t="shared" si="37"/>
        <v>0</v>
      </c>
      <c r="V38" s="37">
        <f t="shared" si="37"/>
        <v>0</v>
      </c>
      <c r="W38" s="39">
        <f t="shared" si="37"/>
        <v>0</v>
      </c>
      <c r="X38" s="40">
        <f t="shared" si="37"/>
        <v>0</v>
      </c>
      <c r="Z38" s="599">
        <f>SUM(Z35:Z36)</f>
        <v>0</v>
      </c>
    </row>
    <row r="39" spans="1:26" ht="15.75" thickBot="1" x14ac:dyDescent="0.3"/>
    <row r="40" spans="1:26" ht="15" customHeight="1" x14ac:dyDescent="0.25">
      <c r="A40" s="730" t="s">
        <v>58</v>
      </c>
      <c r="B40" s="732" t="s">
        <v>19</v>
      </c>
      <c r="C40" s="732" t="s">
        <v>45</v>
      </c>
      <c r="D40" s="734" t="s">
        <v>256</v>
      </c>
      <c r="E40" s="711" t="s">
        <v>20</v>
      </c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10"/>
      <c r="Q40" s="704" t="s">
        <v>20</v>
      </c>
      <c r="R40" s="708" t="s">
        <v>25</v>
      </c>
      <c r="S40" s="709"/>
      <c r="T40" s="709"/>
      <c r="U40" s="710"/>
      <c r="V40" s="706" t="s">
        <v>25</v>
      </c>
      <c r="W40" s="718" t="s">
        <v>26</v>
      </c>
      <c r="X40" s="720" t="s">
        <v>27</v>
      </c>
      <c r="Z40" s="728" t="s">
        <v>50</v>
      </c>
    </row>
    <row r="41" spans="1:26" ht="15.75" thickBot="1" x14ac:dyDescent="0.3">
      <c r="A41" s="731"/>
      <c r="B41" s="733"/>
      <c r="C41" s="733"/>
      <c r="D41" s="735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05"/>
      <c r="R41" s="4" t="s">
        <v>21</v>
      </c>
      <c r="S41" s="2" t="s">
        <v>22</v>
      </c>
      <c r="T41" s="2" t="s">
        <v>23</v>
      </c>
      <c r="U41" s="2" t="s">
        <v>24</v>
      </c>
      <c r="V41" s="707"/>
      <c r="W41" s="719"/>
      <c r="X41" s="721"/>
      <c r="Z41" s="729"/>
    </row>
    <row r="42" spans="1:26" ht="18.75" customHeight="1" thickTop="1" x14ac:dyDescent="0.25">
      <c r="A42" s="94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38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38"/>
        <v>0</v>
      </c>
      <c r="H42" s="7">
        <f t="shared" si="38"/>
        <v>0</v>
      </c>
      <c r="I42" s="7">
        <f t="shared" si="38"/>
        <v>0</v>
      </c>
      <c r="J42" s="7">
        <f t="shared" si="38"/>
        <v>0</v>
      </c>
      <c r="K42" s="7">
        <f t="shared" si="38"/>
        <v>0</v>
      </c>
      <c r="L42" s="7">
        <f t="shared" si="38"/>
        <v>0</v>
      </c>
      <c r="M42" s="7">
        <f t="shared" si="38"/>
        <v>0</v>
      </c>
      <c r="N42" s="7">
        <f t="shared" si="38"/>
        <v>0</v>
      </c>
      <c r="O42" s="7">
        <f t="shared" si="38"/>
        <v>0</v>
      </c>
      <c r="P42" s="7">
        <f t="shared" si="38"/>
        <v>0</v>
      </c>
      <c r="Q42" s="272">
        <f>SUM(E42:P42)</f>
        <v>0</v>
      </c>
      <c r="R42" s="310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7">
        <f>IF(AND($C42="j",$D42&gt;=10,$D42&lt;=12),$B42,IF(AND($C42="h",$D42&gt;=4,$D42&lt;=6),$B42,IF(AND($C42="q",$D42&gt;=1,$D42&lt;=3),$B42,IF($C42="z",IF($D42=2,2*$B42,$B42),IF($C42="m",3*$B42,0)))))</f>
        <v>0</v>
      </c>
      <c r="V42" s="272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94">
        <f>Q42/12</f>
        <v>0</v>
      </c>
    </row>
    <row r="43" spans="1:26" ht="18.75" customHeight="1" thickBot="1" x14ac:dyDescent="0.3">
      <c r="A43" s="99"/>
      <c r="B43" s="100"/>
      <c r="C43" s="101"/>
      <c r="D43" s="102"/>
      <c r="E43" s="14">
        <f t="shared" ref="E43" si="39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38"/>
        <v>0</v>
      </c>
      <c r="G43" s="15">
        <f t="shared" si="38"/>
        <v>0</v>
      </c>
      <c r="H43" s="15">
        <f t="shared" si="38"/>
        <v>0</v>
      </c>
      <c r="I43" s="15">
        <f t="shared" si="38"/>
        <v>0</v>
      </c>
      <c r="J43" s="15">
        <f t="shared" si="38"/>
        <v>0</v>
      </c>
      <c r="K43" s="15">
        <f t="shared" si="38"/>
        <v>0</v>
      </c>
      <c r="L43" s="15">
        <f t="shared" si="38"/>
        <v>0</v>
      </c>
      <c r="M43" s="15">
        <f t="shared" si="38"/>
        <v>0</v>
      </c>
      <c r="N43" s="15">
        <f t="shared" si="38"/>
        <v>0</v>
      </c>
      <c r="O43" s="15">
        <f t="shared" si="38"/>
        <v>0</v>
      </c>
      <c r="P43" s="15">
        <f t="shared" si="38"/>
        <v>0</v>
      </c>
      <c r="Q43" s="273">
        <f t="shared" ref="Q43" si="40">SUM(E43:P43)</f>
        <v>0</v>
      </c>
      <c r="R43" s="590">
        <f t="shared" ref="R43" si="41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42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3">IF(AND($C43="j",$D43&gt;=7,$D43&lt;=9),$B43,IF(AND($C43="h",$D43&gt;=1,$D43&lt;=3),$B43,IF(AND($C43="q",$D43&gt;=1,$D43&lt;=3),$B43,IF($C43="z",IF($D43=1,2*$B43,$B43),IF($C43="m",3*$B43,0)))))</f>
        <v>0</v>
      </c>
      <c r="U43" s="15">
        <f t="shared" ref="U43" si="44">IF(AND($C43="j",$D43&gt;=10,$D43&lt;=12),$B43,IF(AND($C43="h",$D43&gt;=4,$D43&lt;=6),$B43,IF(AND($C43="q",$D43&gt;=1,$D43&lt;=3),$B43,IF($C43="z",IF($D43=2,2*$B43,$B43),IF($C43="m",3*$B43,0)))))</f>
        <v>0</v>
      </c>
      <c r="V43" s="273">
        <f t="shared" ref="V43" si="45">SUM(R43:U43)</f>
        <v>0</v>
      </c>
      <c r="W43" s="16">
        <f t="shared" ref="W43:X43" si="46">IF($C43="j",$B43,IF($C43="h",2*$B43,IF($C43="q",4*$B43,IF($C43="z",6*$B43,12*$B43))))</f>
        <v>0</v>
      </c>
      <c r="X43" s="17">
        <f t="shared" si="46"/>
        <v>0</v>
      </c>
      <c r="Z43" s="600">
        <f t="shared" ref="Z43" si="47">Q43/12</f>
        <v>0</v>
      </c>
    </row>
    <row r="44" spans="1:26" ht="7.5" customHeight="1" thickTop="1" thickBot="1" x14ac:dyDescent="0.3">
      <c r="A44" s="103"/>
      <c r="B44" s="104"/>
      <c r="C44" s="105"/>
      <c r="D44" s="106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30"/>
      <c r="R44" s="31"/>
      <c r="S44" s="28"/>
      <c r="T44" s="28"/>
      <c r="U44" s="28"/>
      <c r="V44" s="30"/>
      <c r="W44" s="33"/>
      <c r="X44" s="34"/>
      <c r="Z44" s="596"/>
    </row>
    <row r="45" spans="1:26" s="659" customFormat="1" ht="18.75" customHeight="1" thickBot="1" x14ac:dyDescent="0.3">
      <c r="A45" s="597" t="s">
        <v>51</v>
      </c>
      <c r="B45" s="598">
        <f>Z45</f>
        <v>0</v>
      </c>
      <c r="D45" s="660"/>
      <c r="E45" s="661">
        <f>SUM(E42:E44)</f>
        <v>0</v>
      </c>
      <c r="F45" s="570">
        <f t="shared" ref="F45:X45" si="48">SUM(F42:F43)</f>
        <v>0</v>
      </c>
      <c r="G45" s="570">
        <f t="shared" si="48"/>
        <v>0</v>
      </c>
      <c r="H45" s="570">
        <f t="shared" si="48"/>
        <v>0</v>
      </c>
      <c r="I45" s="570">
        <f t="shared" si="48"/>
        <v>0</v>
      </c>
      <c r="J45" s="570">
        <f t="shared" si="48"/>
        <v>0</v>
      </c>
      <c r="K45" s="570">
        <f t="shared" si="48"/>
        <v>0</v>
      </c>
      <c r="L45" s="570">
        <f t="shared" si="48"/>
        <v>0</v>
      </c>
      <c r="M45" s="570">
        <f t="shared" si="48"/>
        <v>0</v>
      </c>
      <c r="N45" s="570">
        <f t="shared" si="48"/>
        <v>0</v>
      </c>
      <c r="O45" s="570">
        <f t="shared" si="48"/>
        <v>0</v>
      </c>
      <c r="P45" s="570">
        <f t="shared" si="48"/>
        <v>0</v>
      </c>
      <c r="Q45" s="37">
        <f t="shared" si="48"/>
        <v>0</v>
      </c>
      <c r="R45" s="569">
        <f t="shared" si="48"/>
        <v>0</v>
      </c>
      <c r="S45" s="570">
        <f t="shared" si="48"/>
        <v>0</v>
      </c>
      <c r="T45" s="570">
        <f t="shared" si="48"/>
        <v>0</v>
      </c>
      <c r="U45" s="570">
        <f t="shared" si="48"/>
        <v>0</v>
      </c>
      <c r="V45" s="37">
        <f t="shared" si="48"/>
        <v>0</v>
      </c>
      <c r="W45" s="39">
        <f t="shared" si="48"/>
        <v>0</v>
      </c>
      <c r="X45" s="40">
        <f t="shared" si="48"/>
        <v>0</v>
      </c>
      <c r="Z45" s="599">
        <f>SUM(Z42:Z43)</f>
        <v>0</v>
      </c>
    </row>
    <row r="46" spans="1:26" ht="15.75" thickBot="1" x14ac:dyDescent="0.3"/>
    <row r="47" spans="1:26" ht="15" customHeight="1" x14ac:dyDescent="0.25">
      <c r="A47" s="730" t="s">
        <v>59</v>
      </c>
      <c r="B47" s="732" t="s">
        <v>19</v>
      </c>
      <c r="C47" s="732" t="s">
        <v>45</v>
      </c>
      <c r="D47" s="734" t="s">
        <v>256</v>
      </c>
      <c r="E47" s="711" t="s">
        <v>20</v>
      </c>
      <c r="F47" s="709"/>
      <c r="G47" s="709"/>
      <c r="H47" s="709"/>
      <c r="I47" s="709"/>
      <c r="J47" s="709"/>
      <c r="K47" s="709"/>
      <c r="L47" s="709"/>
      <c r="M47" s="709"/>
      <c r="N47" s="709"/>
      <c r="O47" s="709"/>
      <c r="P47" s="710"/>
      <c r="Q47" s="704" t="s">
        <v>20</v>
      </c>
      <c r="R47" s="708" t="s">
        <v>25</v>
      </c>
      <c r="S47" s="709"/>
      <c r="T47" s="709"/>
      <c r="U47" s="710"/>
      <c r="V47" s="706" t="s">
        <v>25</v>
      </c>
      <c r="W47" s="718" t="s">
        <v>26</v>
      </c>
      <c r="X47" s="720" t="s">
        <v>27</v>
      </c>
      <c r="Z47" s="728" t="s">
        <v>50</v>
      </c>
    </row>
    <row r="48" spans="1:26" ht="15.75" thickBot="1" x14ac:dyDescent="0.3">
      <c r="A48" s="731"/>
      <c r="B48" s="733"/>
      <c r="C48" s="733"/>
      <c r="D48" s="735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05"/>
      <c r="R48" s="4" t="s">
        <v>21</v>
      </c>
      <c r="S48" s="2" t="s">
        <v>22</v>
      </c>
      <c r="T48" s="2" t="s">
        <v>23</v>
      </c>
      <c r="U48" s="2" t="s">
        <v>24</v>
      </c>
      <c r="V48" s="707"/>
      <c r="W48" s="719"/>
      <c r="X48" s="721"/>
      <c r="Z48" s="729"/>
    </row>
    <row r="49" spans="1:26" ht="18.75" customHeight="1" thickTop="1" x14ac:dyDescent="0.25">
      <c r="A49" s="94" t="s">
        <v>68</v>
      </c>
      <c r="B49" s="18">
        <v>1026</v>
      </c>
      <c r="C49" s="19" t="s">
        <v>46</v>
      </c>
      <c r="D49" s="20" t="s">
        <v>49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49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49"/>
        <v>1026</v>
      </c>
      <c r="H49" s="7">
        <f t="shared" si="49"/>
        <v>1026</v>
      </c>
      <c r="I49" s="7">
        <f t="shared" si="49"/>
        <v>1026</v>
      </c>
      <c r="J49" s="7">
        <f t="shared" si="49"/>
        <v>1026</v>
      </c>
      <c r="K49" s="7">
        <f t="shared" si="49"/>
        <v>1026</v>
      </c>
      <c r="L49" s="7">
        <f t="shared" si="49"/>
        <v>1026</v>
      </c>
      <c r="M49" s="7">
        <f t="shared" si="49"/>
        <v>1026</v>
      </c>
      <c r="N49" s="7">
        <f t="shared" si="49"/>
        <v>1026</v>
      </c>
      <c r="O49" s="7">
        <f t="shared" si="49"/>
        <v>1026</v>
      </c>
      <c r="P49" s="7">
        <f t="shared" si="49"/>
        <v>1026</v>
      </c>
      <c r="Q49" s="272">
        <f>SUM(E49:P49)</f>
        <v>12312</v>
      </c>
      <c r="R49" s="310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7">
        <f>IF(AND($C49="j",$D49&gt;=10,$D49&lt;=12),$B49,IF(AND($C49="h",$D49&gt;=4,$D49&lt;=6),$B49,IF(AND($C49="q",$D49&gt;=1,$D49&lt;=3),$B49,IF($C49="z",IF($D49=2,2*$B49,$B49),IF($C49="m",3*$B49,0)))))</f>
        <v>3078</v>
      </c>
      <c r="V49" s="272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94">
        <f>Q49/12</f>
        <v>1026</v>
      </c>
    </row>
    <row r="50" spans="1:26" ht="18.75" customHeight="1" x14ac:dyDescent="0.25">
      <c r="A50" s="95" t="s">
        <v>69</v>
      </c>
      <c r="B50" s="96">
        <v>45</v>
      </c>
      <c r="C50" s="97" t="s">
        <v>46</v>
      </c>
      <c r="D50" s="98" t="s">
        <v>49</v>
      </c>
      <c r="E50" s="10">
        <f t="shared" ref="E50:E52" si="50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49"/>
        <v>45</v>
      </c>
      <c r="G50" s="11">
        <f t="shared" si="49"/>
        <v>45</v>
      </c>
      <c r="H50" s="11">
        <f t="shared" si="49"/>
        <v>45</v>
      </c>
      <c r="I50" s="11">
        <f t="shared" si="49"/>
        <v>45</v>
      </c>
      <c r="J50" s="11">
        <f t="shared" si="49"/>
        <v>45</v>
      </c>
      <c r="K50" s="11">
        <f t="shared" si="49"/>
        <v>45</v>
      </c>
      <c r="L50" s="11">
        <f t="shared" si="49"/>
        <v>45</v>
      </c>
      <c r="M50" s="11">
        <f t="shared" si="49"/>
        <v>45</v>
      </c>
      <c r="N50" s="11">
        <f t="shared" si="49"/>
        <v>45</v>
      </c>
      <c r="O50" s="11">
        <f t="shared" si="49"/>
        <v>45</v>
      </c>
      <c r="P50" s="11">
        <f t="shared" si="49"/>
        <v>45</v>
      </c>
      <c r="Q50" s="586">
        <f t="shared" ref="Q50:Q52" si="51">SUM(E50:P50)</f>
        <v>540</v>
      </c>
      <c r="R50" s="311">
        <f t="shared" ref="R50:R52" si="52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53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4">IF(AND($C50="j",$D50&gt;=7,$D50&lt;=9),$B50,IF(AND($C50="h",$D50&gt;=1,$D50&lt;=3),$B50,IF(AND($C50="q",$D50&gt;=1,$D50&lt;=3),$B50,IF($C50="z",IF($D50=1,2*$B50,$B50),IF($C50="m",3*$B50,0)))))</f>
        <v>135</v>
      </c>
      <c r="U50" s="11">
        <f t="shared" ref="U50:U52" si="55">IF(AND($C50="j",$D50&gt;=10,$D50&lt;=12),$B50,IF(AND($C50="h",$D50&gt;=4,$D50&lt;=6),$B50,IF(AND($C50="q",$D50&gt;=1,$D50&lt;=3),$B50,IF($C50="z",IF($D50=2,2*$B50,$B50),IF($C50="m",3*$B50,0)))))</f>
        <v>135</v>
      </c>
      <c r="V50" s="586">
        <f t="shared" ref="V50:V52" si="56">SUM(R50:U50)</f>
        <v>540</v>
      </c>
      <c r="W50" s="12">
        <f t="shared" ref="W50:X52" si="57">IF($C50="j",$B50,IF($C50="h",2*$B50,IF($C50="q",4*$B50,IF($C50="z",6*$B50,12*$B50))))</f>
        <v>540</v>
      </c>
      <c r="X50" s="13">
        <f t="shared" si="57"/>
        <v>540</v>
      </c>
      <c r="Z50" s="595">
        <f t="shared" ref="Z50:Z52" si="58">Q50/12</f>
        <v>45</v>
      </c>
    </row>
    <row r="51" spans="1:26" ht="18.75" customHeight="1" x14ac:dyDescent="0.25">
      <c r="A51" s="95" t="s">
        <v>117</v>
      </c>
      <c r="B51" s="96">
        <v>200</v>
      </c>
      <c r="C51" s="97" t="s">
        <v>46</v>
      </c>
      <c r="D51" s="98" t="s">
        <v>49</v>
      </c>
      <c r="E51" s="10">
        <f t="shared" si="50"/>
        <v>200</v>
      </c>
      <c r="F51" s="11">
        <f t="shared" si="49"/>
        <v>200</v>
      </c>
      <c r="G51" s="11">
        <f t="shared" si="49"/>
        <v>200</v>
      </c>
      <c r="H51" s="11">
        <f t="shared" si="49"/>
        <v>200</v>
      </c>
      <c r="I51" s="11">
        <f t="shared" si="49"/>
        <v>200</v>
      </c>
      <c r="J51" s="11">
        <f t="shared" si="49"/>
        <v>200</v>
      </c>
      <c r="K51" s="11">
        <f t="shared" si="49"/>
        <v>200</v>
      </c>
      <c r="L51" s="11">
        <f t="shared" si="49"/>
        <v>200</v>
      </c>
      <c r="M51" s="11">
        <f t="shared" si="49"/>
        <v>200</v>
      </c>
      <c r="N51" s="11">
        <f t="shared" si="49"/>
        <v>200</v>
      </c>
      <c r="O51" s="11">
        <f t="shared" si="49"/>
        <v>200</v>
      </c>
      <c r="P51" s="11">
        <f t="shared" si="49"/>
        <v>200</v>
      </c>
      <c r="Q51" s="586">
        <f t="shared" si="51"/>
        <v>2400</v>
      </c>
      <c r="R51" s="311">
        <f t="shared" si="52"/>
        <v>600</v>
      </c>
      <c r="S51" s="11">
        <f t="shared" si="53"/>
        <v>600</v>
      </c>
      <c r="T51" s="11">
        <f t="shared" si="54"/>
        <v>600</v>
      </c>
      <c r="U51" s="11">
        <f t="shared" si="55"/>
        <v>600</v>
      </c>
      <c r="V51" s="586">
        <f t="shared" si="56"/>
        <v>2400</v>
      </c>
      <c r="W51" s="12">
        <f t="shared" si="57"/>
        <v>2400</v>
      </c>
      <c r="X51" s="13">
        <f t="shared" si="57"/>
        <v>2400</v>
      </c>
      <c r="Z51" s="595">
        <f t="shared" si="58"/>
        <v>200</v>
      </c>
    </row>
    <row r="52" spans="1:26" ht="18.75" customHeight="1" thickBot="1" x14ac:dyDescent="0.3">
      <c r="A52" s="99"/>
      <c r="B52" s="100"/>
      <c r="C52" s="101"/>
      <c r="D52" s="102"/>
      <c r="E52" s="14">
        <f t="shared" si="50"/>
        <v>0</v>
      </c>
      <c r="F52" s="15">
        <f t="shared" si="49"/>
        <v>0</v>
      </c>
      <c r="G52" s="15">
        <f t="shared" si="49"/>
        <v>0</v>
      </c>
      <c r="H52" s="15">
        <f t="shared" si="49"/>
        <v>0</v>
      </c>
      <c r="I52" s="15">
        <f t="shared" si="49"/>
        <v>0</v>
      </c>
      <c r="J52" s="15">
        <f t="shared" si="49"/>
        <v>0</v>
      </c>
      <c r="K52" s="15">
        <f t="shared" si="49"/>
        <v>0</v>
      </c>
      <c r="L52" s="15">
        <f t="shared" si="49"/>
        <v>0</v>
      </c>
      <c r="M52" s="15">
        <f t="shared" si="49"/>
        <v>0</v>
      </c>
      <c r="N52" s="15">
        <f t="shared" si="49"/>
        <v>0</v>
      </c>
      <c r="O52" s="15">
        <f t="shared" si="49"/>
        <v>0</v>
      </c>
      <c r="P52" s="15">
        <f t="shared" si="49"/>
        <v>0</v>
      </c>
      <c r="Q52" s="273">
        <f t="shared" si="51"/>
        <v>0</v>
      </c>
      <c r="R52" s="590">
        <f t="shared" si="52"/>
        <v>0</v>
      </c>
      <c r="S52" s="15">
        <f t="shared" si="53"/>
        <v>0</v>
      </c>
      <c r="T52" s="15">
        <f t="shared" si="54"/>
        <v>0</v>
      </c>
      <c r="U52" s="15">
        <f t="shared" si="55"/>
        <v>0</v>
      </c>
      <c r="V52" s="273">
        <f t="shared" si="56"/>
        <v>0</v>
      </c>
      <c r="W52" s="16">
        <f t="shared" si="57"/>
        <v>0</v>
      </c>
      <c r="X52" s="17">
        <f t="shared" si="57"/>
        <v>0</v>
      </c>
      <c r="Z52" s="600">
        <f t="shared" si="58"/>
        <v>0</v>
      </c>
    </row>
    <row r="53" spans="1:26" ht="7.5" customHeight="1" thickTop="1" thickBot="1" x14ac:dyDescent="0.3">
      <c r="A53" s="103"/>
      <c r="B53" s="104"/>
      <c r="C53" s="105"/>
      <c r="D53" s="106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30"/>
      <c r="R53" s="31"/>
      <c r="S53" s="28"/>
      <c r="T53" s="28"/>
      <c r="U53" s="28"/>
      <c r="V53" s="30"/>
      <c r="W53" s="33"/>
      <c r="X53" s="34"/>
      <c r="Z53" s="596"/>
    </row>
    <row r="54" spans="1:26" s="659" customFormat="1" ht="18.75" customHeight="1" thickBot="1" x14ac:dyDescent="0.3">
      <c r="A54" s="597" t="s">
        <v>51</v>
      </c>
      <c r="B54" s="598">
        <f>Z54</f>
        <v>1271</v>
      </c>
      <c r="D54" s="660"/>
      <c r="E54" s="661">
        <f>SUM(E49:E53)</f>
        <v>1271</v>
      </c>
      <c r="F54" s="570">
        <f t="shared" ref="F54:X54" si="59">SUM(F49:F53)</f>
        <v>1271</v>
      </c>
      <c r="G54" s="570">
        <f t="shared" si="59"/>
        <v>1271</v>
      </c>
      <c r="H54" s="570">
        <f t="shared" si="59"/>
        <v>1271</v>
      </c>
      <c r="I54" s="570">
        <f t="shared" si="59"/>
        <v>1271</v>
      </c>
      <c r="J54" s="570">
        <f t="shared" si="59"/>
        <v>1271</v>
      </c>
      <c r="K54" s="570">
        <f t="shared" si="59"/>
        <v>1271</v>
      </c>
      <c r="L54" s="570">
        <f t="shared" si="59"/>
        <v>1271</v>
      </c>
      <c r="M54" s="570">
        <f t="shared" si="59"/>
        <v>1271</v>
      </c>
      <c r="N54" s="570">
        <f t="shared" si="59"/>
        <v>1271</v>
      </c>
      <c r="O54" s="570">
        <f t="shared" si="59"/>
        <v>1271</v>
      </c>
      <c r="P54" s="570">
        <f t="shared" si="59"/>
        <v>1271</v>
      </c>
      <c r="Q54" s="37">
        <f t="shared" si="59"/>
        <v>15252</v>
      </c>
      <c r="R54" s="569">
        <f t="shared" si="59"/>
        <v>3813</v>
      </c>
      <c r="S54" s="570">
        <f t="shared" si="59"/>
        <v>3813</v>
      </c>
      <c r="T54" s="570">
        <f t="shared" si="59"/>
        <v>3813</v>
      </c>
      <c r="U54" s="570">
        <f t="shared" si="59"/>
        <v>3813</v>
      </c>
      <c r="V54" s="37">
        <f t="shared" si="59"/>
        <v>15252</v>
      </c>
      <c r="W54" s="39">
        <f t="shared" si="59"/>
        <v>15252</v>
      </c>
      <c r="X54" s="40">
        <f t="shared" si="59"/>
        <v>15252</v>
      </c>
      <c r="Z54" s="599">
        <f>SUM(Z49:Z53)</f>
        <v>1271</v>
      </c>
    </row>
    <row r="55" spans="1:26" ht="15.75" thickBot="1" x14ac:dyDescent="0.3"/>
    <row r="56" spans="1:26" ht="15" customHeight="1" x14ac:dyDescent="0.25">
      <c r="A56" s="730" t="s">
        <v>70</v>
      </c>
      <c r="B56" s="732" t="s">
        <v>19</v>
      </c>
      <c r="C56" s="732" t="s">
        <v>45</v>
      </c>
      <c r="D56" s="734" t="s">
        <v>256</v>
      </c>
      <c r="E56" s="711" t="s">
        <v>20</v>
      </c>
      <c r="F56" s="709"/>
      <c r="G56" s="709"/>
      <c r="H56" s="709"/>
      <c r="I56" s="709"/>
      <c r="J56" s="709"/>
      <c r="K56" s="709"/>
      <c r="L56" s="709"/>
      <c r="M56" s="709"/>
      <c r="N56" s="709"/>
      <c r="O56" s="709"/>
      <c r="P56" s="710"/>
      <c r="Q56" s="704" t="s">
        <v>20</v>
      </c>
      <c r="R56" s="708" t="s">
        <v>25</v>
      </c>
      <c r="S56" s="709"/>
      <c r="T56" s="709"/>
      <c r="U56" s="710"/>
      <c r="V56" s="706" t="s">
        <v>25</v>
      </c>
      <c r="W56" s="718" t="s">
        <v>26</v>
      </c>
      <c r="X56" s="720" t="s">
        <v>27</v>
      </c>
      <c r="Z56" s="728" t="s">
        <v>50</v>
      </c>
    </row>
    <row r="57" spans="1:26" ht="15.75" thickBot="1" x14ac:dyDescent="0.3">
      <c r="A57" s="731"/>
      <c r="B57" s="733"/>
      <c r="C57" s="733"/>
      <c r="D57" s="735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05"/>
      <c r="R57" s="4" t="s">
        <v>21</v>
      </c>
      <c r="S57" s="2" t="s">
        <v>22</v>
      </c>
      <c r="T57" s="2" t="s">
        <v>23</v>
      </c>
      <c r="U57" s="2" t="s">
        <v>24</v>
      </c>
      <c r="V57" s="707"/>
      <c r="W57" s="719"/>
      <c r="X57" s="721"/>
      <c r="Z57" s="729"/>
    </row>
    <row r="58" spans="1:26" ht="18.75" customHeight="1" thickTop="1" x14ac:dyDescent="0.25">
      <c r="A58" s="94" t="s">
        <v>118</v>
      </c>
      <c r="B58" s="18">
        <v>2000</v>
      </c>
      <c r="C58" s="19" t="s">
        <v>48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60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60"/>
        <v>0</v>
      </c>
      <c r="H58" s="7">
        <f t="shared" si="60"/>
        <v>0</v>
      </c>
      <c r="I58" s="7">
        <f t="shared" si="60"/>
        <v>0</v>
      </c>
      <c r="J58" s="7">
        <f t="shared" si="60"/>
        <v>0</v>
      </c>
      <c r="K58" s="7">
        <f t="shared" si="60"/>
        <v>0</v>
      </c>
      <c r="L58" s="7">
        <f t="shared" si="60"/>
        <v>0</v>
      </c>
      <c r="M58" s="7">
        <f t="shared" si="60"/>
        <v>0</v>
      </c>
      <c r="N58" s="7">
        <f t="shared" si="60"/>
        <v>0</v>
      </c>
      <c r="O58" s="7">
        <f t="shared" si="60"/>
        <v>0</v>
      </c>
      <c r="P58" s="7">
        <f t="shared" si="60"/>
        <v>2000</v>
      </c>
      <c r="Q58" s="272">
        <f>SUM(E58:P58)</f>
        <v>2000</v>
      </c>
      <c r="R58" s="310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7">
        <f>IF(AND($C58="j",$D58&gt;=10,$D58&lt;=12),$B58,IF(AND($C58="h",$D58&gt;=4,$D58&lt;=6),$B58,IF(AND($C58="q",$D58&gt;=1,$D58&lt;=3),$B58,IF($C58="z",IF($D58=2,2*$B58,$B58),IF($C58="m",3*$B58,0)))))</f>
        <v>2000</v>
      </c>
      <c r="V58" s="272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94">
        <f>Q58/12</f>
        <v>166.66666666666666</v>
      </c>
    </row>
    <row r="59" spans="1:26" ht="18.75" customHeight="1" thickBot="1" x14ac:dyDescent="0.3">
      <c r="A59" s="99"/>
      <c r="B59" s="100"/>
      <c r="C59" s="101"/>
      <c r="D59" s="102"/>
      <c r="E59" s="14">
        <f t="shared" ref="E59" si="61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60"/>
        <v>0</v>
      </c>
      <c r="G59" s="15">
        <f t="shared" si="60"/>
        <v>0</v>
      </c>
      <c r="H59" s="15">
        <f t="shared" si="60"/>
        <v>0</v>
      </c>
      <c r="I59" s="15">
        <f t="shared" si="60"/>
        <v>0</v>
      </c>
      <c r="J59" s="15">
        <f t="shared" si="60"/>
        <v>0</v>
      </c>
      <c r="K59" s="15">
        <f t="shared" si="60"/>
        <v>0</v>
      </c>
      <c r="L59" s="15">
        <f t="shared" si="60"/>
        <v>0</v>
      </c>
      <c r="M59" s="15">
        <f t="shared" si="60"/>
        <v>0</v>
      </c>
      <c r="N59" s="15">
        <f t="shared" si="60"/>
        <v>0</v>
      </c>
      <c r="O59" s="15">
        <f t="shared" si="60"/>
        <v>0</v>
      </c>
      <c r="P59" s="15">
        <f t="shared" si="60"/>
        <v>0</v>
      </c>
      <c r="Q59" s="273">
        <f t="shared" ref="Q59" si="62">SUM(E59:P59)</f>
        <v>0</v>
      </c>
      <c r="R59" s="590">
        <f t="shared" ref="R59" si="63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4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5">IF(AND($C59="j",$D59&gt;=7,$D59&lt;=9),$B59,IF(AND($C59="h",$D59&gt;=1,$D59&lt;=3),$B59,IF(AND($C59="q",$D59&gt;=1,$D59&lt;=3),$B59,IF($C59="z",IF($D59=1,2*$B59,$B59),IF($C59="m",3*$B59,0)))))</f>
        <v>0</v>
      </c>
      <c r="U59" s="15">
        <f t="shared" ref="U59" si="66">IF(AND($C59="j",$D59&gt;=10,$D59&lt;=12),$B59,IF(AND($C59="h",$D59&gt;=4,$D59&lt;=6),$B59,IF(AND($C59="q",$D59&gt;=1,$D59&lt;=3),$B59,IF($C59="z",IF($D59=2,2*$B59,$B59),IF($C59="m",3*$B59,0)))))</f>
        <v>0</v>
      </c>
      <c r="V59" s="273">
        <f t="shared" ref="V59" si="67">SUM(R59:U59)</f>
        <v>0</v>
      </c>
      <c r="W59" s="16">
        <f t="shared" ref="W59:X59" si="68">IF($C59="j",$B59,IF($C59="h",2*$B59,IF($C59="q",4*$B59,IF($C59="z",6*$B59,12*$B59))))</f>
        <v>0</v>
      </c>
      <c r="X59" s="17">
        <f t="shared" si="68"/>
        <v>0</v>
      </c>
      <c r="Z59" s="600">
        <f t="shared" ref="Z59" si="69">Q59/12</f>
        <v>0</v>
      </c>
    </row>
    <row r="60" spans="1:26" ht="7.5" customHeight="1" thickTop="1" thickBot="1" x14ac:dyDescent="0.3">
      <c r="A60" s="103"/>
      <c r="B60" s="104"/>
      <c r="C60" s="105"/>
      <c r="D60" s="106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30"/>
      <c r="R60" s="31"/>
      <c r="S60" s="28"/>
      <c r="T60" s="28"/>
      <c r="U60" s="28"/>
      <c r="V60" s="30"/>
      <c r="W60" s="33"/>
      <c r="X60" s="34"/>
      <c r="Z60" s="596"/>
    </row>
    <row r="61" spans="1:26" s="659" customFormat="1" ht="18.75" customHeight="1" thickBot="1" x14ac:dyDescent="0.3">
      <c r="A61" s="597" t="s">
        <v>51</v>
      </c>
      <c r="B61" s="598">
        <f>Z61</f>
        <v>166.66666666666666</v>
      </c>
      <c r="D61" s="660"/>
      <c r="E61" s="661">
        <f>SUM(E58:E60)</f>
        <v>0</v>
      </c>
      <c r="F61" s="570">
        <f t="shared" ref="F61:X61" si="70">SUM(F58:F60)</f>
        <v>0</v>
      </c>
      <c r="G61" s="570">
        <f t="shared" si="70"/>
        <v>0</v>
      </c>
      <c r="H61" s="570">
        <f t="shared" si="70"/>
        <v>0</v>
      </c>
      <c r="I61" s="570">
        <f t="shared" si="70"/>
        <v>0</v>
      </c>
      <c r="J61" s="570">
        <f t="shared" si="70"/>
        <v>0</v>
      </c>
      <c r="K61" s="570">
        <f t="shared" si="70"/>
        <v>0</v>
      </c>
      <c r="L61" s="570">
        <f t="shared" si="70"/>
        <v>0</v>
      </c>
      <c r="M61" s="570">
        <f t="shared" si="70"/>
        <v>0</v>
      </c>
      <c r="N61" s="570">
        <f t="shared" si="70"/>
        <v>0</v>
      </c>
      <c r="O61" s="570">
        <f t="shared" si="70"/>
        <v>0</v>
      </c>
      <c r="P61" s="570">
        <f t="shared" si="70"/>
        <v>2000</v>
      </c>
      <c r="Q61" s="37">
        <f t="shared" si="70"/>
        <v>2000</v>
      </c>
      <c r="R61" s="569">
        <f t="shared" si="70"/>
        <v>0</v>
      </c>
      <c r="S61" s="570">
        <f t="shared" si="70"/>
        <v>0</v>
      </c>
      <c r="T61" s="570">
        <f t="shared" si="70"/>
        <v>0</v>
      </c>
      <c r="U61" s="570">
        <f t="shared" si="70"/>
        <v>2000</v>
      </c>
      <c r="V61" s="37">
        <f t="shared" si="70"/>
        <v>2000</v>
      </c>
      <c r="W61" s="39">
        <f t="shared" si="70"/>
        <v>2000</v>
      </c>
      <c r="X61" s="40">
        <f t="shared" si="70"/>
        <v>2000</v>
      </c>
      <c r="Z61" s="599">
        <f>SUM(Z58:Z59)</f>
        <v>166.66666666666666</v>
      </c>
    </row>
    <row r="62" spans="1:26" ht="15.75" thickBot="1" x14ac:dyDescent="0.3"/>
    <row r="63" spans="1:26" ht="15" customHeight="1" x14ac:dyDescent="0.25">
      <c r="A63" s="730" t="s">
        <v>71</v>
      </c>
      <c r="B63" s="732" t="s">
        <v>72</v>
      </c>
      <c r="C63" s="732" t="s">
        <v>45</v>
      </c>
      <c r="D63" s="734" t="s">
        <v>256</v>
      </c>
      <c r="E63" s="711" t="s">
        <v>20</v>
      </c>
      <c r="F63" s="709"/>
      <c r="G63" s="709"/>
      <c r="H63" s="709"/>
      <c r="I63" s="709"/>
      <c r="J63" s="709"/>
      <c r="K63" s="709"/>
      <c r="L63" s="709"/>
      <c r="M63" s="709"/>
      <c r="N63" s="709"/>
      <c r="O63" s="709"/>
      <c r="P63" s="710"/>
      <c r="Q63" s="704" t="s">
        <v>20</v>
      </c>
      <c r="R63" s="708" t="s">
        <v>25</v>
      </c>
      <c r="S63" s="709"/>
      <c r="T63" s="709"/>
      <c r="U63" s="710"/>
      <c r="V63" s="706" t="s">
        <v>25</v>
      </c>
      <c r="W63" s="718" t="s">
        <v>26</v>
      </c>
      <c r="X63" s="720" t="s">
        <v>27</v>
      </c>
      <c r="Z63" s="728" t="s">
        <v>50</v>
      </c>
    </row>
    <row r="64" spans="1:26" ht="15.75" thickBot="1" x14ac:dyDescent="0.3">
      <c r="A64" s="731"/>
      <c r="B64" s="733"/>
      <c r="C64" s="733"/>
      <c r="D64" s="735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05"/>
      <c r="R64" s="4" t="s">
        <v>21</v>
      </c>
      <c r="S64" s="2" t="s">
        <v>22</v>
      </c>
      <c r="T64" s="2" t="s">
        <v>23</v>
      </c>
      <c r="U64" s="2" t="s">
        <v>24</v>
      </c>
      <c r="V64" s="707"/>
      <c r="W64" s="719"/>
      <c r="X64" s="721"/>
      <c r="Z64" s="729"/>
    </row>
    <row r="65" spans="1:26" ht="18.75" customHeight="1" thickTop="1" x14ac:dyDescent="0.25">
      <c r="A65" s="94" t="s">
        <v>115</v>
      </c>
      <c r="B65" s="18">
        <v>1500</v>
      </c>
      <c r="C65" s="19" t="s">
        <v>48</v>
      </c>
      <c r="D65" s="20">
        <v>1</v>
      </c>
      <c r="E65" s="6">
        <f t="shared" ref="E65:P67" si="71"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 t="shared" si="71"/>
        <v>0</v>
      </c>
      <c r="G65" s="7">
        <f t="shared" si="71"/>
        <v>0</v>
      </c>
      <c r="H65" s="7">
        <f t="shared" si="71"/>
        <v>0</v>
      </c>
      <c r="I65" s="7">
        <f t="shared" si="71"/>
        <v>0</v>
      </c>
      <c r="J65" s="7">
        <f t="shared" si="71"/>
        <v>0</v>
      </c>
      <c r="K65" s="7">
        <f t="shared" si="71"/>
        <v>0</v>
      </c>
      <c r="L65" s="7">
        <f t="shared" si="71"/>
        <v>0</v>
      </c>
      <c r="M65" s="7">
        <f t="shared" si="71"/>
        <v>0</v>
      </c>
      <c r="N65" s="7">
        <f t="shared" si="71"/>
        <v>0</v>
      </c>
      <c r="O65" s="7">
        <f t="shared" si="71"/>
        <v>0</v>
      </c>
      <c r="P65" s="7">
        <f t="shared" si="71"/>
        <v>0</v>
      </c>
      <c r="Q65" s="272">
        <f>SUM(E65:P65)</f>
        <v>1500</v>
      </c>
      <c r="R65" s="310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7">
        <f>IF(AND($C65="j",$D65&gt;=10,$D65&lt;=12),$B65,IF(AND($C65="h",$D65&gt;=4,$D65&lt;=6),$B65,IF(AND($C65="q",$D65&gt;=1,$D65&lt;=3),$B65,IF($C65="z",IF($D65=2,2*$B65,$B65),IF($C65="m",3*$B65,0)))))</f>
        <v>0</v>
      </c>
      <c r="V65" s="272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94">
        <f>Q65/12</f>
        <v>125</v>
      </c>
    </row>
    <row r="66" spans="1:26" ht="18.75" customHeight="1" x14ac:dyDescent="0.25">
      <c r="A66" s="95" t="s">
        <v>80</v>
      </c>
      <c r="B66" s="96">
        <v>500</v>
      </c>
      <c r="C66" s="97" t="s">
        <v>46</v>
      </c>
      <c r="D66" s="98" t="s">
        <v>49</v>
      </c>
      <c r="E66" s="10">
        <f t="shared" si="71"/>
        <v>500</v>
      </c>
      <c r="F66" s="11">
        <f t="shared" si="71"/>
        <v>500</v>
      </c>
      <c r="G66" s="11">
        <f t="shared" si="71"/>
        <v>500</v>
      </c>
      <c r="H66" s="11">
        <f t="shared" si="71"/>
        <v>500</v>
      </c>
      <c r="I66" s="11">
        <f t="shared" si="71"/>
        <v>500</v>
      </c>
      <c r="J66" s="11">
        <f t="shared" si="71"/>
        <v>500</v>
      </c>
      <c r="K66" s="11">
        <f t="shared" si="71"/>
        <v>500</v>
      </c>
      <c r="L66" s="11">
        <f t="shared" si="71"/>
        <v>500</v>
      </c>
      <c r="M66" s="11">
        <f t="shared" si="71"/>
        <v>500</v>
      </c>
      <c r="N66" s="11">
        <f t="shared" si="71"/>
        <v>500</v>
      </c>
      <c r="O66" s="11">
        <f t="shared" si="71"/>
        <v>500</v>
      </c>
      <c r="P66" s="11">
        <f t="shared" si="71"/>
        <v>500</v>
      </c>
      <c r="Q66" s="586">
        <f t="shared" ref="Q66:Q67" si="72">SUM(E66:P66)</f>
        <v>6000</v>
      </c>
      <c r="R66" s="311">
        <f t="shared" ref="R66:R67" si="73">IF(AND($C66="j",$D66&gt;=1,$D66&lt;=3),$B66,IF(AND($C66="h",$D66&gt;=1,$D66&lt;=3),$B66,IF(AND($C66="q",$D66&gt;=1,$D66&lt;=3),$B66,IF($C66="z",IF($D66=1,2*$B66,$B66),IF($C66="m",3*$B66,0)))))</f>
        <v>1500</v>
      </c>
      <c r="S66" s="11">
        <f t="shared" ref="S66:S67" si="74">IF(AND($C66="j",$D66&gt;=4,$D66&lt;=6),$B66,IF(AND($C66="h",$D66&gt;=4,$D66&lt;=6),$B66,IF(AND($C66="q",$D66&gt;=1,$D66&lt;=3),$B66,IF($C66="z",IF($D66=2,2*$B66,$B66),IF($C66="m",3*$B66,0)))))</f>
        <v>1500</v>
      </c>
      <c r="T66" s="11">
        <f t="shared" ref="T66:T67" si="75">IF(AND($C66="j",$D66&gt;=7,$D66&lt;=9),$B66,IF(AND($C66="h",$D66&gt;=1,$D66&lt;=3),$B66,IF(AND($C66="q",$D66&gt;=1,$D66&lt;=3),$B66,IF($C66="z",IF($D66=1,2*$B66,$B66),IF($C66="m",3*$B66,0)))))</f>
        <v>1500</v>
      </c>
      <c r="U66" s="11">
        <f t="shared" ref="U66:U67" si="76">IF(AND($C66="j",$D66&gt;=10,$D66&lt;=12),$B66,IF(AND($C66="h",$D66&gt;=4,$D66&lt;=6),$B66,IF(AND($C66="q",$D66&gt;=1,$D66&lt;=3),$B66,IF($C66="z",IF($D66=2,2*$B66,$B66),IF($C66="m",3*$B66,0)))))</f>
        <v>1500</v>
      </c>
      <c r="V66" s="586">
        <f t="shared" ref="V66:V67" si="77">SUM(R66:U66)</f>
        <v>6000</v>
      </c>
      <c r="W66" s="12">
        <f t="shared" ref="W66:X67" si="78">IF($C66="j",$B66,IF($C66="h",2*$B66,IF($C66="q",4*$B66,IF($C66="z",6*$B66,12*$B66))))</f>
        <v>6000</v>
      </c>
      <c r="X66" s="13">
        <f t="shared" si="78"/>
        <v>6000</v>
      </c>
      <c r="Z66" s="595">
        <f t="shared" ref="Z66:Z67" si="79">Q66/12</f>
        <v>500</v>
      </c>
    </row>
    <row r="67" spans="1:26" ht="18.75" customHeight="1" thickBot="1" x14ac:dyDescent="0.3">
      <c r="A67" s="99"/>
      <c r="B67" s="100"/>
      <c r="C67" s="101"/>
      <c r="D67" s="102"/>
      <c r="E67" s="14">
        <f t="shared" si="71"/>
        <v>0</v>
      </c>
      <c r="F67" s="15">
        <f t="shared" si="71"/>
        <v>0</v>
      </c>
      <c r="G67" s="15">
        <f t="shared" si="71"/>
        <v>0</v>
      </c>
      <c r="H67" s="15">
        <f t="shared" si="71"/>
        <v>0</v>
      </c>
      <c r="I67" s="15">
        <f t="shared" si="71"/>
        <v>0</v>
      </c>
      <c r="J67" s="15">
        <f t="shared" si="71"/>
        <v>0</v>
      </c>
      <c r="K67" s="15">
        <f t="shared" si="71"/>
        <v>0</v>
      </c>
      <c r="L67" s="15">
        <f t="shared" si="71"/>
        <v>0</v>
      </c>
      <c r="M67" s="15">
        <f t="shared" si="71"/>
        <v>0</v>
      </c>
      <c r="N67" s="15">
        <f t="shared" si="71"/>
        <v>0</v>
      </c>
      <c r="O67" s="15">
        <f t="shared" si="71"/>
        <v>0</v>
      </c>
      <c r="P67" s="15">
        <f t="shared" si="71"/>
        <v>0</v>
      </c>
      <c r="Q67" s="273">
        <f t="shared" si="72"/>
        <v>0</v>
      </c>
      <c r="R67" s="590">
        <f t="shared" si="73"/>
        <v>0</v>
      </c>
      <c r="S67" s="15">
        <f t="shared" si="74"/>
        <v>0</v>
      </c>
      <c r="T67" s="15">
        <f t="shared" si="75"/>
        <v>0</v>
      </c>
      <c r="U67" s="15">
        <f t="shared" si="76"/>
        <v>0</v>
      </c>
      <c r="V67" s="273">
        <f t="shared" si="77"/>
        <v>0</v>
      </c>
      <c r="W67" s="16">
        <f t="shared" si="78"/>
        <v>0</v>
      </c>
      <c r="X67" s="17">
        <f t="shared" si="78"/>
        <v>0</v>
      </c>
      <c r="Z67" s="600">
        <f t="shared" si="79"/>
        <v>0</v>
      </c>
    </row>
    <row r="68" spans="1:26" ht="7.5" customHeight="1" thickTop="1" thickBot="1" x14ac:dyDescent="0.3">
      <c r="A68" s="103"/>
      <c r="B68" s="104"/>
      <c r="C68" s="105"/>
      <c r="D68" s="106"/>
      <c r="E68" s="27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30"/>
      <c r="R68" s="31"/>
      <c r="S68" s="28"/>
      <c r="T68" s="28"/>
      <c r="U68" s="28"/>
      <c r="V68" s="30"/>
      <c r="W68" s="33"/>
      <c r="X68" s="34"/>
      <c r="Z68" s="596"/>
    </row>
    <row r="69" spans="1:26" s="659" customFormat="1" ht="18.75" customHeight="1" thickBot="1" x14ac:dyDescent="0.3">
      <c r="A69" s="597" t="s">
        <v>51</v>
      </c>
      <c r="B69" s="598">
        <f>Z69</f>
        <v>625</v>
      </c>
      <c r="D69" s="660"/>
      <c r="E69" s="661">
        <f t="shared" ref="E69:X69" si="80">SUM(E65:E68)</f>
        <v>2000</v>
      </c>
      <c r="F69" s="570">
        <f t="shared" si="80"/>
        <v>500</v>
      </c>
      <c r="G69" s="570">
        <f t="shared" si="80"/>
        <v>500</v>
      </c>
      <c r="H69" s="570">
        <f t="shared" si="80"/>
        <v>500</v>
      </c>
      <c r="I69" s="570">
        <f t="shared" si="80"/>
        <v>500</v>
      </c>
      <c r="J69" s="570">
        <f t="shared" si="80"/>
        <v>500</v>
      </c>
      <c r="K69" s="570">
        <f t="shared" si="80"/>
        <v>500</v>
      </c>
      <c r="L69" s="570">
        <f t="shared" si="80"/>
        <v>500</v>
      </c>
      <c r="M69" s="570">
        <f t="shared" si="80"/>
        <v>500</v>
      </c>
      <c r="N69" s="570">
        <f t="shared" si="80"/>
        <v>500</v>
      </c>
      <c r="O69" s="570">
        <f t="shared" si="80"/>
        <v>500</v>
      </c>
      <c r="P69" s="570">
        <f t="shared" si="80"/>
        <v>500</v>
      </c>
      <c r="Q69" s="37">
        <f t="shared" si="80"/>
        <v>7500</v>
      </c>
      <c r="R69" s="569">
        <f t="shared" si="80"/>
        <v>3000</v>
      </c>
      <c r="S69" s="570">
        <f t="shared" si="80"/>
        <v>1500</v>
      </c>
      <c r="T69" s="570">
        <f t="shared" si="80"/>
        <v>1500</v>
      </c>
      <c r="U69" s="570">
        <f t="shared" si="80"/>
        <v>1500</v>
      </c>
      <c r="V69" s="37">
        <f t="shared" si="80"/>
        <v>7500</v>
      </c>
      <c r="W69" s="39">
        <f t="shared" si="80"/>
        <v>7500</v>
      </c>
      <c r="X69" s="40">
        <f t="shared" si="80"/>
        <v>7500</v>
      </c>
      <c r="Z69" s="599">
        <f>SUM(Z65:Z67)</f>
        <v>625</v>
      </c>
    </row>
    <row r="70" spans="1:26" ht="15.75" thickBot="1" x14ac:dyDescent="0.3"/>
    <row r="71" spans="1:26" ht="15" customHeight="1" x14ac:dyDescent="0.25">
      <c r="A71" s="730" t="s">
        <v>73</v>
      </c>
      <c r="B71" s="732" t="s">
        <v>19</v>
      </c>
      <c r="C71" s="732" t="s">
        <v>45</v>
      </c>
      <c r="D71" s="734" t="s">
        <v>256</v>
      </c>
      <c r="E71" s="711" t="s">
        <v>20</v>
      </c>
      <c r="F71" s="709"/>
      <c r="G71" s="709"/>
      <c r="H71" s="709"/>
      <c r="I71" s="709"/>
      <c r="J71" s="709"/>
      <c r="K71" s="709"/>
      <c r="L71" s="709"/>
      <c r="M71" s="709"/>
      <c r="N71" s="709"/>
      <c r="O71" s="709"/>
      <c r="P71" s="710"/>
      <c r="Q71" s="704" t="s">
        <v>20</v>
      </c>
      <c r="R71" s="708" t="s">
        <v>25</v>
      </c>
      <c r="S71" s="709"/>
      <c r="T71" s="709"/>
      <c r="U71" s="710"/>
      <c r="V71" s="706" t="s">
        <v>25</v>
      </c>
      <c r="W71" s="718" t="s">
        <v>26</v>
      </c>
      <c r="X71" s="720" t="s">
        <v>27</v>
      </c>
      <c r="Z71" s="728" t="s">
        <v>50</v>
      </c>
    </row>
    <row r="72" spans="1:26" ht="15.75" thickBot="1" x14ac:dyDescent="0.3">
      <c r="A72" s="731"/>
      <c r="B72" s="733"/>
      <c r="C72" s="733"/>
      <c r="D72" s="735"/>
      <c r="E72" s="1">
        <v>1</v>
      </c>
      <c r="F72" s="2">
        <v>2</v>
      </c>
      <c r="G72" s="2">
        <v>3</v>
      </c>
      <c r="H72" s="2">
        <v>4</v>
      </c>
      <c r="I72" s="2">
        <v>5</v>
      </c>
      <c r="J72" s="2">
        <v>6</v>
      </c>
      <c r="K72" s="2">
        <v>7</v>
      </c>
      <c r="L72" s="2">
        <v>8</v>
      </c>
      <c r="M72" s="2">
        <v>9</v>
      </c>
      <c r="N72" s="2">
        <v>10</v>
      </c>
      <c r="O72" s="2">
        <v>11</v>
      </c>
      <c r="P72" s="3">
        <v>12</v>
      </c>
      <c r="Q72" s="705"/>
      <c r="R72" s="4" t="s">
        <v>21</v>
      </c>
      <c r="S72" s="2" t="s">
        <v>22</v>
      </c>
      <c r="T72" s="2" t="s">
        <v>23</v>
      </c>
      <c r="U72" s="2" t="s">
        <v>24</v>
      </c>
      <c r="V72" s="707"/>
      <c r="W72" s="719"/>
      <c r="X72" s="721"/>
      <c r="Z72" s="729"/>
    </row>
    <row r="73" spans="1:26" ht="18.75" customHeight="1" thickTop="1" x14ac:dyDescent="0.25">
      <c r="A73" s="94" t="s">
        <v>135</v>
      </c>
      <c r="B73" s="18">
        <v>2000</v>
      </c>
      <c r="C73" s="19" t="s">
        <v>46</v>
      </c>
      <c r="D73" s="20" t="s">
        <v>49</v>
      </c>
      <c r="E73" s="6">
        <f t="shared" ref="E73:P75" si="81">IF(AND($C73="j",$D73=E$34),$B73,IF($C73="h",$B73*IF($D73=IF(MOD(E$34,6)=0,6,MOD(E$34,6)),1,0),IF($C73="q",$B73*IF($D73=IF(MOD(E$34,3)=0,3,MOD(E$34,3)),1,0),IF($C73="z",$B73*IF($D73=IF(MOD(E$34,2)=0,2,MOD(E$34,2)),1,0),IF($C73="m",$B73,0)))))</f>
        <v>2000</v>
      </c>
      <c r="F73" s="7">
        <f t="shared" si="81"/>
        <v>2000</v>
      </c>
      <c r="G73" s="7">
        <f t="shared" si="81"/>
        <v>2000</v>
      </c>
      <c r="H73" s="7">
        <f t="shared" si="81"/>
        <v>2000</v>
      </c>
      <c r="I73" s="7">
        <f t="shared" si="81"/>
        <v>2000</v>
      </c>
      <c r="J73" s="7">
        <f t="shared" si="81"/>
        <v>2000</v>
      </c>
      <c r="K73" s="7">
        <f t="shared" si="81"/>
        <v>2000</v>
      </c>
      <c r="L73" s="7">
        <f t="shared" si="81"/>
        <v>2000</v>
      </c>
      <c r="M73" s="7">
        <f t="shared" si="81"/>
        <v>2000</v>
      </c>
      <c r="N73" s="7">
        <f t="shared" si="81"/>
        <v>2000</v>
      </c>
      <c r="O73" s="7">
        <f t="shared" si="81"/>
        <v>2000</v>
      </c>
      <c r="P73" s="7">
        <f t="shared" si="81"/>
        <v>2000</v>
      </c>
      <c r="Q73" s="272">
        <f>SUM(E73:P73)</f>
        <v>24000</v>
      </c>
      <c r="R73" s="310">
        <f>IF(AND($C73="j",$D73&gt;=1,$D73&lt;=3),$B73,IF(AND($C73="h",$D73&gt;=1,$D73&lt;=3),$B73,IF(AND($C73="q",$D73&gt;=1,$D73&lt;=3),$B73,IF($C73="z",IF($D73=1,2*$B73,$B73),IF($C73="m",3*$B73,0)))))</f>
        <v>6000</v>
      </c>
      <c r="S73" s="7">
        <f>IF(AND($C73="j",$D73&gt;=4,$D73&lt;=6),$B73,IF(AND($C73="h",$D73&gt;=4,$D73&lt;=6),$B73,IF(AND($C73="q",$D73&gt;=1,$D73&lt;=3),$B73,IF($C73="z",IF($D73=2,2*$B73,$B73),IF($C73="m",3*$B73,0)))))</f>
        <v>6000</v>
      </c>
      <c r="T73" s="7">
        <f>IF(AND($C73="j",$D73&gt;=7,$D73&lt;=9),$B73,IF(AND($C73="h",$D73&gt;=1,$D73&lt;=3),$B73,IF(AND($C73="q",$D73&gt;=1,$D73&lt;=3),$B73,IF($C73="z",IF($D73=1,2*$B73,$B73),IF($C73="m",3*$B73,0)))))</f>
        <v>6000</v>
      </c>
      <c r="U73" s="7">
        <f>IF(AND($C73="j",$D73&gt;=10,$D73&lt;=12),$B73,IF(AND($C73="h",$D73&gt;=4,$D73&lt;=6),$B73,IF(AND($C73="q",$D73&gt;=1,$D73&lt;=3),$B73,IF($C73="z",IF($D73=2,2*$B73,$B73),IF($C73="m",3*$B73,0)))))</f>
        <v>6000</v>
      </c>
      <c r="V73" s="272">
        <f>SUM(R73:U73)</f>
        <v>24000</v>
      </c>
      <c r="W73" s="8">
        <f>IF($C73="j",$B73,IF($C73="h",2*$B73,IF($C73="q",4*$B73,IF($C73="z",6*$B73,12*$B73))))</f>
        <v>24000</v>
      </c>
      <c r="X73" s="9">
        <f>IF($C73="j",$B73,IF($C73="h",2*$B73,IF($C73="q",4*$B73,IF($C73="z",6*$B73,12*$B73))))</f>
        <v>24000</v>
      </c>
      <c r="Z73" s="594">
        <f>Q73/12</f>
        <v>2000</v>
      </c>
    </row>
    <row r="74" spans="1:26" ht="18.75" customHeight="1" x14ac:dyDescent="0.25">
      <c r="A74" s="95" t="s">
        <v>118</v>
      </c>
      <c r="B74" s="96">
        <v>200</v>
      </c>
      <c r="C74" s="97" t="s">
        <v>46</v>
      </c>
      <c r="D74" s="98" t="s">
        <v>49</v>
      </c>
      <c r="E74" s="10">
        <f t="shared" si="81"/>
        <v>200</v>
      </c>
      <c r="F74" s="11">
        <f t="shared" si="81"/>
        <v>200</v>
      </c>
      <c r="G74" s="11">
        <f t="shared" si="81"/>
        <v>200</v>
      </c>
      <c r="H74" s="11">
        <f t="shared" si="81"/>
        <v>200</v>
      </c>
      <c r="I74" s="11">
        <f t="shared" si="81"/>
        <v>200</v>
      </c>
      <c r="J74" s="11">
        <f t="shared" si="81"/>
        <v>200</v>
      </c>
      <c r="K74" s="11">
        <f t="shared" si="81"/>
        <v>200</v>
      </c>
      <c r="L74" s="11">
        <f t="shared" si="81"/>
        <v>200</v>
      </c>
      <c r="M74" s="11">
        <f t="shared" si="81"/>
        <v>200</v>
      </c>
      <c r="N74" s="11">
        <f t="shared" si="81"/>
        <v>200</v>
      </c>
      <c r="O74" s="11">
        <f t="shared" si="81"/>
        <v>200</v>
      </c>
      <c r="P74" s="11">
        <f t="shared" si="81"/>
        <v>200</v>
      </c>
      <c r="Q74" s="586">
        <f t="shared" ref="Q74:Q75" si="82">SUM(E74:P74)</f>
        <v>2400</v>
      </c>
      <c r="R74" s="311">
        <f t="shared" ref="R74:R75" si="83">IF(AND($C74="j",$D74&gt;=1,$D74&lt;=3),$B74,IF(AND($C74="h",$D74&gt;=1,$D74&lt;=3),$B74,IF(AND($C74="q",$D74&gt;=1,$D74&lt;=3),$B74,IF($C74="z",IF($D74=1,2*$B74,$B74),IF($C74="m",3*$B74,0)))))</f>
        <v>600</v>
      </c>
      <c r="S74" s="11">
        <f t="shared" ref="S74:S75" si="84">IF(AND($C74="j",$D74&gt;=4,$D74&lt;=6),$B74,IF(AND($C74="h",$D74&gt;=4,$D74&lt;=6),$B74,IF(AND($C74="q",$D74&gt;=1,$D74&lt;=3),$B74,IF($C74="z",IF($D74=2,2*$B74,$B74),IF($C74="m",3*$B74,0)))))</f>
        <v>600</v>
      </c>
      <c r="T74" s="11">
        <f t="shared" ref="T74:T75" si="85">IF(AND($C74="j",$D74&gt;=7,$D74&lt;=9),$B74,IF(AND($C74="h",$D74&gt;=1,$D74&lt;=3),$B74,IF(AND($C74="q",$D74&gt;=1,$D74&lt;=3),$B74,IF($C74="z",IF($D74=1,2*$B74,$B74),IF($C74="m",3*$B74,0)))))</f>
        <v>600</v>
      </c>
      <c r="U74" s="11">
        <f t="shared" ref="U74:U75" si="86">IF(AND($C74="j",$D74&gt;=10,$D74&lt;=12),$B74,IF(AND($C74="h",$D74&gt;=4,$D74&lt;=6),$B74,IF(AND($C74="q",$D74&gt;=1,$D74&lt;=3),$B74,IF($C74="z",IF($D74=2,2*$B74,$B74),IF($C74="m",3*$B74,0)))))</f>
        <v>600</v>
      </c>
      <c r="V74" s="586">
        <f t="shared" ref="V74:V75" si="87">SUM(R74:U74)</f>
        <v>2400</v>
      </c>
      <c r="W74" s="12">
        <f t="shared" ref="W74:X75" si="88">IF($C74="j",$B74,IF($C74="h",2*$B74,IF($C74="q",4*$B74,IF($C74="z",6*$B74,12*$B74))))</f>
        <v>2400</v>
      </c>
      <c r="X74" s="13">
        <f t="shared" si="88"/>
        <v>2400</v>
      </c>
      <c r="Z74" s="595">
        <f t="shared" ref="Z74:Z75" si="89">Q74/12</f>
        <v>200</v>
      </c>
    </row>
    <row r="75" spans="1:26" ht="18.75" customHeight="1" thickBot="1" x14ac:dyDescent="0.3">
      <c r="A75" s="99"/>
      <c r="B75" s="100"/>
      <c r="C75" s="101"/>
      <c r="D75" s="102"/>
      <c r="E75" s="14">
        <f t="shared" si="81"/>
        <v>0</v>
      </c>
      <c r="F75" s="15">
        <f t="shared" si="81"/>
        <v>0</v>
      </c>
      <c r="G75" s="15">
        <f t="shared" si="81"/>
        <v>0</v>
      </c>
      <c r="H75" s="15">
        <f t="shared" si="81"/>
        <v>0</v>
      </c>
      <c r="I75" s="15">
        <f t="shared" si="81"/>
        <v>0</v>
      </c>
      <c r="J75" s="15">
        <f t="shared" si="81"/>
        <v>0</v>
      </c>
      <c r="K75" s="15">
        <f t="shared" si="81"/>
        <v>0</v>
      </c>
      <c r="L75" s="15">
        <f t="shared" si="81"/>
        <v>0</v>
      </c>
      <c r="M75" s="15">
        <f t="shared" si="81"/>
        <v>0</v>
      </c>
      <c r="N75" s="15">
        <f t="shared" si="81"/>
        <v>0</v>
      </c>
      <c r="O75" s="15">
        <f t="shared" si="81"/>
        <v>0</v>
      </c>
      <c r="P75" s="15">
        <f t="shared" si="81"/>
        <v>0</v>
      </c>
      <c r="Q75" s="273">
        <f t="shared" si="82"/>
        <v>0</v>
      </c>
      <c r="R75" s="590">
        <f t="shared" si="83"/>
        <v>0</v>
      </c>
      <c r="S75" s="15">
        <f t="shared" si="84"/>
        <v>0</v>
      </c>
      <c r="T75" s="15">
        <f t="shared" si="85"/>
        <v>0</v>
      </c>
      <c r="U75" s="15">
        <f t="shared" si="86"/>
        <v>0</v>
      </c>
      <c r="V75" s="273">
        <f t="shared" si="87"/>
        <v>0</v>
      </c>
      <c r="W75" s="16">
        <f t="shared" si="88"/>
        <v>0</v>
      </c>
      <c r="X75" s="17">
        <f t="shared" si="88"/>
        <v>0</v>
      </c>
      <c r="Z75" s="600">
        <f t="shared" si="89"/>
        <v>0</v>
      </c>
    </row>
    <row r="76" spans="1:26" ht="7.5" customHeight="1" thickTop="1" thickBot="1" x14ac:dyDescent="0.3">
      <c r="A76" s="103"/>
      <c r="B76" s="104"/>
      <c r="C76" s="105"/>
      <c r="D76" s="106"/>
      <c r="E76" s="27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30"/>
      <c r="R76" s="31"/>
      <c r="S76" s="28"/>
      <c r="T76" s="28"/>
      <c r="U76" s="28"/>
      <c r="V76" s="30"/>
      <c r="W76" s="33"/>
      <c r="X76" s="34"/>
      <c r="Z76" s="596"/>
    </row>
    <row r="77" spans="1:26" s="659" customFormat="1" ht="18.75" customHeight="1" thickBot="1" x14ac:dyDescent="0.3">
      <c r="A77" s="597" t="s">
        <v>51</v>
      </c>
      <c r="B77" s="598">
        <f>Z77</f>
        <v>2200</v>
      </c>
      <c r="D77" s="660"/>
      <c r="E77" s="661">
        <f t="shared" ref="E77:X77" si="90">SUM(E73:E76)</f>
        <v>2200</v>
      </c>
      <c r="F77" s="570">
        <f t="shared" si="90"/>
        <v>2200</v>
      </c>
      <c r="G77" s="570">
        <f t="shared" si="90"/>
        <v>2200</v>
      </c>
      <c r="H77" s="570">
        <f t="shared" si="90"/>
        <v>2200</v>
      </c>
      <c r="I77" s="570">
        <f t="shared" si="90"/>
        <v>2200</v>
      </c>
      <c r="J77" s="570">
        <f t="shared" si="90"/>
        <v>2200</v>
      </c>
      <c r="K77" s="570">
        <f t="shared" si="90"/>
        <v>2200</v>
      </c>
      <c r="L77" s="570">
        <f t="shared" si="90"/>
        <v>2200</v>
      </c>
      <c r="M77" s="570">
        <f t="shared" si="90"/>
        <v>2200</v>
      </c>
      <c r="N77" s="570">
        <f t="shared" si="90"/>
        <v>2200</v>
      </c>
      <c r="O77" s="570">
        <f t="shared" si="90"/>
        <v>2200</v>
      </c>
      <c r="P77" s="570">
        <f t="shared" si="90"/>
        <v>2200</v>
      </c>
      <c r="Q77" s="37">
        <f t="shared" si="90"/>
        <v>26400</v>
      </c>
      <c r="R77" s="569">
        <f t="shared" si="90"/>
        <v>6600</v>
      </c>
      <c r="S77" s="570">
        <f t="shared" si="90"/>
        <v>6600</v>
      </c>
      <c r="T77" s="570">
        <f t="shared" si="90"/>
        <v>6600</v>
      </c>
      <c r="U77" s="570">
        <f t="shared" si="90"/>
        <v>6600</v>
      </c>
      <c r="V77" s="37">
        <f t="shared" si="90"/>
        <v>26400</v>
      </c>
      <c r="W77" s="39">
        <f t="shared" si="90"/>
        <v>26400</v>
      </c>
      <c r="X77" s="40">
        <f t="shared" si="90"/>
        <v>26400</v>
      </c>
      <c r="Z77" s="599">
        <f>SUM(Z73:Z75)</f>
        <v>2200</v>
      </c>
    </row>
    <row r="78" spans="1:26" ht="15.75" thickBot="1" x14ac:dyDescent="0.3"/>
    <row r="79" spans="1:26" ht="15" customHeight="1" x14ac:dyDescent="0.25">
      <c r="A79" s="730" t="s">
        <v>76</v>
      </c>
      <c r="B79" s="732" t="s">
        <v>19</v>
      </c>
      <c r="C79" s="732" t="s">
        <v>45</v>
      </c>
      <c r="D79" s="734" t="s">
        <v>256</v>
      </c>
      <c r="E79" s="711" t="s">
        <v>20</v>
      </c>
      <c r="F79" s="709"/>
      <c r="G79" s="709"/>
      <c r="H79" s="709"/>
      <c r="I79" s="709"/>
      <c r="J79" s="709"/>
      <c r="K79" s="709"/>
      <c r="L79" s="709"/>
      <c r="M79" s="709"/>
      <c r="N79" s="709"/>
      <c r="O79" s="709"/>
      <c r="P79" s="710"/>
      <c r="Q79" s="704" t="s">
        <v>20</v>
      </c>
      <c r="R79" s="708" t="s">
        <v>25</v>
      </c>
      <c r="S79" s="709"/>
      <c r="T79" s="709"/>
      <c r="U79" s="710"/>
      <c r="V79" s="706" t="s">
        <v>25</v>
      </c>
      <c r="W79" s="718" t="s">
        <v>26</v>
      </c>
      <c r="X79" s="720" t="s">
        <v>27</v>
      </c>
      <c r="Z79" s="728" t="s">
        <v>50</v>
      </c>
    </row>
    <row r="80" spans="1:26" ht="15.75" thickBot="1" x14ac:dyDescent="0.3">
      <c r="A80" s="731"/>
      <c r="B80" s="733"/>
      <c r="C80" s="733"/>
      <c r="D80" s="735"/>
      <c r="E80" s="1">
        <v>1</v>
      </c>
      <c r="F80" s="2">
        <v>2</v>
      </c>
      <c r="G80" s="2">
        <v>3</v>
      </c>
      <c r="H80" s="2">
        <v>4</v>
      </c>
      <c r="I80" s="2">
        <v>5</v>
      </c>
      <c r="J80" s="2">
        <v>6</v>
      </c>
      <c r="K80" s="2">
        <v>7</v>
      </c>
      <c r="L80" s="2">
        <v>8</v>
      </c>
      <c r="M80" s="2">
        <v>9</v>
      </c>
      <c r="N80" s="2">
        <v>10</v>
      </c>
      <c r="O80" s="2">
        <v>11</v>
      </c>
      <c r="P80" s="3">
        <v>12</v>
      </c>
      <c r="Q80" s="705"/>
      <c r="R80" s="4" t="s">
        <v>21</v>
      </c>
      <c r="S80" s="2" t="s">
        <v>22</v>
      </c>
      <c r="T80" s="2" t="s">
        <v>23</v>
      </c>
      <c r="U80" s="2" t="s">
        <v>24</v>
      </c>
      <c r="V80" s="707"/>
      <c r="W80" s="719"/>
      <c r="X80" s="721"/>
      <c r="Z80" s="729"/>
    </row>
    <row r="81" spans="1:26" ht="18.75" customHeight="1" thickTop="1" x14ac:dyDescent="0.25">
      <c r="A81" s="94" t="s">
        <v>77</v>
      </c>
      <c r="B81" s="18">
        <v>88</v>
      </c>
      <c r="C81" s="19" t="s">
        <v>46</v>
      </c>
      <c r="D81" s="20" t="s">
        <v>49</v>
      </c>
      <c r="E81" s="6">
        <f t="shared" ref="E81:P83" si="91">IF(AND($C81="j",$D81=E$34),$B81,IF($C81="h",$B81*IF($D81=IF(MOD(E$34,6)=0,6,MOD(E$34,6)),1,0),IF($C81="q",$B81*IF($D81=IF(MOD(E$34,3)=0,3,MOD(E$34,3)),1,0),IF($C81="z",$B81*IF($D81=IF(MOD(E$34,2)=0,2,MOD(E$34,2)),1,0),IF($C81="m",$B81,0)))))</f>
        <v>88</v>
      </c>
      <c r="F81" s="7">
        <f t="shared" si="91"/>
        <v>88</v>
      </c>
      <c r="G81" s="7">
        <f t="shared" si="91"/>
        <v>88</v>
      </c>
      <c r="H81" s="7">
        <f t="shared" si="91"/>
        <v>88</v>
      </c>
      <c r="I81" s="7">
        <f t="shared" si="91"/>
        <v>88</v>
      </c>
      <c r="J81" s="7">
        <f t="shared" si="91"/>
        <v>88</v>
      </c>
      <c r="K81" s="7">
        <f t="shared" si="91"/>
        <v>88</v>
      </c>
      <c r="L81" s="7">
        <f t="shared" si="91"/>
        <v>88</v>
      </c>
      <c r="M81" s="7">
        <f t="shared" si="91"/>
        <v>88</v>
      </c>
      <c r="N81" s="7">
        <f t="shared" si="91"/>
        <v>88</v>
      </c>
      <c r="O81" s="7">
        <f t="shared" si="91"/>
        <v>88</v>
      </c>
      <c r="P81" s="7">
        <f t="shared" si="91"/>
        <v>88</v>
      </c>
      <c r="Q81" s="272">
        <f>SUM(E81:P81)</f>
        <v>1056</v>
      </c>
      <c r="R81" s="310">
        <f>IF(AND($C81="j",$D81&gt;=1,$D81&lt;=3),$B81,IF(AND($C81="h",$D81&gt;=1,$D81&lt;=3),$B81,IF(AND($C81="q",$D81&gt;=1,$D81&lt;=3),$B81,IF($C81="z",IF($D81=1,2*$B81,$B81),IF($C81="m",3*$B81,0)))))</f>
        <v>264</v>
      </c>
      <c r="S81" s="7">
        <f>IF(AND($C81="j",$D81&gt;=4,$D81&lt;=6),$B81,IF(AND($C81="h",$D81&gt;=4,$D81&lt;=6),$B81,IF(AND($C81="q",$D81&gt;=1,$D81&lt;=3),$B81,IF($C81="z",IF($D81=2,2*$B81,$B81),IF($C81="m",3*$B81,0)))))</f>
        <v>264</v>
      </c>
      <c r="T81" s="7">
        <f>IF(AND($C81="j",$D81&gt;=7,$D81&lt;=9),$B81,IF(AND($C81="h",$D81&gt;=1,$D81&lt;=3),$B81,IF(AND($C81="q",$D81&gt;=1,$D81&lt;=3),$B81,IF($C81="z",IF($D81=1,2*$B81,$B81),IF($C81="m",3*$B81,0)))))</f>
        <v>264</v>
      </c>
      <c r="U81" s="7">
        <f>IF(AND($C81="j",$D81&gt;=10,$D81&lt;=12),$B81,IF(AND($C81="h",$D81&gt;=4,$D81&lt;=6),$B81,IF(AND($C81="q",$D81&gt;=1,$D81&lt;=3),$B81,IF($C81="z",IF($D81=2,2*$B81,$B81),IF($C81="m",3*$B81,0)))))</f>
        <v>264</v>
      </c>
      <c r="V81" s="272">
        <f>SUM(R81:U81)</f>
        <v>1056</v>
      </c>
      <c r="W81" s="8">
        <f>IF($C81="j",$B81,IF($C81="h",2*$B81,IF($C81="q",4*$B81,IF($C81="z",6*$B81,12*$B81))))</f>
        <v>1056</v>
      </c>
      <c r="X81" s="9">
        <f>IF($C81="j",$B81,IF($C81="h",2*$B81,IF($C81="q",4*$B81,IF($C81="z",6*$B81,12*$B81))))</f>
        <v>1056</v>
      </c>
      <c r="Z81" s="594">
        <f>Q81/12</f>
        <v>88</v>
      </c>
    </row>
    <row r="82" spans="1:26" ht="18.75" customHeight="1" x14ac:dyDescent="0.25">
      <c r="A82" s="95" t="s">
        <v>78</v>
      </c>
      <c r="B82" s="96">
        <v>300</v>
      </c>
      <c r="C82" s="97" t="s">
        <v>46</v>
      </c>
      <c r="D82" s="98" t="s">
        <v>49</v>
      </c>
      <c r="E82" s="10">
        <f t="shared" si="91"/>
        <v>300</v>
      </c>
      <c r="F82" s="11">
        <f t="shared" si="91"/>
        <v>300</v>
      </c>
      <c r="G82" s="11">
        <f t="shared" si="91"/>
        <v>300</v>
      </c>
      <c r="H82" s="11">
        <f t="shared" si="91"/>
        <v>300</v>
      </c>
      <c r="I82" s="11">
        <f t="shared" si="91"/>
        <v>300</v>
      </c>
      <c r="J82" s="11">
        <f t="shared" si="91"/>
        <v>300</v>
      </c>
      <c r="K82" s="11">
        <f t="shared" si="91"/>
        <v>300</v>
      </c>
      <c r="L82" s="11">
        <f t="shared" si="91"/>
        <v>300</v>
      </c>
      <c r="M82" s="11">
        <f t="shared" si="91"/>
        <v>300</v>
      </c>
      <c r="N82" s="11">
        <f t="shared" si="91"/>
        <v>300</v>
      </c>
      <c r="O82" s="11">
        <f t="shared" si="91"/>
        <v>300</v>
      </c>
      <c r="P82" s="11">
        <f t="shared" si="91"/>
        <v>300</v>
      </c>
      <c r="Q82" s="586">
        <f t="shared" ref="Q82:Q83" si="92">SUM(E82:P82)</f>
        <v>3600</v>
      </c>
      <c r="R82" s="311">
        <f t="shared" ref="R82:R83" si="93">IF(AND($C82="j",$D82&gt;=1,$D82&lt;=3),$B82,IF(AND($C82="h",$D82&gt;=1,$D82&lt;=3),$B82,IF(AND($C82="q",$D82&gt;=1,$D82&lt;=3),$B82,IF($C82="z",IF($D82=1,2*$B82,$B82),IF($C82="m",3*$B82,0)))))</f>
        <v>900</v>
      </c>
      <c r="S82" s="11">
        <f t="shared" ref="S82:S83" si="94">IF(AND($C82="j",$D82&gt;=4,$D82&lt;=6),$B82,IF(AND($C82="h",$D82&gt;=4,$D82&lt;=6),$B82,IF(AND($C82="q",$D82&gt;=1,$D82&lt;=3),$B82,IF($C82="z",IF($D82=2,2*$B82,$B82),IF($C82="m",3*$B82,0)))))</f>
        <v>900</v>
      </c>
      <c r="T82" s="11">
        <f t="shared" ref="T82:T83" si="95">IF(AND($C82="j",$D82&gt;=7,$D82&lt;=9),$B82,IF(AND($C82="h",$D82&gt;=1,$D82&lt;=3),$B82,IF(AND($C82="q",$D82&gt;=1,$D82&lt;=3),$B82,IF($C82="z",IF($D82=1,2*$B82,$B82),IF($C82="m",3*$B82,0)))))</f>
        <v>900</v>
      </c>
      <c r="U82" s="11">
        <f t="shared" ref="U82:U83" si="96">IF(AND($C82="j",$D82&gt;=10,$D82&lt;=12),$B82,IF(AND($C82="h",$D82&gt;=4,$D82&lt;=6),$B82,IF(AND($C82="q",$D82&gt;=1,$D82&lt;=3),$B82,IF($C82="z",IF($D82=2,2*$B82,$B82),IF($C82="m",3*$B82,0)))))</f>
        <v>900</v>
      </c>
      <c r="V82" s="586">
        <f t="shared" ref="V82:V83" si="97">SUM(R82:U82)</f>
        <v>3600</v>
      </c>
      <c r="W82" s="12">
        <f t="shared" ref="W82:X83" si="98">IF($C82="j",$B82,IF($C82="h",2*$B82,IF($C82="q",4*$B82,IF($C82="z",6*$B82,12*$B82))))</f>
        <v>3600</v>
      </c>
      <c r="X82" s="13">
        <f t="shared" si="98"/>
        <v>3600</v>
      </c>
      <c r="Z82" s="595">
        <f t="shared" ref="Z82:Z83" si="99">Q82/12</f>
        <v>300</v>
      </c>
    </row>
    <row r="83" spans="1:26" ht="18.75" customHeight="1" thickBot="1" x14ac:dyDescent="0.3">
      <c r="A83" s="99"/>
      <c r="B83" s="100"/>
      <c r="C83" s="101"/>
      <c r="D83" s="102"/>
      <c r="E83" s="14">
        <f t="shared" si="91"/>
        <v>0</v>
      </c>
      <c r="F83" s="15">
        <f t="shared" si="91"/>
        <v>0</v>
      </c>
      <c r="G83" s="15">
        <f t="shared" si="91"/>
        <v>0</v>
      </c>
      <c r="H83" s="15">
        <f t="shared" si="91"/>
        <v>0</v>
      </c>
      <c r="I83" s="15">
        <f t="shared" si="91"/>
        <v>0</v>
      </c>
      <c r="J83" s="15">
        <f t="shared" si="91"/>
        <v>0</v>
      </c>
      <c r="K83" s="15">
        <f t="shared" si="91"/>
        <v>0</v>
      </c>
      <c r="L83" s="15">
        <f t="shared" si="91"/>
        <v>0</v>
      </c>
      <c r="M83" s="15">
        <f t="shared" si="91"/>
        <v>0</v>
      </c>
      <c r="N83" s="15">
        <f t="shared" si="91"/>
        <v>0</v>
      </c>
      <c r="O83" s="15">
        <f t="shared" si="91"/>
        <v>0</v>
      </c>
      <c r="P83" s="15">
        <f t="shared" si="91"/>
        <v>0</v>
      </c>
      <c r="Q83" s="273">
        <f t="shared" si="92"/>
        <v>0</v>
      </c>
      <c r="R83" s="590">
        <f t="shared" si="93"/>
        <v>0</v>
      </c>
      <c r="S83" s="15">
        <f t="shared" si="94"/>
        <v>0</v>
      </c>
      <c r="T83" s="15">
        <f t="shared" si="95"/>
        <v>0</v>
      </c>
      <c r="U83" s="15">
        <f t="shared" si="96"/>
        <v>0</v>
      </c>
      <c r="V83" s="273">
        <f t="shared" si="97"/>
        <v>0</v>
      </c>
      <c r="W83" s="16">
        <f t="shared" si="98"/>
        <v>0</v>
      </c>
      <c r="X83" s="17">
        <f t="shared" si="98"/>
        <v>0</v>
      </c>
      <c r="Z83" s="600">
        <f t="shared" si="99"/>
        <v>0</v>
      </c>
    </row>
    <row r="84" spans="1:26" ht="7.5" customHeight="1" thickTop="1" thickBot="1" x14ac:dyDescent="0.3">
      <c r="A84" s="103"/>
      <c r="B84" s="104"/>
      <c r="C84" s="105"/>
      <c r="D84" s="106"/>
      <c r="E84" s="27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30"/>
      <c r="R84" s="31"/>
      <c r="S84" s="28"/>
      <c r="T84" s="28"/>
      <c r="U84" s="28"/>
      <c r="V84" s="30"/>
      <c r="W84" s="33"/>
      <c r="X84" s="34"/>
      <c r="Z84" s="596"/>
    </row>
    <row r="85" spans="1:26" s="659" customFormat="1" ht="18.75" customHeight="1" thickBot="1" x14ac:dyDescent="0.3">
      <c r="A85" s="597" t="s">
        <v>51</v>
      </c>
      <c r="B85" s="598">
        <f>Z85</f>
        <v>388</v>
      </c>
      <c r="D85" s="660"/>
      <c r="E85" s="661">
        <f t="shared" ref="E85:X85" si="100">SUM(E81:E84)</f>
        <v>388</v>
      </c>
      <c r="F85" s="570">
        <f t="shared" si="100"/>
        <v>388</v>
      </c>
      <c r="G85" s="570">
        <f t="shared" si="100"/>
        <v>388</v>
      </c>
      <c r="H85" s="570">
        <f t="shared" si="100"/>
        <v>388</v>
      </c>
      <c r="I85" s="570">
        <f t="shared" si="100"/>
        <v>388</v>
      </c>
      <c r="J85" s="570">
        <f t="shared" si="100"/>
        <v>388</v>
      </c>
      <c r="K85" s="570">
        <f t="shared" si="100"/>
        <v>388</v>
      </c>
      <c r="L85" s="570">
        <f t="shared" si="100"/>
        <v>388</v>
      </c>
      <c r="M85" s="570">
        <f t="shared" si="100"/>
        <v>388</v>
      </c>
      <c r="N85" s="570">
        <f t="shared" si="100"/>
        <v>388</v>
      </c>
      <c r="O85" s="570">
        <f t="shared" si="100"/>
        <v>388</v>
      </c>
      <c r="P85" s="570">
        <f t="shared" si="100"/>
        <v>388</v>
      </c>
      <c r="Q85" s="37">
        <f t="shared" si="100"/>
        <v>4656</v>
      </c>
      <c r="R85" s="569">
        <f t="shared" si="100"/>
        <v>1164</v>
      </c>
      <c r="S85" s="570">
        <f t="shared" si="100"/>
        <v>1164</v>
      </c>
      <c r="T85" s="570">
        <f t="shared" si="100"/>
        <v>1164</v>
      </c>
      <c r="U85" s="570">
        <f t="shared" si="100"/>
        <v>1164</v>
      </c>
      <c r="V85" s="37">
        <f t="shared" si="100"/>
        <v>4656</v>
      </c>
      <c r="W85" s="39">
        <f t="shared" si="100"/>
        <v>4656</v>
      </c>
      <c r="X85" s="40">
        <f t="shared" si="100"/>
        <v>4656</v>
      </c>
      <c r="Z85" s="599">
        <f>SUM(Z81:Z83)</f>
        <v>388</v>
      </c>
    </row>
    <row r="86" spans="1:26" ht="15.75" thickBot="1" x14ac:dyDescent="0.3"/>
    <row r="87" spans="1:26" ht="15" customHeight="1" x14ac:dyDescent="0.25">
      <c r="A87" s="730" t="s">
        <v>79</v>
      </c>
      <c r="B87" s="732" t="s">
        <v>19</v>
      </c>
      <c r="C87" s="732" t="s">
        <v>45</v>
      </c>
      <c r="D87" s="734" t="s">
        <v>256</v>
      </c>
      <c r="E87" s="711" t="s">
        <v>20</v>
      </c>
      <c r="F87" s="709"/>
      <c r="G87" s="709"/>
      <c r="H87" s="709"/>
      <c r="I87" s="709"/>
      <c r="J87" s="709"/>
      <c r="K87" s="709"/>
      <c r="L87" s="709"/>
      <c r="M87" s="709"/>
      <c r="N87" s="709"/>
      <c r="O87" s="709"/>
      <c r="P87" s="710"/>
      <c r="Q87" s="704" t="s">
        <v>20</v>
      </c>
      <c r="R87" s="708" t="s">
        <v>25</v>
      </c>
      <c r="S87" s="709"/>
      <c r="T87" s="709"/>
      <c r="U87" s="710"/>
      <c r="V87" s="706" t="s">
        <v>25</v>
      </c>
      <c r="W87" s="718" t="s">
        <v>26</v>
      </c>
      <c r="X87" s="720" t="s">
        <v>27</v>
      </c>
      <c r="Z87" s="728" t="s">
        <v>50</v>
      </c>
    </row>
    <row r="88" spans="1:26" ht="15.75" thickBot="1" x14ac:dyDescent="0.3">
      <c r="A88" s="731"/>
      <c r="B88" s="733"/>
      <c r="C88" s="733"/>
      <c r="D88" s="735"/>
      <c r="E88" s="1">
        <v>1</v>
      </c>
      <c r="F88" s="2">
        <v>2</v>
      </c>
      <c r="G88" s="2">
        <v>3</v>
      </c>
      <c r="H88" s="2">
        <v>4</v>
      </c>
      <c r="I88" s="2">
        <v>5</v>
      </c>
      <c r="J88" s="2">
        <v>6</v>
      </c>
      <c r="K88" s="2">
        <v>7</v>
      </c>
      <c r="L88" s="2">
        <v>8</v>
      </c>
      <c r="M88" s="2">
        <v>9</v>
      </c>
      <c r="N88" s="2">
        <v>10</v>
      </c>
      <c r="O88" s="2">
        <v>11</v>
      </c>
      <c r="P88" s="3">
        <v>12</v>
      </c>
      <c r="Q88" s="705"/>
      <c r="R88" s="4" t="s">
        <v>21</v>
      </c>
      <c r="S88" s="2" t="s">
        <v>22</v>
      </c>
      <c r="T88" s="2" t="s">
        <v>23</v>
      </c>
      <c r="U88" s="2" t="s">
        <v>24</v>
      </c>
      <c r="V88" s="707"/>
      <c r="W88" s="719"/>
      <c r="X88" s="721"/>
      <c r="Z88" s="729"/>
    </row>
    <row r="89" spans="1:26" ht="18.75" customHeight="1" thickTop="1" x14ac:dyDescent="0.25">
      <c r="A89" s="119" t="s">
        <v>87</v>
      </c>
      <c r="B89" s="18">
        <v>2000</v>
      </c>
      <c r="C89" s="114" t="s">
        <v>48</v>
      </c>
      <c r="D89" s="115">
        <v>3</v>
      </c>
      <c r="E89" s="6">
        <f>IF(AND($C89="j",$D89=E$34),$B89,IF($C89="h",$B89*IF($D89=IF(MOD(E$34,6)=0,6,MOD(E$34,6)),1,0),IF($C89="q",$B89*IF($D89=IF(MOD(E$34,3)=0,3,MOD(E$34,3)),1,0),IF($C89="z",$B89*IF($D89=IF(MOD(E$34,2)=0,2,MOD(E$34,2)),1,0),IF($C89="m",$B89,0)))))</f>
        <v>0</v>
      </c>
      <c r="F89" s="7">
        <f t="shared" ref="F89:P92" si="101">IF(AND($C89="j",$D89=F$34),$B89,IF($C89="h",$B89*IF($D89=IF(MOD(F$34,6)=0,6,MOD(F$34,6)),1,0),IF($C89="q",$B89*IF($D89=IF(MOD(F$34,3)=0,3,MOD(F$34,3)),1,0),IF($C89="z",$B89*IF($D89=IF(MOD(F$34,2)=0,2,MOD(F$34,2)),1,0),IF($C89="m",$B89,0)))))</f>
        <v>0</v>
      </c>
      <c r="G89" s="7">
        <f t="shared" si="101"/>
        <v>2000</v>
      </c>
      <c r="H89" s="7">
        <f t="shared" si="101"/>
        <v>0</v>
      </c>
      <c r="I89" s="7">
        <f t="shared" si="101"/>
        <v>0</v>
      </c>
      <c r="J89" s="7">
        <f t="shared" si="101"/>
        <v>0</v>
      </c>
      <c r="K89" s="7">
        <f t="shared" si="101"/>
        <v>0</v>
      </c>
      <c r="L89" s="7">
        <f t="shared" si="101"/>
        <v>0</v>
      </c>
      <c r="M89" s="7">
        <f t="shared" si="101"/>
        <v>0</v>
      </c>
      <c r="N89" s="7">
        <f t="shared" si="101"/>
        <v>0</v>
      </c>
      <c r="O89" s="7">
        <f t="shared" si="101"/>
        <v>0</v>
      </c>
      <c r="P89" s="7">
        <f t="shared" si="101"/>
        <v>0</v>
      </c>
      <c r="Q89" s="272">
        <f>SUM(E89:P89)</f>
        <v>2000</v>
      </c>
      <c r="R89" s="310">
        <v>0</v>
      </c>
      <c r="S89" s="7">
        <v>0</v>
      </c>
      <c r="T89" s="7">
        <v>0</v>
      </c>
      <c r="U89" s="7">
        <v>0</v>
      </c>
      <c r="V89" s="272">
        <f>SUM(R89:U89)</f>
        <v>0</v>
      </c>
      <c r="W89" s="8">
        <v>0</v>
      </c>
      <c r="X89" s="9">
        <v>0</v>
      </c>
      <c r="Z89" s="594">
        <f>Q89/12</f>
        <v>166.66666666666666</v>
      </c>
    </row>
    <row r="90" spans="1:26" ht="18.75" customHeight="1" x14ac:dyDescent="0.25">
      <c r="A90" s="95" t="s">
        <v>88</v>
      </c>
      <c r="B90" s="96">
        <v>3000</v>
      </c>
      <c r="C90" s="97" t="s">
        <v>48</v>
      </c>
      <c r="D90" s="98">
        <v>10</v>
      </c>
      <c r="E90" s="10">
        <f t="shared" ref="E90:P92" si="102"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11">
        <f t="shared" si="101"/>
        <v>0</v>
      </c>
      <c r="G90" s="11">
        <f t="shared" si="101"/>
        <v>0</v>
      </c>
      <c r="H90" s="11">
        <f t="shared" si="101"/>
        <v>0</v>
      </c>
      <c r="I90" s="11">
        <f t="shared" si="101"/>
        <v>0</v>
      </c>
      <c r="J90" s="11">
        <f t="shared" si="101"/>
        <v>0</v>
      </c>
      <c r="K90" s="11">
        <f t="shared" si="101"/>
        <v>0</v>
      </c>
      <c r="L90" s="11">
        <f t="shared" si="101"/>
        <v>0</v>
      </c>
      <c r="M90" s="11">
        <f t="shared" si="101"/>
        <v>0</v>
      </c>
      <c r="N90" s="11">
        <f t="shared" si="101"/>
        <v>3000</v>
      </c>
      <c r="O90" s="11">
        <f t="shared" si="101"/>
        <v>0</v>
      </c>
      <c r="P90" s="11">
        <f t="shared" si="101"/>
        <v>0</v>
      </c>
      <c r="Q90" s="586">
        <f t="shared" ref="Q90:Q92" si="103">SUM(E90:P90)</f>
        <v>3000</v>
      </c>
      <c r="R90" s="311">
        <f t="shared" ref="R90:R92" si="104">IF(AND($C90="j",$D90&gt;=1,$D90&lt;=3),$B90,IF(AND($C90="h",$D90&gt;=1,$D90&lt;=3),$B90,IF(AND($C90="q",$D90&gt;=1,$D90&lt;=3),$B90,IF($C90="z",IF($D90=1,2*$B90,$B90),IF($C90="m",3*$B90,0)))))</f>
        <v>0</v>
      </c>
      <c r="S90" s="11">
        <f t="shared" ref="S90:S92" si="105">IF(AND($C90="j",$D90&gt;=4,$D90&lt;=6),$B90,IF(AND($C90="h",$D90&gt;=4,$D90&lt;=6),$B90,IF(AND($C90="q",$D90&gt;=1,$D90&lt;=3),$B90,IF($C90="z",IF($D90=2,2*$B90,$B90),IF($C90="m",3*$B90,0)))))</f>
        <v>0</v>
      </c>
      <c r="T90" s="11">
        <f t="shared" ref="T90:T92" si="106">IF(AND($C90="j",$D90&gt;=7,$D90&lt;=9),$B90,IF(AND($C90="h",$D90&gt;=1,$D90&lt;=3),$B90,IF(AND($C90="q",$D90&gt;=1,$D90&lt;=3),$B90,IF($C90="z",IF($D90=1,2*$B90,$B90),IF($C90="m",3*$B90,0)))))</f>
        <v>0</v>
      </c>
      <c r="U90" s="11">
        <f t="shared" ref="U90:U92" si="107">IF(AND($C90="j",$D90&gt;=10,$D90&lt;=12),$B90,IF(AND($C90="h",$D90&gt;=4,$D90&lt;=6),$B90,IF(AND($C90="q",$D90&gt;=1,$D90&lt;=3),$B90,IF($C90="z",IF($D90=2,2*$B90,$B90),IF($C90="m",3*$B90,0)))))</f>
        <v>3000</v>
      </c>
      <c r="V90" s="586">
        <f t="shared" ref="V90:V92" si="108">SUM(R90:U90)</f>
        <v>3000</v>
      </c>
      <c r="W90" s="12">
        <f t="shared" ref="W90:X92" si="109">IF($C90="j",$B90,IF($C90="h",2*$B90,IF($C90="q",4*$B90,IF($C90="z",6*$B90,12*$B90))))</f>
        <v>3000</v>
      </c>
      <c r="X90" s="13">
        <f t="shared" si="109"/>
        <v>3000</v>
      </c>
      <c r="Z90" s="595">
        <f t="shared" ref="Z90:Z92" si="110">Q90/12</f>
        <v>250</v>
      </c>
    </row>
    <row r="91" spans="1:26" ht="18.75" customHeight="1" x14ac:dyDescent="0.25">
      <c r="A91" s="99" t="s">
        <v>94</v>
      </c>
      <c r="B91" s="100">
        <v>300</v>
      </c>
      <c r="C91" s="101" t="s">
        <v>46</v>
      </c>
      <c r="D91" s="102" t="s">
        <v>49</v>
      </c>
      <c r="E91" s="10">
        <f t="shared" si="102"/>
        <v>300</v>
      </c>
      <c r="F91" s="15">
        <f t="shared" si="102"/>
        <v>300</v>
      </c>
      <c r="G91" s="15">
        <f t="shared" si="102"/>
        <v>300</v>
      </c>
      <c r="H91" s="15">
        <f t="shared" si="102"/>
        <v>300</v>
      </c>
      <c r="I91" s="15">
        <f t="shared" si="102"/>
        <v>300</v>
      </c>
      <c r="J91" s="15">
        <f t="shared" si="102"/>
        <v>300</v>
      </c>
      <c r="K91" s="15">
        <f t="shared" si="102"/>
        <v>300</v>
      </c>
      <c r="L91" s="15">
        <f t="shared" si="102"/>
        <v>300</v>
      </c>
      <c r="M91" s="15">
        <f t="shared" si="102"/>
        <v>300</v>
      </c>
      <c r="N91" s="15">
        <f t="shared" si="102"/>
        <v>300</v>
      </c>
      <c r="O91" s="15">
        <f t="shared" si="102"/>
        <v>300</v>
      </c>
      <c r="P91" s="15">
        <f t="shared" si="102"/>
        <v>300</v>
      </c>
      <c r="Q91" s="586">
        <f t="shared" ref="Q91" si="111">SUM(E91:P91)</f>
        <v>3600</v>
      </c>
      <c r="R91" s="311">
        <f t="shared" si="104"/>
        <v>900</v>
      </c>
      <c r="S91" s="11">
        <f t="shared" si="105"/>
        <v>900</v>
      </c>
      <c r="T91" s="11">
        <f t="shared" si="106"/>
        <v>900</v>
      </c>
      <c r="U91" s="11">
        <f t="shared" si="107"/>
        <v>900</v>
      </c>
      <c r="V91" s="586">
        <f t="shared" ref="V91" si="112">SUM(R91:U91)</f>
        <v>3600</v>
      </c>
      <c r="W91" s="12">
        <f t="shared" si="109"/>
        <v>3600</v>
      </c>
      <c r="X91" s="13">
        <f t="shared" si="109"/>
        <v>3600</v>
      </c>
      <c r="Z91" s="595">
        <f t="shared" si="110"/>
        <v>300</v>
      </c>
    </row>
    <row r="92" spans="1:26" ht="18.75" customHeight="1" thickBot="1" x14ac:dyDescent="0.3">
      <c r="A92" s="99"/>
      <c r="B92" s="100"/>
      <c r="C92" s="101"/>
      <c r="D92" s="102"/>
      <c r="E92" s="14">
        <f t="shared" si="102"/>
        <v>0</v>
      </c>
      <c r="F92" s="15">
        <f t="shared" si="101"/>
        <v>0</v>
      </c>
      <c r="G92" s="15">
        <f t="shared" si="101"/>
        <v>0</v>
      </c>
      <c r="H92" s="15">
        <f t="shared" si="101"/>
        <v>0</v>
      </c>
      <c r="I92" s="15">
        <f t="shared" si="101"/>
        <v>0</v>
      </c>
      <c r="J92" s="15">
        <f t="shared" si="101"/>
        <v>0</v>
      </c>
      <c r="K92" s="15">
        <f t="shared" si="101"/>
        <v>0</v>
      </c>
      <c r="L92" s="15">
        <f t="shared" si="101"/>
        <v>0</v>
      </c>
      <c r="M92" s="15">
        <f t="shared" si="101"/>
        <v>0</v>
      </c>
      <c r="N92" s="15">
        <f t="shared" si="101"/>
        <v>0</v>
      </c>
      <c r="O92" s="15">
        <f t="shared" si="101"/>
        <v>0</v>
      </c>
      <c r="P92" s="15">
        <f t="shared" si="101"/>
        <v>0</v>
      </c>
      <c r="Q92" s="273">
        <f t="shared" si="103"/>
        <v>0</v>
      </c>
      <c r="R92" s="590">
        <f t="shared" si="104"/>
        <v>0</v>
      </c>
      <c r="S92" s="15">
        <f t="shared" si="105"/>
        <v>0</v>
      </c>
      <c r="T92" s="15">
        <f t="shared" si="106"/>
        <v>0</v>
      </c>
      <c r="U92" s="15">
        <f t="shared" si="107"/>
        <v>0</v>
      </c>
      <c r="V92" s="273">
        <f t="shared" si="108"/>
        <v>0</v>
      </c>
      <c r="W92" s="16">
        <f t="shared" si="109"/>
        <v>0</v>
      </c>
      <c r="X92" s="17">
        <f t="shared" si="109"/>
        <v>0</v>
      </c>
      <c r="Z92" s="600">
        <f t="shared" si="110"/>
        <v>0</v>
      </c>
    </row>
    <row r="93" spans="1:26" ht="7.5" customHeight="1" thickTop="1" thickBot="1" x14ac:dyDescent="0.3">
      <c r="A93" s="103"/>
      <c r="B93" s="104"/>
      <c r="C93" s="105"/>
      <c r="D93" s="106"/>
      <c r="E93" s="27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30"/>
      <c r="R93" s="31"/>
      <c r="S93" s="28"/>
      <c r="T93" s="28"/>
      <c r="U93" s="28"/>
      <c r="V93" s="30"/>
      <c r="W93" s="33"/>
      <c r="X93" s="34"/>
      <c r="Z93" s="596"/>
    </row>
    <row r="94" spans="1:26" s="659" customFormat="1" ht="18.75" customHeight="1" thickBot="1" x14ac:dyDescent="0.3">
      <c r="A94" s="597" t="s">
        <v>51</v>
      </c>
      <c r="B94" s="598">
        <f>Z94</f>
        <v>716.66666666666663</v>
      </c>
      <c r="D94" s="660"/>
      <c r="E94" s="661">
        <f>SUM(E89:E93)</f>
        <v>300</v>
      </c>
      <c r="F94" s="570">
        <f t="shared" ref="F94:X94" si="113">SUM(F89:F93)</f>
        <v>300</v>
      </c>
      <c r="G94" s="570">
        <f t="shared" si="113"/>
        <v>2300</v>
      </c>
      <c r="H94" s="570">
        <f t="shared" si="113"/>
        <v>300</v>
      </c>
      <c r="I94" s="570">
        <f t="shared" si="113"/>
        <v>300</v>
      </c>
      <c r="J94" s="570">
        <f t="shared" si="113"/>
        <v>300</v>
      </c>
      <c r="K94" s="570">
        <f t="shared" si="113"/>
        <v>300</v>
      </c>
      <c r="L94" s="570">
        <f t="shared" si="113"/>
        <v>300</v>
      </c>
      <c r="M94" s="570">
        <f t="shared" si="113"/>
        <v>300</v>
      </c>
      <c r="N94" s="570">
        <f t="shared" si="113"/>
        <v>3300</v>
      </c>
      <c r="O94" s="570">
        <f t="shared" si="113"/>
        <v>300</v>
      </c>
      <c r="P94" s="570">
        <f t="shared" si="113"/>
        <v>300</v>
      </c>
      <c r="Q94" s="37">
        <f t="shared" si="113"/>
        <v>8600</v>
      </c>
      <c r="R94" s="569">
        <f t="shared" si="113"/>
        <v>900</v>
      </c>
      <c r="S94" s="570">
        <f t="shared" si="113"/>
        <v>900</v>
      </c>
      <c r="T94" s="570">
        <f t="shared" si="113"/>
        <v>900</v>
      </c>
      <c r="U94" s="570">
        <f t="shared" si="113"/>
        <v>3900</v>
      </c>
      <c r="V94" s="37">
        <f t="shared" si="113"/>
        <v>6600</v>
      </c>
      <c r="W94" s="39">
        <f t="shared" si="113"/>
        <v>6600</v>
      </c>
      <c r="X94" s="40">
        <f t="shared" si="113"/>
        <v>6600</v>
      </c>
      <c r="Z94" s="599">
        <f>SUM(Z89:Z92)</f>
        <v>716.66666666666663</v>
      </c>
    </row>
    <row r="95" spans="1:26" ht="15.75" thickBot="1" x14ac:dyDescent="0.3"/>
    <row r="96" spans="1:26" ht="15" customHeight="1" x14ac:dyDescent="0.25">
      <c r="A96" s="730" t="s">
        <v>81</v>
      </c>
      <c r="B96" s="732" t="s">
        <v>19</v>
      </c>
      <c r="C96" s="732" t="s">
        <v>45</v>
      </c>
      <c r="D96" s="734" t="s">
        <v>256</v>
      </c>
      <c r="E96" s="711" t="s">
        <v>20</v>
      </c>
      <c r="F96" s="709"/>
      <c r="G96" s="709"/>
      <c r="H96" s="709"/>
      <c r="I96" s="709"/>
      <c r="J96" s="709"/>
      <c r="K96" s="709"/>
      <c r="L96" s="709"/>
      <c r="M96" s="709"/>
      <c r="N96" s="709"/>
      <c r="O96" s="709"/>
      <c r="P96" s="710"/>
      <c r="Q96" s="704" t="s">
        <v>20</v>
      </c>
      <c r="R96" s="708" t="s">
        <v>25</v>
      </c>
      <c r="S96" s="709"/>
      <c r="T96" s="709"/>
      <c r="U96" s="710"/>
      <c r="V96" s="706" t="s">
        <v>25</v>
      </c>
      <c r="W96" s="718" t="s">
        <v>26</v>
      </c>
      <c r="X96" s="720" t="s">
        <v>27</v>
      </c>
      <c r="Z96" s="728" t="s">
        <v>50</v>
      </c>
    </row>
    <row r="97" spans="1:26" ht="15.75" thickBot="1" x14ac:dyDescent="0.3">
      <c r="A97" s="731"/>
      <c r="B97" s="733"/>
      <c r="C97" s="733"/>
      <c r="D97" s="735"/>
      <c r="E97" s="1">
        <v>1</v>
      </c>
      <c r="F97" s="2">
        <v>2</v>
      </c>
      <c r="G97" s="2">
        <v>3</v>
      </c>
      <c r="H97" s="2">
        <v>4</v>
      </c>
      <c r="I97" s="2">
        <v>5</v>
      </c>
      <c r="J97" s="2">
        <v>6</v>
      </c>
      <c r="K97" s="2">
        <v>7</v>
      </c>
      <c r="L97" s="2">
        <v>8</v>
      </c>
      <c r="M97" s="2">
        <v>9</v>
      </c>
      <c r="N97" s="2">
        <v>10</v>
      </c>
      <c r="O97" s="2">
        <v>11</v>
      </c>
      <c r="P97" s="3">
        <v>12</v>
      </c>
      <c r="Q97" s="705"/>
      <c r="R97" s="4" t="s">
        <v>21</v>
      </c>
      <c r="S97" s="2" t="s">
        <v>22</v>
      </c>
      <c r="T97" s="2" t="s">
        <v>23</v>
      </c>
      <c r="U97" s="2" t="s">
        <v>24</v>
      </c>
      <c r="V97" s="707"/>
      <c r="W97" s="719"/>
      <c r="X97" s="721"/>
      <c r="Z97" s="729"/>
    </row>
    <row r="98" spans="1:26" ht="18.75" customHeight="1" thickTop="1" x14ac:dyDescent="0.25">
      <c r="A98" s="94"/>
      <c r="B98" s="18"/>
      <c r="C98" s="19"/>
      <c r="D98" s="20"/>
      <c r="E98" s="6">
        <f t="shared" ref="E98:P99" si="114">IF(AND($C98="j",$D98=E$34),$B98,IF($C98="h",$B98*IF($D98=IF(MOD(E$34,6)=0,6,MOD(E$34,6)),1,0),IF($C98="q",$B98*IF($D98=IF(MOD(E$34,3)=0,3,MOD(E$34,3)),1,0),IF($C98="z",$B98*IF($D98=IF(MOD(E$34,2)=0,2,MOD(E$34,2)),1,0),IF($C98="m",$B98,0)))))</f>
        <v>0</v>
      </c>
      <c r="F98" s="7">
        <f t="shared" si="114"/>
        <v>0</v>
      </c>
      <c r="G98" s="7">
        <f t="shared" si="114"/>
        <v>0</v>
      </c>
      <c r="H98" s="7">
        <f t="shared" si="114"/>
        <v>0</v>
      </c>
      <c r="I98" s="7">
        <f t="shared" si="114"/>
        <v>0</v>
      </c>
      <c r="J98" s="7">
        <f t="shared" si="114"/>
        <v>0</v>
      </c>
      <c r="K98" s="7">
        <f t="shared" si="114"/>
        <v>0</v>
      </c>
      <c r="L98" s="7">
        <f t="shared" si="114"/>
        <v>0</v>
      </c>
      <c r="M98" s="7">
        <f t="shared" si="114"/>
        <v>0</v>
      </c>
      <c r="N98" s="7">
        <f t="shared" si="114"/>
        <v>0</v>
      </c>
      <c r="O98" s="7">
        <f t="shared" si="114"/>
        <v>0</v>
      </c>
      <c r="P98" s="7">
        <f t="shared" si="114"/>
        <v>0</v>
      </c>
      <c r="Q98" s="272">
        <f>SUM(E98:P98)</f>
        <v>0</v>
      </c>
      <c r="R98" s="310">
        <f>IF(AND($C98="j",$D98&gt;=1,$D98&lt;=3),$B98,IF(AND($C98="h",$D98&gt;=1,$D98&lt;=3),$B98,IF(AND($C98="q",$D98&gt;=1,$D98&lt;=3),$B98,IF($C98="z",IF($D98=1,2*$B98,$B98),IF($C98="m",3*$B98,0)))))</f>
        <v>0</v>
      </c>
      <c r="S98" s="7">
        <f>IF(AND($C98="j",$D98&gt;=4,$D98&lt;=6),$B98,IF(AND($C98="h",$D98&gt;=4,$D98&lt;=6),$B98,IF(AND($C98="q",$D98&gt;=1,$D98&lt;=3),$B98,IF($C98="z",IF($D98=2,2*$B98,$B98),IF($C98="m",3*$B98,0)))))</f>
        <v>0</v>
      </c>
      <c r="T98" s="7">
        <f>IF(AND($C98="j",$D98&gt;=7,$D98&lt;=9),$B98,IF(AND($C98="h",$D98&gt;=1,$D98&lt;=3),$B98,IF(AND($C98="q",$D98&gt;=1,$D98&lt;=3),$B98,IF($C98="z",IF($D98=1,2*$B98,$B98),IF($C98="m",3*$B98,0)))))</f>
        <v>0</v>
      </c>
      <c r="U98" s="7">
        <f>IF(AND($C98="j",$D98&gt;=10,$D98&lt;=12),$B98,IF(AND($C98="h",$D98&gt;=4,$D98&lt;=6),$B98,IF(AND($C98="q",$D98&gt;=1,$D98&lt;=3),$B98,IF($C98="z",IF($D98=2,2*$B98,$B98),IF($C98="m",3*$B98,0)))))</f>
        <v>0</v>
      </c>
      <c r="V98" s="272">
        <f>SUM(R98:U98)</f>
        <v>0</v>
      </c>
      <c r="W98" s="8">
        <f>IF($C98="j",$B98,IF($C98="h",2*$B98,IF($C98="q",4*$B98,IF($C98="z",6*$B98,12*$B98))))</f>
        <v>0</v>
      </c>
      <c r="X98" s="9">
        <f>IF($C98="j",$B98,IF($C98="h",2*$B98,IF($C98="q",4*$B98,IF($C98="z",6*$B98,12*$B98))))</f>
        <v>0</v>
      </c>
      <c r="Z98" s="594">
        <f>Q98/12</f>
        <v>0</v>
      </c>
    </row>
    <row r="99" spans="1:26" ht="18.75" customHeight="1" thickBot="1" x14ac:dyDescent="0.3">
      <c r="A99" s="99"/>
      <c r="B99" s="100"/>
      <c r="C99" s="101"/>
      <c r="D99" s="102"/>
      <c r="E99" s="14">
        <f t="shared" si="114"/>
        <v>0</v>
      </c>
      <c r="F99" s="15">
        <f t="shared" si="114"/>
        <v>0</v>
      </c>
      <c r="G99" s="15">
        <f t="shared" si="114"/>
        <v>0</v>
      </c>
      <c r="H99" s="15">
        <f t="shared" si="114"/>
        <v>0</v>
      </c>
      <c r="I99" s="15">
        <f t="shared" si="114"/>
        <v>0</v>
      </c>
      <c r="J99" s="15">
        <f t="shared" si="114"/>
        <v>0</v>
      </c>
      <c r="K99" s="15">
        <f t="shared" si="114"/>
        <v>0</v>
      </c>
      <c r="L99" s="15">
        <f t="shared" si="114"/>
        <v>0</v>
      </c>
      <c r="M99" s="15">
        <f t="shared" si="114"/>
        <v>0</v>
      </c>
      <c r="N99" s="15">
        <f t="shared" si="114"/>
        <v>0</v>
      </c>
      <c r="O99" s="15">
        <f t="shared" si="114"/>
        <v>0</v>
      </c>
      <c r="P99" s="15">
        <f t="shared" si="114"/>
        <v>0</v>
      </c>
      <c r="Q99" s="273">
        <f t="shared" ref="Q99" si="115">SUM(E99:P99)</f>
        <v>0</v>
      </c>
      <c r="R99" s="590">
        <f t="shared" ref="R99" si="116">IF(AND($C99="j",$D99&gt;=1,$D99&lt;=3),$B99,IF(AND($C99="h",$D99&gt;=1,$D99&lt;=3),$B99,IF(AND($C99="q",$D99&gt;=1,$D99&lt;=3),$B99,IF($C99="z",IF($D99=1,2*$B99,$B99),IF($C99="m",3*$B99,0)))))</f>
        <v>0</v>
      </c>
      <c r="S99" s="15">
        <f t="shared" ref="S99" si="117">IF(AND($C99="j",$D99&gt;=4,$D99&lt;=6),$B99,IF(AND($C99="h",$D99&gt;=4,$D99&lt;=6),$B99,IF(AND($C99="q",$D99&gt;=1,$D99&lt;=3),$B99,IF($C99="z",IF($D99=2,2*$B99,$B99),IF($C99="m",3*$B99,0)))))</f>
        <v>0</v>
      </c>
      <c r="T99" s="15">
        <f t="shared" ref="T99" si="118">IF(AND($C99="j",$D99&gt;=7,$D99&lt;=9),$B99,IF(AND($C99="h",$D99&gt;=1,$D99&lt;=3),$B99,IF(AND($C99="q",$D99&gt;=1,$D99&lt;=3),$B99,IF($C99="z",IF($D99=1,2*$B99,$B99),IF($C99="m",3*$B99,0)))))</f>
        <v>0</v>
      </c>
      <c r="U99" s="15">
        <f t="shared" ref="U99" si="119">IF(AND($C99="j",$D99&gt;=10,$D99&lt;=12),$B99,IF(AND($C99="h",$D99&gt;=4,$D99&lt;=6),$B99,IF(AND($C99="q",$D99&gt;=1,$D99&lt;=3),$B99,IF($C99="z",IF($D99=2,2*$B99,$B99),IF($C99="m",3*$B99,0)))))</f>
        <v>0</v>
      </c>
      <c r="V99" s="273">
        <f t="shared" ref="V99" si="120">SUM(R99:U99)</f>
        <v>0</v>
      </c>
      <c r="W99" s="16">
        <f t="shared" ref="W99:X99" si="121">IF($C99="j",$B99,IF($C99="h",2*$B99,IF($C99="q",4*$B99,IF($C99="z",6*$B99,12*$B99))))</f>
        <v>0</v>
      </c>
      <c r="X99" s="17">
        <f t="shared" si="121"/>
        <v>0</v>
      </c>
      <c r="Z99" s="600">
        <f t="shared" ref="Z99" si="122">Q99/12</f>
        <v>0</v>
      </c>
    </row>
    <row r="100" spans="1:26" ht="7.5" customHeight="1" thickTop="1" thickBot="1" x14ac:dyDescent="0.3">
      <c r="A100" s="103"/>
      <c r="B100" s="104"/>
      <c r="C100" s="105"/>
      <c r="D100" s="106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30"/>
      <c r="R100" s="31"/>
      <c r="S100" s="28"/>
      <c r="T100" s="28"/>
      <c r="U100" s="28"/>
      <c r="V100" s="30"/>
      <c r="W100" s="33"/>
      <c r="X100" s="34"/>
      <c r="Z100" s="596"/>
    </row>
    <row r="101" spans="1:26" s="659" customFormat="1" ht="18.75" customHeight="1" thickBot="1" x14ac:dyDescent="0.3">
      <c r="A101" s="597" t="s">
        <v>51</v>
      </c>
      <c r="B101" s="598">
        <f>Z101</f>
        <v>0</v>
      </c>
      <c r="D101" s="660"/>
      <c r="E101" s="661">
        <f t="shared" ref="E101:X101" si="123">SUM(E98:E100)</f>
        <v>0</v>
      </c>
      <c r="F101" s="570">
        <f t="shared" si="123"/>
        <v>0</v>
      </c>
      <c r="G101" s="570">
        <f t="shared" si="123"/>
        <v>0</v>
      </c>
      <c r="H101" s="570">
        <f t="shared" si="123"/>
        <v>0</v>
      </c>
      <c r="I101" s="570">
        <f t="shared" si="123"/>
        <v>0</v>
      </c>
      <c r="J101" s="570">
        <f t="shared" si="123"/>
        <v>0</v>
      </c>
      <c r="K101" s="570">
        <f t="shared" si="123"/>
        <v>0</v>
      </c>
      <c r="L101" s="570">
        <f t="shared" si="123"/>
        <v>0</v>
      </c>
      <c r="M101" s="570">
        <f t="shared" si="123"/>
        <v>0</v>
      </c>
      <c r="N101" s="570">
        <f t="shared" si="123"/>
        <v>0</v>
      </c>
      <c r="O101" s="570">
        <f t="shared" si="123"/>
        <v>0</v>
      </c>
      <c r="P101" s="570">
        <f t="shared" si="123"/>
        <v>0</v>
      </c>
      <c r="Q101" s="37">
        <f t="shared" si="123"/>
        <v>0</v>
      </c>
      <c r="R101" s="569">
        <f t="shared" si="123"/>
        <v>0</v>
      </c>
      <c r="S101" s="570">
        <f t="shared" si="123"/>
        <v>0</v>
      </c>
      <c r="T101" s="570">
        <f t="shared" si="123"/>
        <v>0</v>
      </c>
      <c r="U101" s="570">
        <f t="shared" si="123"/>
        <v>0</v>
      </c>
      <c r="V101" s="37">
        <f t="shared" si="123"/>
        <v>0</v>
      </c>
      <c r="W101" s="39">
        <f t="shared" si="123"/>
        <v>0</v>
      </c>
      <c r="X101" s="40">
        <f t="shared" si="123"/>
        <v>0</v>
      </c>
      <c r="Z101" s="599">
        <f>SUM(Z98:Z99)</f>
        <v>0</v>
      </c>
    </row>
    <row r="102" spans="1:26" ht="15.75" thickBot="1" x14ac:dyDescent="0.3"/>
    <row r="103" spans="1:26" ht="15" customHeight="1" x14ac:dyDescent="0.25">
      <c r="A103" s="730" t="s">
        <v>82</v>
      </c>
      <c r="B103" s="732" t="s">
        <v>19</v>
      </c>
      <c r="C103" s="732" t="s">
        <v>45</v>
      </c>
      <c r="D103" s="734" t="s">
        <v>256</v>
      </c>
      <c r="E103" s="711" t="s">
        <v>20</v>
      </c>
      <c r="F103" s="709"/>
      <c r="G103" s="709"/>
      <c r="H103" s="709"/>
      <c r="I103" s="709"/>
      <c r="J103" s="709"/>
      <c r="K103" s="709"/>
      <c r="L103" s="709"/>
      <c r="M103" s="709"/>
      <c r="N103" s="709"/>
      <c r="O103" s="709"/>
      <c r="P103" s="710"/>
      <c r="Q103" s="704" t="s">
        <v>20</v>
      </c>
      <c r="R103" s="708" t="s">
        <v>25</v>
      </c>
      <c r="S103" s="709"/>
      <c r="T103" s="709"/>
      <c r="U103" s="710"/>
      <c r="V103" s="706" t="s">
        <v>25</v>
      </c>
      <c r="W103" s="718" t="s">
        <v>26</v>
      </c>
      <c r="X103" s="720" t="s">
        <v>27</v>
      </c>
      <c r="Z103" s="728" t="s">
        <v>50</v>
      </c>
    </row>
    <row r="104" spans="1:26" ht="15.75" thickBot="1" x14ac:dyDescent="0.3">
      <c r="A104" s="731"/>
      <c r="B104" s="733"/>
      <c r="C104" s="733"/>
      <c r="D104" s="735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05"/>
      <c r="R104" s="4" t="s">
        <v>21</v>
      </c>
      <c r="S104" s="2" t="s">
        <v>22</v>
      </c>
      <c r="T104" s="2" t="s">
        <v>23</v>
      </c>
      <c r="U104" s="2" t="s">
        <v>24</v>
      </c>
      <c r="V104" s="707"/>
      <c r="W104" s="719"/>
      <c r="X104" s="721"/>
      <c r="Z104" s="729"/>
    </row>
    <row r="105" spans="1:26" ht="18.75" customHeight="1" thickTop="1" x14ac:dyDescent="0.25">
      <c r="A105" s="94" t="s">
        <v>120</v>
      </c>
      <c r="B105" s="18">
        <v>200</v>
      </c>
      <c r="C105" s="19" t="s">
        <v>123</v>
      </c>
      <c r="D105" s="20">
        <v>2</v>
      </c>
      <c r="E105" s="6">
        <f>IF(AND($C105="j",$D105=E$34),$B105,IF($C105="h",$B105*IF($D105=IF(MOD(E$34,6)=0,6,MOD(E$34,6)),1,0),IF($C105="q",$B105*IF($D105=IF(MOD(E$34,3)=0,3,MOD(E$34,3)),1,0),IF($C105="z",$B105*IF($D105=IF(MOD(E$34,2)=0,2,MOD(E$34,2)),1,0),IF($C105="m",$B105,0)))))</f>
        <v>0</v>
      </c>
      <c r="F105" s="7">
        <f t="shared" ref="F105:P108" si="124">IF(AND($C105="j",$D105=F$34),$B105,IF($C105="h",$B105*IF($D105=IF(MOD(F$34,6)=0,6,MOD(F$34,6)),1,0),IF($C105="q",$B105*IF($D105=IF(MOD(F$34,3)=0,3,MOD(F$34,3)),1,0),IF($C105="z",$B105*IF($D105=IF(MOD(F$34,2)=0,2,MOD(F$34,2)),1,0),IF($C105="m",$B105,0)))))</f>
        <v>200</v>
      </c>
      <c r="G105" s="7">
        <f t="shared" si="124"/>
        <v>0</v>
      </c>
      <c r="H105" s="7">
        <f t="shared" si="124"/>
        <v>0</v>
      </c>
      <c r="I105" s="7">
        <f t="shared" si="124"/>
        <v>200</v>
      </c>
      <c r="J105" s="7">
        <f t="shared" si="124"/>
        <v>0</v>
      </c>
      <c r="K105" s="7">
        <f t="shared" si="124"/>
        <v>0</v>
      </c>
      <c r="L105" s="7">
        <f t="shared" si="124"/>
        <v>200</v>
      </c>
      <c r="M105" s="7">
        <f t="shared" si="124"/>
        <v>0</v>
      </c>
      <c r="N105" s="7">
        <f t="shared" si="124"/>
        <v>0</v>
      </c>
      <c r="O105" s="7">
        <f t="shared" si="124"/>
        <v>200</v>
      </c>
      <c r="P105" s="7">
        <f t="shared" si="124"/>
        <v>0</v>
      </c>
      <c r="Q105" s="272">
        <f>SUM(E105:P105)</f>
        <v>800</v>
      </c>
      <c r="R105" s="310">
        <f>IF(AND($C105="j",$D105&gt;=1,$D105&lt;=3),$B105,IF(AND($C105="h",$D105&gt;=1,$D105&lt;=3),$B105,IF(AND($C105="q",$D105&gt;=1,$D105&lt;=3),$B105,IF($C105="z",IF($D105=1,2*$B105,$B105),IF($C105="m",3*$B105,0)))))</f>
        <v>200</v>
      </c>
      <c r="S105" s="7">
        <f>IF(AND($C105="j",$D105&gt;=4,$D105&lt;=6),$B105,IF(AND($C105="h",$D105&gt;=4,$D105&lt;=6),$B105,IF(AND($C105="q",$D105&gt;=1,$D105&lt;=3),$B105,IF($C105="z",IF($D105=2,2*$B105,$B105),IF($C105="m",3*$B105,0)))))</f>
        <v>200</v>
      </c>
      <c r="T105" s="7">
        <f>IF(AND($C105="j",$D105&gt;=7,$D105&lt;=9),$B105,IF(AND($C105="h",$D105&gt;=1,$D105&lt;=3),$B105,IF(AND($C105="q",$D105&gt;=1,$D105&lt;=3),$B105,IF($C105="z",IF($D105=1,2*$B105,$B105),IF($C105="m",3*$B105,0)))))</f>
        <v>200</v>
      </c>
      <c r="U105" s="7">
        <f>IF(AND($C105="j",$D105&gt;=10,$D105&lt;=12),$B105,IF(AND($C105="h",$D105&gt;=4,$D105&lt;=6),$B105,IF(AND($C105="q",$D105&gt;=1,$D105&lt;=3),$B105,IF($C105="z",IF($D105=2,2*$B105,$B105),IF($C105="m",3*$B105,0)))))</f>
        <v>200</v>
      </c>
      <c r="V105" s="272">
        <f>SUM(R105:U105)</f>
        <v>800</v>
      </c>
      <c r="W105" s="8">
        <f>IF($C105="j",$B105,IF($C105="h",2*$B105,IF($C105="q",4*$B105,IF($C105="z",6*$B105,12*$B105))))</f>
        <v>800</v>
      </c>
      <c r="X105" s="9">
        <f>IF($C105="j",$B105,IF($C105="h",2*$B105,IF($C105="q",4*$B105,IF($C105="z",6*$B105,12*$B105))))</f>
        <v>800</v>
      </c>
      <c r="Z105" s="594">
        <f>Q105/12</f>
        <v>66.666666666666671</v>
      </c>
    </row>
    <row r="106" spans="1:26" ht="18.75" customHeight="1" x14ac:dyDescent="0.25">
      <c r="A106" s="95" t="s">
        <v>121</v>
      </c>
      <c r="B106" s="96">
        <f>B27*0.36%</f>
        <v>107.7344322</v>
      </c>
      <c r="C106" s="97" t="s">
        <v>46</v>
      </c>
      <c r="D106" s="98" t="s">
        <v>49</v>
      </c>
      <c r="E106" s="10">
        <f t="shared" ref="E106:E108" si="125">IF(AND($C106="j",$D106=E$34),$B106,IF($C106="h",$B106*IF($D106=IF(MOD(E$34,6)=0,6,MOD(E$34,6)),1,0),IF($C106="q",$B106*IF($D106=IF(MOD(E$34,3)=0,3,MOD(E$34,3)),1,0),IF($C106="z",$B106*IF($D106=IF(MOD(E$34,2)=0,2,MOD(E$34,2)),1,0),IF($C106="m",$B106,0)))))</f>
        <v>107.7344322</v>
      </c>
      <c r="F106" s="11">
        <f t="shared" si="124"/>
        <v>107.7344322</v>
      </c>
      <c r="G106" s="11">
        <f t="shared" si="124"/>
        <v>107.7344322</v>
      </c>
      <c r="H106" s="11">
        <f t="shared" si="124"/>
        <v>107.7344322</v>
      </c>
      <c r="I106" s="11">
        <f t="shared" si="124"/>
        <v>107.7344322</v>
      </c>
      <c r="J106" s="11">
        <f t="shared" si="124"/>
        <v>107.7344322</v>
      </c>
      <c r="K106" s="11">
        <f t="shared" si="124"/>
        <v>107.7344322</v>
      </c>
      <c r="L106" s="11">
        <f t="shared" si="124"/>
        <v>107.7344322</v>
      </c>
      <c r="M106" s="11">
        <f t="shared" si="124"/>
        <v>107.7344322</v>
      </c>
      <c r="N106" s="11">
        <f t="shared" si="124"/>
        <v>107.7344322</v>
      </c>
      <c r="O106" s="11">
        <f t="shared" si="124"/>
        <v>107.7344322</v>
      </c>
      <c r="P106" s="11">
        <f t="shared" si="124"/>
        <v>107.7344322</v>
      </c>
      <c r="Q106" s="586">
        <f t="shared" ref="Q106:Q108" si="126">SUM(E106:P106)</f>
        <v>1292.8131863999997</v>
      </c>
      <c r="R106" s="311">
        <f t="shared" ref="R106:R108" si="127">IF(AND($C106="j",$D106&gt;=1,$D106&lt;=3),$B106,IF(AND($C106="h",$D106&gt;=1,$D106&lt;=3),$B106,IF(AND($C106="q",$D106&gt;=1,$D106&lt;=3),$B106,IF($C106="z",IF($D106=1,2*$B106,$B106),IF($C106="m",3*$B106,0)))))</f>
        <v>323.20329659999999</v>
      </c>
      <c r="S106" s="11">
        <f t="shared" ref="S106:S108" si="128">IF(AND($C106="j",$D106&gt;=4,$D106&lt;=6),$B106,IF(AND($C106="h",$D106&gt;=4,$D106&lt;=6),$B106,IF(AND($C106="q",$D106&gt;=1,$D106&lt;=3),$B106,IF($C106="z",IF($D106=2,2*$B106,$B106),IF($C106="m",3*$B106,0)))))</f>
        <v>323.20329659999999</v>
      </c>
      <c r="T106" s="11">
        <f t="shared" ref="T106:T108" si="129">IF(AND($C106="j",$D106&gt;=7,$D106&lt;=9),$B106,IF(AND($C106="h",$D106&gt;=1,$D106&lt;=3),$B106,IF(AND($C106="q",$D106&gt;=1,$D106&lt;=3),$B106,IF($C106="z",IF($D106=1,2*$B106,$B106),IF($C106="m",3*$B106,0)))))</f>
        <v>323.20329659999999</v>
      </c>
      <c r="U106" s="11">
        <f t="shared" ref="U106:U108" si="130">IF(AND($C106="j",$D106&gt;=10,$D106&lt;=12),$B106,IF(AND($C106="h",$D106&gt;=4,$D106&lt;=6),$B106,IF(AND($C106="q",$D106&gt;=1,$D106&lt;=3),$B106,IF($C106="z",IF($D106=2,2*$B106,$B106),IF($C106="m",3*$B106,0)))))</f>
        <v>323.20329659999999</v>
      </c>
      <c r="V106" s="586">
        <f t="shared" ref="V106:V108" si="131">SUM(R106:U106)</f>
        <v>1292.8131863999999</v>
      </c>
      <c r="W106" s="12">
        <f t="shared" ref="W106:X108" si="132">IF($C106="j",$B106,IF($C106="h",2*$B106,IF($C106="q",4*$B106,IF($C106="z",6*$B106,12*$B106))))</f>
        <v>1292.8131863999999</v>
      </c>
      <c r="X106" s="13">
        <f t="shared" si="132"/>
        <v>1292.8131863999999</v>
      </c>
      <c r="Z106" s="595">
        <f t="shared" ref="Z106:Z108" si="133">Q106/12</f>
        <v>107.73443219999997</v>
      </c>
    </row>
    <row r="107" spans="1:26" ht="18.75" customHeight="1" x14ac:dyDescent="0.25">
      <c r="A107" s="95" t="s">
        <v>122</v>
      </c>
      <c r="B107" s="96">
        <f>B27*0.043%</f>
        <v>12.868279401666667</v>
      </c>
      <c r="C107" s="97" t="s">
        <v>46</v>
      </c>
      <c r="D107" s="98" t="s">
        <v>49</v>
      </c>
      <c r="E107" s="10">
        <f t="shared" si="125"/>
        <v>12.868279401666667</v>
      </c>
      <c r="F107" s="11">
        <f t="shared" si="124"/>
        <v>12.868279401666667</v>
      </c>
      <c r="G107" s="11">
        <f t="shared" si="124"/>
        <v>12.868279401666667</v>
      </c>
      <c r="H107" s="11">
        <f t="shared" si="124"/>
        <v>12.868279401666667</v>
      </c>
      <c r="I107" s="11">
        <f t="shared" si="124"/>
        <v>12.868279401666667</v>
      </c>
      <c r="J107" s="11">
        <f t="shared" si="124"/>
        <v>12.868279401666667</v>
      </c>
      <c r="K107" s="11">
        <f t="shared" si="124"/>
        <v>12.868279401666667</v>
      </c>
      <c r="L107" s="11">
        <f t="shared" si="124"/>
        <v>12.868279401666667</v>
      </c>
      <c r="M107" s="11">
        <f t="shared" si="124"/>
        <v>12.868279401666667</v>
      </c>
      <c r="N107" s="11">
        <f t="shared" si="124"/>
        <v>12.868279401666667</v>
      </c>
      <c r="O107" s="11">
        <f t="shared" si="124"/>
        <v>12.868279401666667</v>
      </c>
      <c r="P107" s="11">
        <f t="shared" si="124"/>
        <v>12.868279401666667</v>
      </c>
      <c r="Q107" s="586">
        <f t="shared" si="126"/>
        <v>154.41935281999997</v>
      </c>
      <c r="R107" s="311">
        <f t="shared" si="127"/>
        <v>38.604838205</v>
      </c>
      <c r="S107" s="11">
        <f t="shared" si="128"/>
        <v>38.604838205</v>
      </c>
      <c r="T107" s="11">
        <f t="shared" si="129"/>
        <v>38.604838205</v>
      </c>
      <c r="U107" s="11">
        <f t="shared" si="130"/>
        <v>38.604838205</v>
      </c>
      <c r="V107" s="586">
        <f t="shared" si="131"/>
        <v>154.41935282</v>
      </c>
      <c r="W107" s="12">
        <f t="shared" si="132"/>
        <v>154.41935282</v>
      </c>
      <c r="X107" s="13">
        <f t="shared" si="132"/>
        <v>154.41935282</v>
      </c>
      <c r="Z107" s="595">
        <f t="shared" si="133"/>
        <v>12.868279401666664</v>
      </c>
    </row>
    <row r="108" spans="1:26" ht="18.75" customHeight="1" thickBot="1" x14ac:dyDescent="0.3">
      <c r="A108" s="99"/>
      <c r="B108" s="100"/>
      <c r="C108" s="101"/>
      <c r="D108" s="102"/>
      <c r="E108" s="14">
        <f t="shared" si="125"/>
        <v>0</v>
      </c>
      <c r="F108" s="15">
        <f t="shared" si="124"/>
        <v>0</v>
      </c>
      <c r="G108" s="15">
        <f t="shared" si="124"/>
        <v>0</v>
      </c>
      <c r="H108" s="15">
        <f t="shared" si="124"/>
        <v>0</v>
      </c>
      <c r="I108" s="15">
        <f t="shared" si="124"/>
        <v>0</v>
      </c>
      <c r="J108" s="15">
        <f t="shared" si="124"/>
        <v>0</v>
      </c>
      <c r="K108" s="15">
        <f t="shared" si="124"/>
        <v>0</v>
      </c>
      <c r="L108" s="15">
        <f t="shared" si="124"/>
        <v>0</v>
      </c>
      <c r="M108" s="15">
        <f t="shared" si="124"/>
        <v>0</v>
      </c>
      <c r="N108" s="15">
        <f t="shared" si="124"/>
        <v>0</v>
      </c>
      <c r="O108" s="15">
        <f t="shared" si="124"/>
        <v>0</v>
      </c>
      <c r="P108" s="15">
        <f t="shared" si="124"/>
        <v>0</v>
      </c>
      <c r="Q108" s="273">
        <f t="shared" si="126"/>
        <v>0</v>
      </c>
      <c r="R108" s="590">
        <f t="shared" si="127"/>
        <v>0</v>
      </c>
      <c r="S108" s="15">
        <f t="shared" si="128"/>
        <v>0</v>
      </c>
      <c r="T108" s="15">
        <f t="shared" si="129"/>
        <v>0</v>
      </c>
      <c r="U108" s="15">
        <f t="shared" si="130"/>
        <v>0</v>
      </c>
      <c r="V108" s="273">
        <f t="shared" si="131"/>
        <v>0</v>
      </c>
      <c r="W108" s="16">
        <f t="shared" si="132"/>
        <v>0</v>
      </c>
      <c r="X108" s="17">
        <f t="shared" si="132"/>
        <v>0</v>
      </c>
      <c r="Z108" s="600">
        <f t="shared" si="133"/>
        <v>0</v>
      </c>
    </row>
    <row r="109" spans="1:26" ht="7.5" customHeight="1" thickTop="1" thickBot="1" x14ac:dyDescent="0.3">
      <c r="A109" s="103"/>
      <c r="B109" s="104"/>
      <c r="C109" s="105"/>
      <c r="D109" s="106"/>
      <c r="E109" s="27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30"/>
      <c r="R109" s="31"/>
      <c r="S109" s="28"/>
      <c r="T109" s="28"/>
      <c r="U109" s="28"/>
      <c r="V109" s="30"/>
      <c r="W109" s="33"/>
      <c r="X109" s="34"/>
      <c r="Z109" s="596"/>
    </row>
    <row r="110" spans="1:26" s="659" customFormat="1" ht="18.75" customHeight="1" thickBot="1" x14ac:dyDescent="0.3">
      <c r="A110" s="597" t="s">
        <v>51</v>
      </c>
      <c r="B110" s="598">
        <f>Z110</f>
        <v>187.2693782683333</v>
      </c>
      <c r="D110" s="660"/>
      <c r="E110" s="661">
        <f>SUM(E105:E109)</f>
        <v>120.60271160166667</v>
      </c>
      <c r="F110" s="570">
        <f t="shared" ref="F110:X110" si="134">SUM(F105:F109)</f>
        <v>320.60271160166667</v>
      </c>
      <c r="G110" s="570">
        <f t="shared" si="134"/>
        <v>120.60271160166667</v>
      </c>
      <c r="H110" s="570">
        <f t="shared" si="134"/>
        <v>120.60271160166667</v>
      </c>
      <c r="I110" s="570">
        <f t="shared" si="134"/>
        <v>320.60271160166667</v>
      </c>
      <c r="J110" s="570">
        <f t="shared" si="134"/>
        <v>120.60271160166667</v>
      </c>
      <c r="K110" s="570">
        <f t="shared" si="134"/>
        <v>120.60271160166667</v>
      </c>
      <c r="L110" s="570">
        <f t="shared" si="134"/>
        <v>320.60271160166667</v>
      </c>
      <c r="M110" s="570">
        <f t="shared" si="134"/>
        <v>120.60271160166667</v>
      </c>
      <c r="N110" s="570">
        <f t="shared" si="134"/>
        <v>120.60271160166667</v>
      </c>
      <c r="O110" s="570">
        <f t="shared" si="134"/>
        <v>320.60271160166667</v>
      </c>
      <c r="P110" s="570">
        <f t="shared" si="134"/>
        <v>120.60271160166667</v>
      </c>
      <c r="Q110" s="37">
        <f t="shared" si="134"/>
        <v>2247.2325392199996</v>
      </c>
      <c r="R110" s="569">
        <f t="shared" si="134"/>
        <v>561.8081348049999</v>
      </c>
      <c r="S110" s="570">
        <f t="shared" si="134"/>
        <v>561.8081348049999</v>
      </c>
      <c r="T110" s="570">
        <f t="shared" si="134"/>
        <v>561.8081348049999</v>
      </c>
      <c r="U110" s="570">
        <f t="shared" si="134"/>
        <v>561.8081348049999</v>
      </c>
      <c r="V110" s="37">
        <f t="shared" si="134"/>
        <v>2247.2325392199996</v>
      </c>
      <c r="W110" s="39">
        <f t="shared" si="134"/>
        <v>2247.2325392199996</v>
      </c>
      <c r="X110" s="40">
        <f t="shared" si="134"/>
        <v>2247.2325392199996</v>
      </c>
      <c r="Z110" s="599">
        <f>SUM(Z105:Z108)</f>
        <v>187.2693782683333</v>
      </c>
    </row>
    <row r="111" spans="1:26" ht="15.75" thickBot="1" x14ac:dyDescent="0.3"/>
    <row r="112" spans="1:26" ht="15" customHeight="1" x14ac:dyDescent="0.25">
      <c r="A112" s="730" t="s">
        <v>83</v>
      </c>
      <c r="B112" s="732" t="s">
        <v>19</v>
      </c>
      <c r="C112" s="732" t="s">
        <v>45</v>
      </c>
      <c r="D112" s="734" t="s">
        <v>256</v>
      </c>
      <c r="E112" s="711" t="s">
        <v>20</v>
      </c>
      <c r="F112" s="709"/>
      <c r="G112" s="709"/>
      <c r="H112" s="709"/>
      <c r="I112" s="709"/>
      <c r="J112" s="709"/>
      <c r="K112" s="709"/>
      <c r="L112" s="709"/>
      <c r="M112" s="709"/>
      <c r="N112" s="709"/>
      <c r="O112" s="709"/>
      <c r="P112" s="710"/>
      <c r="Q112" s="704" t="s">
        <v>20</v>
      </c>
      <c r="R112" s="708" t="s">
        <v>25</v>
      </c>
      <c r="S112" s="709"/>
      <c r="T112" s="709"/>
      <c r="U112" s="710"/>
      <c r="V112" s="706" t="s">
        <v>25</v>
      </c>
      <c r="W112" s="718" t="s">
        <v>26</v>
      </c>
      <c r="X112" s="720" t="s">
        <v>27</v>
      </c>
      <c r="Z112" s="728" t="s">
        <v>50</v>
      </c>
    </row>
    <row r="113" spans="1:26" ht="15.75" thickBot="1" x14ac:dyDescent="0.3">
      <c r="A113" s="731"/>
      <c r="B113" s="733"/>
      <c r="C113" s="733"/>
      <c r="D113" s="735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05"/>
      <c r="R113" s="4" t="s">
        <v>21</v>
      </c>
      <c r="S113" s="2" t="s">
        <v>22</v>
      </c>
      <c r="T113" s="2" t="s">
        <v>23</v>
      </c>
      <c r="U113" s="2" t="s">
        <v>24</v>
      </c>
      <c r="V113" s="707"/>
      <c r="W113" s="719"/>
      <c r="X113" s="721"/>
      <c r="Z113" s="729"/>
    </row>
    <row r="114" spans="1:26" ht="18.75" customHeight="1" thickTop="1" x14ac:dyDescent="0.25">
      <c r="A114" s="94"/>
      <c r="B114" s="18"/>
      <c r="C114" s="19"/>
      <c r="D114" s="20"/>
      <c r="E114" s="6">
        <f t="shared" ref="E114:P115" si="135">IF(AND($C114="j",$D114=E$34),$B114,IF($C114="h",$B114*IF($D114=IF(MOD(E$34,6)=0,6,MOD(E$34,6)),1,0),IF($C114="q",$B114*IF($D114=IF(MOD(E$34,3)=0,3,MOD(E$34,3)),1,0),IF($C114="z",$B114*IF($D114=IF(MOD(E$34,2)=0,2,MOD(E$34,2)),1,0),IF($C114="m",$B114,0)))))</f>
        <v>0</v>
      </c>
      <c r="F114" s="7">
        <f t="shared" si="135"/>
        <v>0</v>
      </c>
      <c r="G114" s="7">
        <f t="shared" si="135"/>
        <v>0</v>
      </c>
      <c r="H114" s="7">
        <f t="shared" si="135"/>
        <v>0</v>
      </c>
      <c r="I114" s="7">
        <f t="shared" si="135"/>
        <v>0</v>
      </c>
      <c r="J114" s="7">
        <f t="shared" si="135"/>
        <v>0</v>
      </c>
      <c r="K114" s="7">
        <f t="shared" si="135"/>
        <v>0</v>
      </c>
      <c r="L114" s="7">
        <f t="shared" si="135"/>
        <v>0</v>
      </c>
      <c r="M114" s="7">
        <f t="shared" si="135"/>
        <v>0</v>
      </c>
      <c r="N114" s="7">
        <f t="shared" si="135"/>
        <v>0</v>
      </c>
      <c r="O114" s="7">
        <f t="shared" si="135"/>
        <v>0</v>
      </c>
      <c r="P114" s="7">
        <f t="shared" si="135"/>
        <v>0</v>
      </c>
      <c r="Q114" s="272">
        <f>SUM(E114:P114)</f>
        <v>0</v>
      </c>
      <c r="R114" s="310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7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272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594">
        <f>Q114/12</f>
        <v>0</v>
      </c>
    </row>
    <row r="115" spans="1:26" ht="18.75" customHeight="1" thickBot="1" x14ac:dyDescent="0.3">
      <c r="A115" s="99"/>
      <c r="B115" s="100"/>
      <c r="C115" s="101"/>
      <c r="D115" s="102"/>
      <c r="E115" s="14">
        <f t="shared" si="135"/>
        <v>0</v>
      </c>
      <c r="F115" s="15">
        <f t="shared" si="135"/>
        <v>0</v>
      </c>
      <c r="G115" s="15">
        <f t="shared" si="135"/>
        <v>0</v>
      </c>
      <c r="H115" s="15">
        <f t="shared" si="135"/>
        <v>0</v>
      </c>
      <c r="I115" s="15">
        <f t="shared" si="135"/>
        <v>0</v>
      </c>
      <c r="J115" s="15">
        <f t="shared" si="135"/>
        <v>0</v>
      </c>
      <c r="K115" s="15">
        <f t="shared" si="135"/>
        <v>0</v>
      </c>
      <c r="L115" s="15">
        <f t="shared" si="135"/>
        <v>0</v>
      </c>
      <c r="M115" s="15">
        <f t="shared" si="135"/>
        <v>0</v>
      </c>
      <c r="N115" s="15">
        <f t="shared" si="135"/>
        <v>0</v>
      </c>
      <c r="O115" s="15">
        <f t="shared" si="135"/>
        <v>0</v>
      </c>
      <c r="P115" s="15">
        <f t="shared" si="135"/>
        <v>0</v>
      </c>
      <c r="Q115" s="273">
        <f t="shared" ref="Q115" si="136">SUM(E115:P115)</f>
        <v>0</v>
      </c>
      <c r="R115" s="590">
        <f t="shared" ref="R115" si="137">IF(AND($C115="j",$D115&gt;=1,$D115&lt;=3),$B115,IF(AND($C115="h",$D115&gt;=1,$D115&lt;=3),$B115,IF(AND($C115="q",$D115&gt;=1,$D115&lt;=3),$B115,IF($C115="z",IF($D115=1,2*$B115,$B115),IF($C115="m",3*$B115,0)))))</f>
        <v>0</v>
      </c>
      <c r="S115" s="15">
        <f t="shared" ref="S115" si="138">IF(AND($C115="j",$D115&gt;=4,$D115&lt;=6),$B115,IF(AND($C115="h",$D115&gt;=4,$D115&lt;=6),$B115,IF(AND($C115="q",$D115&gt;=1,$D115&lt;=3),$B115,IF($C115="z",IF($D115=2,2*$B115,$B115),IF($C115="m",3*$B115,0)))))</f>
        <v>0</v>
      </c>
      <c r="T115" s="15">
        <f t="shared" ref="T115" si="139">IF(AND($C115="j",$D115&gt;=7,$D115&lt;=9),$B115,IF(AND($C115="h",$D115&gt;=1,$D115&lt;=3),$B115,IF(AND($C115="q",$D115&gt;=1,$D115&lt;=3),$B115,IF($C115="z",IF($D115=1,2*$B115,$B115),IF($C115="m",3*$B115,0)))))</f>
        <v>0</v>
      </c>
      <c r="U115" s="15">
        <f t="shared" ref="U115" si="140">IF(AND($C115="j",$D115&gt;=10,$D115&lt;=12),$B115,IF(AND($C115="h",$D115&gt;=4,$D115&lt;=6),$B115,IF(AND($C115="q",$D115&gt;=1,$D115&lt;=3),$B115,IF($C115="z",IF($D115=2,2*$B115,$B115),IF($C115="m",3*$B115,0)))))</f>
        <v>0</v>
      </c>
      <c r="V115" s="273">
        <f t="shared" ref="V115" si="141">SUM(R115:U115)</f>
        <v>0</v>
      </c>
      <c r="W115" s="16">
        <f t="shared" ref="W115:X115" si="142">IF($C115="j",$B115,IF($C115="h",2*$B115,IF($C115="q",4*$B115,IF($C115="z",6*$B115,12*$B115))))</f>
        <v>0</v>
      </c>
      <c r="X115" s="17">
        <f t="shared" si="142"/>
        <v>0</v>
      </c>
      <c r="Z115" s="600">
        <f t="shared" ref="Z115" si="143">Q115/12</f>
        <v>0</v>
      </c>
    </row>
    <row r="116" spans="1:26" ht="7.5" customHeight="1" thickTop="1" thickBot="1" x14ac:dyDescent="0.3">
      <c r="A116" s="103"/>
      <c r="B116" s="104"/>
      <c r="C116" s="105"/>
      <c r="D116" s="106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30"/>
      <c r="R116" s="31"/>
      <c r="S116" s="28"/>
      <c r="T116" s="28"/>
      <c r="U116" s="28"/>
      <c r="V116" s="30"/>
      <c r="W116" s="33"/>
      <c r="X116" s="34"/>
      <c r="Z116" s="596"/>
    </row>
    <row r="117" spans="1:26" s="659" customFormat="1" ht="18.75" customHeight="1" thickBot="1" x14ac:dyDescent="0.3">
      <c r="A117" s="597" t="s">
        <v>51</v>
      </c>
      <c r="B117" s="598">
        <f>Z117</f>
        <v>0</v>
      </c>
      <c r="D117" s="660"/>
      <c r="E117" s="661">
        <f t="shared" ref="E117:X117" si="144">SUM(E114:E116)</f>
        <v>0</v>
      </c>
      <c r="F117" s="570">
        <f t="shared" si="144"/>
        <v>0</v>
      </c>
      <c r="G117" s="570">
        <f t="shared" si="144"/>
        <v>0</v>
      </c>
      <c r="H117" s="570">
        <f t="shared" si="144"/>
        <v>0</v>
      </c>
      <c r="I117" s="570">
        <f t="shared" si="144"/>
        <v>0</v>
      </c>
      <c r="J117" s="570">
        <f t="shared" si="144"/>
        <v>0</v>
      </c>
      <c r="K117" s="570">
        <f t="shared" si="144"/>
        <v>0</v>
      </c>
      <c r="L117" s="570">
        <f t="shared" si="144"/>
        <v>0</v>
      </c>
      <c r="M117" s="570">
        <f t="shared" si="144"/>
        <v>0</v>
      </c>
      <c r="N117" s="570">
        <f t="shared" si="144"/>
        <v>0</v>
      </c>
      <c r="O117" s="570">
        <f t="shared" si="144"/>
        <v>0</v>
      </c>
      <c r="P117" s="570">
        <f t="shared" si="144"/>
        <v>0</v>
      </c>
      <c r="Q117" s="37">
        <f t="shared" si="144"/>
        <v>0</v>
      </c>
      <c r="R117" s="569">
        <f t="shared" si="144"/>
        <v>0</v>
      </c>
      <c r="S117" s="570">
        <f t="shared" si="144"/>
        <v>0</v>
      </c>
      <c r="T117" s="570">
        <f t="shared" si="144"/>
        <v>0</v>
      </c>
      <c r="U117" s="570">
        <f t="shared" si="144"/>
        <v>0</v>
      </c>
      <c r="V117" s="37">
        <f t="shared" si="144"/>
        <v>0</v>
      </c>
      <c r="W117" s="39">
        <f t="shared" si="144"/>
        <v>0</v>
      </c>
      <c r="X117" s="40">
        <f t="shared" si="144"/>
        <v>0</v>
      </c>
      <c r="Z117" s="599">
        <f>SUM(Z114:Z115)</f>
        <v>0</v>
      </c>
    </row>
    <row r="118" spans="1:26" ht="15.75" thickBot="1" x14ac:dyDescent="0.3"/>
    <row r="119" spans="1:26" ht="15" customHeight="1" x14ac:dyDescent="0.25">
      <c r="A119" s="730" t="s">
        <v>84</v>
      </c>
      <c r="B119" s="732" t="s">
        <v>19</v>
      </c>
      <c r="C119" s="732" t="s">
        <v>45</v>
      </c>
      <c r="D119" s="734" t="s">
        <v>256</v>
      </c>
      <c r="E119" s="711" t="s">
        <v>20</v>
      </c>
      <c r="F119" s="709"/>
      <c r="G119" s="709"/>
      <c r="H119" s="709"/>
      <c r="I119" s="709"/>
      <c r="J119" s="709"/>
      <c r="K119" s="709"/>
      <c r="L119" s="709"/>
      <c r="M119" s="709"/>
      <c r="N119" s="709"/>
      <c r="O119" s="709"/>
      <c r="P119" s="710"/>
      <c r="Q119" s="704" t="s">
        <v>20</v>
      </c>
      <c r="R119" s="708" t="s">
        <v>25</v>
      </c>
      <c r="S119" s="709"/>
      <c r="T119" s="709"/>
      <c r="U119" s="710"/>
      <c r="V119" s="706" t="s">
        <v>25</v>
      </c>
      <c r="W119" s="718" t="s">
        <v>26</v>
      </c>
      <c r="X119" s="720" t="s">
        <v>27</v>
      </c>
      <c r="Z119" s="728" t="s">
        <v>50</v>
      </c>
    </row>
    <row r="120" spans="1:26" ht="15.75" thickBot="1" x14ac:dyDescent="0.3">
      <c r="A120" s="731"/>
      <c r="B120" s="733"/>
      <c r="C120" s="733"/>
      <c r="D120" s="735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05"/>
      <c r="R120" s="4" t="s">
        <v>21</v>
      </c>
      <c r="S120" s="2" t="s">
        <v>22</v>
      </c>
      <c r="T120" s="2" t="s">
        <v>23</v>
      </c>
      <c r="U120" s="2" t="s">
        <v>24</v>
      </c>
      <c r="V120" s="707"/>
      <c r="W120" s="719"/>
      <c r="X120" s="721"/>
      <c r="Z120" s="729"/>
    </row>
    <row r="121" spans="1:26" ht="18.75" customHeight="1" thickTop="1" x14ac:dyDescent="0.25">
      <c r="A121" s="94" t="s">
        <v>136</v>
      </c>
      <c r="B121" s="18">
        <v>1500</v>
      </c>
      <c r="C121" s="19" t="s">
        <v>46</v>
      </c>
      <c r="D121" s="20" t="s">
        <v>49</v>
      </c>
      <c r="E121" s="6">
        <f t="shared" ref="E121:P122" si="145">IF(AND($C121="j",$D121=E$34),$B121,IF($C121="h",$B121*IF($D121=IF(MOD(E$34,6)=0,6,MOD(E$34,6)),1,0),IF($C121="q",$B121*IF($D121=IF(MOD(E$34,3)=0,3,MOD(E$34,3)),1,0),IF($C121="z",$B121*IF($D121=IF(MOD(E$34,2)=0,2,MOD(E$34,2)),1,0),IF($C121="m",$B121,0)))))</f>
        <v>1500</v>
      </c>
      <c r="F121" s="7">
        <f t="shared" si="145"/>
        <v>1500</v>
      </c>
      <c r="G121" s="7">
        <f t="shared" si="145"/>
        <v>1500</v>
      </c>
      <c r="H121" s="7">
        <f t="shared" si="145"/>
        <v>1500</v>
      </c>
      <c r="I121" s="7">
        <f t="shared" si="145"/>
        <v>1500</v>
      </c>
      <c r="J121" s="7">
        <f t="shared" si="145"/>
        <v>1500</v>
      </c>
      <c r="K121" s="7">
        <f t="shared" si="145"/>
        <v>1500</v>
      </c>
      <c r="L121" s="7">
        <f t="shared" si="145"/>
        <v>1500</v>
      </c>
      <c r="M121" s="7">
        <f t="shared" si="145"/>
        <v>1500</v>
      </c>
      <c r="N121" s="7">
        <f t="shared" si="145"/>
        <v>1500</v>
      </c>
      <c r="O121" s="7">
        <f t="shared" si="145"/>
        <v>1500</v>
      </c>
      <c r="P121" s="7">
        <f t="shared" si="145"/>
        <v>1500</v>
      </c>
      <c r="Q121" s="272">
        <f>SUM(E121:P121)</f>
        <v>18000</v>
      </c>
      <c r="R121" s="310">
        <f>IF(AND($C121="j",$D121&gt;=1,$D121&lt;=3),$B121,IF(AND($C121="h",$D121&gt;=1,$D121&lt;=3),$B121,IF(AND($C121="q",$D121&gt;=1,$D121&lt;=3),$B121,IF($C121="z",IF($D121=1,2*$B121,$B121),IF($C121="m",3*$B121,0)))))</f>
        <v>4500</v>
      </c>
      <c r="S121" s="7">
        <f>IF(AND($C121="j",$D121&gt;=4,$D121&lt;=6),$B121,IF(AND($C121="h",$D121&gt;=4,$D121&lt;=6),$B121,IF(AND($C121="q",$D121&gt;=1,$D121&lt;=3),$B121,IF($C121="z",IF($D121=2,2*$B121,$B121),IF($C121="m",3*$B121,0)))))</f>
        <v>4500</v>
      </c>
      <c r="T121" s="7">
        <f>IF(AND($C121="j",$D121&gt;=7,$D121&lt;=9),$B121,IF(AND($C121="h",$D121&gt;=1,$D121&lt;=3),$B121,IF(AND($C121="q",$D121&gt;=1,$D121&lt;=3),$B121,IF($C121="z",IF($D121=1,2*$B121,$B121),IF($C121="m",3*$B121,0)))))</f>
        <v>4500</v>
      </c>
      <c r="U121" s="7">
        <f>IF(AND($C121="j",$D121&gt;=10,$D121&lt;=12),$B121,IF(AND($C121="h",$D121&gt;=4,$D121&lt;=6),$B121,IF(AND($C121="q",$D121&gt;=1,$D121&lt;=3),$B121,IF($C121="z",IF($D121=2,2*$B121,$B121),IF($C121="m",3*$B121,0)))))</f>
        <v>4500</v>
      </c>
      <c r="V121" s="272">
        <v>0</v>
      </c>
      <c r="W121" s="8">
        <v>0</v>
      </c>
      <c r="X121" s="9">
        <v>0</v>
      </c>
      <c r="Z121" s="594">
        <f>Q121/12</f>
        <v>1500</v>
      </c>
    </row>
    <row r="122" spans="1:26" ht="18.75" customHeight="1" thickBot="1" x14ac:dyDescent="0.3">
      <c r="A122" s="99"/>
      <c r="B122" s="100"/>
      <c r="C122" s="101"/>
      <c r="D122" s="102"/>
      <c r="E122" s="14">
        <f t="shared" si="145"/>
        <v>0</v>
      </c>
      <c r="F122" s="15">
        <f t="shared" si="145"/>
        <v>0</v>
      </c>
      <c r="G122" s="15">
        <f t="shared" si="145"/>
        <v>0</v>
      </c>
      <c r="H122" s="15">
        <f t="shared" si="145"/>
        <v>0</v>
      </c>
      <c r="I122" s="15">
        <f t="shared" si="145"/>
        <v>0</v>
      </c>
      <c r="J122" s="15">
        <f t="shared" si="145"/>
        <v>0</v>
      </c>
      <c r="K122" s="15">
        <f t="shared" si="145"/>
        <v>0</v>
      </c>
      <c r="L122" s="15">
        <f t="shared" si="145"/>
        <v>0</v>
      </c>
      <c r="M122" s="15">
        <f t="shared" si="145"/>
        <v>0</v>
      </c>
      <c r="N122" s="15">
        <f t="shared" si="145"/>
        <v>0</v>
      </c>
      <c r="O122" s="15">
        <f t="shared" si="145"/>
        <v>0</v>
      </c>
      <c r="P122" s="15">
        <f t="shared" si="145"/>
        <v>0</v>
      </c>
      <c r="Q122" s="273">
        <f t="shared" ref="Q122" si="146">SUM(E122:P122)</f>
        <v>0</v>
      </c>
      <c r="R122" s="590">
        <f t="shared" ref="R122" si="147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48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49">IF(AND($C122="j",$D122&gt;=7,$D122&lt;=9),$B122,IF(AND($C122="h",$D122&gt;=1,$D122&lt;=3),$B122,IF(AND($C122="q",$D122&gt;=1,$D122&lt;=3),$B122,IF($C122="z",IF($D122=1,2*$B122,$B122),IF($C122="m",3*$B122,0)))))</f>
        <v>0</v>
      </c>
      <c r="U122" s="15">
        <f t="shared" ref="U122" si="150">IF(AND($C122="j",$D122&gt;=10,$D122&lt;=12),$B122,IF(AND($C122="h",$D122&gt;=4,$D122&lt;=6),$B122,IF(AND($C122="q",$D122&gt;=1,$D122&lt;=3),$B122,IF($C122="z",IF($D122=2,2*$B122,$B122),IF($C122="m",3*$B122,0)))))</f>
        <v>0</v>
      </c>
      <c r="V122" s="273">
        <f t="shared" ref="V122" si="151">SUM(R122:U122)</f>
        <v>0</v>
      </c>
      <c r="W122" s="16">
        <f t="shared" ref="W122:X122" si="152">IF($C122="j",$B122,IF($C122="h",2*$B122,IF($C122="q",4*$B122,IF($C122="z",6*$B122,12*$B122))))</f>
        <v>0</v>
      </c>
      <c r="X122" s="17">
        <f t="shared" si="152"/>
        <v>0</v>
      </c>
      <c r="Z122" s="600">
        <f t="shared" ref="Z122" si="153">Q122/12</f>
        <v>0</v>
      </c>
    </row>
    <row r="123" spans="1:26" ht="7.5" customHeight="1" thickTop="1" thickBot="1" x14ac:dyDescent="0.3">
      <c r="A123" s="103"/>
      <c r="B123" s="104"/>
      <c r="C123" s="105"/>
      <c r="D123" s="106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30"/>
      <c r="R123" s="31"/>
      <c r="S123" s="28"/>
      <c r="T123" s="28"/>
      <c r="U123" s="28"/>
      <c r="V123" s="30"/>
      <c r="W123" s="33"/>
      <c r="X123" s="34"/>
      <c r="Z123" s="596"/>
    </row>
    <row r="124" spans="1:26" s="659" customFormat="1" ht="18.75" customHeight="1" thickBot="1" x14ac:dyDescent="0.3">
      <c r="A124" s="597" t="s">
        <v>51</v>
      </c>
      <c r="B124" s="598">
        <f>Z124</f>
        <v>1500</v>
      </c>
      <c r="D124" s="660"/>
      <c r="E124" s="661">
        <f>SUM(E121:E123)</f>
        <v>1500</v>
      </c>
      <c r="F124" s="570">
        <f t="shared" ref="F124:X124" si="154">SUM(F121:F123)</f>
        <v>1500</v>
      </c>
      <c r="G124" s="570">
        <f t="shared" si="154"/>
        <v>1500</v>
      </c>
      <c r="H124" s="570">
        <f t="shared" si="154"/>
        <v>1500</v>
      </c>
      <c r="I124" s="570">
        <f t="shared" si="154"/>
        <v>1500</v>
      </c>
      <c r="J124" s="570">
        <f t="shared" si="154"/>
        <v>1500</v>
      </c>
      <c r="K124" s="570">
        <f t="shared" si="154"/>
        <v>1500</v>
      </c>
      <c r="L124" s="570">
        <f t="shared" si="154"/>
        <v>1500</v>
      </c>
      <c r="M124" s="570">
        <f t="shared" si="154"/>
        <v>1500</v>
      </c>
      <c r="N124" s="570">
        <f t="shared" si="154"/>
        <v>1500</v>
      </c>
      <c r="O124" s="570">
        <f t="shared" si="154"/>
        <v>1500</v>
      </c>
      <c r="P124" s="570">
        <f t="shared" si="154"/>
        <v>1500</v>
      </c>
      <c r="Q124" s="37">
        <f t="shared" si="154"/>
        <v>18000</v>
      </c>
      <c r="R124" s="569">
        <f t="shared" si="154"/>
        <v>4500</v>
      </c>
      <c r="S124" s="570">
        <f t="shared" si="154"/>
        <v>4500</v>
      </c>
      <c r="T124" s="570">
        <f t="shared" si="154"/>
        <v>4500</v>
      </c>
      <c r="U124" s="570">
        <f t="shared" si="154"/>
        <v>4500</v>
      </c>
      <c r="V124" s="37">
        <f t="shared" si="154"/>
        <v>0</v>
      </c>
      <c r="W124" s="39">
        <f t="shared" si="154"/>
        <v>0</v>
      </c>
      <c r="X124" s="40">
        <f t="shared" si="154"/>
        <v>0</v>
      </c>
      <c r="Z124" s="599">
        <f>SUM(Z121:Z122)</f>
        <v>1500</v>
      </c>
    </row>
    <row r="125" spans="1:26" ht="15.75" thickBot="1" x14ac:dyDescent="0.3"/>
    <row r="126" spans="1:26" ht="15" customHeight="1" x14ac:dyDescent="0.25">
      <c r="A126" s="730" t="s">
        <v>85</v>
      </c>
      <c r="B126" s="732" t="s">
        <v>19</v>
      </c>
      <c r="C126" s="732" t="s">
        <v>45</v>
      </c>
      <c r="D126" s="734" t="s">
        <v>256</v>
      </c>
      <c r="E126" s="711" t="s">
        <v>20</v>
      </c>
      <c r="F126" s="709"/>
      <c r="G126" s="709"/>
      <c r="H126" s="709"/>
      <c r="I126" s="709"/>
      <c r="J126" s="709"/>
      <c r="K126" s="709"/>
      <c r="L126" s="709"/>
      <c r="M126" s="709"/>
      <c r="N126" s="709"/>
      <c r="O126" s="709"/>
      <c r="P126" s="710"/>
      <c r="Q126" s="704" t="s">
        <v>20</v>
      </c>
      <c r="R126" s="708" t="s">
        <v>25</v>
      </c>
      <c r="S126" s="709"/>
      <c r="T126" s="709"/>
      <c r="U126" s="710"/>
      <c r="V126" s="706" t="s">
        <v>25</v>
      </c>
      <c r="W126" s="718" t="s">
        <v>26</v>
      </c>
      <c r="X126" s="720" t="s">
        <v>27</v>
      </c>
      <c r="Z126" s="728" t="s">
        <v>50</v>
      </c>
    </row>
    <row r="127" spans="1:26" ht="15.75" thickBot="1" x14ac:dyDescent="0.3">
      <c r="A127" s="731"/>
      <c r="B127" s="733"/>
      <c r="C127" s="733"/>
      <c r="D127" s="735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05"/>
      <c r="R127" s="4" t="s">
        <v>21</v>
      </c>
      <c r="S127" s="2" t="s">
        <v>22</v>
      </c>
      <c r="T127" s="2" t="s">
        <v>23</v>
      </c>
      <c r="U127" s="2" t="s">
        <v>24</v>
      </c>
      <c r="V127" s="707"/>
      <c r="W127" s="719"/>
      <c r="X127" s="721"/>
      <c r="Z127" s="729"/>
    </row>
    <row r="128" spans="1:26" ht="18.75" customHeight="1" thickTop="1" x14ac:dyDescent="0.25">
      <c r="A128" s="94" t="s">
        <v>148</v>
      </c>
      <c r="B128" s="18">
        <v>50</v>
      </c>
      <c r="C128" s="19" t="s">
        <v>123</v>
      </c>
      <c r="D128" s="20">
        <v>1</v>
      </c>
      <c r="E128" s="6">
        <f>IF(AND($C128="j",$D128=E$34),$B128,IF($C128="h",$B128*IF($D128=IF(MOD(E$34,6)=0,6,MOD(E$34,6)),1,0),IF($C128="q",$B128*IF($D128=IF(MOD(E$34,3)=0,3,MOD(E$34,3)),1,0),IF($C128="z",$B128*IF($D128=IF(MOD(E$34,2)=0,2,MOD(E$34,2)),1,0),IF($C128="m",$B128,0)))))</f>
        <v>50</v>
      </c>
      <c r="F128" s="7">
        <f t="shared" ref="F128:P129" si="155">IF(AND($C128="j",$D128=F$34),$B128,IF($C128="h",$B128*IF($D128=IF(MOD(F$34,6)=0,6,MOD(F$34,6)),1,0),IF($C128="q",$B128*IF($D128=IF(MOD(F$34,3)=0,3,MOD(F$34,3)),1,0),IF($C128="z",$B128*IF($D128=IF(MOD(F$34,2)=0,2,MOD(F$34,2)),1,0),IF($C128="m",$B128,0)))))</f>
        <v>0</v>
      </c>
      <c r="G128" s="7">
        <f t="shared" si="155"/>
        <v>0</v>
      </c>
      <c r="H128" s="7">
        <f t="shared" si="155"/>
        <v>50</v>
      </c>
      <c r="I128" s="7">
        <f t="shared" si="155"/>
        <v>0</v>
      </c>
      <c r="J128" s="7">
        <f t="shared" si="155"/>
        <v>0</v>
      </c>
      <c r="K128" s="7">
        <f t="shared" si="155"/>
        <v>50</v>
      </c>
      <c r="L128" s="7">
        <f t="shared" si="155"/>
        <v>0</v>
      </c>
      <c r="M128" s="7">
        <f t="shared" si="155"/>
        <v>0</v>
      </c>
      <c r="N128" s="7">
        <f t="shared" si="155"/>
        <v>50</v>
      </c>
      <c r="O128" s="7">
        <f t="shared" si="155"/>
        <v>0</v>
      </c>
      <c r="P128" s="7">
        <f t="shared" si="155"/>
        <v>0</v>
      </c>
      <c r="Q128" s="272">
        <f>SUM(E128:P128)</f>
        <v>200</v>
      </c>
      <c r="R128" s="310">
        <f>IF(AND($C128="j",$D128&gt;=1,$D128&lt;=3),$B128,IF(AND($C128="h",$D128&gt;=1,$D128&lt;=3),$B128,IF(AND($C128="q",$D128&gt;=1,$D128&lt;=3),$B128,IF($C128="z",IF($D128=1,2*$B128,$B128),IF($C128="m",3*$B128,0)))))</f>
        <v>50</v>
      </c>
      <c r="S128" s="7">
        <f>IF(AND($C128="j",$D128&gt;=4,$D128&lt;=6),$B128,IF(AND($C128="h",$D128&gt;=4,$D128&lt;=6),$B128,IF(AND($C128="q",$D128&gt;=1,$D128&lt;=3),$B128,IF($C128="z",IF($D128=2,2*$B128,$B128),IF($C128="m",3*$B128,0)))))</f>
        <v>50</v>
      </c>
      <c r="T128" s="7">
        <f>IF(AND($C128="j",$D128&gt;=7,$D128&lt;=9),$B128,IF(AND($C128="h",$D128&gt;=1,$D128&lt;=3),$B128,IF(AND($C128="q",$D128&gt;=1,$D128&lt;=3),$B128,IF($C128="z",IF($D128=1,2*$B128,$B128),IF($C128="m",3*$B128,0)))))</f>
        <v>50</v>
      </c>
      <c r="U128" s="7">
        <f>IF(AND($C128="j",$D128&gt;=10,$D128&lt;=12),$B128,IF(AND($C128="h",$D128&gt;=4,$D128&lt;=6),$B128,IF(AND($C128="q",$D128&gt;=1,$D128&lt;=3),$B128,IF($C128="z",IF($D128=2,2*$B128,$B128),IF($C128="m",3*$B128,0)))))</f>
        <v>50</v>
      </c>
      <c r="V128" s="272">
        <f>SUM(R128:U128)</f>
        <v>200</v>
      </c>
      <c r="W128" s="8">
        <f>IF($C128="j",$B128,IF($C128="h",2*$B128,IF($C128="q",4*$B128,IF($C128="z",6*$B128,12*$B128))))</f>
        <v>200</v>
      </c>
      <c r="X128" s="9">
        <f>IF($C128="j",$B128,IF($C128="h",2*$B128,IF($C128="q",4*$B128,IF($C128="z",6*$B128,12*$B128))))</f>
        <v>200</v>
      </c>
      <c r="Z128" s="594">
        <f>Q128/12</f>
        <v>16.666666666666668</v>
      </c>
    </row>
    <row r="129" spans="1:26" ht="18.75" customHeight="1" thickBot="1" x14ac:dyDescent="0.3">
      <c r="A129" s="99"/>
      <c r="B129" s="100"/>
      <c r="C129" s="101"/>
      <c r="D129" s="102"/>
      <c r="E129" s="14">
        <f t="shared" ref="E129" si="156">IF(AND($C129="j",$D129=E$34),$B129,IF($C129="h",$B129*IF($D129=IF(MOD(E$34,6)=0,6,MOD(E$34,6)),1,0),IF($C129="q",$B129*IF($D129=IF(MOD(E$34,3)=0,3,MOD(E$34,3)),1,0),IF($C129="z",$B129*IF($D129=IF(MOD(E$34,2)=0,2,MOD(E$34,2)),1,0),IF($C129="m",$B129,0)))))</f>
        <v>0</v>
      </c>
      <c r="F129" s="15">
        <f t="shared" si="155"/>
        <v>0</v>
      </c>
      <c r="G129" s="15">
        <f t="shared" si="155"/>
        <v>0</v>
      </c>
      <c r="H129" s="15">
        <f t="shared" si="155"/>
        <v>0</v>
      </c>
      <c r="I129" s="15">
        <f t="shared" si="155"/>
        <v>0</v>
      </c>
      <c r="J129" s="15">
        <f t="shared" si="155"/>
        <v>0</v>
      </c>
      <c r="K129" s="15">
        <f t="shared" si="155"/>
        <v>0</v>
      </c>
      <c r="L129" s="15">
        <f t="shared" si="155"/>
        <v>0</v>
      </c>
      <c r="M129" s="15">
        <f t="shared" si="155"/>
        <v>0</v>
      </c>
      <c r="N129" s="15">
        <f t="shared" si="155"/>
        <v>0</v>
      </c>
      <c r="O129" s="15">
        <f t="shared" si="155"/>
        <v>0</v>
      </c>
      <c r="P129" s="15">
        <f t="shared" si="155"/>
        <v>0</v>
      </c>
      <c r="Q129" s="273">
        <f t="shared" ref="Q129" si="157">SUM(E129:P129)</f>
        <v>0</v>
      </c>
      <c r="R129" s="590">
        <f t="shared" ref="R129" si="158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59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60">IF(AND($C129="j",$D129&gt;=7,$D129&lt;=9),$B129,IF(AND($C129="h",$D129&gt;=1,$D129&lt;=3),$B129,IF(AND($C129="q",$D129&gt;=1,$D129&lt;=3),$B129,IF($C129="z",IF($D129=1,2*$B129,$B129),IF($C129="m",3*$B129,0)))))</f>
        <v>0</v>
      </c>
      <c r="U129" s="15">
        <f t="shared" ref="U129" si="161">IF(AND($C129="j",$D129&gt;=10,$D129&lt;=12),$B129,IF(AND($C129="h",$D129&gt;=4,$D129&lt;=6),$B129,IF(AND($C129="q",$D129&gt;=1,$D129&lt;=3),$B129,IF($C129="z",IF($D129=2,2*$B129,$B129),IF($C129="m",3*$B129,0)))))</f>
        <v>0</v>
      </c>
      <c r="V129" s="273">
        <f t="shared" ref="V129" si="162">SUM(R129:U129)</f>
        <v>0</v>
      </c>
      <c r="W129" s="16">
        <f t="shared" ref="W129:X129" si="163">IF($C129="j",$B129,IF($C129="h",2*$B129,IF($C129="q",4*$B129,IF($C129="z",6*$B129,12*$B129))))</f>
        <v>0</v>
      </c>
      <c r="X129" s="17">
        <f t="shared" si="163"/>
        <v>0</v>
      </c>
      <c r="Z129" s="600">
        <f t="shared" ref="Z129" si="164">Q129/12</f>
        <v>0</v>
      </c>
    </row>
    <row r="130" spans="1:26" ht="7.5" customHeight="1" thickTop="1" thickBot="1" x14ac:dyDescent="0.3">
      <c r="A130" s="103"/>
      <c r="B130" s="104"/>
      <c r="C130" s="105"/>
      <c r="D130" s="106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30"/>
      <c r="R130" s="31"/>
      <c r="S130" s="28"/>
      <c r="T130" s="28"/>
      <c r="U130" s="28"/>
      <c r="V130" s="30"/>
      <c r="W130" s="33"/>
      <c r="X130" s="34"/>
      <c r="Z130" s="596"/>
    </row>
    <row r="131" spans="1:26" s="659" customFormat="1" ht="18.75" customHeight="1" thickBot="1" x14ac:dyDescent="0.3">
      <c r="A131" s="597" t="s">
        <v>51</v>
      </c>
      <c r="B131" s="598">
        <f>Z131</f>
        <v>16.666666666666668</v>
      </c>
      <c r="D131" s="660"/>
      <c r="E131" s="661">
        <f>SUM(E128:E130)</f>
        <v>50</v>
      </c>
      <c r="F131" s="570">
        <f t="shared" ref="F131:X131" si="165">SUM(F128:F130)</f>
        <v>0</v>
      </c>
      <c r="G131" s="570">
        <f t="shared" si="165"/>
        <v>0</v>
      </c>
      <c r="H131" s="570">
        <f t="shared" si="165"/>
        <v>50</v>
      </c>
      <c r="I131" s="570">
        <f t="shared" si="165"/>
        <v>0</v>
      </c>
      <c r="J131" s="570">
        <f t="shared" si="165"/>
        <v>0</v>
      </c>
      <c r="K131" s="570">
        <f t="shared" si="165"/>
        <v>50</v>
      </c>
      <c r="L131" s="570">
        <f t="shared" si="165"/>
        <v>0</v>
      </c>
      <c r="M131" s="570">
        <f t="shared" si="165"/>
        <v>0</v>
      </c>
      <c r="N131" s="570">
        <f t="shared" si="165"/>
        <v>50</v>
      </c>
      <c r="O131" s="570">
        <f t="shared" si="165"/>
        <v>0</v>
      </c>
      <c r="P131" s="570">
        <f t="shared" si="165"/>
        <v>0</v>
      </c>
      <c r="Q131" s="37">
        <f t="shared" si="165"/>
        <v>200</v>
      </c>
      <c r="R131" s="569">
        <f t="shared" si="165"/>
        <v>50</v>
      </c>
      <c r="S131" s="570">
        <f t="shared" si="165"/>
        <v>50</v>
      </c>
      <c r="T131" s="570">
        <f t="shared" si="165"/>
        <v>50</v>
      </c>
      <c r="U131" s="570">
        <f t="shared" si="165"/>
        <v>50</v>
      </c>
      <c r="V131" s="37">
        <f t="shared" si="165"/>
        <v>200</v>
      </c>
      <c r="W131" s="39">
        <f t="shared" si="165"/>
        <v>200</v>
      </c>
      <c r="X131" s="40">
        <f t="shared" si="165"/>
        <v>200</v>
      </c>
      <c r="Z131" s="599">
        <f>SUM(Z128:Z129)</f>
        <v>16.666666666666668</v>
      </c>
    </row>
    <row r="132" spans="1:26" ht="15.75" thickBot="1" x14ac:dyDescent="0.3"/>
    <row r="133" spans="1:26" ht="15" customHeight="1" x14ac:dyDescent="0.25">
      <c r="A133" s="730" t="s">
        <v>86</v>
      </c>
      <c r="B133" s="732" t="s">
        <v>19</v>
      </c>
      <c r="C133" s="732" t="s">
        <v>45</v>
      </c>
      <c r="D133" s="734" t="s">
        <v>256</v>
      </c>
      <c r="E133" s="711" t="s">
        <v>20</v>
      </c>
      <c r="F133" s="709"/>
      <c r="G133" s="709"/>
      <c r="H133" s="709"/>
      <c r="I133" s="709"/>
      <c r="J133" s="709"/>
      <c r="K133" s="709"/>
      <c r="L133" s="709"/>
      <c r="M133" s="709"/>
      <c r="N133" s="709"/>
      <c r="O133" s="709"/>
      <c r="P133" s="710"/>
      <c r="Q133" s="704" t="s">
        <v>20</v>
      </c>
      <c r="R133" s="708" t="s">
        <v>25</v>
      </c>
      <c r="S133" s="709"/>
      <c r="T133" s="709"/>
      <c r="U133" s="710"/>
      <c r="V133" s="706" t="s">
        <v>25</v>
      </c>
      <c r="W133" s="718" t="s">
        <v>26</v>
      </c>
      <c r="X133" s="720" t="s">
        <v>27</v>
      </c>
      <c r="Z133" s="728" t="s">
        <v>50</v>
      </c>
    </row>
    <row r="134" spans="1:26" ht="15.75" thickBot="1" x14ac:dyDescent="0.3">
      <c r="A134" s="731"/>
      <c r="B134" s="733"/>
      <c r="C134" s="733"/>
      <c r="D134" s="735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05"/>
      <c r="R134" s="4" t="s">
        <v>21</v>
      </c>
      <c r="S134" s="2" t="s">
        <v>22</v>
      </c>
      <c r="T134" s="2" t="s">
        <v>23</v>
      </c>
      <c r="U134" s="2" t="s">
        <v>24</v>
      </c>
      <c r="V134" s="707"/>
      <c r="W134" s="719"/>
      <c r="X134" s="721"/>
      <c r="Z134" s="729"/>
    </row>
    <row r="135" spans="1:26" ht="18.75" customHeight="1" thickTop="1" x14ac:dyDescent="0.25">
      <c r="A135" s="94" t="s">
        <v>141</v>
      </c>
      <c r="B135" s="18">
        <v>5000</v>
      </c>
      <c r="C135" s="19" t="s">
        <v>48</v>
      </c>
      <c r="D135" s="20">
        <v>5</v>
      </c>
      <c r="E135" s="6">
        <f>IF(AND($C135="j",$D135=E$34),$B135,IF($C135="h",$B135*IF($D135=IF(MOD(E$34,6)=0,6,MOD(E$34,6)),1,0),IF($C135="q",$B135*IF($D135=IF(MOD(E$34,3)=0,3,MOD(E$34,3)),1,0),IF($C135="z",$B135*IF($D135=IF(MOD(E$34,2)=0,2,MOD(E$34,2)),1,0),IF($C135="m",$B135,0)))))</f>
        <v>0</v>
      </c>
      <c r="F135" s="7">
        <f t="shared" ref="F135:P137" si="166">IF(AND($C135="j",$D135=F$34),$B135,IF($C135="h",$B135*IF($D135=IF(MOD(F$34,6)=0,6,MOD(F$34,6)),1,0),IF($C135="q",$B135*IF($D135=IF(MOD(F$34,3)=0,3,MOD(F$34,3)),1,0),IF($C135="z",$B135*IF($D135=IF(MOD(F$34,2)=0,2,MOD(F$34,2)),1,0),IF($C135="m",$B135,0)))))</f>
        <v>0</v>
      </c>
      <c r="G135" s="7">
        <f t="shared" si="166"/>
        <v>0</v>
      </c>
      <c r="H135" s="7">
        <f t="shared" si="166"/>
        <v>0</v>
      </c>
      <c r="I135" s="7">
        <f t="shared" si="166"/>
        <v>5000</v>
      </c>
      <c r="J135" s="7">
        <f t="shared" si="166"/>
        <v>0</v>
      </c>
      <c r="K135" s="7">
        <f t="shared" si="166"/>
        <v>0</v>
      </c>
      <c r="L135" s="7">
        <f t="shared" si="166"/>
        <v>0</v>
      </c>
      <c r="M135" s="7">
        <f t="shared" si="166"/>
        <v>0</v>
      </c>
      <c r="N135" s="7">
        <f t="shared" si="166"/>
        <v>0</v>
      </c>
      <c r="O135" s="7">
        <f t="shared" si="166"/>
        <v>0</v>
      </c>
      <c r="P135" s="7">
        <f t="shared" si="166"/>
        <v>0</v>
      </c>
      <c r="Q135" s="272">
        <f>SUM(E135:P135)</f>
        <v>5000</v>
      </c>
      <c r="R135" s="310">
        <f>IF(AND($C135="j",$D135&gt;=1,$D135&lt;=3),$B135,IF(AND($C135="h",$D135&gt;=1,$D135&lt;=3),$B135,IF(AND($C135="q",$D135&gt;=1,$D135&lt;=3),$B135,IF($C135="z",IF($D135=1,2*$B135,$B135),IF($C135="m",3*$B135,0)))))</f>
        <v>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5000</v>
      </c>
      <c r="T135" s="7">
        <f>IF(AND($C135="j",$D135&gt;=7,$D135&lt;=9),$B135,IF(AND($C135="h",$D135&gt;=1,$D135&lt;=3),$B135,IF(AND($C135="q",$D135&gt;=1,$D135&lt;=3),$B135,IF($C135="z",IF($D135=1,2*$B135,$B135),IF($C135="m",3*$B135,0)))))</f>
        <v>0</v>
      </c>
      <c r="U135" s="7">
        <f>IF(AND($C135="j",$D135&gt;=10,$D135&lt;=12),$B135,IF(AND($C135="h",$D135&gt;=4,$D135&lt;=6),$B135,IF(AND($C135="q",$D135&gt;=1,$D135&lt;=3),$B135,IF($C135="z",IF($D135=2,2*$B135,$B135),IF($C135="m",3*$B135,0)))))</f>
        <v>0</v>
      </c>
      <c r="V135" s="272">
        <f>SUM(R135:U135)</f>
        <v>5000</v>
      </c>
      <c r="W135" s="8">
        <f>IF($C135="j",$B135,IF($C135="h",2*$B135,IF($C135="q",4*$B135,IF($C135="z",6*$B135,12*$B135))))</f>
        <v>5000</v>
      </c>
      <c r="X135" s="9">
        <f>IF($C135="j",$B135,IF($C135="h",2*$B135,IF($C135="q",4*$B135,IF($C135="z",6*$B135,12*$B135))))</f>
        <v>5000</v>
      </c>
      <c r="Z135" s="594">
        <f>Q135/12</f>
        <v>416.66666666666669</v>
      </c>
    </row>
    <row r="136" spans="1:26" ht="18.75" customHeight="1" x14ac:dyDescent="0.25">
      <c r="A136" s="95" t="s">
        <v>142</v>
      </c>
      <c r="B136" s="96">
        <v>10000</v>
      </c>
      <c r="C136" s="97" t="s">
        <v>48</v>
      </c>
      <c r="D136" s="98">
        <v>5</v>
      </c>
      <c r="E136" s="10">
        <f t="shared" ref="E136:E137" si="167">IF(AND($C136="j",$D136=E$34),$B136,IF($C136="h",$B136*IF($D136=IF(MOD(E$34,6)=0,6,MOD(E$34,6)),1,0),IF($C136="q",$B136*IF($D136=IF(MOD(E$34,3)=0,3,MOD(E$34,3)),1,0),IF($C136="z",$B136*IF($D136=IF(MOD(E$34,2)=0,2,MOD(E$34,2)),1,0),IF($C136="m",$B136,0)))))</f>
        <v>0</v>
      </c>
      <c r="F136" s="11">
        <f t="shared" si="166"/>
        <v>0</v>
      </c>
      <c r="G136" s="11">
        <f t="shared" si="166"/>
        <v>0</v>
      </c>
      <c r="H136" s="11">
        <f t="shared" si="166"/>
        <v>0</v>
      </c>
      <c r="I136" s="11">
        <f t="shared" si="166"/>
        <v>10000</v>
      </c>
      <c r="J136" s="11">
        <f t="shared" si="166"/>
        <v>0</v>
      </c>
      <c r="K136" s="11">
        <f t="shared" si="166"/>
        <v>0</v>
      </c>
      <c r="L136" s="11">
        <f t="shared" si="166"/>
        <v>0</v>
      </c>
      <c r="M136" s="11">
        <f t="shared" si="166"/>
        <v>0</v>
      </c>
      <c r="N136" s="11">
        <f t="shared" si="166"/>
        <v>0</v>
      </c>
      <c r="O136" s="11">
        <f t="shared" si="166"/>
        <v>0</v>
      </c>
      <c r="P136" s="11">
        <f t="shared" si="166"/>
        <v>0</v>
      </c>
      <c r="Q136" s="586">
        <f t="shared" ref="Q136:Q137" si="168">SUM(E136:P136)</f>
        <v>10000</v>
      </c>
      <c r="R136" s="311">
        <f t="shared" ref="R136:R137" si="169">IF(AND($C136="j",$D136&gt;=1,$D136&lt;=3),$B136,IF(AND($C136="h",$D136&gt;=1,$D136&lt;=3),$B136,IF(AND($C136="q",$D136&gt;=1,$D136&lt;=3),$B136,IF($C136="z",IF($D136=1,2*$B136,$B136),IF($C136="m",3*$B136,0)))))</f>
        <v>0</v>
      </c>
      <c r="S136" s="11">
        <f t="shared" ref="S136:S137" si="170">IF(AND($C136="j",$D136&gt;=4,$D136&lt;=6),$B136,IF(AND($C136="h",$D136&gt;=4,$D136&lt;=6),$B136,IF(AND($C136="q",$D136&gt;=1,$D136&lt;=3),$B136,IF($C136="z",IF($D136=2,2*$B136,$B136),IF($C136="m",3*$B136,0)))))</f>
        <v>10000</v>
      </c>
      <c r="T136" s="11">
        <f t="shared" ref="T136:T137" si="171">IF(AND($C136="j",$D136&gt;=7,$D136&lt;=9),$B136,IF(AND($C136="h",$D136&gt;=1,$D136&lt;=3),$B136,IF(AND($C136="q",$D136&gt;=1,$D136&lt;=3),$B136,IF($C136="z",IF($D136=1,2*$B136,$B136),IF($C136="m",3*$B136,0)))))</f>
        <v>0</v>
      </c>
      <c r="U136" s="11">
        <f t="shared" ref="U136:U137" si="172">IF(AND($C136="j",$D136&gt;=10,$D136&lt;=12),$B136,IF(AND($C136="h",$D136&gt;=4,$D136&lt;=6),$B136,IF(AND($C136="q",$D136&gt;=1,$D136&lt;=3),$B136,IF($C136="z",IF($D136=2,2*$B136,$B136),IF($C136="m",3*$B136,0)))))</f>
        <v>0</v>
      </c>
      <c r="V136" s="586">
        <f t="shared" ref="V136:V137" si="173">SUM(R136:U136)</f>
        <v>10000</v>
      </c>
      <c r="W136" s="12">
        <f t="shared" ref="W136:X137" si="174">IF($C136="j",$B136,IF($C136="h",2*$B136,IF($C136="q",4*$B136,IF($C136="z",6*$B136,12*$B136))))</f>
        <v>10000</v>
      </c>
      <c r="X136" s="13">
        <f t="shared" si="174"/>
        <v>10000</v>
      </c>
      <c r="Z136" s="595">
        <f t="shared" ref="Z136:Z137" si="175">Q136/12</f>
        <v>833.33333333333337</v>
      </c>
    </row>
    <row r="137" spans="1:26" ht="18.75" customHeight="1" thickBot="1" x14ac:dyDescent="0.3">
      <c r="A137" s="99"/>
      <c r="B137" s="100"/>
      <c r="C137" s="101"/>
      <c r="D137" s="102"/>
      <c r="E137" s="14">
        <f t="shared" si="167"/>
        <v>0</v>
      </c>
      <c r="F137" s="15">
        <f t="shared" si="166"/>
        <v>0</v>
      </c>
      <c r="G137" s="15">
        <f t="shared" si="166"/>
        <v>0</v>
      </c>
      <c r="H137" s="15">
        <f t="shared" si="166"/>
        <v>0</v>
      </c>
      <c r="I137" s="15">
        <f t="shared" si="166"/>
        <v>0</v>
      </c>
      <c r="J137" s="15">
        <f t="shared" si="166"/>
        <v>0</v>
      </c>
      <c r="K137" s="15">
        <f t="shared" si="166"/>
        <v>0</v>
      </c>
      <c r="L137" s="15">
        <f t="shared" si="166"/>
        <v>0</v>
      </c>
      <c r="M137" s="15">
        <f t="shared" si="166"/>
        <v>0</v>
      </c>
      <c r="N137" s="15">
        <f t="shared" si="166"/>
        <v>0</v>
      </c>
      <c r="O137" s="15">
        <f t="shared" si="166"/>
        <v>0</v>
      </c>
      <c r="P137" s="15">
        <f t="shared" si="166"/>
        <v>0</v>
      </c>
      <c r="Q137" s="273">
        <f t="shared" si="168"/>
        <v>0</v>
      </c>
      <c r="R137" s="590">
        <f t="shared" si="169"/>
        <v>0</v>
      </c>
      <c r="S137" s="15">
        <f t="shared" si="170"/>
        <v>0</v>
      </c>
      <c r="T137" s="15">
        <f t="shared" si="171"/>
        <v>0</v>
      </c>
      <c r="U137" s="15">
        <f t="shared" si="172"/>
        <v>0</v>
      </c>
      <c r="V137" s="273">
        <f t="shared" si="173"/>
        <v>0</v>
      </c>
      <c r="W137" s="16">
        <f t="shared" si="174"/>
        <v>0</v>
      </c>
      <c r="X137" s="17">
        <f t="shared" si="174"/>
        <v>0</v>
      </c>
      <c r="Z137" s="600">
        <f t="shared" si="175"/>
        <v>0</v>
      </c>
    </row>
    <row r="138" spans="1:26" ht="7.5" customHeight="1" thickTop="1" thickBot="1" x14ac:dyDescent="0.3">
      <c r="A138" s="103"/>
      <c r="B138" s="104"/>
      <c r="C138" s="105"/>
      <c r="D138" s="106"/>
      <c r="E138" s="27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30"/>
      <c r="R138" s="31"/>
      <c r="S138" s="28"/>
      <c r="T138" s="28"/>
      <c r="U138" s="28"/>
      <c r="V138" s="30"/>
      <c r="W138" s="33"/>
      <c r="X138" s="34"/>
      <c r="Z138" s="596"/>
    </row>
    <row r="139" spans="1:26" ht="18.75" customHeight="1" thickBot="1" x14ac:dyDescent="0.3">
      <c r="A139" s="597" t="s">
        <v>51</v>
      </c>
      <c r="B139" s="598">
        <f>Z139</f>
        <v>1250</v>
      </c>
      <c r="C139" s="659"/>
      <c r="D139" s="660"/>
      <c r="E139" s="661">
        <f>SUM(E135:E138)</f>
        <v>0</v>
      </c>
      <c r="F139" s="570">
        <f t="shared" ref="F139:L139" si="176">SUM(F135:F138)</f>
        <v>0</v>
      </c>
      <c r="G139" s="570">
        <f>SUM(G135:G138)</f>
        <v>0</v>
      </c>
      <c r="H139" s="570">
        <f t="shared" si="176"/>
        <v>0</v>
      </c>
      <c r="I139" s="570">
        <f t="shared" si="176"/>
        <v>15000</v>
      </c>
      <c r="J139" s="570">
        <f t="shared" si="176"/>
        <v>0</v>
      </c>
      <c r="K139" s="570">
        <f t="shared" si="176"/>
        <v>0</v>
      </c>
      <c r="L139" s="570">
        <f t="shared" si="176"/>
        <v>0</v>
      </c>
      <c r="M139" s="570">
        <f t="shared" ref="M139" si="177">SUM(M135:M138)</f>
        <v>0</v>
      </c>
      <c r="N139" s="570">
        <f t="shared" ref="N139" si="178">SUM(N135:N138)</f>
        <v>0</v>
      </c>
      <c r="O139" s="570">
        <f t="shared" ref="O139" si="179">SUM(O135:O138)</f>
        <v>0</v>
      </c>
      <c r="P139" s="570">
        <f t="shared" ref="P139" si="180">SUM(P135:P138)</f>
        <v>0</v>
      </c>
      <c r="Q139" s="37">
        <f t="shared" ref="Q139" si="181">SUM(Q135:Q138)</f>
        <v>15000</v>
      </c>
      <c r="R139" s="569">
        <f t="shared" ref="R139" si="182">SUM(R135:R138)</f>
        <v>0</v>
      </c>
      <c r="S139" s="570">
        <f t="shared" ref="S139" si="183">SUM(S135:S138)</f>
        <v>15000</v>
      </c>
      <c r="T139" s="570">
        <f t="shared" ref="T139" si="184">SUM(T135:T138)</f>
        <v>0</v>
      </c>
      <c r="U139" s="570">
        <f t="shared" ref="U139" si="185">SUM(U135:U138)</f>
        <v>0</v>
      </c>
      <c r="V139" s="37">
        <f t="shared" ref="V139" si="186">SUM(V135:V138)</f>
        <v>15000</v>
      </c>
      <c r="W139" s="39">
        <f t="shared" ref="W139" si="187">SUM(W135:W138)</f>
        <v>15000</v>
      </c>
      <c r="X139" s="40">
        <f t="shared" ref="X139" si="188">SUM(X135:X138)</f>
        <v>15000</v>
      </c>
      <c r="Z139" s="599">
        <f>SUM(Z135:Z137)</f>
        <v>1250</v>
      </c>
    </row>
  </sheetData>
  <sheetProtection algorithmName="SHA-512" hashValue="U6ugfGsQSx7v2/6MxxhAP5DzWL03JeksTKemSC6D5Cqu0pNR3rblFiTCto2tArwdORkmmLubGYyhKN7rXleGGw==" saltValue="wDEByDhNsdxqG6isiBNF7w==" spinCount="100000" sheet="1" objects="1" scenarios="1"/>
  <mergeCells count="189"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63:Z64"/>
    <mergeCell ref="A71:A72"/>
    <mergeCell ref="B71:B72"/>
    <mergeCell ref="C71:C72"/>
    <mergeCell ref="D71:D72"/>
    <mergeCell ref="E71:P71"/>
    <mergeCell ref="Q71:Q72"/>
    <mergeCell ref="R71:U71"/>
    <mergeCell ref="V71:V72"/>
    <mergeCell ref="W71:W72"/>
    <mergeCell ref="X71:X72"/>
    <mergeCell ref="Z71:Z72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79:Z80"/>
    <mergeCell ref="A87:A88"/>
    <mergeCell ref="B87:B88"/>
    <mergeCell ref="C87:C88"/>
    <mergeCell ref="D87:D88"/>
    <mergeCell ref="E87:P87"/>
    <mergeCell ref="Q87:Q88"/>
    <mergeCell ref="R87:U87"/>
    <mergeCell ref="V87:V88"/>
    <mergeCell ref="W87:W88"/>
    <mergeCell ref="X87:X88"/>
    <mergeCell ref="Z87:Z88"/>
    <mergeCell ref="E79:P79"/>
    <mergeCell ref="Q79:Q80"/>
    <mergeCell ref="R79:U79"/>
    <mergeCell ref="V79:V80"/>
    <mergeCell ref="W79:W80"/>
    <mergeCell ref="A79:A80"/>
    <mergeCell ref="B79:B80"/>
    <mergeCell ref="C79:C80"/>
    <mergeCell ref="D79:D80"/>
    <mergeCell ref="X79:X80"/>
    <mergeCell ref="Z96:Z97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Q96:Q97"/>
    <mergeCell ref="R96:U96"/>
    <mergeCell ref="V96:V97"/>
    <mergeCell ref="W96:W97"/>
    <mergeCell ref="X96:X97"/>
    <mergeCell ref="A96:A97"/>
    <mergeCell ref="B96:B97"/>
    <mergeCell ref="C96:C97"/>
    <mergeCell ref="D96:D97"/>
    <mergeCell ref="E96:P96"/>
    <mergeCell ref="X119:X120"/>
    <mergeCell ref="Z119:Z120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A119:A120"/>
    <mergeCell ref="B119:B120"/>
    <mergeCell ref="C119:C120"/>
    <mergeCell ref="D119:D120"/>
    <mergeCell ref="E119:P119"/>
    <mergeCell ref="Q119:Q120"/>
    <mergeCell ref="R119:U119"/>
    <mergeCell ref="V119:V120"/>
    <mergeCell ref="W119:W120"/>
    <mergeCell ref="Z112:Z113"/>
    <mergeCell ref="Z126:Z127"/>
    <mergeCell ref="A133:A134"/>
    <mergeCell ref="B133:B134"/>
    <mergeCell ref="C133:C134"/>
    <mergeCell ref="D133:D134"/>
    <mergeCell ref="E133:P133"/>
    <mergeCell ref="Q133:Q134"/>
    <mergeCell ref="R133:U133"/>
    <mergeCell ref="V133:V134"/>
    <mergeCell ref="W133:W134"/>
    <mergeCell ref="X133:X134"/>
    <mergeCell ref="Z133:Z134"/>
    <mergeCell ref="Q126:Q127"/>
    <mergeCell ref="R126:U126"/>
    <mergeCell ref="V126:V127"/>
    <mergeCell ref="W126:W127"/>
    <mergeCell ref="X126:X127"/>
    <mergeCell ref="A126:A127"/>
    <mergeCell ref="B126:B127"/>
    <mergeCell ref="C126:C127"/>
    <mergeCell ref="D126:D127"/>
    <mergeCell ref="E126:P126"/>
  </mergeCells>
  <dataValidations count="3">
    <dataValidation type="list" allowBlank="1" showInputMessage="1" showErrorMessage="1" sqref="C27:C29 C49:C52 C105:C108 C89:C92 C128:C129 C135:C137 C35:C36 C42:C43 C58:C59 C114:C115 C121:C122 C98:C99 C81:C83 C73:C75 C65:C67">
      <formula1>"j,h,q,z,m"</formula1>
    </dataValidation>
    <dataValidation type="list" allowBlank="1" showInputMessage="1" showErrorMessage="1" sqref="D27:D29 D49:D52 D105:D108 D89:D92 D128:D129 D135:D137 D35:D36 D42:D43 D58:D59 D114:D115 D121:D122 D98:D99 D81:D83 D73:D75 D65:D67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" right="0.7" top="0.78740157499999996" bottom="0.78740157499999996" header="0.3" footer="0.3"/>
  <pageSetup paperSize="8" scale="73" fitToHeight="0" orientation="landscape" horizontalDpi="0" verticalDpi="0" r:id="rId1"/>
  <rowBreaks count="2" manualBreakCount="2">
    <brk id="55" max="23" man="1"/>
    <brk id="11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41" bestFit="1" customWidth="1"/>
    <col min="2" max="2" width="12.140625" style="41" bestFit="1" customWidth="1"/>
    <col min="3" max="3" width="6.28515625" style="41" bestFit="1" customWidth="1"/>
    <col min="4" max="4" width="9" style="41" bestFit="1" customWidth="1"/>
    <col min="5" max="5" width="6.7109375" style="41" bestFit="1" customWidth="1"/>
    <col min="6" max="6" width="11.85546875" style="41" bestFit="1" customWidth="1"/>
    <col min="7" max="7" width="13" style="41" bestFit="1" customWidth="1"/>
    <col min="8" max="8" width="11.85546875" style="41" bestFit="1" customWidth="1"/>
    <col min="9" max="9" width="13" style="41" bestFit="1" customWidth="1"/>
    <col min="10" max="10" width="11.85546875" style="41" bestFit="1" customWidth="1"/>
    <col min="11" max="11" width="13" style="41" bestFit="1" customWidth="1"/>
    <col min="12" max="13" width="11.85546875" style="41" bestFit="1" customWidth="1"/>
    <col min="14" max="16384" width="11.42578125" style="41"/>
  </cols>
  <sheetData>
    <row r="1" spans="1:13" ht="27" thickBot="1" x14ac:dyDescent="0.3">
      <c r="A1" s="701" t="s">
        <v>137</v>
      </c>
      <c r="B1" s="702"/>
      <c r="C1" s="702"/>
      <c r="D1" s="702"/>
      <c r="E1" s="702"/>
      <c r="F1" s="702"/>
      <c r="G1" s="702"/>
      <c r="H1" s="702"/>
      <c r="I1" s="702"/>
      <c r="J1" s="702"/>
      <c r="K1" s="702"/>
      <c r="L1" s="702"/>
      <c r="M1" s="703"/>
    </row>
    <row r="2" spans="1:13" ht="7.5" customHeight="1" thickBot="1" x14ac:dyDescent="0.3"/>
    <row r="3" spans="1:13" ht="15" customHeight="1" x14ac:dyDescent="0.25">
      <c r="A3" s="722" t="s">
        <v>186</v>
      </c>
      <c r="B3" s="726" t="s">
        <v>188</v>
      </c>
      <c r="C3" s="726" t="s">
        <v>32</v>
      </c>
      <c r="D3" s="726" t="s">
        <v>31</v>
      </c>
      <c r="E3" s="724" t="s">
        <v>187</v>
      </c>
      <c r="F3" s="757" t="s">
        <v>20</v>
      </c>
      <c r="G3" s="758"/>
      <c r="H3" s="708" t="s">
        <v>25</v>
      </c>
      <c r="I3" s="706"/>
      <c r="J3" s="708" t="s">
        <v>26</v>
      </c>
      <c r="K3" s="706"/>
      <c r="L3" s="708" t="s">
        <v>27</v>
      </c>
      <c r="M3" s="753"/>
    </row>
    <row r="4" spans="1:13" s="5" customFormat="1" ht="15" customHeight="1" thickBot="1" x14ac:dyDescent="0.3">
      <c r="A4" s="723"/>
      <c r="B4" s="727"/>
      <c r="C4" s="727"/>
      <c r="D4" s="727"/>
      <c r="E4" s="725"/>
      <c r="F4" s="262" t="s">
        <v>138</v>
      </c>
      <c r="G4" s="263" t="s">
        <v>139</v>
      </c>
      <c r="H4" s="264" t="s">
        <v>138</v>
      </c>
      <c r="I4" s="271" t="s">
        <v>139</v>
      </c>
      <c r="J4" s="264" t="s">
        <v>138</v>
      </c>
      <c r="K4" s="271" t="s">
        <v>139</v>
      </c>
      <c r="L4" s="264" t="s">
        <v>138</v>
      </c>
      <c r="M4" s="386" t="s">
        <v>139</v>
      </c>
    </row>
    <row r="5" spans="1:13" ht="18.75" customHeight="1" outlineLevel="2" thickTop="1" x14ac:dyDescent="0.25">
      <c r="A5" s="489" t="str">
        <f t="array" ref="A5:D14">IF(Investitionsplan!A5:D14="","",Investitionsplan!A5:D14)</f>
        <v>Büroeinrichtung</v>
      </c>
      <c r="B5" s="252">
        <v>25000</v>
      </c>
      <c r="C5" s="114">
        <v>10</v>
      </c>
      <c r="D5" s="114">
        <v>1</v>
      </c>
      <c r="E5" s="115">
        <f>IF($D5="","",IF(OR($D5&lt;=6,AND($D5&gt;12,$D5&lt;=18),AND($D5&gt;24,$D5&lt;=30),AND($D5&gt;36,$D5&lt;=42)),1,2))</f>
        <v>1</v>
      </c>
      <c r="F5" s="6">
        <f>IF($D5&lt;=12,$B5/$C5/$E5,0)</f>
        <v>2500</v>
      </c>
      <c r="G5" s="72">
        <f>IF($D5&lt;=12,$B5-$F5,0)</f>
        <v>22500</v>
      </c>
      <c r="H5" s="73">
        <f>IF($D5&lt;=24,IF($D5&lt;=12,$B5/$C5,$B5/$C5/$E5),0)</f>
        <v>2500</v>
      </c>
      <c r="I5" s="75">
        <f>IF($D5&lt;=24,IF($D5&lt;=12,G5-H5,$B5-H5),0)</f>
        <v>20000</v>
      </c>
      <c r="J5" s="73">
        <f>IF($D5&lt;=36,IF($D5&lt;=24,$B5/$C5,$B5/$C5/$E5),0)</f>
        <v>2500</v>
      </c>
      <c r="K5" s="75">
        <f>IF($D5&lt;=36,IF($D5&lt;=24,I5-J5,$B5-J5),0)</f>
        <v>17500</v>
      </c>
      <c r="L5" s="73">
        <f t="shared" ref="L5:L6" si="0">IFERROR(IF($C5*12+$D5-1&lt;=36,0,IF(IF($D5&lt;=48,IF($D5&lt;=36,$B5/$C5,$B5/$C5/$E5),0)&gt;$K5,$K5,IF($D5&lt;=48,IF($D5&lt;=36,$B5/$C5,$B5/$C5/$E5),0))),0)</f>
        <v>2500</v>
      </c>
      <c r="M5" s="387">
        <f>IF($D5&lt;=48,IF($D5&lt;=36,K5-L5,$B5-L5),0)</f>
        <v>15000</v>
      </c>
    </row>
    <row r="6" spans="1:13" ht="18.75" customHeight="1" outlineLevel="2" x14ac:dyDescent="0.25">
      <c r="A6" s="488" t="str">
        <v>Küchenausstattung</v>
      </c>
      <c r="B6" s="253">
        <v>3000</v>
      </c>
      <c r="C6" s="116">
        <v>5</v>
      </c>
      <c r="D6" s="116">
        <v>1</v>
      </c>
      <c r="E6" s="254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6">
        <f t="shared" ref="G6:G13" si="3">IF($D6&lt;=12,$B6-$F6,0)</f>
        <v>2400</v>
      </c>
      <c r="H6" s="77">
        <f t="shared" ref="H6:H13" si="4">IF($D6&lt;=24,IF($D6&lt;=12,$B6/$C6,$B6/$C6/$E6),0)</f>
        <v>600</v>
      </c>
      <c r="I6" s="79">
        <f t="shared" ref="I6:I13" si="5">IF($D6&lt;=24,IF($D6&lt;=12,G6-H6,$B6-H6),0)</f>
        <v>1800</v>
      </c>
      <c r="J6" s="77">
        <f t="shared" ref="J6:J13" si="6">IF($D6&lt;=36,IF($D6&lt;=24,$B6/$C6,$B6/$C6/$E6),0)</f>
        <v>600</v>
      </c>
      <c r="K6" s="79">
        <f t="shared" ref="K6:K13" si="7">IF($D6&lt;=36,IF($D6&lt;=24,I6-J6,$B6-J6),0)</f>
        <v>1200</v>
      </c>
      <c r="L6" s="77">
        <f t="shared" si="0"/>
        <v>600</v>
      </c>
      <c r="M6" s="388">
        <f t="shared" ref="M6:M13" si="8">IF($D6&lt;=48,IF($D6&lt;=36,K6-L6,$B6-L6),0)</f>
        <v>600</v>
      </c>
    </row>
    <row r="7" spans="1:13" ht="18.75" customHeight="1" outlineLevel="2" x14ac:dyDescent="0.25">
      <c r="A7" s="488" t="str">
        <v>EDV - Ausstattung (allgemein)</v>
      </c>
      <c r="B7" s="253">
        <v>10000</v>
      </c>
      <c r="C7" s="116">
        <v>4</v>
      </c>
      <c r="D7" s="116">
        <v>1</v>
      </c>
      <c r="E7" s="254">
        <f t="shared" si="1"/>
        <v>1</v>
      </c>
      <c r="F7" s="10">
        <f t="shared" si="2"/>
        <v>2500</v>
      </c>
      <c r="G7" s="76">
        <f t="shared" si="3"/>
        <v>7500</v>
      </c>
      <c r="H7" s="77">
        <f t="shared" si="4"/>
        <v>2500</v>
      </c>
      <c r="I7" s="79">
        <f t="shared" si="5"/>
        <v>5000</v>
      </c>
      <c r="J7" s="77">
        <f t="shared" si="6"/>
        <v>2500</v>
      </c>
      <c r="K7" s="79">
        <f t="shared" si="7"/>
        <v>2500</v>
      </c>
      <c r="L7" s="77">
        <f>IFERROR(IF($C7*12+$D7-1&lt;=36,0,IF(IF($D7&lt;=48,IF($D7&lt;=36,$B7/$C7,$B7/$C7/$E7),0)&gt;$K7,$K7,IF($D7&lt;=48,IF($D7&lt;=36,$B7/$C7,$B7/$C7/$E7),0))),0)</f>
        <v>2500</v>
      </c>
      <c r="M7" s="388">
        <f t="shared" si="8"/>
        <v>0</v>
      </c>
    </row>
    <row r="8" spans="1:13" ht="18.75" customHeight="1" outlineLevel="2" x14ac:dyDescent="0.25">
      <c r="A8" s="488" t="str">
        <v>EDV - Ausstattung (Gründer)</v>
      </c>
      <c r="B8" s="253">
        <v>12000</v>
      </c>
      <c r="C8" s="116">
        <v>4</v>
      </c>
      <c r="D8" s="116">
        <v>1</v>
      </c>
      <c r="E8" s="254">
        <f t="shared" si="1"/>
        <v>1</v>
      </c>
      <c r="F8" s="10">
        <f t="shared" si="2"/>
        <v>3000</v>
      </c>
      <c r="G8" s="76">
        <f t="shared" si="3"/>
        <v>9000</v>
      </c>
      <c r="H8" s="77">
        <f t="shared" si="4"/>
        <v>3000</v>
      </c>
      <c r="I8" s="79">
        <f t="shared" si="5"/>
        <v>6000</v>
      </c>
      <c r="J8" s="77">
        <f t="shared" si="6"/>
        <v>3000</v>
      </c>
      <c r="K8" s="79">
        <f t="shared" si="7"/>
        <v>3000</v>
      </c>
      <c r="L8" s="77">
        <f t="shared" ref="L8:L13" si="9">IFERROR(IF($C8*12+$D8-1&lt;=36,0,IF(IF($D8&lt;=48,IF($D8&lt;=36,$B8/$C8,$B8/$C8/$E8),0)&gt;$K8,$K8,IF($D8&lt;=48,IF($D8&lt;=36,$B8/$C8,$B8/$C8/$E8),0))),0)</f>
        <v>3000</v>
      </c>
      <c r="M8" s="388">
        <f t="shared" si="8"/>
        <v>0</v>
      </c>
    </row>
    <row r="9" spans="1:13" ht="18.75" customHeight="1" outlineLevel="2" x14ac:dyDescent="0.25">
      <c r="A9" s="488" t="str">
        <v>EDV - Ausstattung (Mitarbeiter)</v>
      </c>
      <c r="B9" s="253">
        <v>8000</v>
      </c>
      <c r="C9" s="116">
        <v>4</v>
      </c>
      <c r="D9" s="116">
        <v>1</v>
      </c>
      <c r="E9" s="254">
        <f t="shared" si="1"/>
        <v>1</v>
      </c>
      <c r="F9" s="10">
        <f t="shared" si="2"/>
        <v>2000</v>
      </c>
      <c r="G9" s="76">
        <f t="shared" si="3"/>
        <v>6000</v>
      </c>
      <c r="H9" s="77">
        <f t="shared" si="4"/>
        <v>2000</v>
      </c>
      <c r="I9" s="79">
        <f t="shared" si="5"/>
        <v>4000</v>
      </c>
      <c r="J9" s="77">
        <f t="shared" si="6"/>
        <v>2000</v>
      </c>
      <c r="K9" s="79">
        <f t="shared" si="7"/>
        <v>2000</v>
      </c>
      <c r="L9" s="77">
        <f t="shared" si="9"/>
        <v>2000</v>
      </c>
      <c r="M9" s="388">
        <f t="shared" si="8"/>
        <v>0</v>
      </c>
    </row>
    <row r="10" spans="1:13" ht="18.75" customHeight="1" outlineLevel="2" x14ac:dyDescent="0.25">
      <c r="A10" s="488" t="str">
        <v>EDV - Ausstattung (Mitarbeiter)</v>
      </c>
      <c r="B10" s="253">
        <v>2000</v>
      </c>
      <c r="C10" s="116">
        <v>4</v>
      </c>
      <c r="D10" s="116">
        <v>13</v>
      </c>
      <c r="E10" s="254">
        <f t="shared" si="1"/>
        <v>1</v>
      </c>
      <c r="F10" s="10">
        <f t="shared" si="2"/>
        <v>0</v>
      </c>
      <c r="G10" s="76">
        <f t="shared" si="3"/>
        <v>0</v>
      </c>
      <c r="H10" s="77">
        <f t="shared" si="4"/>
        <v>500</v>
      </c>
      <c r="I10" s="79">
        <f t="shared" si="5"/>
        <v>1500</v>
      </c>
      <c r="J10" s="77">
        <f t="shared" si="6"/>
        <v>500</v>
      </c>
      <c r="K10" s="79">
        <f t="shared" si="7"/>
        <v>1000</v>
      </c>
      <c r="L10" s="77">
        <f t="shared" si="9"/>
        <v>500</v>
      </c>
      <c r="M10" s="388">
        <f t="shared" si="8"/>
        <v>500</v>
      </c>
    </row>
    <row r="11" spans="1:13" ht="18.75" customHeight="1" outlineLevel="2" x14ac:dyDescent="0.25">
      <c r="A11" s="255" t="str">
        <v>Server</v>
      </c>
      <c r="B11" s="256">
        <v>10000</v>
      </c>
      <c r="C11" s="257">
        <v>4</v>
      </c>
      <c r="D11" s="257">
        <v>2</v>
      </c>
      <c r="E11" s="258">
        <f t="shared" si="1"/>
        <v>1</v>
      </c>
      <c r="F11" s="14">
        <f t="shared" si="2"/>
        <v>2500</v>
      </c>
      <c r="G11" s="80">
        <f t="shared" si="3"/>
        <v>7500</v>
      </c>
      <c r="H11" s="81">
        <f t="shared" si="4"/>
        <v>2500</v>
      </c>
      <c r="I11" s="83">
        <f t="shared" si="5"/>
        <v>5000</v>
      </c>
      <c r="J11" s="81">
        <f t="shared" si="6"/>
        <v>2500</v>
      </c>
      <c r="K11" s="83">
        <f t="shared" si="7"/>
        <v>2500</v>
      </c>
      <c r="L11" s="77">
        <f t="shared" si="9"/>
        <v>2500</v>
      </c>
      <c r="M11" s="389">
        <f t="shared" si="8"/>
        <v>0</v>
      </c>
    </row>
    <row r="12" spans="1:13" ht="18.75" customHeight="1" outlineLevel="2" x14ac:dyDescent="0.25">
      <c r="A12" s="255" t="str">
        <v>Messaufbau</v>
      </c>
      <c r="B12" s="256">
        <v>10000</v>
      </c>
      <c r="C12" s="257">
        <v>5</v>
      </c>
      <c r="D12" s="257">
        <v>5</v>
      </c>
      <c r="E12" s="258">
        <f t="shared" si="1"/>
        <v>1</v>
      </c>
      <c r="F12" s="14">
        <f t="shared" si="2"/>
        <v>2000</v>
      </c>
      <c r="G12" s="80">
        <f t="shared" si="3"/>
        <v>8000</v>
      </c>
      <c r="H12" s="81">
        <f t="shared" si="4"/>
        <v>2000</v>
      </c>
      <c r="I12" s="83">
        <f t="shared" si="5"/>
        <v>6000</v>
      </c>
      <c r="J12" s="81">
        <f t="shared" si="6"/>
        <v>2000</v>
      </c>
      <c r="K12" s="83">
        <f t="shared" si="7"/>
        <v>4000</v>
      </c>
      <c r="L12" s="77">
        <f t="shared" si="9"/>
        <v>2000</v>
      </c>
      <c r="M12" s="389">
        <f t="shared" si="8"/>
        <v>2000</v>
      </c>
    </row>
    <row r="13" spans="1:13" ht="18.75" customHeight="1" outlineLevel="2" thickBot="1" x14ac:dyDescent="0.3">
      <c r="A13" s="255" t="str">
        <v/>
      </c>
      <c r="B13" s="256" t="str">
        <v/>
      </c>
      <c r="C13" s="257" t="str">
        <v/>
      </c>
      <c r="D13" s="257" t="str">
        <v/>
      </c>
      <c r="E13" s="258" t="str">
        <f t="shared" si="1"/>
        <v/>
      </c>
      <c r="F13" s="14">
        <f t="shared" si="2"/>
        <v>0</v>
      </c>
      <c r="G13" s="80">
        <f t="shared" si="3"/>
        <v>0</v>
      </c>
      <c r="H13" s="81">
        <f t="shared" si="4"/>
        <v>0</v>
      </c>
      <c r="I13" s="83">
        <f t="shared" si="5"/>
        <v>0</v>
      </c>
      <c r="J13" s="81">
        <f t="shared" si="6"/>
        <v>0</v>
      </c>
      <c r="K13" s="83">
        <f t="shared" si="7"/>
        <v>0</v>
      </c>
      <c r="L13" s="81">
        <f t="shared" si="9"/>
        <v>0</v>
      </c>
      <c r="M13" s="389">
        <f t="shared" si="8"/>
        <v>0</v>
      </c>
    </row>
    <row r="14" spans="1:13" ht="7.5" customHeight="1" outlineLevel="2" thickTop="1" thickBot="1" x14ac:dyDescent="0.3">
      <c r="A14" s="259" t="str">
        <v/>
      </c>
      <c r="B14" s="260" t="str">
        <v/>
      </c>
      <c r="C14" s="260" t="str">
        <v/>
      </c>
      <c r="D14" s="260" t="str">
        <v/>
      </c>
      <c r="E14" s="261" t="str">
        <f t="shared" si="1"/>
        <v/>
      </c>
      <c r="F14" s="27"/>
      <c r="G14" s="30"/>
      <c r="H14" s="31"/>
      <c r="I14" s="32"/>
      <c r="J14" s="31"/>
      <c r="K14" s="32"/>
      <c r="L14" s="31"/>
      <c r="M14" s="390"/>
    </row>
    <row r="15" spans="1:13" ht="18.75" customHeight="1" outlineLevel="1" thickBot="1" x14ac:dyDescent="0.3">
      <c r="A15" s="35" t="s">
        <v>28</v>
      </c>
      <c r="B15" s="556">
        <f>SUM(B5:B14)</f>
        <v>80000</v>
      </c>
      <c r="C15" s="42"/>
      <c r="D15" s="43"/>
      <c r="E15" s="44"/>
      <c r="F15" s="458">
        <f t="shared" ref="F15:M15" si="10">SUM(F5:F14)</f>
        <v>15100</v>
      </c>
      <c r="G15" s="558">
        <f t="shared" si="10"/>
        <v>62900</v>
      </c>
      <c r="H15" s="460">
        <f t="shared" si="10"/>
        <v>15600</v>
      </c>
      <c r="I15" s="559">
        <f t="shared" si="10"/>
        <v>49300</v>
      </c>
      <c r="J15" s="460">
        <f t="shared" si="10"/>
        <v>15600</v>
      </c>
      <c r="K15" s="558">
        <f t="shared" si="10"/>
        <v>33700</v>
      </c>
      <c r="L15" s="460">
        <f t="shared" si="10"/>
        <v>15600</v>
      </c>
      <c r="M15" s="610">
        <f t="shared" si="10"/>
        <v>18100</v>
      </c>
    </row>
    <row r="16" spans="1:13" ht="7.5" customHeight="1" outlineLevel="1" x14ac:dyDescent="0.25">
      <c r="A16" s="712"/>
      <c r="B16" s="713"/>
      <c r="C16" s="713"/>
      <c r="D16" s="713"/>
      <c r="E16" s="713"/>
      <c r="F16" s="713"/>
      <c r="G16" s="713"/>
      <c r="H16" s="713"/>
      <c r="I16" s="713"/>
      <c r="J16" s="713"/>
      <c r="K16" s="713"/>
      <c r="L16" s="713"/>
      <c r="M16" s="714"/>
    </row>
    <row r="17" spans="1:13" ht="18.75" customHeight="1" outlineLevel="1" thickBot="1" x14ac:dyDescent="0.3">
      <c r="A17" s="45" t="s">
        <v>29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7"/>
    </row>
    <row r="18" spans="1:13" ht="18.75" customHeight="1" outlineLevel="2" thickTop="1" x14ac:dyDescent="0.25">
      <c r="A18" s="489" t="str">
        <f t="array" ref="A18:D20">IF(Investitionsplan!A18:D20="","",Investitionsplan!A18:D20)</f>
        <v>Patentanträge</v>
      </c>
      <c r="B18" s="74">
        <v>20000</v>
      </c>
      <c r="C18" s="114">
        <v>20</v>
      </c>
      <c r="D18" s="114">
        <v>1</v>
      </c>
      <c r="E18" s="668"/>
      <c r="F18" s="278"/>
      <c r="G18" s="72">
        <f>$B18</f>
        <v>20000</v>
      </c>
      <c r="H18" s="280"/>
      <c r="I18" s="75">
        <f>$B18</f>
        <v>20000</v>
      </c>
      <c r="J18" s="280"/>
      <c r="K18" s="272">
        <f>$B18</f>
        <v>20000</v>
      </c>
      <c r="L18" s="280"/>
      <c r="M18" s="274">
        <f>$B18</f>
        <v>20000</v>
      </c>
    </row>
    <row r="19" spans="1:13" ht="18.75" customHeight="1" outlineLevel="2" thickBot="1" x14ac:dyDescent="0.3">
      <c r="A19" s="255" t="str">
        <v/>
      </c>
      <c r="B19" s="611" t="str">
        <v/>
      </c>
      <c r="C19" s="611" t="str">
        <v/>
      </c>
      <c r="D19" s="611" t="str">
        <v/>
      </c>
      <c r="E19" s="669"/>
      <c r="F19" s="279"/>
      <c r="G19" s="80" t="str">
        <f t="shared" ref="G19:M19" si="11">$B19</f>
        <v/>
      </c>
      <c r="H19" s="281"/>
      <c r="I19" s="83" t="str">
        <f t="shared" si="11"/>
        <v/>
      </c>
      <c r="J19" s="281"/>
      <c r="K19" s="273" t="str">
        <f t="shared" si="11"/>
        <v/>
      </c>
      <c r="L19" s="281"/>
      <c r="M19" s="275" t="str">
        <f t="shared" si="11"/>
        <v/>
      </c>
    </row>
    <row r="20" spans="1:13" ht="7.5" customHeight="1" outlineLevel="2" thickTop="1" thickBot="1" x14ac:dyDescent="0.3">
      <c r="A20" s="259" t="str">
        <v/>
      </c>
      <c r="B20" s="260" t="str">
        <v/>
      </c>
      <c r="C20" s="260" t="str">
        <v/>
      </c>
      <c r="D20" s="260" t="str">
        <v/>
      </c>
      <c r="E20" s="670"/>
      <c r="F20" s="671"/>
      <c r="G20" s="30"/>
      <c r="H20" s="672"/>
      <c r="I20" s="32"/>
      <c r="J20" s="672"/>
      <c r="K20" s="30"/>
      <c r="L20" s="672"/>
      <c r="M20" s="276"/>
    </row>
    <row r="21" spans="1:13" ht="18.75" customHeight="1" outlineLevel="1" thickBot="1" x14ac:dyDescent="0.3">
      <c r="A21" s="35" t="s">
        <v>28</v>
      </c>
      <c r="B21" s="556">
        <f>SUM(B16:B20)</f>
        <v>20000</v>
      </c>
      <c r="C21" s="42"/>
      <c r="D21" s="43"/>
      <c r="E21" s="44"/>
      <c r="F21" s="287"/>
      <c r="G21" s="558">
        <f>SUM(G16:G20)</f>
        <v>20000</v>
      </c>
      <c r="H21" s="284"/>
      <c r="I21" s="559">
        <f>SUM(I16:I20)</f>
        <v>20000</v>
      </c>
      <c r="J21" s="284"/>
      <c r="K21" s="558">
        <f>SUM(K16:K20)</f>
        <v>20000</v>
      </c>
      <c r="L21" s="284"/>
      <c r="M21" s="610">
        <f>SUM(M16:M20)</f>
        <v>20000</v>
      </c>
    </row>
    <row r="22" spans="1:13" ht="7.5" customHeight="1" outlineLevel="1" thickBot="1" x14ac:dyDescent="0.3">
      <c r="A22" s="48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7"/>
    </row>
    <row r="23" spans="1:13" s="49" customFormat="1" ht="18.75" customHeight="1" thickBot="1" x14ac:dyDescent="0.3">
      <c r="A23" s="50" t="s">
        <v>33</v>
      </c>
      <c r="B23" s="51">
        <f>B21+B15</f>
        <v>100000</v>
      </c>
      <c r="C23" s="52"/>
      <c r="D23" s="52"/>
      <c r="E23" s="126"/>
      <c r="F23" s="286"/>
      <c r="G23" s="53">
        <f>G21+G15</f>
        <v>82900</v>
      </c>
      <c r="H23" s="285"/>
      <c r="I23" s="53">
        <f>I21+I15</f>
        <v>69300</v>
      </c>
      <c r="J23" s="288"/>
      <c r="K23" s="54">
        <f>K21+K15</f>
        <v>53700</v>
      </c>
      <c r="L23" s="289"/>
      <c r="M23" s="55">
        <f>M21+M15</f>
        <v>38100</v>
      </c>
    </row>
    <row r="24" spans="1:13" ht="7.5" customHeight="1" thickBot="1" x14ac:dyDescent="0.3">
      <c r="A24" s="715"/>
      <c r="B24" s="716"/>
      <c r="C24" s="716"/>
      <c r="D24" s="716"/>
      <c r="E24" s="716"/>
      <c r="F24" s="716"/>
      <c r="G24" s="716"/>
      <c r="H24" s="716"/>
      <c r="I24" s="716"/>
      <c r="J24" s="716"/>
      <c r="K24" s="716"/>
      <c r="L24" s="716"/>
      <c r="M24" s="717"/>
    </row>
    <row r="25" spans="1:13" ht="15" customHeight="1" x14ac:dyDescent="0.25">
      <c r="A25" s="722" t="s">
        <v>260</v>
      </c>
      <c r="B25" s="726" t="s">
        <v>188</v>
      </c>
      <c r="C25" s="726" t="s">
        <v>32</v>
      </c>
      <c r="D25" s="726" t="s">
        <v>31</v>
      </c>
      <c r="E25" s="724" t="s">
        <v>187</v>
      </c>
      <c r="F25" s="757" t="s">
        <v>20</v>
      </c>
      <c r="G25" s="758"/>
      <c r="H25" s="708" t="s">
        <v>25</v>
      </c>
      <c r="I25" s="706"/>
      <c r="J25" s="708" t="s">
        <v>26</v>
      </c>
      <c r="K25" s="706"/>
      <c r="L25" s="708" t="s">
        <v>27</v>
      </c>
      <c r="M25" s="753"/>
    </row>
    <row r="26" spans="1:13" ht="15" customHeight="1" thickBot="1" x14ac:dyDescent="0.3">
      <c r="A26" s="723"/>
      <c r="B26" s="727"/>
      <c r="C26" s="727"/>
      <c r="D26" s="727"/>
      <c r="E26" s="725"/>
      <c r="F26" s="262" t="s">
        <v>138</v>
      </c>
      <c r="G26" s="263" t="s">
        <v>139</v>
      </c>
      <c r="H26" s="264" t="s">
        <v>138</v>
      </c>
      <c r="I26" s="271" t="s">
        <v>139</v>
      </c>
      <c r="J26" s="264" t="s">
        <v>138</v>
      </c>
      <c r="K26" s="271" t="s">
        <v>139</v>
      </c>
      <c r="L26" s="264" t="s">
        <v>138</v>
      </c>
      <c r="M26" s="386" t="s">
        <v>139</v>
      </c>
    </row>
    <row r="27" spans="1:13" ht="18.75" customHeight="1" outlineLevel="1" thickTop="1" x14ac:dyDescent="0.25">
      <c r="A27" s="489" t="str">
        <f t="array" ref="A27:D31">IF(Investitionsplan!A27:D31="","",Investitionsplan!A27:D31)</f>
        <v>Vertriebsauto</v>
      </c>
      <c r="B27" s="74">
        <v>35000</v>
      </c>
      <c r="C27" s="114">
        <v>4</v>
      </c>
      <c r="D27" s="114">
        <v>2</v>
      </c>
      <c r="E27" s="115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2">
        <f>IF($D27&lt;=12,$B27-$F27,0)</f>
        <v>26250</v>
      </c>
      <c r="H27" s="73">
        <f>IF($D27&lt;=24,IF($D27&lt;=12,$B27/$C27,$B27/$C27/$E27),0)</f>
        <v>8750</v>
      </c>
      <c r="I27" s="75">
        <f>IF($D27&lt;=24,IF($D27&lt;=12,G27-H27,$B27-H27),0)</f>
        <v>17500</v>
      </c>
      <c r="J27" s="75">
        <f>IF($D27&lt;=36,IF($D27&lt;=24,$B27/$C27,$B27/$C27/$E27),0)</f>
        <v>8750</v>
      </c>
      <c r="K27" s="8">
        <f>IF($D27&lt;=36,IF($D27&lt;=24,I27-J27,$B27-J27),0)</f>
        <v>8750</v>
      </c>
      <c r="L27" s="266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8" t="str">
        <v>Vertriebsauto</v>
      </c>
      <c r="B28" s="78">
        <v>35000</v>
      </c>
      <c r="C28" s="116">
        <v>4</v>
      </c>
      <c r="D28" s="116">
        <v>13</v>
      </c>
      <c r="E28" s="254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6">
        <f t="shared" ref="G28:G30" si="15">IF($D28&lt;=12,$B28-$F28,0)</f>
        <v>0</v>
      </c>
      <c r="H28" s="77">
        <f t="shared" ref="H28:H30" si="16">IF($D28&lt;=24,IF($D28&lt;=12,$B28/$C28,$B28/$C28/$E28),0)</f>
        <v>8750</v>
      </c>
      <c r="I28" s="79">
        <f t="shared" ref="I28:I30" si="17">IF($D28&lt;=24,IF($D28&lt;=12,G28-H28,$B28-H28),0)</f>
        <v>26250</v>
      </c>
      <c r="J28" s="79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40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8" t="str">
        <v>Kundendienstauto</v>
      </c>
      <c r="B29" s="78">
        <v>25000</v>
      </c>
      <c r="C29" s="116">
        <v>4</v>
      </c>
      <c r="D29" s="116">
        <v>13</v>
      </c>
      <c r="E29" s="254">
        <f t="shared" si="13"/>
        <v>1</v>
      </c>
      <c r="F29" s="10">
        <f t="shared" si="14"/>
        <v>0</v>
      </c>
      <c r="G29" s="76">
        <f t="shared" si="15"/>
        <v>0</v>
      </c>
      <c r="H29" s="77">
        <f t="shared" si="16"/>
        <v>6250</v>
      </c>
      <c r="I29" s="79">
        <f t="shared" si="17"/>
        <v>18750</v>
      </c>
      <c r="J29" s="79">
        <f t="shared" si="18"/>
        <v>6250</v>
      </c>
      <c r="K29" s="12">
        <f t="shared" si="19"/>
        <v>12500</v>
      </c>
      <c r="L29" s="240">
        <f t="shared" si="12"/>
        <v>6250</v>
      </c>
      <c r="M29" s="13">
        <f t="shared" si="20"/>
        <v>6250</v>
      </c>
    </row>
    <row r="30" spans="1:13" ht="18.75" customHeight="1" outlineLevel="1" thickBot="1" x14ac:dyDescent="0.3">
      <c r="A30" s="498" t="str">
        <v/>
      </c>
      <c r="B30" s="612" t="str">
        <v/>
      </c>
      <c r="C30" s="612" t="str">
        <v/>
      </c>
      <c r="D30" s="612" t="str">
        <v/>
      </c>
      <c r="E30" s="613" t="str">
        <f t="shared" si="13"/>
        <v/>
      </c>
      <c r="F30" s="130">
        <f t="shared" si="14"/>
        <v>0</v>
      </c>
      <c r="G30" s="132">
        <f t="shared" si="15"/>
        <v>0</v>
      </c>
      <c r="H30" s="133">
        <f t="shared" si="16"/>
        <v>0</v>
      </c>
      <c r="I30" s="135">
        <f t="shared" si="17"/>
        <v>0</v>
      </c>
      <c r="J30" s="135">
        <f t="shared" si="18"/>
        <v>0</v>
      </c>
      <c r="K30" s="136">
        <f t="shared" si="19"/>
        <v>0</v>
      </c>
      <c r="L30" s="268">
        <f t="shared" si="12"/>
        <v>0</v>
      </c>
      <c r="M30" s="137">
        <f t="shared" si="20"/>
        <v>0</v>
      </c>
    </row>
    <row r="31" spans="1:13" ht="7.5" customHeight="1" outlineLevel="1" thickTop="1" thickBot="1" x14ac:dyDescent="0.3">
      <c r="A31" s="259" t="str">
        <v/>
      </c>
      <c r="B31" s="260" t="str">
        <v/>
      </c>
      <c r="C31" s="260" t="str">
        <v/>
      </c>
      <c r="D31" s="260" t="str">
        <v/>
      </c>
      <c r="E31" s="261"/>
      <c r="F31" s="27"/>
      <c r="G31" s="30"/>
      <c r="H31" s="31"/>
      <c r="I31" s="32"/>
      <c r="J31" s="32"/>
      <c r="K31" s="33"/>
      <c r="L31" s="267"/>
      <c r="M31" s="34"/>
    </row>
    <row r="32" spans="1:13" ht="18.75" customHeight="1" thickBot="1" x14ac:dyDescent="0.3">
      <c r="A32" s="487" t="s">
        <v>34</v>
      </c>
      <c r="B32" s="67">
        <f>SUM(B27:B31)</f>
        <v>95000</v>
      </c>
      <c r="C32" s="64"/>
      <c r="D32" s="65"/>
      <c r="E32" s="66"/>
      <c r="F32" s="282">
        <f t="shared" ref="F32:M32" si="21">SUM(F27:F31)</f>
        <v>8750</v>
      </c>
      <c r="G32" s="68">
        <f t="shared" si="21"/>
        <v>26250</v>
      </c>
      <c r="H32" s="283">
        <f t="shared" si="21"/>
        <v>23750</v>
      </c>
      <c r="I32" s="69">
        <f t="shared" si="21"/>
        <v>62500</v>
      </c>
      <c r="J32" s="69">
        <f t="shared" si="21"/>
        <v>23750</v>
      </c>
      <c r="K32" s="70">
        <f t="shared" si="21"/>
        <v>38750</v>
      </c>
      <c r="L32" s="269">
        <f t="shared" si="21"/>
        <v>23750</v>
      </c>
      <c r="M32" s="71">
        <f t="shared" si="21"/>
        <v>15000</v>
      </c>
    </row>
    <row r="33" spans="1:13" ht="7.5" customHeight="1" thickBot="1" x14ac:dyDescent="0.3">
      <c r="A33" s="712"/>
      <c r="B33" s="713"/>
      <c r="C33" s="713"/>
      <c r="D33" s="713"/>
      <c r="E33" s="713"/>
      <c r="F33" s="713"/>
      <c r="G33" s="713"/>
      <c r="H33" s="713"/>
      <c r="I33" s="713"/>
      <c r="J33" s="713"/>
      <c r="K33" s="713"/>
      <c r="L33" s="713"/>
      <c r="M33" s="714"/>
    </row>
    <row r="34" spans="1:13" ht="22.5" customHeight="1" thickBot="1" x14ac:dyDescent="0.3">
      <c r="A34" s="277"/>
      <c r="B34" s="754" t="s">
        <v>140</v>
      </c>
      <c r="C34" s="755"/>
      <c r="D34" s="755"/>
      <c r="E34" s="756"/>
      <c r="F34" s="56">
        <f>F32+F15</f>
        <v>23850</v>
      </c>
      <c r="G34" s="58">
        <f>G32+G23</f>
        <v>109150</v>
      </c>
      <c r="H34" s="59">
        <f>H32+H15</f>
        <v>39350</v>
      </c>
      <c r="I34" s="58">
        <f>I32+I23</f>
        <v>131800</v>
      </c>
      <c r="J34" s="265">
        <f>J32+J15</f>
        <v>39350</v>
      </c>
      <c r="K34" s="60">
        <f>K32+K23</f>
        <v>92450</v>
      </c>
      <c r="L34" s="270">
        <f>L32+L15</f>
        <v>39350</v>
      </c>
      <c r="M34" s="61">
        <f>M32+M23</f>
        <v>53100</v>
      </c>
    </row>
  </sheetData>
  <sheetProtection algorithmName="SHA-512" hashValue="P5kLI5STaFZiSoMyF3Ayn4eaXkNNJUperUWZOSfIirsIDxV2FF1z2Uy+U921uDkYOouEyZ0uRWbhdUrqppxOmQ==" saltValue="ckFcKFKWoUJtCovk1vJb9A==" spinCount="100000" sheet="1" objects="1" scenarios="1" selectLockedCells="1"/>
  <mergeCells count="23"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W14" sqref="W14"/>
    </sheetView>
  </sheetViews>
  <sheetFormatPr baseColWidth="10" defaultRowHeight="15" outlineLevelRow="1" outlineLevelCol="1" x14ac:dyDescent="0.25"/>
  <cols>
    <col min="1" max="2" width="3.5703125" style="41" customWidth="1"/>
    <col min="3" max="3" width="28.5703125" style="41" customWidth="1"/>
    <col min="4" max="4" width="4.7109375" style="41" bestFit="1" customWidth="1"/>
    <col min="5" max="16" width="14.28515625" style="41" customWidth="1" outlineLevel="1"/>
    <col min="17" max="17" width="14.28515625" style="41" customWidth="1"/>
    <col min="18" max="21" width="14.28515625" style="41" customWidth="1" outlineLevel="1"/>
    <col min="22" max="24" width="14.28515625" style="41" customWidth="1"/>
    <col min="25" max="16384" width="11.42578125" style="41"/>
  </cols>
  <sheetData>
    <row r="1" spans="1:24" ht="27" thickBot="1" x14ac:dyDescent="0.3">
      <c r="A1" s="701" t="s">
        <v>98</v>
      </c>
      <c r="B1" s="702"/>
      <c r="C1" s="702"/>
      <c r="D1" s="702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2"/>
      <c r="P1" s="702"/>
      <c r="Q1" s="702"/>
      <c r="R1" s="702"/>
      <c r="S1" s="702"/>
      <c r="T1" s="702"/>
      <c r="U1" s="702"/>
      <c r="V1" s="702"/>
      <c r="W1" s="702"/>
      <c r="X1" s="702"/>
    </row>
    <row r="2" spans="1:24" ht="15.75" thickBot="1" x14ac:dyDescent="0.3"/>
    <row r="3" spans="1:24" x14ac:dyDescent="0.25">
      <c r="A3" s="761" t="s">
        <v>108</v>
      </c>
      <c r="B3" s="762"/>
      <c r="C3" s="763"/>
      <c r="D3" s="150">
        <v>0</v>
      </c>
      <c r="E3" s="157"/>
    </row>
    <row r="4" spans="1:24" x14ac:dyDescent="0.25">
      <c r="A4" s="764" t="s">
        <v>109</v>
      </c>
      <c r="B4" s="765"/>
      <c r="C4" s="766"/>
      <c r="D4" s="151">
        <v>0.03</v>
      </c>
      <c r="E4" s="157"/>
    </row>
    <row r="5" spans="1:24" x14ac:dyDescent="0.25">
      <c r="A5" s="764" t="s">
        <v>132</v>
      </c>
      <c r="B5" s="765"/>
      <c r="C5" s="765"/>
      <c r="D5" s="153">
        <v>0.25</v>
      </c>
      <c r="E5" s="157"/>
    </row>
    <row r="6" spans="1:24" ht="15.75" thickBot="1" x14ac:dyDescent="0.3">
      <c r="A6" s="767" t="s">
        <v>105</v>
      </c>
      <c r="B6" s="768"/>
      <c r="C6" s="769"/>
      <c r="D6" s="152">
        <v>0.2</v>
      </c>
      <c r="E6" s="158"/>
    </row>
    <row r="7" spans="1:24" ht="18.75" customHeight="1" x14ac:dyDescent="0.25">
      <c r="A7" s="788" t="s">
        <v>99</v>
      </c>
      <c r="B7" s="789"/>
      <c r="C7" s="789"/>
      <c r="D7" s="790"/>
      <c r="E7" s="709" t="s">
        <v>20</v>
      </c>
      <c r="F7" s="709"/>
      <c r="G7" s="709"/>
      <c r="H7" s="709"/>
      <c r="I7" s="709"/>
      <c r="J7" s="709"/>
      <c r="K7" s="709"/>
      <c r="L7" s="709"/>
      <c r="M7" s="709"/>
      <c r="N7" s="709"/>
      <c r="O7" s="709"/>
      <c r="P7" s="709"/>
      <c r="Q7" s="718" t="s">
        <v>20</v>
      </c>
      <c r="R7" s="708" t="s">
        <v>25</v>
      </c>
      <c r="S7" s="709"/>
      <c r="T7" s="709"/>
      <c r="U7" s="709"/>
      <c r="V7" s="718" t="s">
        <v>25</v>
      </c>
      <c r="W7" s="718" t="s">
        <v>26</v>
      </c>
      <c r="X7" s="720" t="s">
        <v>27</v>
      </c>
    </row>
    <row r="8" spans="1:24" ht="18.75" customHeight="1" thickBot="1" x14ac:dyDescent="0.3">
      <c r="A8" s="791"/>
      <c r="B8" s="792"/>
      <c r="C8" s="792"/>
      <c r="D8" s="793"/>
      <c r="E8" s="113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19"/>
      <c r="R8" s="4" t="s">
        <v>21</v>
      </c>
      <c r="S8" s="2" t="s">
        <v>22</v>
      </c>
      <c r="T8" s="2" t="s">
        <v>23</v>
      </c>
      <c r="U8" s="3" t="s">
        <v>24</v>
      </c>
      <c r="V8" s="719"/>
      <c r="W8" s="719"/>
      <c r="X8" s="721"/>
    </row>
    <row r="9" spans="1:24" ht="18.75" customHeight="1" thickTop="1" x14ac:dyDescent="0.25">
      <c r="A9" s="159" t="s">
        <v>113</v>
      </c>
      <c r="B9" s="777" t="s">
        <v>100</v>
      </c>
      <c r="C9" s="777"/>
      <c r="D9" s="778"/>
      <c r="E9" s="149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100000</v>
      </c>
      <c r="L9" s="18">
        <v>0</v>
      </c>
      <c r="M9" s="18">
        <v>100000</v>
      </c>
      <c r="N9" s="18">
        <v>0</v>
      </c>
      <c r="O9" s="18">
        <v>100000</v>
      </c>
      <c r="P9" s="154">
        <v>6400</v>
      </c>
      <c r="Q9" s="8">
        <f>SUM(E9:P9)</f>
        <v>306400</v>
      </c>
      <c r="R9" s="148">
        <v>147400</v>
      </c>
      <c r="S9" s="18">
        <v>147400</v>
      </c>
      <c r="T9" s="18">
        <v>149400</v>
      </c>
      <c r="U9" s="154">
        <v>247400</v>
      </c>
      <c r="V9" s="8">
        <f>SUM(R9:U9)</f>
        <v>691600</v>
      </c>
      <c r="W9" s="146">
        <v>1155800</v>
      </c>
      <c r="X9" s="147">
        <v>2124200</v>
      </c>
    </row>
    <row r="10" spans="1:24" ht="18.75" customHeight="1" thickBot="1" x14ac:dyDescent="0.3">
      <c r="A10" s="160" t="s">
        <v>112</v>
      </c>
      <c r="B10" s="779" t="s">
        <v>101</v>
      </c>
      <c r="C10" s="779"/>
      <c r="D10" s="780"/>
      <c r="E10" s="130">
        <f>-(E9*$D$6)</f>
        <v>0</v>
      </c>
      <c r="F10" s="131">
        <f t="shared" ref="F10:P10" si="0">-(F9*$D$6)</f>
        <v>0</v>
      </c>
      <c r="G10" s="131">
        <f t="shared" si="0"/>
        <v>0</v>
      </c>
      <c r="H10" s="131">
        <f t="shared" si="0"/>
        <v>0</v>
      </c>
      <c r="I10" s="131">
        <f t="shared" si="0"/>
        <v>0</v>
      </c>
      <c r="J10" s="131">
        <f t="shared" si="0"/>
        <v>0</v>
      </c>
      <c r="K10" s="131">
        <f t="shared" si="0"/>
        <v>-20000</v>
      </c>
      <c r="L10" s="131">
        <f t="shared" si="0"/>
        <v>0</v>
      </c>
      <c r="M10" s="131">
        <f t="shared" si="0"/>
        <v>-20000</v>
      </c>
      <c r="N10" s="131">
        <f t="shared" si="0"/>
        <v>0</v>
      </c>
      <c r="O10" s="131">
        <f t="shared" si="0"/>
        <v>-20000</v>
      </c>
      <c r="P10" s="161">
        <f t="shared" si="0"/>
        <v>-1280</v>
      </c>
      <c r="Q10" s="136">
        <f t="shared" ref="Q10:Q40" si="1">SUM(E10:P10)</f>
        <v>-61280</v>
      </c>
      <c r="R10" s="162">
        <f>-(R9*$D$6)</f>
        <v>-29480</v>
      </c>
      <c r="S10" s="131">
        <f t="shared" ref="S10:U10" si="2">-(S9*$D$6)</f>
        <v>-29480</v>
      </c>
      <c r="T10" s="131">
        <f t="shared" si="2"/>
        <v>-29880</v>
      </c>
      <c r="U10" s="161">
        <f t="shared" si="2"/>
        <v>-49480</v>
      </c>
      <c r="V10" s="136">
        <f t="shared" ref="V10:V40" si="3">SUM(R10:U10)</f>
        <v>-138320</v>
      </c>
      <c r="W10" s="136">
        <f>-(W9*$D$6)</f>
        <v>-231160</v>
      </c>
      <c r="X10" s="137">
        <f>-(X9*$D$6)</f>
        <v>-424840</v>
      </c>
    </row>
    <row r="11" spans="1:24" s="173" customFormat="1" ht="7.5" customHeight="1" thickTop="1" x14ac:dyDescent="0.25">
      <c r="A11" s="163"/>
      <c r="B11" s="164"/>
      <c r="C11" s="164"/>
      <c r="D11" s="165"/>
      <c r="E11" s="166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8"/>
      <c r="Q11" s="169"/>
      <c r="R11" s="170"/>
      <c r="S11" s="167"/>
      <c r="T11" s="167"/>
      <c r="U11" s="168"/>
      <c r="V11" s="169"/>
      <c r="W11" s="171"/>
      <c r="X11" s="172"/>
    </row>
    <row r="12" spans="1:24" ht="18.75" customHeight="1" thickBot="1" x14ac:dyDescent="0.3">
      <c r="A12" s="772" t="s">
        <v>102</v>
      </c>
      <c r="B12" s="773"/>
      <c r="C12" s="773"/>
      <c r="D12" s="774"/>
      <c r="E12" s="174">
        <f t="shared" ref="E12:P12" si="4">E9+E10</f>
        <v>0</v>
      </c>
      <c r="F12" s="175">
        <f t="shared" si="4"/>
        <v>0</v>
      </c>
      <c r="G12" s="175">
        <f t="shared" si="4"/>
        <v>0</v>
      </c>
      <c r="H12" s="175">
        <f t="shared" si="4"/>
        <v>0</v>
      </c>
      <c r="I12" s="175">
        <f t="shared" si="4"/>
        <v>0</v>
      </c>
      <c r="J12" s="175">
        <f t="shared" si="4"/>
        <v>0</v>
      </c>
      <c r="K12" s="175">
        <f t="shared" si="4"/>
        <v>80000</v>
      </c>
      <c r="L12" s="175">
        <f t="shared" si="4"/>
        <v>0</v>
      </c>
      <c r="M12" s="175">
        <f t="shared" si="4"/>
        <v>80000</v>
      </c>
      <c r="N12" s="175">
        <f t="shared" si="4"/>
        <v>0</v>
      </c>
      <c r="O12" s="175">
        <f t="shared" si="4"/>
        <v>80000</v>
      </c>
      <c r="P12" s="176">
        <f t="shared" si="4"/>
        <v>5120</v>
      </c>
      <c r="Q12" s="177">
        <f t="shared" si="1"/>
        <v>245120</v>
      </c>
      <c r="R12" s="178">
        <f t="shared" ref="R12:X12" si="5">R9+R10</f>
        <v>117920</v>
      </c>
      <c r="S12" s="175">
        <f t="shared" si="5"/>
        <v>117920</v>
      </c>
      <c r="T12" s="175">
        <f t="shared" si="5"/>
        <v>119520</v>
      </c>
      <c r="U12" s="176">
        <f t="shared" si="5"/>
        <v>197920</v>
      </c>
      <c r="V12" s="177">
        <f t="shared" si="5"/>
        <v>553280</v>
      </c>
      <c r="W12" s="179">
        <f t="shared" si="5"/>
        <v>924640</v>
      </c>
      <c r="X12" s="180">
        <f t="shared" si="5"/>
        <v>1699360</v>
      </c>
    </row>
    <row r="13" spans="1:24" ht="18.75" customHeight="1" outlineLevel="1" thickTop="1" x14ac:dyDescent="0.25">
      <c r="A13" s="159" t="s">
        <v>112</v>
      </c>
      <c r="B13" s="777" t="s">
        <v>103</v>
      </c>
      <c r="C13" s="777"/>
      <c r="D13" s="778"/>
      <c r="E13" s="181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82">
        <f t="shared" si="6"/>
        <v>0</v>
      </c>
      <c r="Q13" s="8">
        <f t="shared" si="1"/>
        <v>0</v>
      </c>
      <c r="R13" s="181">
        <f>-(R12*$D$3)</f>
        <v>0</v>
      </c>
      <c r="S13" s="7">
        <f t="shared" ref="S13:U13" si="7">-(S12*$D$3)</f>
        <v>0</v>
      </c>
      <c r="T13" s="7">
        <f t="shared" si="7"/>
        <v>0</v>
      </c>
      <c r="U13" s="182">
        <f t="shared" si="7"/>
        <v>0</v>
      </c>
      <c r="V13" s="8">
        <f t="shared" si="3"/>
        <v>0</v>
      </c>
      <c r="W13" s="183">
        <f>-(W12*$D$3)</f>
        <v>0</v>
      </c>
      <c r="X13" s="184">
        <f>-(X12*$D$3)</f>
        <v>0</v>
      </c>
    </row>
    <row r="14" spans="1:24" ht="18.75" customHeight="1" outlineLevel="1" x14ac:dyDescent="0.25">
      <c r="A14" s="185" t="s">
        <v>112</v>
      </c>
      <c r="B14" s="775" t="s">
        <v>104</v>
      </c>
      <c r="C14" s="775"/>
      <c r="D14" s="776"/>
      <c r="E14" s="186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-2400</v>
      </c>
      <c r="L14" s="11">
        <f t="shared" si="8"/>
        <v>0</v>
      </c>
      <c r="M14" s="11">
        <f t="shared" si="8"/>
        <v>-2400</v>
      </c>
      <c r="N14" s="11">
        <f t="shared" si="8"/>
        <v>0</v>
      </c>
      <c r="O14" s="11">
        <f t="shared" si="8"/>
        <v>-2400</v>
      </c>
      <c r="P14" s="187">
        <f t="shared" si="8"/>
        <v>-153.6</v>
      </c>
      <c r="Q14" s="12">
        <f t="shared" si="1"/>
        <v>-7353.6</v>
      </c>
      <c r="R14" s="186">
        <f>-(R12*$D$4)</f>
        <v>-3537.6</v>
      </c>
      <c r="S14" s="11">
        <f t="shared" ref="S14:U14" si="9">-(S12*$D$4)</f>
        <v>-3537.6</v>
      </c>
      <c r="T14" s="11">
        <f t="shared" si="9"/>
        <v>-3585.6</v>
      </c>
      <c r="U14" s="187">
        <f t="shared" si="9"/>
        <v>-5937.5999999999995</v>
      </c>
      <c r="V14" s="12">
        <f t="shared" si="3"/>
        <v>-16598.399999999998</v>
      </c>
      <c r="W14" s="188">
        <f>-(W12*$D$4)</f>
        <v>-27739.200000000001</v>
      </c>
      <c r="X14" s="189">
        <f>-(X12*$D$4)</f>
        <v>-50980.799999999996</v>
      </c>
    </row>
    <row r="15" spans="1:24" ht="18.75" customHeight="1" outlineLevel="1" x14ac:dyDescent="0.25">
      <c r="A15" s="185" t="s">
        <v>113</v>
      </c>
      <c r="B15" s="775" t="s">
        <v>106</v>
      </c>
      <c r="C15" s="775"/>
      <c r="D15" s="776"/>
      <c r="E15" s="139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155"/>
      <c r="Q15" s="12">
        <f t="shared" si="1"/>
        <v>0</v>
      </c>
      <c r="R15" s="139"/>
      <c r="S15" s="96"/>
      <c r="T15" s="96"/>
      <c r="U15" s="155"/>
      <c r="V15" s="12">
        <f t="shared" si="3"/>
        <v>0</v>
      </c>
      <c r="W15" s="142"/>
      <c r="X15" s="143"/>
    </row>
    <row r="16" spans="1:24" ht="18.75" customHeight="1" outlineLevel="1" thickBot="1" x14ac:dyDescent="0.3">
      <c r="A16" s="160" t="s">
        <v>113</v>
      </c>
      <c r="B16" s="779" t="s">
        <v>107</v>
      </c>
      <c r="C16" s="779"/>
      <c r="D16" s="780"/>
      <c r="E16" s="140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56"/>
      <c r="Q16" s="136">
        <f t="shared" si="1"/>
        <v>0</v>
      </c>
      <c r="R16" s="140"/>
      <c r="S16" s="141"/>
      <c r="T16" s="141"/>
      <c r="U16" s="156"/>
      <c r="V16" s="136">
        <f t="shared" si="3"/>
        <v>0</v>
      </c>
      <c r="W16" s="144"/>
      <c r="X16" s="145"/>
    </row>
    <row r="17" spans="1:24" s="196" customFormat="1" ht="7.5" customHeight="1" outlineLevel="1" thickTop="1" x14ac:dyDescent="0.25">
      <c r="A17" s="163"/>
      <c r="B17" s="164"/>
      <c r="C17" s="164"/>
      <c r="D17" s="165"/>
      <c r="E17" s="190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2"/>
      <c r="Q17" s="193"/>
      <c r="R17" s="190"/>
      <c r="S17" s="191"/>
      <c r="T17" s="191"/>
      <c r="U17" s="192"/>
      <c r="V17" s="193"/>
      <c r="W17" s="194"/>
      <c r="X17" s="195"/>
    </row>
    <row r="18" spans="1:24" ht="18.75" customHeight="1" thickBot="1" x14ac:dyDescent="0.3">
      <c r="A18" s="772" t="s">
        <v>110</v>
      </c>
      <c r="B18" s="773"/>
      <c r="C18" s="773"/>
      <c r="D18" s="774"/>
      <c r="E18" s="178">
        <f>SUM(E12:E16)</f>
        <v>0</v>
      </c>
      <c r="F18" s="175">
        <f t="shared" ref="F18:R18" si="10">SUM(F12:F16)</f>
        <v>0</v>
      </c>
      <c r="G18" s="175">
        <f t="shared" si="10"/>
        <v>0</v>
      </c>
      <c r="H18" s="175">
        <f t="shared" si="10"/>
        <v>0</v>
      </c>
      <c r="I18" s="175">
        <f t="shared" si="10"/>
        <v>0</v>
      </c>
      <c r="J18" s="175">
        <f t="shared" si="10"/>
        <v>0</v>
      </c>
      <c r="K18" s="175">
        <f t="shared" si="10"/>
        <v>77600</v>
      </c>
      <c r="L18" s="175">
        <f t="shared" si="10"/>
        <v>0</v>
      </c>
      <c r="M18" s="175">
        <f t="shared" si="10"/>
        <v>77600</v>
      </c>
      <c r="N18" s="175">
        <f t="shared" si="10"/>
        <v>0</v>
      </c>
      <c r="O18" s="175">
        <f t="shared" si="10"/>
        <v>77600</v>
      </c>
      <c r="P18" s="176">
        <f t="shared" si="10"/>
        <v>4966.3999999999996</v>
      </c>
      <c r="Q18" s="177">
        <f t="shared" si="1"/>
        <v>237766.39999999999</v>
      </c>
      <c r="R18" s="178">
        <f t="shared" si="10"/>
        <v>114382.39999999999</v>
      </c>
      <c r="S18" s="175">
        <f t="shared" ref="S18" si="11">SUM(S12:S16)</f>
        <v>114382.39999999999</v>
      </c>
      <c r="T18" s="175">
        <f t="shared" ref="T18" si="12">SUM(T12:T16)</f>
        <v>115934.39999999999</v>
      </c>
      <c r="U18" s="176">
        <f t="shared" ref="U18:X18" si="13">SUM(U12:U16)</f>
        <v>191982.4</v>
      </c>
      <c r="V18" s="177">
        <f t="shared" si="13"/>
        <v>536681.6</v>
      </c>
      <c r="W18" s="179">
        <f t="shared" si="13"/>
        <v>896900.8</v>
      </c>
      <c r="X18" s="197">
        <f t="shared" si="13"/>
        <v>1648379.2</v>
      </c>
    </row>
    <row r="19" spans="1:24" ht="18.75" customHeight="1" outlineLevel="1" thickTop="1" x14ac:dyDescent="0.25">
      <c r="A19" s="159" t="s">
        <v>112</v>
      </c>
      <c r="B19" s="777" t="str">
        <f>Plankosten!A33</f>
        <v>Materialeinsatz</v>
      </c>
      <c r="C19" s="777"/>
      <c r="D19" s="778"/>
      <c r="E19" s="181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2">
        <f>-Plankosten!P38</f>
        <v>0</v>
      </c>
      <c r="Q19" s="8">
        <f t="shared" si="1"/>
        <v>0</v>
      </c>
      <c r="R19" s="181">
        <f>-Plankosten!R38</f>
        <v>0</v>
      </c>
      <c r="S19" s="7">
        <f>-Plankosten!S38</f>
        <v>0</v>
      </c>
      <c r="T19" s="7">
        <f>-Plankosten!T38</f>
        <v>0</v>
      </c>
      <c r="U19" s="182">
        <f>-Plankosten!U38</f>
        <v>0</v>
      </c>
      <c r="V19" s="8">
        <f t="shared" si="3"/>
        <v>0</v>
      </c>
      <c r="W19" s="183">
        <f>-Plankosten!W38</f>
        <v>0</v>
      </c>
      <c r="X19" s="184">
        <f>-Plankosten!X38</f>
        <v>0</v>
      </c>
    </row>
    <row r="20" spans="1:24" ht="18.75" customHeight="1" outlineLevel="1" thickBot="1" x14ac:dyDescent="0.3">
      <c r="A20" s="160" t="s">
        <v>112</v>
      </c>
      <c r="B20" s="779" t="str">
        <f>Plankosten!A40</f>
        <v>Roh-, Betriebs- uns Hilfsstoffe</v>
      </c>
      <c r="C20" s="779"/>
      <c r="D20" s="780"/>
      <c r="E20" s="198">
        <f>-Plankosten!E45</f>
        <v>0</v>
      </c>
      <c r="F20" s="131">
        <f>-Plankosten!F45</f>
        <v>0</v>
      </c>
      <c r="G20" s="131">
        <f>-Plankosten!G45</f>
        <v>0</v>
      </c>
      <c r="H20" s="131">
        <f>-Plankosten!H45</f>
        <v>0</v>
      </c>
      <c r="I20" s="131">
        <f>-Plankosten!I45</f>
        <v>0</v>
      </c>
      <c r="J20" s="131">
        <f>-Plankosten!J45</f>
        <v>0</v>
      </c>
      <c r="K20" s="131">
        <f>-Plankosten!K45</f>
        <v>0</v>
      </c>
      <c r="L20" s="131">
        <f>-Plankosten!L45</f>
        <v>0</v>
      </c>
      <c r="M20" s="131">
        <f>-Plankosten!M45</f>
        <v>0</v>
      </c>
      <c r="N20" s="131">
        <f>-Plankosten!N45</f>
        <v>0</v>
      </c>
      <c r="O20" s="131">
        <f>-Plankosten!O45</f>
        <v>0</v>
      </c>
      <c r="P20" s="161">
        <f>-Plankosten!P45</f>
        <v>0</v>
      </c>
      <c r="Q20" s="136">
        <f t="shared" si="1"/>
        <v>0</v>
      </c>
      <c r="R20" s="198">
        <f>-Plankosten!R45</f>
        <v>0</v>
      </c>
      <c r="S20" s="131">
        <f>-Plankosten!S45</f>
        <v>0</v>
      </c>
      <c r="T20" s="131">
        <f>-Plankosten!T45</f>
        <v>0</v>
      </c>
      <c r="U20" s="161">
        <f>-Plankosten!U45</f>
        <v>0</v>
      </c>
      <c r="V20" s="136">
        <f t="shared" si="3"/>
        <v>0</v>
      </c>
      <c r="W20" s="199">
        <f>-Plankosten!W45</f>
        <v>0</v>
      </c>
      <c r="X20" s="200">
        <f>-Plankosten!X45</f>
        <v>0</v>
      </c>
    </row>
    <row r="21" spans="1:24" s="196" customFormat="1" ht="7.5" customHeight="1" outlineLevel="1" thickTop="1" x14ac:dyDescent="0.25">
      <c r="A21" s="163"/>
      <c r="B21" s="164"/>
      <c r="C21" s="164"/>
      <c r="D21" s="165"/>
      <c r="E21" s="190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2"/>
      <c r="Q21" s="193"/>
      <c r="R21" s="190"/>
      <c r="S21" s="191"/>
      <c r="T21" s="191"/>
      <c r="U21" s="192"/>
      <c r="V21" s="193"/>
      <c r="W21" s="194"/>
      <c r="X21" s="195"/>
    </row>
    <row r="22" spans="1:24" ht="18.75" customHeight="1" thickBot="1" x14ac:dyDescent="0.3">
      <c r="A22" s="772" t="s">
        <v>111</v>
      </c>
      <c r="B22" s="773"/>
      <c r="C22" s="773"/>
      <c r="D22" s="774"/>
      <c r="E22" s="178">
        <f>SUM(E18:E20)</f>
        <v>0</v>
      </c>
      <c r="F22" s="175">
        <f t="shared" ref="F22:X22" si="14">SUM(F18:F20)</f>
        <v>0</v>
      </c>
      <c r="G22" s="175">
        <f t="shared" si="14"/>
        <v>0</v>
      </c>
      <c r="H22" s="175">
        <f t="shared" si="14"/>
        <v>0</v>
      </c>
      <c r="I22" s="175">
        <f t="shared" si="14"/>
        <v>0</v>
      </c>
      <c r="J22" s="175">
        <f t="shared" si="14"/>
        <v>0</v>
      </c>
      <c r="K22" s="175">
        <f t="shared" si="14"/>
        <v>77600</v>
      </c>
      <c r="L22" s="175">
        <f t="shared" si="14"/>
        <v>0</v>
      </c>
      <c r="M22" s="175">
        <f t="shared" si="14"/>
        <v>77600</v>
      </c>
      <c r="N22" s="175">
        <f t="shared" si="14"/>
        <v>0</v>
      </c>
      <c r="O22" s="175">
        <f t="shared" si="14"/>
        <v>77600</v>
      </c>
      <c r="P22" s="176">
        <f t="shared" si="14"/>
        <v>4966.3999999999996</v>
      </c>
      <c r="Q22" s="177">
        <f t="shared" si="1"/>
        <v>237766.39999999999</v>
      </c>
      <c r="R22" s="178">
        <f t="shared" si="14"/>
        <v>114382.39999999999</v>
      </c>
      <c r="S22" s="175">
        <f t="shared" si="14"/>
        <v>114382.39999999999</v>
      </c>
      <c r="T22" s="175">
        <f t="shared" si="14"/>
        <v>115934.39999999999</v>
      </c>
      <c r="U22" s="176">
        <f t="shared" si="14"/>
        <v>191982.4</v>
      </c>
      <c r="V22" s="177">
        <f t="shared" si="14"/>
        <v>536681.6</v>
      </c>
      <c r="W22" s="179">
        <f t="shared" si="14"/>
        <v>896900.8</v>
      </c>
      <c r="X22" s="197">
        <f t="shared" si="14"/>
        <v>1648379.2</v>
      </c>
    </row>
    <row r="23" spans="1:24" ht="18.75" customHeight="1" outlineLevel="1" thickTop="1" x14ac:dyDescent="0.25">
      <c r="A23" s="159" t="s">
        <v>112</v>
      </c>
      <c r="B23" s="777" t="str">
        <f>Plankosten!A25</f>
        <v>Personalkosten</v>
      </c>
      <c r="C23" s="777"/>
      <c r="D23" s="778"/>
      <c r="E23" s="181">
        <f>-Plankosten!E31</f>
        <v>-16200.000000000002</v>
      </c>
      <c r="F23" s="7">
        <f>-Plankosten!F31</f>
        <v>-18508</v>
      </c>
      <c r="G23" s="7">
        <f>-Plankosten!G31</f>
        <v>-22156</v>
      </c>
      <c r="H23" s="7">
        <f>-Plankosten!H31</f>
        <v>-25804</v>
      </c>
      <c r="I23" s="7">
        <f>-Plankosten!I31</f>
        <v>-49700.666666666672</v>
      </c>
      <c r="J23" s="7">
        <f>-Plankosten!J31</f>
        <v>-25804</v>
      </c>
      <c r="K23" s="7">
        <f>-Plankosten!K31</f>
        <v>-25804</v>
      </c>
      <c r="L23" s="7">
        <f>-Plankosten!L31</f>
        <v>-25804</v>
      </c>
      <c r="M23" s="7">
        <f>-Plankosten!M31</f>
        <v>-25804</v>
      </c>
      <c r="N23" s="7">
        <f>-Plankosten!N31</f>
        <v>-25804</v>
      </c>
      <c r="O23" s="7">
        <f>-Plankosten!O31</f>
        <v>-49700.666666666672</v>
      </c>
      <c r="P23" s="182">
        <f>-Plankosten!P31</f>
        <v>-25804</v>
      </c>
      <c r="Q23" s="8">
        <f t="shared" si="1"/>
        <v>-336893.33333333337</v>
      </c>
      <c r="R23" s="181">
        <f>-Plankosten!R31</f>
        <v>-91893.6</v>
      </c>
      <c r="S23" s="7">
        <f>-Plankosten!S31</f>
        <v>-122284.8</v>
      </c>
      <c r="T23" s="7">
        <f>-Plankosten!T31</f>
        <v>-91893.6</v>
      </c>
      <c r="U23" s="182">
        <f>-Plankosten!U31</f>
        <v>-122284.8</v>
      </c>
      <c r="V23" s="8">
        <f t="shared" si="3"/>
        <v>-428356.8</v>
      </c>
      <c r="W23" s="183">
        <f>-Plankosten!W31</f>
        <v>-449630.64</v>
      </c>
      <c r="X23" s="184">
        <f>-Plankosten!X31</f>
        <v>-471968.17200000008</v>
      </c>
    </row>
    <row r="24" spans="1:24" ht="30" customHeight="1" outlineLevel="1" x14ac:dyDescent="0.25">
      <c r="A24" s="185" t="s">
        <v>112</v>
      </c>
      <c r="B24" s="786" t="str">
        <f>Plankosten!A47</f>
        <v>Sonstige betriebliche Aufwendungen
(Miete, Pacht, Betriebskosten)</v>
      </c>
      <c r="C24" s="786"/>
      <c r="D24" s="787"/>
      <c r="E24" s="186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7">
        <f>-Plankosten!P54</f>
        <v>-1271</v>
      </c>
      <c r="Q24" s="12">
        <f t="shared" si="1"/>
        <v>-15252</v>
      </c>
      <c r="R24" s="186">
        <f>-Plankosten!R54</f>
        <v>-3813</v>
      </c>
      <c r="S24" s="11">
        <f>-Plankosten!S54</f>
        <v>-3813</v>
      </c>
      <c r="T24" s="11">
        <f>-Plankosten!T54</f>
        <v>-3813</v>
      </c>
      <c r="U24" s="187">
        <f>-Plankosten!U54</f>
        <v>-3813</v>
      </c>
      <c r="V24" s="12">
        <f t="shared" si="3"/>
        <v>-15252</v>
      </c>
      <c r="W24" s="188">
        <f>-Plankosten!W54</f>
        <v>-15252</v>
      </c>
      <c r="X24" s="189">
        <f>-Plankosten!X54</f>
        <v>-15252</v>
      </c>
    </row>
    <row r="25" spans="1:24" ht="18.75" customHeight="1" outlineLevel="1" x14ac:dyDescent="0.25">
      <c r="A25" s="185" t="s">
        <v>112</v>
      </c>
      <c r="B25" s="775" t="str">
        <f>Plankosten!A56</f>
        <v>Instandhaltung</v>
      </c>
      <c r="C25" s="775"/>
      <c r="D25" s="776"/>
      <c r="E25" s="186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7">
        <f>-Plankosten!P61</f>
        <v>-2000</v>
      </c>
      <c r="Q25" s="12">
        <f t="shared" si="1"/>
        <v>-2000</v>
      </c>
      <c r="R25" s="186">
        <f>-Plankosten!R61</f>
        <v>0</v>
      </c>
      <c r="S25" s="11">
        <f>-Plankosten!S61</f>
        <v>0</v>
      </c>
      <c r="T25" s="11">
        <f>-Plankosten!T61</f>
        <v>0</v>
      </c>
      <c r="U25" s="187">
        <f>-Plankosten!U61</f>
        <v>-2000</v>
      </c>
      <c r="V25" s="12">
        <f t="shared" si="3"/>
        <v>-2000</v>
      </c>
      <c r="W25" s="188">
        <f>-Plankosten!W61</f>
        <v>-2000</v>
      </c>
      <c r="X25" s="189">
        <f>-Plankosten!X61</f>
        <v>-2000</v>
      </c>
    </row>
    <row r="26" spans="1:24" ht="18.75" customHeight="1" outlineLevel="1" x14ac:dyDescent="0.25">
      <c r="A26" s="185" t="s">
        <v>112</v>
      </c>
      <c r="B26" s="775" t="str">
        <f>Plankosten!A63</f>
        <v>Kfz-Kosten und Reisekosten</v>
      </c>
      <c r="C26" s="775"/>
      <c r="D26" s="776"/>
      <c r="E26" s="186">
        <f>-Plankosten!E69</f>
        <v>-2000</v>
      </c>
      <c r="F26" s="11">
        <f>-Plankosten!F69</f>
        <v>-500</v>
      </c>
      <c r="G26" s="11">
        <f>-Plankosten!G69</f>
        <v>-500</v>
      </c>
      <c r="H26" s="11">
        <f>-Plankosten!H69</f>
        <v>-500</v>
      </c>
      <c r="I26" s="11">
        <f>-Plankosten!I69</f>
        <v>-500</v>
      </c>
      <c r="J26" s="11">
        <f>-Plankosten!J69</f>
        <v>-500</v>
      </c>
      <c r="K26" s="11">
        <f>-Plankosten!K69</f>
        <v>-500</v>
      </c>
      <c r="L26" s="11">
        <f>-Plankosten!L69</f>
        <v>-500</v>
      </c>
      <c r="M26" s="11">
        <f>-Plankosten!M69</f>
        <v>-500</v>
      </c>
      <c r="N26" s="11">
        <f>-Plankosten!N69</f>
        <v>-500</v>
      </c>
      <c r="O26" s="11">
        <f>-Plankosten!O69</f>
        <v>-500</v>
      </c>
      <c r="P26" s="187">
        <f>-Plankosten!P69</f>
        <v>-500</v>
      </c>
      <c r="Q26" s="12">
        <f t="shared" si="1"/>
        <v>-7500</v>
      </c>
      <c r="R26" s="186">
        <f>-Plankosten!R69</f>
        <v>-3000</v>
      </c>
      <c r="S26" s="11">
        <f>-Plankosten!S69</f>
        <v>-1500</v>
      </c>
      <c r="T26" s="11">
        <f>-Plankosten!T69</f>
        <v>-1500</v>
      </c>
      <c r="U26" s="187">
        <f>-Plankosten!U69</f>
        <v>-1500</v>
      </c>
      <c r="V26" s="12">
        <f t="shared" si="3"/>
        <v>-7500</v>
      </c>
      <c r="W26" s="188">
        <f>-Plankosten!W69</f>
        <v>-7500</v>
      </c>
      <c r="X26" s="189">
        <f>-Plankosten!X69</f>
        <v>-7500</v>
      </c>
    </row>
    <row r="27" spans="1:24" ht="18.75" customHeight="1" outlineLevel="1" x14ac:dyDescent="0.25">
      <c r="A27" s="185" t="s">
        <v>112</v>
      </c>
      <c r="B27" s="775" t="str">
        <f>Plankosten!A71</f>
        <v>Büromaterial</v>
      </c>
      <c r="C27" s="775"/>
      <c r="D27" s="776"/>
      <c r="E27" s="186">
        <f>-Plankosten!E77</f>
        <v>-2200</v>
      </c>
      <c r="F27" s="11">
        <f>-Plankosten!F77</f>
        <v>-2200</v>
      </c>
      <c r="G27" s="11">
        <f>-Plankosten!G77</f>
        <v>-2200</v>
      </c>
      <c r="H27" s="11">
        <f>-Plankosten!H77</f>
        <v>-2200</v>
      </c>
      <c r="I27" s="11">
        <f>-Plankosten!I77</f>
        <v>-2200</v>
      </c>
      <c r="J27" s="11">
        <f>-Plankosten!J77</f>
        <v>-2200</v>
      </c>
      <c r="K27" s="11">
        <f>-Plankosten!K77</f>
        <v>-2200</v>
      </c>
      <c r="L27" s="11">
        <f>-Plankosten!L77</f>
        <v>-2200</v>
      </c>
      <c r="M27" s="11">
        <f>-Plankosten!M77</f>
        <v>-2200</v>
      </c>
      <c r="N27" s="11">
        <f>-Plankosten!N77</f>
        <v>-2200</v>
      </c>
      <c r="O27" s="11">
        <f>-Plankosten!O77</f>
        <v>-2200</v>
      </c>
      <c r="P27" s="187">
        <f>-Plankosten!P77</f>
        <v>-2200</v>
      </c>
      <c r="Q27" s="12">
        <f t="shared" si="1"/>
        <v>-26400</v>
      </c>
      <c r="R27" s="186">
        <f>-Plankosten!R77</f>
        <v>-6600</v>
      </c>
      <c r="S27" s="11">
        <f>-Plankosten!S77</f>
        <v>-6600</v>
      </c>
      <c r="T27" s="11">
        <f>-Plankosten!T77</f>
        <v>-6600</v>
      </c>
      <c r="U27" s="187">
        <f>-Plankosten!U77</f>
        <v>-6600</v>
      </c>
      <c r="V27" s="12">
        <f t="shared" si="3"/>
        <v>-26400</v>
      </c>
      <c r="W27" s="188">
        <f>-Plankosten!W77</f>
        <v>-26400</v>
      </c>
      <c r="X27" s="189">
        <f>-Plankosten!X77</f>
        <v>-26400</v>
      </c>
    </row>
    <row r="28" spans="1:24" ht="18.75" customHeight="1" outlineLevel="1" x14ac:dyDescent="0.25">
      <c r="A28" s="185" t="s">
        <v>112</v>
      </c>
      <c r="B28" s="775" t="str">
        <f>Plankosten!A79</f>
        <v>Telefon / Fax / Internet</v>
      </c>
      <c r="C28" s="775"/>
      <c r="D28" s="776"/>
      <c r="E28" s="186">
        <f>-Plankosten!E85</f>
        <v>-388</v>
      </c>
      <c r="F28" s="11">
        <f>-Plankosten!F85</f>
        <v>-388</v>
      </c>
      <c r="G28" s="11">
        <f>-Plankosten!G85</f>
        <v>-388</v>
      </c>
      <c r="H28" s="11">
        <f>-Plankosten!H85</f>
        <v>-388</v>
      </c>
      <c r="I28" s="11">
        <f>-Plankosten!I85</f>
        <v>-388</v>
      </c>
      <c r="J28" s="11">
        <f>-Plankosten!J85</f>
        <v>-388</v>
      </c>
      <c r="K28" s="11">
        <f>-Plankosten!K85</f>
        <v>-388</v>
      </c>
      <c r="L28" s="11">
        <f>-Plankosten!L85</f>
        <v>-388</v>
      </c>
      <c r="M28" s="11">
        <f>-Plankosten!M85</f>
        <v>-388</v>
      </c>
      <c r="N28" s="11">
        <f>-Plankosten!N85</f>
        <v>-388</v>
      </c>
      <c r="O28" s="11">
        <f>-Plankosten!O85</f>
        <v>-388</v>
      </c>
      <c r="P28" s="187">
        <f>-Plankosten!P85</f>
        <v>-388</v>
      </c>
      <c r="Q28" s="12">
        <f t="shared" si="1"/>
        <v>-4656</v>
      </c>
      <c r="R28" s="186">
        <f>-Plankosten!R85</f>
        <v>-1164</v>
      </c>
      <c r="S28" s="11">
        <f>-Plankosten!S85</f>
        <v>-1164</v>
      </c>
      <c r="T28" s="11">
        <f>-Plankosten!T85</f>
        <v>-1164</v>
      </c>
      <c r="U28" s="187">
        <f>-Plankosten!U85</f>
        <v>-1164</v>
      </c>
      <c r="V28" s="12">
        <f t="shared" si="3"/>
        <v>-4656</v>
      </c>
      <c r="W28" s="188">
        <f>-Plankosten!W85</f>
        <v>-4656</v>
      </c>
      <c r="X28" s="189">
        <f>-Plankosten!X85</f>
        <v>-4656</v>
      </c>
    </row>
    <row r="29" spans="1:24" ht="18.75" customHeight="1" outlineLevel="1" x14ac:dyDescent="0.25">
      <c r="A29" s="185" t="s">
        <v>112</v>
      </c>
      <c r="B29" s="775" t="str">
        <f>Plankosten!A87</f>
        <v>Steuer- und Rechtsberatung</v>
      </c>
      <c r="C29" s="775"/>
      <c r="D29" s="776"/>
      <c r="E29" s="186">
        <f>-Plankosten!E94</f>
        <v>-300</v>
      </c>
      <c r="F29" s="11">
        <f>-Plankosten!F94</f>
        <v>-300</v>
      </c>
      <c r="G29" s="11">
        <f>-Plankosten!G94</f>
        <v>-2300</v>
      </c>
      <c r="H29" s="11">
        <f>-Plankosten!H94</f>
        <v>-300</v>
      </c>
      <c r="I29" s="11">
        <f>-Plankosten!I94</f>
        <v>-300</v>
      </c>
      <c r="J29" s="11">
        <f>-Plankosten!J94</f>
        <v>-300</v>
      </c>
      <c r="K29" s="11">
        <f>-Plankosten!K94</f>
        <v>-300</v>
      </c>
      <c r="L29" s="11">
        <f>-Plankosten!L94</f>
        <v>-300</v>
      </c>
      <c r="M29" s="11">
        <f>-Plankosten!M94</f>
        <v>-300</v>
      </c>
      <c r="N29" s="11">
        <f>-Plankosten!N94</f>
        <v>-3300</v>
      </c>
      <c r="O29" s="11">
        <f>-Plankosten!O94</f>
        <v>-300</v>
      </c>
      <c r="P29" s="187">
        <f>-Plankosten!P94</f>
        <v>-300</v>
      </c>
      <c r="Q29" s="12">
        <f t="shared" si="1"/>
        <v>-8600</v>
      </c>
      <c r="R29" s="186">
        <f>-Plankosten!R94</f>
        <v>-900</v>
      </c>
      <c r="S29" s="11">
        <f>-Plankosten!S94</f>
        <v>-900</v>
      </c>
      <c r="T29" s="11">
        <f>-Plankosten!T94</f>
        <v>-900</v>
      </c>
      <c r="U29" s="187">
        <f>-Plankosten!U94</f>
        <v>-3900</v>
      </c>
      <c r="V29" s="12">
        <f t="shared" si="3"/>
        <v>-6600</v>
      </c>
      <c r="W29" s="188">
        <f>-Plankosten!W94</f>
        <v>-6600</v>
      </c>
      <c r="X29" s="189">
        <f>-Plankosten!X94</f>
        <v>-6600</v>
      </c>
    </row>
    <row r="30" spans="1:24" ht="18.75" customHeight="1" outlineLevel="1" x14ac:dyDescent="0.25">
      <c r="A30" s="185" t="s">
        <v>112</v>
      </c>
      <c r="B30" s="775" t="str">
        <f>Plankosten!A96</f>
        <v>Werbungskosten</v>
      </c>
      <c r="C30" s="775"/>
      <c r="D30" s="776"/>
      <c r="E30" s="186">
        <f>-Plankosten!E101</f>
        <v>0</v>
      </c>
      <c r="F30" s="11">
        <f>-Plankosten!F101</f>
        <v>0</v>
      </c>
      <c r="G30" s="11">
        <f>-Plankosten!G101</f>
        <v>0</v>
      </c>
      <c r="H30" s="11">
        <f>-Plankosten!H101</f>
        <v>0</v>
      </c>
      <c r="I30" s="11">
        <f>-Plankosten!I101</f>
        <v>0</v>
      </c>
      <c r="J30" s="11">
        <f>-Plankosten!J101</f>
        <v>0</v>
      </c>
      <c r="K30" s="11">
        <f>-Plankosten!K101</f>
        <v>0</v>
      </c>
      <c r="L30" s="11">
        <f>-Plankosten!L101</f>
        <v>0</v>
      </c>
      <c r="M30" s="11">
        <f>-Plankosten!M101</f>
        <v>0</v>
      </c>
      <c r="N30" s="11">
        <f>-Plankosten!N101</f>
        <v>0</v>
      </c>
      <c r="O30" s="11">
        <f>-Plankosten!O101</f>
        <v>0</v>
      </c>
      <c r="P30" s="187">
        <f>-Plankosten!P101</f>
        <v>0</v>
      </c>
      <c r="Q30" s="12">
        <f t="shared" si="1"/>
        <v>0</v>
      </c>
      <c r="R30" s="186">
        <f>-Plankosten!R101</f>
        <v>0</v>
      </c>
      <c r="S30" s="11">
        <f>-Plankosten!S101</f>
        <v>0</v>
      </c>
      <c r="T30" s="11">
        <f>-Plankosten!T101</f>
        <v>0</v>
      </c>
      <c r="U30" s="187">
        <f>-Plankosten!U101</f>
        <v>0</v>
      </c>
      <c r="V30" s="12">
        <f t="shared" si="3"/>
        <v>0</v>
      </c>
      <c r="W30" s="188">
        <f>-Plankosten!W101</f>
        <v>0</v>
      </c>
      <c r="X30" s="189">
        <f>-Plankosten!X101</f>
        <v>0</v>
      </c>
    </row>
    <row r="31" spans="1:24" ht="18.75" customHeight="1" outlineLevel="1" x14ac:dyDescent="0.25">
      <c r="A31" s="185" t="s">
        <v>112</v>
      </c>
      <c r="B31" s="775" t="str">
        <f>Plankosten!A103</f>
        <v>Gebühren, Kammerbeiträge</v>
      </c>
      <c r="C31" s="775"/>
      <c r="D31" s="776"/>
      <c r="E31" s="186">
        <f>-Plankosten!E110</f>
        <v>-120.60271160166667</v>
      </c>
      <c r="F31" s="11">
        <f>-Plankosten!F110</f>
        <v>-320.60271160166667</v>
      </c>
      <c r="G31" s="11">
        <f>-Plankosten!G110</f>
        <v>-120.60271160166667</v>
      </c>
      <c r="H31" s="11">
        <f>-Plankosten!H110</f>
        <v>-120.60271160166667</v>
      </c>
      <c r="I31" s="11">
        <f>-Plankosten!I110</f>
        <v>-320.60271160166667</v>
      </c>
      <c r="J31" s="11">
        <f>-Plankosten!J110</f>
        <v>-120.60271160166667</v>
      </c>
      <c r="K31" s="11">
        <f>-Plankosten!K110</f>
        <v>-120.60271160166667</v>
      </c>
      <c r="L31" s="11">
        <f>-Plankosten!L110</f>
        <v>-320.60271160166667</v>
      </c>
      <c r="M31" s="11">
        <f>-Plankosten!M110</f>
        <v>-120.60271160166667</v>
      </c>
      <c r="N31" s="11">
        <f>-Plankosten!N110</f>
        <v>-120.60271160166667</v>
      </c>
      <c r="O31" s="11">
        <f>-Plankosten!O110</f>
        <v>-320.60271160166667</v>
      </c>
      <c r="P31" s="187">
        <f>-Plankosten!P110</f>
        <v>-120.60271160166667</v>
      </c>
      <c r="Q31" s="12">
        <f t="shared" si="1"/>
        <v>-2247.23253922</v>
      </c>
      <c r="R31" s="186">
        <f>-Plankosten!R110</f>
        <v>-561.8081348049999</v>
      </c>
      <c r="S31" s="11">
        <f>-Plankosten!S110</f>
        <v>-561.8081348049999</v>
      </c>
      <c r="T31" s="11">
        <f>-Plankosten!T110</f>
        <v>-561.8081348049999</v>
      </c>
      <c r="U31" s="187">
        <f>-Plankosten!U110</f>
        <v>-561.8081348049999</v>
      </c>
      <c r="V31" s="12">
        <f t="shared" si="3"/>
        <v>-2247.2325392199996</v>
      </c>
      <c r="W31" s="188">
        <f>-Plankosten!W110</f>
        <v>-2247.2325392199996</v>
      </c>
      <c r="X31" s="189">
        <f>-Plankosten!X110</f>
        <v>-2247.2325392199996</v>
      </c>
    </row>
    <row r="32" spans="1:24" ht="18.75" customHeight="1" outlineLevel="1" x14ac:dyDescent="0.25">
      <c r="A32" s="185" t="s">
        <v>112</v>
      </c>
      <c r="B32" s="775" t="str">
        <f>Plankosten!A112</f>
        <v>Betriebsversicherung</v>
      </c>
      <c r="C32" s="775"/>
      <c r="D32" s="776"/>
      <c r="E32" s="186">
        <f>-Plankosten!E117</f>
        <v>0</v>
      </c>
      <c r="F32" s="11">
        <f>-Plankosten!F117</f>
        <v>0</v>
      </c>
      <c r="G32" s="11">
        <f>-Plankosten!G117</f>
        <v>0</v>
      </c>
      <c r="H32" s="11">
        <f>-Plankosten!H117</f>
        <v>0</v>
      </c>
      <c r="I32" s="11">
        <f>-Plankosten!I117</f>
        <v>0</v>
      </c>
      <c r="J32" s="11">
        <f>-Plankosten!J117</f>
        <v>0</v>
      </c>
      <c r="K32" s="11">
        <f>-Plankosten!K117</f>
        <v>0</v>
      </c>
      <c r="L32" s="11">
        <f>-Plankosten!L117</f>
        <v>0</v>
      </c>
      <c r="M32" s="11">
        <f>-Plankosten!M117</f>
        <v>0</v>
      </c>
      <c r="N32" s="11">
        <f>-Plankosten!N117</f>
        <v>0</v>
      </c>
      <c r="O32" s="11">
        <f>-Plankosten!O117</f>
        <v>0</v>
      </c>
      <c r="P32" s="187">
        <f>-Plankosten!P117</f>
        <v>0</v>
      </c>
      <c r="Q32" s="12">
        <f t="shared" si="1"/>
        <v>0</v>
      </c>
      <c r="R32" s="186">
        <f>-Plankosten!R117</f>
        <v>0</v>
      </c>
      <c r="S32" s="11">
        <f>-Plankosten!S117</f>
        <v>0</v>
      </c>
      <c r="T32" s="11">
        <f>-Plankosten!T117</f>
        <v>0</v>
      </c>
      <c r="U32" s="187">
        <f>-Plankosten!U117</f>
        <v>0</v>
      </c>
      <c r="V32" s="12">
        <f t="shared" si="3"/>
        <v>0</v>
      </c>
      <c r="W32" s="188">
        <f>-Plankosten!W117</f>
        <v>0</v>
      </c>
      <c r="X32" s="189">
        <f>-Plankosten!X117</f>
        <v>0</v>
      </c>
    </row>
    <row r="33" spans="1:24" ht="18.75" customHeight="1" outlineLevel="1" x14ac:dyDescent="0.25">
      <c r="A33" s="185" t="s">
        <v>112</v>
      </c>
      <c r="B33" s="775" t="str">
        <f>Plankosten!A119</f>
        <v>Leasinggebühren</v>
      </c>
      <c r="C33" s="775"/>
      <c r="D33" s="776"/>
      <c r="E33" s="186">
        <f>-Plankosten!E124</f>
        <v>-1500</v>
      </c>
      <c r="F33" s="11">
        <f>-Plankosten!F124</f>
        <v>-1500</v>
      </c>
      <c r="G33" s="11">
        <f>-Plankosten!G124</f>
        <v>-1500</v>
      </c>
      <c r="H33" s="11">
        <f>-Plankosten!H124</f>
        <v>-1500</v>
      </c>
      <c r="I33" s="11">
        <f>-Plankosten!I124</f>
        <v>-1500</v>
      </c>
      <c r="J33" s="11">
        <f>-Plankosten!J124</f>
        <v>-1500</v>
      </c>
      <c r="K33" s="11">
        <f>-Plankosten!K124</f>
        <v>-1500</v>
      </c>
      <c r="L33" s="11">
        <f>-Plankosten!L124</f>
        <v>-1500</v>
      </c>
      <c r="M33" s="11">
        <f>-Plankosten!M124</f>
        <v>-1500</v>
      </c>
      <c r="N33" s="11">
        <f>-Plankosten!N124</f>
        <v>-1500</v>
      </c>
      <c r="O33" s="11">
        <f>-Plankosten!O124</f>
        <v>-1500</v>
      </c>
      <c r="P33" s="187">
        <f>-Plankosten!P124</f>
        <v>-1500</v>
      </c>
      <c r="Q33" s="12">
        <f t="shared" si="1"/>
        <v>-18000</v>
      </c>
      <c r="R33" s="186">
        <f>-Plankosten!R124</f>
        <v>-4500</v>
      </c>
      <c r="S33" s="11">
        <f>-Plankosten!S124</f>
        <v>-4500</v>
      </c>
      <c r="T33" s="11">
        <f>-Plankosten!T124</f>
        <v>-4500</v>
      </c>
      <c r="U33" s="187">
        <f>-Plankosten!U124</f>
        <v>-4500</v>
      </c>
      <c r="V33" s="12">
        <f t="shared" si="3"/>
        <v>-18000</v>
      </c>
      <c r="W33" s="188">
        <f>-Plankosten!W124</f>
        <v>0</v>
      </c>
      <c r="X33" s="189">
        <f>-Plankosten!X124</f>
        <v>0</v>
      </c>
    </row>
    <row r="34" spans="1:24" ht="18.75" customHeight="1" outlineLevel="1" x14ac:dyDescent="0.25">
      <c r="A34" s="185" t="s">
        <v>112</v>
      </c>
      <c r="B34" s="775" t="str">
        <f>Plankosten!A126</f>
        <v>Spesen-, Bank-, Kreditgebühren</v>
      </c>
      <c r="C34" s="775"/>
      <c r="D34" s="776"/>
      <c r="E34" s="186">
        <f>-Plankosten!E131</f>
        <v>-50</v>
      </c>
      <c r="F34" s="11">
        <f>-Plankosten!F131</f>
        <v>0</v>
      </c>
      <c r="G34" s="11">
        <f>-Plankosten!G131</f>
        <v>0</v>
      </c>
      <c r="H34" s="11">
        <f>-Plankosten!H131</f>
        <v>-50</v>
      </c>
      <c r="I34" s="11">
        <f>-Plankosten!I131</f>
        <v>0</v>
      </c>
      <c r="J34" s="11">
        <f>-Plankosten!J131</f>
        <v>0</v>
      </c>
      <c r="K34" s="11">
        <f>-Plankosten!K131</f>
        <v>-50</v>
      </c>
      <c r="L34" s="11">
        <f>-Plankosten!L131</f>
        <v>0</v>
      </c>
      <c r="M34" s="11">
        <f>-Plankosten!M131</f>
        <v>0</v>
      </c>
      <c r="N34" s="11">
        <f>-Plankosten!N131</f>
        <v>-50</v>
      </c>
      <c r="O34" s="11">
        <f>-Plankosten!O131</f>
        <v>0</v>
      </c>
      <c r="P34" s="187">
        <f>-Plankosten!P131</f>
        <v>0</v>
      </c>
      <c r="Q34" s="12">
        <f t="shared" si="1"/>
        <v>-200</v>
      </c>
      <c r="R34" s="186">
        <f>-Plankosten!R131</f>
        <v>-50</v>
      </c>
      <c r="S34" s="11">
        <f>-Plankosten!S131</f>
        <v>-50</v>
      </c>
      <c r="T34" s="11">
        <f>-Plankosten!T131</f>
        <v>-50</v>
      </c>
      <c r="U34" s="187">
        <f>-Plankosten!U131</f>
        <v>-50</v>
      </c>
      <c r="V34" s="12">
        <f t="shared" si="3"/>
        <v>-200</v>
      </c>
      <c r="W34" s="188">
        <f>-Plankosten!W131</f>
        <v>-200</v>
      </c>
      <c r="X34" s="189">
        <f>-Plankosten!X131</f>
        <v>-200</v>
      </c>
    </row>
    <row r="35" spans="1:24" ht="18.75" customHeight="1" outlineLevel="1" x14ac:dyDescent="0.25">
      <c r="A35" s="185" t="s">
        <v>112</v>
      </c>
      <c r="B35" s="775" t="str">
        <f>Plankosten!A133</f>
        <v>Sonstige Kosten</v>
      </c>
      <c r="C35" s="775"/>
      <c r="D35" s="776"/>
      <c r="E35" s="186">
        <f>-Plankosten!E139</f>
        <v>0</v>
      </c>
      <c r="F35" s="11">
        <f>-Plankosten!F139</f>
        <v>0</v>
      </c>
      <c r="G35" s="11">
        <f>-Plankosten!G139</f>
        <v>0</v>
      </c>
      <c r="H35" s="11">
        <f>-Plankosten!H139</f>
        <v>0</v>
      </c>
      <c r="I35" s="11">
        <f>-Plankosten!I139</f>
        <v>-15000</v>
      </c>
      <c r="J35" s="11">
        <f>-Plankosten!J139</f>
        <v>0</v>
      </c>
      <c r="K35" s="11">
        <f>-Plankosten!K139</f>
        <v>0</v>
      </c>
      <c r="L35" s="11">
        <f>-Plankosten!L139</f>
        <v>0</v>
      </c>
      <c r="M35" s="11">
        <f>-Plankosten!M139</f>
        <v>0</v>
      </c>
      <c r="N35" s="11">
        <f>-Plankosten!N139</f>
        <v>0</v>
      </c>
      <c r="O35" s="11">
        <f>-Plankosten!O139</f>
        <v>0</v>
      </c>
      <c r="P35" s="187">
        <f>-Plankosten!P139</f>
        <v>0</v>
      </c>
      <c r="Q35" s="12">
        <f t="shared" si="1"/>
        <v>-15000</v>
      </c>
      <c r="R35" s="186">
        <f>-Plankosten!R139</f>
        <v>0</v>
      </c>
      <c r="S35" s="11">
        <f>-Plankosten!S139</f>
        <v>-15000</v>
      </c>
      <c r="T35" s="11">
        <f>-Plankosten!T139</f>
        <v>0</v>
      </c>
      <c r="U35" s="187">
        <f>-Plankosten!U139</f>
        <v>0</v>
      </c>
      <c r="V35" s="12">
        <f t="shared" si="3"/>
        <v>-15000</v>
      </c>
      <c r="W35" s="188">
        <f>-Plankosten!W139</f>
        <v>-15000</v>
      </c>
      <c r="X35" s="189">
        <f>-Plankosten!X139</f>
        <v>-15000</v>
      </c>
    </row>
    <row r="36" spans="1:24" ht="18.75" customHeight="1" outlineLevel="1" thickBot="1" x14ac:dyDescent="0.3">
      <c r="A36" s="160" t="s">
        <v>112</v>
      </c>
      <c r="B36" s="779" t="s">
        <v>137</v>
      </c>
      <c r="C36" s="779"/>
      <c r="D36" s="780"/>
      <c r="E36" s="198">
        <f>-(Abschreibung!$F$15/12)</f>
        <v>-1258.3333333333333</v>
      </c>
      <c r="F36" s="131">
        <f>-(Abschreibung!$F$15/12)</f>
        <v>-1258.3333333333333</v>
      </c>
      <c r="G36" s="131">
        <f>-(Abschreibung!$F$15/12)</f>
        <v>-1258.3333333333333</v>
      </c>
      <c r="H36" s="131">
        <f>-(Abschreibung!$F$15/12)</f>
        <v>-1258.3333333333333</v>
      </c>
      <c r="I36" s="131">
        <f>-(Abschreibung!$F$15/12)</f>
        <v>-1258.3333333333333</v>
      </c>
      <c r="J36" s="131">
        <f>-(Abschreibung!$F$15/12)</f>
        <v>-1258.3333333333333</v>
      </c>
      <c r="K36" s="131">
        <f>-(Abschreibung!$F$15/12)</f>
        <v>-1258.3333333333333</v>
      </c>
      <c r="L36" s="131">
        <f>-(Abschreibung!$F$15/12)</f>
        <v>-1258.3333333333333</v>
      </c>
      <c r="M36" s="131">
        <f>-(Abschreibung!$F$15/12)</f>
        <v>-1258.3333333333333</v>
      </c>
      <c r="N36" s="131">
        <f>-(Abschreibung!$F$15/12)</f>
        <v>-1258.3333333333333</v>
      </c>
      <c r="O36" s="131">
        <f>-(Abschreibung!$F$15/12)</f>
        <v>-1258.3333333333333</v>
      </c>
      <c r="P36" s="161">
        <f>-(Abschreibung!$F$15/12)</f>
        <v>-1258.3333333333333</v>
      </c>
      <c r="Q36" s="136">
        <f t="shared" si="1"/>
        <v>-15100.000000000002</v>
      </c>
      <c r="R36" s="161">
        <f>-(Abschreibung!$H$15/4)</f>
        <v>-3900</v>
      </c>
      <c r="S36" s="131">
        <f>-(Abschreibung!$H$15/4)</f>
        <v>-3900</v>
      </c>
      <c r="T36" s="131">
        <f>-(Abschreibung!$H$15/4)</f>
        <v>-3900</v>
      </c>
      <c r="U36" s="161">
        <f>-(Abschreibung!$H$15/4)</f>
        <v>-3900</v>
      </c>
      <c r="V36" s="136">
        <f t="shared" si="3"/>
        <v>-15600</v>
      </c>
      <c r="W36" s="199">
        <f>-(Abschreibung!$I$15)</f>
        <v>-49300</v>
      </c>
      <c r="X36" s="200">
        <f>-(Abschreibung!$K$15)</f>
        <v>-33700</v>
      </c>
    </row>
    <row r="37" spans="1:24" s="196" customFormat="1" ht="7.5" customHeight="1" outlineLevel="1" thickTop="1" x14ac:dyDescent="0.25">
      <c r="A37" s="163"/>
      <c r="B37" s="164"/>
      <c r="C37" s="164"/>
      <c r="D37" s="165"/>
      <c r="E37" s="190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2"/>
      <c r="Q37" s="193"/>
      <c r="R37" s="190"/>
      <c r="S37" s="191"/>
      <c r="T37" s="191"/>
      <c r="U37" s="192"/>
      <c r="V37" s="193"/>
      <c r="W37" s="194"/>
      <c r="X37" s="195"/>
    </row>
    <row r="38" spans="1:24" ht="18.75" customHeight="1" thickBot="1" x14ac:dyDescent="0.3">
      <c r="A38" s="772" t="s">
        <v>119</v>
      </c>
      <c r="B38" s="773"/>
      <c r="C38" s="773"/>
      <c r="D38" s="774"/>
      <c r="E38" s="178">
        <f>SUM(E22:E36)</f>
        <v>-25287.936044934999</v>
      </c>
      <c r="F38" s="175">
        <f t="shared" ref="F38:P38" si="15">SUM(F22:F36)</f>
        <v>-26245.936044934999</v>
      </c>
      <c r="G38" s="175">
        <f t="shared" si="15"/>
        <v>-31693.936044934999</v>
      </c>
      <c r="H38" s="175">
        <f t="shared" si="15"/>
        <v>-33391.936044934999</v>
      </c>
      <c r="I38" s="175">
        <f t="shared" si="15"/>
        <v>-72438.602711601663</v>
      </c>
      <c r="J38" s="175">
        <f t="shared" si="15"/>
        <v>-33341.936044934999</v>
      </c>
      <c r="K38" s="175">
        <f t="shared" si="15"/>
        <v>44208.063955065001</v>
      </c>
      <c r="L38" s="175">
        <f t="shared" si="15"/>
        <v>-33541.936044934999</v>
      </c>
      <c r="M38" s="175">
        <f t="shared" si="15"/>
        <v>44258.063955065001</v>
      </c>
      <c r="N38" s="175">
        <f t="shared" si="15"/>
        <v>-36391.936044934999</v>
      </c>
      <c r="O38" s="175">
        <f t="shared" si="15"/>
        <v>20161.39728839833</v>
      </c>
      <c r="P38" s="176">
        <f t="shared" si="15"/>
        <v>-30375.536044934997</v>
      </c>
      <c r="Q38" s="177">
        <f t="shared" ref="Q38" si="16">SUM(Q22:Q36)</f>
        <v>-214082.16587255336</v>
      </c>
      <c r="R38" s="178">
        <f t="shared" ref="R38" si="17">SUM(R22:R36)</f>
        <v>-2000.0081348050117</v>
      </c>
      <c r="S38" s="175">
        <f t="shared" ref="S38" si="18">SUM(S22:S36)</f>
        <v>-45891.208134805012</v>
      </c>
      <c r="T38" s="175">
        <f t="shared" ref="T38" si="19">SUM(T22:T36)</f>
        <v>1051.9918651949883</v>
      </c>
      <c r="U38" s="176">
        <f t="shared" ref="U38" si="20">SUM(U22:U36)</f>
        <v>41708.791865194995</v>
      </c>
      <c r="V38" s="177">
        <f t="shared" ref="V38" si="21">SUM(V22:V36)</f>
        <v>-5130.4325392200117</v>
      </c>
      <c r="W38" s="179">
        <f t="shared" ref="W38" si="22">SUM(W22:W36)</f>
        <v>318114.92746078002</v>
      </c>
      <c r="X38" s="197">
        <f t="shared" ref="X38" si="23">SUM(X22:X36)</f>
        <v>1062855.7954607799</v>
      </c>
    </row>
    <row r="39" spans="1:24" ht="18.75" customHeight="1" outlineLevel="1" thickTop="1" x14ac:dyDescent="0.25">
      <c r="A39" s="159" t="s">
        <v>112</v>
      </c>
      <c r="B39" s="777" t="s">
        <v>183</v>
      </c>
      <c r="C39" s="777"/>
      <c r="D39" s="778"/>
      <c r="E39" s="181">
        <f>-(Liquiditätsplan!E84+Liquiditätsplan!E86)/3</f>
        <v>-324.01652033701254</v>
      </c>
      <c r="F39" s="7">
        <f>-(Liquiditätsplan!E84+Liquiditätsplan!E86)/3</f>
        <v>-324.01652033701254</v>
      </c>
      <c r="G39" s="7">
        <f>-(Liquiditätsplan!E84+Liquiditätsplan!E86)/3</f>
        <v>-324.01652033701254</v>
      </c>
      <c r="H39" s="7">
        <f>-(Liquiditätsplan!H84+Liquiditätsplan!H86)/3</f>
        <v>-1092.4958301981619</v>
      </c>
      <c r="I39" s="7">
        <f>-(Liquiditätsplan!H84+Liquiditätsplan!H86)/3</f>
        <v>-1092.4958301981619</v>
      </c>
      <c r="J39" s="7">
        <f>-(Liquiditätsplan!H84+Liquiditätsplan!H86)/3</f>
        <v>-1092.4958301981619</v>
      </c>
      <c r="K39" s="7">
        <f>-(Liquiditätsplan!K84+Liquiditätsplan!K86)/3</f>
        <v>-1217.8496775798469</v>
      </c>
      <c r="L39" s="7">
        <f>-(Liquiditätsplan!K84+Liquiditätsplan!K86)/3</f>
        <v>-1217.8496775798469</v>
      </c>
      <c r="M39" s="7">
        <f>-(Liquiditätsplan!K84+Liquiditätsplan!K86)/3</f>
        <v>-1217.8496775798469</v>
      </c>
      <c r="N39" s="7">
        <f>-(Liquiditätsplan!N84+Liquiditätsplan!N86)/3</f>
        <v>-1200.5372198232217</v>
      </c>
      <c r="O39" s="7">
        <f>-(Liquiditätsplan!N84+Liquiditätsplan!N86)/3</f>
        <v>-1200.5372198232217</v>
      </c>
      <c r="P39" s="182">
        <f>-(Liquiditätsplan!N84+Liquiditätsplan!N86)/3</f>
        <v>-1200.5372198232217</v>
      </c>
      <c r="Q39" s="8">
        <f t="shared" si="1"/>
        <v>-11504.69774381473</v>
      </c>
      <c r="R39" s="181">
        <f>-(Liquiditätsplan!R84+Liquiditätsplan!R86)</f>
        <v>-4189.0436778105359</v>
      </c>
      <c r="S39" s="7">
        <f>-(Liquiditätsplan!S84+Liquiditätsplan!S86)</f>
        <v>-4758.5762148622125</v>
      </c>
      <c r="T39" s="7">
        <f>-(Liquiditätsplan!T84+Liquiditätsplan!T86)</f>
        <v>-4912.8693194126663</v>
      </c>
      <c r="U39" s="182">
        <f>-(Liquiditätsplan!U84+Liquiditätsplan!U86)</f>
        <v>-4297.0911162751363</v>
      </c>
      <c r="V39" s="8">
        <f t="shared" si="3"/>
        <v>-18157.580328360549</v>
      </c>
      <c r="W39" s="183">
        <f>-(Liquiditätsplan!W84+Liquiditätsplan!W86)</f>
        <v>-15125.823788727073</v>
      </c>
      <c r="X39" s="184">
        <f>-(Liquiditätsplan!X84+Liquiditätsplan!X86)</f>
        <v>0</v>
      </c>
    </row>
    <row r="40" spans="1:24" ht="18.75" customHeight="1" outlineLevel="1" thickBot="1" x14ac:dyDescent="0.3">
      <c r="A40" s="160" t="s">
        <v>113</v>
      </c>
      <c r="B40" s="779" t="s">
        <v>182</v>
      </c>
      <c r="C40" s="779"/>
      <c r="D40" s="780"/>
      <c r="E40" s="198">
        <f>Liquiditätsplan!E85/3</f>
        <v>0</v>
      </c>
      <c r="F40" s="131">
        <f>Liquiditätsplan!E85/3</f>
        <v>0</v>
      </c>
      <c r="G40" s="131">
        <f>Liquiditätsplan!E85/3</f>
        <v>0</v>
      </c>
      <c r="H40" s="131">
        <f>Liquiditätsplan!H85/3</f>
        <v>0</v>
      </c>
      <c r="I40" s="131">
        <f>Liquiditätsplan!H85/3</f>
        <v>0</v>
      </c>
      <c r="J40" s="131">
        <f>Liquiditätsplan!H85/3</f>
        <v>0</v>
      </c>
      <c r="K40" s="131">
        <f>Liquiditätsplan!K85/3</f>
        <v>0</v>
      </c>
      <c r="L40" s="131">
        <f>Liquiditätsplan!K85/3</f>
        <v>0</v>
      </c>
      <c r="M40" s="131">
        <f>Liquiditätsplan!K85/3</f>
        <v>0</v>
      </c>
      <c r="N40" s="131">
        <f>Liquiditätsplan!N85/3</f>
        <v>0</v>
      </c>
      <c r="O40" s="131">
        <f>Liquiditätsplan!N85/3</f>
        <v>0</v>
      </c>
      <c r="P40" s="161">
        <f>Liquiditätsplan!N85/3</f>
        <v>0</v>
      </c>
      <c r="Q40" s="136">
        <f t="shared" si="1"/>
        <v>0</v>
      </c>
      <c r="R40" s="198">
        <f>Liquiditätsplan!R85</f>
        <v>0</v>
      </c>
      <c r="S40" s="131">
        <f>Liquiditätsplan!S85</f>
        <v>0</v>
      </c>
      <c r="T40" s="131">
        <f>Liquiditätsplan!T85</f>
        <v>0</v>
      </c>
      <c r="U40" s="161">
        <f>Liquiditätsplan!U85</f>
        <v>0</v>
      </c>
      <c r="V40" s="136">
        <f t="shared" si="3"/>
        <v>0</v>
      </c>
      <c r="W40" s="199">
        <f>Liquiditätsplan!W85</f>
        <v>0</v>
      </c>
      <c r="X40" s="200">
        <f>Liquiditätsplan!X85</f>
        <v>-48.388659966430041</v>
      </c>
    </row>
    <row r="41" spans="1:24" s="196" customFormat="1" ht="7.5" customHeight="1" outlineLevel="1" thickTop="1" x14ac:dyDescent="0.25">
      <c r="A41" s="163"/>
      <c r="B41" s="164"/>
      <c r="C41" s="164"/>
      <c r="D41" s="165"/>
      <c r="E41" s="190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2"/>
      <c r="Q41" s="193"/>
      <c r="R41" s="190"/>
      <c r="S41" s="191"/>
      <c r="T41" s="191"/>
      <c r="U41" s="192"/>
      <c r="V41" s="193"/>
      <c r="W41" s="194"/>
      <c r="X41" s="195"/>
    </row>
    <row r="42" spans="1:24" ht="18.75" customHeight="1" thickBot="1" x14ac:dyDescent="0.3">
      <c r="A42" s="772" t="s">
        <v>124</v>
      </c>
      <c r="B42" s="773"/>
      <c r="C42" s="773"/>
      <c r="D42" s="774"/>
      <c r="E42" s="178">
        <f>SUM(E39:E40)</f>
        <v>-324.01652033701254</v>
      </c>
      <c r="F42" s="175">
        <f t="shared" ref="F42:X42" si="24">SUM(F39:F40)</f>
        <v>-324.01652033701254</v>
      </c>
      <c r="G42" s="175">
        <f t="shared" si="24"/>
        <v>-324.01652033701254</v>
      </c>
      <c r="H42" s="175">
        <f t="shared" si="24"/>
        <v>-1092.4958301981619</v>
      </c>
      <c r="I42" s="175">
        <f t="shared" si="24"/>
        <v>-1092.4958301981619</v>
      </c>
      <c r="J42" s="175">
        <f t="shared" si="24"/>
        <v>-1092.4958301981619</v>
      </c>
      <c r="K42" s="175">
        <f t="shared" si="24"/>
        <v>-1217.8496775798469</v>
      </c>
      <c r="L42" s="175">
        <f t="shared" si="24"/>
        <v>-1217.8496775798469</v>
      </c>
      <c r="M42" s="175">
        <f t="shared" si="24"/>
        <v>-1217.8496775798469</v>
      </c>
      <c r="N42" s="175">
        <f t="shared" si="24"/>
        <v>-1200.5372198232217</v>
      </c>
      <c r="O42" s="175">
        <f t="shared" si="24"/>
        <v>-1200.5372198232217</v>
      </c>
      <c r="P42" s="176">
        <f t="shared" si="24"/>
        <v>-1200.5372198232217</v>
      </c>
      <c r="Q42" s="177">
        <f t="shared" si="24"/>
        <v>-11504.69774381473</v>
      </c>
      <c r="R42" s="178">
        <f t="shared" si="24"/>
        <v>-4189.0436778105359</v>
      </c>
      <c r="S42" s="175">
        <f t="shared" si="24"/>
        <v>-4758.5762148622125</v>
      </c>
      <c r="T42" s="175">
        <f t="shared" si="24"/>
        <v>-4912.8693194126663</v>
      </c>
      <c r="U42" s="176">
        <f t="shared" si="24"/>
        <v>-4297.0911162751363</v>
      </c>
      <c r="V42" s="177">
        <f t="shared" si="24"/>
        <v>-18157.580328360549</v>
      </c>
      <c r="W42" s="179">
        <f t="shared" si="24"/>
        <v>-15125.823788727073</v>
      </c>
      <c r="X42" s="197">
        <f t="shared" si="24"/>
        <v>-48.388659966430041</v>
      </c>
    </row>
    <row r="43" spans="1:24" ht="7.5" customHeight="1" thickTop="1" x14ac:dyDescent="0.25">
      <c r="A43" s="201"/>
      <c r="B43" s="202"/>
      <c r="C43" s="202"/>
      <c r="D43" s="203"/>
      <c r="E43" s="204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205"/>
      <c r="Q43" s="206"/>
      <c r="R43" s="204"/>
      <c r="S43" s="112"/>
      <c r="T43" s="112"/>
      <c r="U43" s="205"/>
      <c r="V43" s="206"/>
      <c r="W43" s="207"/>
      <c r="X43" s="208"/>
    </row>
    <row r="44" spans="1:24" ht="18.75" customHeight="1" thickBot="1" x14ac:dyDescent="0.3">
      <c r="A44" s="772" t="s">
        <v>125</v>
      </c>
      <c r="B44" s="773"/>
      <c r="C44" s="773"/>
      <c r="D44" s="774"/>
      <c r="E44" s="178">
        <f>E42+E38</f>
        <v>-25611.952565272011</v>
      </c>
      <c r="F44" s="175">
        <f t="shared" ref="F44:X44" si="25">F42+F38</f>
        <v>-26569.952565272011</v>
      </c>
      <c r="G44" s="175">
        <f t="shared" si="25"/>
        <v>-32017.952565272011</v>
      </c>
      <c r="H44" s="175">
        <f t="shared" si="25"/>
        <v>-34484.431875133159</v>
      </c>
      <c r="I44" s="175">
        <f t="shared" si="25"/>
        <v>-73531.098541799831</v>
      </c>
      <c r="J44" s="175">
        <f t="shared" si="25"/>
        <v>-34434.431875133159</v>
      </c>
      <c r="K44" s="175">
        <f t="shared" si="25"/>
        <v>42990.214277485153</v>
      </c>
      <c r="L44" s="175">
        <f t="shared" si="25"/>
        <v>-34759.785722514847</v>
      </c>
      <c r="M44" s="175">
        <f t="shared" si="25"/>
        <v>43040.214277485153</v>
      </c>
      <c r="N44" s="175">
        <f t="shared" si="25"/>
        <v>-37592.47326475822</v>
      </c>
      <c r="O44" s="175">
        <f t="shared" si="25"/>
        <v>18960.860068575108</v>
      </c>
      <c r="P44" s="176">
        <f t="shared" si="25"/>
        <v>-31576.073264758219</v>
      </c>
      <c r="Q44" s="177">
        <f t="shared" si="25"/>
        <v>-225586.86361636809</v>
      </c>
      <c r="R44" s="178">
        <f t="shared" si="25"/>
        <v>-6189.0518126155475</v>
      </c>
      <c r="S44" s="175">
        <f t="shared" si="25"/>
        <v>-50649.784349667229</v>
      </c>
      <c r="T44" s="175">
        <f t="shared" si="25"/>
        <v>-3860.877454217678</v>
      </c>
      <c r="U44" s="176">
        <f t="shared" si="25"/>
        <v>37411.700748919859</v>
      </c>
      <c r="V44" s="177">
        <f t="shared" si="25"/>
        <v>-23288.012867580561</v>
      </c>
      <c r="W44" s="179">
        <f t="shared" si="25"/>
        <v>302989.10367205297</v>
      </c>
      <c r="X44" s="197">
        <f t="shared" si="25"/>
        <v>1062807.4068008135</v>
      </c>
    </row>
    <row r="45" spans="1:24" ht="18.75" customHeight="1" thickTop="1" thickBot="1" x14ac:dyDescent="0.3">
      <c r="A45" s="209" t="s">
        <v>112</v>
      </c>
      <c r="B45" s="781" t="s">
        <v>174</v>
      </c>
      <c r="C45" s="781"/>
      <c r="D45" s="782"/>
      <c r="E45" s="210">
        <f>$Q$45/12</f>
        <v>-41.666666666666664</v>
      </c>
      <c r="F45" s="210">
        <f t="shared" ref="F45:P45" si="26">$Q$45/12</f>
        <v>-41.666666666666664</v>
      </c>
      <c r="G45" s="210">
        <f t="shared" si="26"/>
        <v>-41.666666666666664</v>
      </c>
      <c r="H45" s="210">
        <f t="shared" si="26"/>
        <v>-41.666666666666664</v>
      </c>
      <c r="I45" s="210">
        <f t="shared" si="26"/>
        <v>-41.666666666666664</v>
      </c>
      <c r="J45" s="210">
        <f t="shared" si="26"/>
        <v>-41.666666666666664</v>
      </c>
      <c r="K45" s="210">
        <f t="shared" si="26"/>
        <v>-41.666666666666664</v>
      </c>
      <c r="L45" s="210">
        <f t="shared" si="26"/>
        <v>-41.666666666666664</v>
      </c>
      <c r="M45" s="210">
        <f t="shared" si="26"/>
        <v>-41.666666666666664</v>
      </c>
      <c r="N45" s="210">
        <f t="shared" si="26"/>
        <v>-41.666666666666664</v>
      </c>
      <c r="O45" s="210">
        <f t="shared" si="26"/>
        <v>-41.666666666666664</v>
      </c>
      <c r="P45" s="211">
        <f t="shared" si="26"/>
        <v>-41.666666666666664</v>
      </c>
      <c r="Q45" s="212">
        <f>-Q56</f>
        <v>-500</v>
      </c>
      <c r="R45" s="210">
        <f>$V$45/4</f>
        <v>-125</v>
      </c>
      <c r="S45" s="210">
        <f t="shared" ref="S45:U45" si="27">$V$45/4</f>
        <v>-125</v>
      </c>
      <c r="T45" s="210">
        <f t="shared" si="27"/>
        <v>-125</v>
      </c>
      <c r="U45" s="211">
        <f t="shared" si="27"/>
        <v>-125</v>
      </c>
      <c r="V45" s="212">
        <f>-V56</f>
        <v>-500</v>
      </c>
      <c r="W45" s="213">
        <f>-W56</f>
        <v>-18936.81897950331</v>
      </c>
      <c r="X45" s="214">
        <f>-X56</f>
        <v>-260293.58951772613</v>
      </c>
    </row>
    <row r="46" spans="1:24" s="173" customFormat="1" ht="7.5" customHeight="1" thickTop="1" thickBot="1" x14ac:dyDescent="0.3">
      <c r="A46" s="215"/>
      <c r="B46" s="216"/>
      <c r="C46" s="216"/>
      <c r="D46" s="217"/>
      <c r="E46" s="218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20"/>
      <c r="Q46" s="221"/>
      <c r="R46" s="222"/>
      <c r="S46" s="223"/>
      <c r="T46" s="223"/>
      <c r="U46" s="224"/>
      <c r="V46" s="225"/>
      <c r="W46" s="226"/>
      <c r="X46" s="227"/>
    </row>
    <row r="47" spans="1:24" ht="22.5" customHeight="1" thickBot="1" x14ac:dyDescent="0.3">
      <c r="A47" s="783" t="s">
        <v>126</v>
      </c>
      <c r="B47" s="784"/>
      <c r="C47" s="784"/>
      <c r="D47" s="785"/>
      <c r="E47" s="228">
        <f>E44+E45</f>
        <v>-25653.619231938679</v>
      </c>
      <c r="F47" s="229">
        <f t="shared" ref="F47:X47" si="28">F44+F45</f>
        <v>-26611.619231938679</v>
      </c>
      <c r="G47" s="229">
        <f t="shared" si="28"/>
        <v>-32059.619231938679</v>
      </c>
      <c r="H47" s="229">
        <f t="shared" si="28"/>
        <v>-34526.098541799824</v>
      </c>
      <c r="I47" s="229">
        <f t="shared" si="28"/>
        <v>-73572.765208466502</v>
      </c>
      <c r="J47" s="229">
        <f t="shared" si="28"/>
        <v>-34476.098541799824</v>
      </c>
      <c r="K47" s="229">
        <f t="shared" si="28"/>
        <v>42948.547610818488</v>
      </c>
      <c r="L47" s="229">
        <f t="shared" si="28"/>
        <v>-34801.452389181512</v>
      </c>
      <c r="M47" s="229">
        <f t="shared" si="28"/>
        <v>42998.547610818488</v>
      </c>
      <c r="N47" s="229">
        <f t="shared" si="28"/>
        <v>-37634.139931424885</v>
      </c>
      <c r="O47" s="229">
        <f t="shared" si="28"/>
        <v>18919.19340190844</v>
      </c>
      <c r="P47" s="230">
        <f t="shared" si="28"/>
        <v>-31617.739931424887</v>
      </c>
      <c r="Q47" s="231">
        <f t="shared" si="28"/>
        <v>-226086.86361636809</v>
      </c>
      <c r="R47" s="228">
        <f t="shared" si="28"/>
        <v>-6314.0518126155475</v>
      </c>
      <c r="S47" s="229">
        <f t="shared" si="28"/>
        <v>-50774.784349667229</v>
      </c>
      <c r="T47" s="229">
        <f t="shared" si="28"/>
        <v>-3985.877454217678</v>
      </c>
      <c r="U47" s="230">
        <f t="shared" si="28"/>
        <v>37286.700748919859</v>
      </c>
      <c r="V47" s="231">
        <f t="shared" si="28"/>
        <v>-23788.012867580561</v>
      </c>
      <c r="W47" s="232">
        <f t="shared" si="28"/>
        <v>284052.28469254967</v>
      </c>
      <c r="X47" s="233">
        <f t="shared" si="28"/>
        <v>802513.81728308741</v>
      </c>
    </row>
    <row r="48" spans="1:24" ht="18.75" customHeight="1" thickBot="1" x14ac:dyDescent="0.3"/>
    <row r="49" spans="1:24" ht="18.75" customHeight="1" x14ac:dyDescent="0.25">
      <c r="A49" s="770" t="s">
        <v>127</v>
      </c>
      <c r="B49" s="770"/>
      <c r="C49" s="770"/>
      <c r="D49" s="770"/>
      <c r="E49" s="770"/>
      <c r="F49" s="770"/>
      <c r="G49" s="770"/>
      <c r="H49" s="770"/>
      <c r="I49" s="770"/>
      <c r="J49" s="770"/>
      <c r="K49" s="770"/>
      <c r="L49" s="770"/>
      <c r="M49" s="770"/>
      <c r="N49" s="770"/>
      <c r="O49" s="770"/>
      <c r="P49" s="771"/>
      <c r="Q49" s="234">
        <f>Q44</f>
        <v>-225586.86361636809</v>
      </c>
      <c r="R49" s="235"/>
      <c r="S49" s="235"/>
      <c r="T49" s="235"/>
      <c r="U49" s="235"/>
      <c r="V49" s="236">
        <f>V44</f>
        <v>-23288.012867580561</v>
      </c>
      <c r="W49" s="236">
        <f>W44</f>
        <v>302989.10367205297</v>
      </c>
      <c r="X49" s="237">
        <f>X44</f>
        <v>1062807.4068008135</v>
      </c>
    </row>
    <row r="50" spans="1:24" ht="18.75" customHeight="1" x14ac:dyDescent="0.25">
      <c r="A50" s="770" t="s">
        <v>133</v>
      </c>
      <c r="B50" s="770"/>
      <c r="C50" s="770"/>
      <c r="D50" s="770"/>
      <c r="E50" s="770"/>
      <c r="F50" s="770"/>
      <c r="G50" s="770"/>
      <c r="H50" s="770"/>
      <c r="I50" s="770"/>
      <c r="J50" s="770"/>
      <c r="K50" s="770"/>
      <c r="L50" s="770"/>
      <c r="M50" s="770"/>
      <c r="N50" s="770"/>
      <c r="O50" s="770"/>
      <c r="P50" s="771"/>
      <c r="Q50" s="238">
        <f>IF(Q49&lt;0,0,Q49*$D$5)</f>
        <v>0</v>
      </c>
      <c r="R50" s="239"/>
      <c r="S50" s="239"/>
      <c r="T50" s="239"/>
      <c r="U50" s="239"/>
      <c r="V50" s="240">
        <f>IF(V49&lt;0,0,V49*$D$5)</f>
        <v>0</v>
      </c>
      <c r="W50" s="240">
        <f>IF(W49&lt;0,0,W49*$D$5)</f>
        <v>75747.275918013242</v>
      </c>
      <c r="X50" s="13">
        <f>IF(X49&lt;0,0,X49*$D$5)</f>
        <v>265701.85170020338</v>
      </c>
    </row>
    <row r="51" spans="1:24" ht="18.75" customHeight="1" x14ac:dyDescent="0.25">
      <c r="A51" s="770" t="s">
        <v>128</v>
      </c>
      <c r="B51" s="770"/>
      <c r="C51" s="770"/>
      <c r="D51" s="770"/>
      <c r="E51" s="770"/>
      <c r="F51" s="770"/>
      <c r="G51" s="770"/>
      <c r="H51" s="770"/>
      <c r="I51" s="770"/>
      <c r="J51" s="770"/>
      <c r="K51" s="770"/>
      <c r="L51" s="770"/>
      <c r="M51" s="770"/>
      <c r="N51" s="770"/>
      <c r="O51" s="770"/>
      <c r="P51" s="771"/>
      <c r="Q51" s="238">
        <v>0</v>
      </c>
      <c r="R51" s="239"/>
      <c r="S51" s="239"/>
      <c r="T51" s="239"/>
      <c r="U51" s="239"/>
      <c r="V51" s="240">
        <f>Q52</f>
        <v>-225586.86361636809</v>
      </c>
      <c r="W51" s="240">
        <f>V52</f>
        <v>-248874.87648394867</v>
      </c>
      <c r="X51" s="13">
        <f>W52</f>
        <v>-21633.048729908944</v>
      </c>
    </row>
    <row r="52" spans="1:24" ht="18.75" customHeight="1" x14ac:dyDescent="0.25">
      <c r="A52" s="770" t="s">
        <v>129</v>
      </c>
      <c r="B52" s="770"/>
      <c r="C52" s="770"/>
      <c r="D52" s="770"/>
      <c r="E52" s="770"/>
      <c r="F52" s="770"/>
      <c r="G52" s="770"/>
      <c r="H52" s="770"/>
      <c r="I52" s="770"/>
      <c r="J52" s="770"/>
      <c r="K52" s="770"/>
      <c r="L52" s="770"/>
      <c r="M52" s="770"/>
      <c r="N52" s="770"/>
      <c r="O52" s="770"/>
      <c r="P52" s="771"/>
      <c r="Q52" s="238">
        <f>IF(Q51+(Q49-Q50)&gt;0,0,Q51+(Q49-Q50))</f>
        <v>-225586.86361636809</v>
      </c>
      <c r="R52" s="239"/>
      <c r="S52" s="239"/>
      <c r="T52" s="239"/>
      <c r="U52" s="239"/>
      <c r="V52" s="240">
        <f>IF(V51+(V49-V50)&gt;0,0,V51+(V49-V50))</f>
        <v>-248874.87648394867</v>
      </c>
      <c r="W52" s="240">
        <f>IF(W51+(W49-W50)&gt;0,0,W51+(W49-W50))</f>
        <v>-21633.048729908944</v>
      </c>
      <c r="X52" s="13">
        <f>IF(X51+(X49-X50)&gt;0,0,X51+(X49-X50))</f>
        <v>0</v>
      </c>
    </row>
    <row r="53" spans="1:24" ht="7.5" customHeight="1" x14ac:dyDescent="0.25">
      <c r="A53" s="485"/>
      <c r="B53" s="485"/>
      <c r="C53" s="485"/>
      <c r="D53" s="485"/>
      <c r="E53" s="485"/>
      <c r="F53" s="485"/>
      <c r="G53" s="485"/>
      <c r="H53" s="485"/>
      <c r="I53" s="485"/>
      <c r="J53" s="485"/>
      <c r="K53" s="485"/>
      <c r="L53" s="485"/>
      <c r="M53" s="485"/>
      <c r="N53" s="770"/>
      <c r="O53" s="770"/>
      <c r="P53" s="771"/>
      <c r="Q53" s="241"/>
      <c r="R53" s="242"/>
      <c r="S53" s="242"/>
      <c r="T53" s="242"/>
      <c r="U53" s="242"/>
      <c r="V53" s="243"/>
      <c r="W53" s="243"/>
      <c r="X53" s="17"/>
    </row>
    <row r="54" spans="1:24" ht="18.75" customHeight="1" x14ac:dyDescent="0.25">
      <c r="A54" s="770" t="s">
        <v>130</v>
      </c>
      <c r="B54" s="770"/>
      <c r="C54" s="770"/>
      <c r="D54" s="770"/>
      <c r="E54" s="770"/>
      <c r="F54" s="770"/>
      <c r="G54" s="770"/>
      <c r="H54" s="770"/>
      <c r="I54" s="770"/>
      <c r="J54" s="770"/>
      <c r="K54" s="770"/>
      <c r="L54" s="770"/>
      <c r="M54" s="770"/>
      <c r="N54" s="770"/>
      <c r="O54" s="770"/>
      <c r="P54" s="771"/>
      <c r="Q54" s="244">
        <f>IF(Q49*(1-$D$5)&gt;ABS(Q51),Q49*(1-$D$5)+Q51,0)</f>
        <v>0</v>
      </c>
      <c r="R54" s="245"/>
      <c r="S54" s="245"/>
      <c r="T54" s="245"/>
      <c r="U54" s="245"/>
      <c r="V54" s="246">
        <f>IF(V49*(1-$D$5)&gt;ABS(V51),V49*(1-$D$5)+V51,0)</f>
        <v>0</v>
      </c>
      <c r="W54" s="246">
        <f>IF(W49*(1-$D$5)&gt;ABS(W51),W49*(1-$D$5)+W51,0)</f>
        <v>0</v>
      </c>
      <c r="X54" s="247">
        <f>IF(X49*(1-$D$5)&gt;ABS(X51),X49*(1-$D$5)+X51,0)</f>
        <v>775472.50637070113</v>
      </c>
    </row>
    <row r="55" spans="1:24" ht="18.75" customHeight="1" thickBot="1" x14ac:dyDescent="0.3">
      <c r="A55" s="770" t="s">
        <v>131</v>
      </c>
      <c r="B55" s="770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1"/>
      <c r="Q55" s="241">
        <f>SUM(Q50,Q54)</f>
        <v>0</v>
      </c>
      <c r="R55" s="242"/>
      <c r="S55" s="242"/>
      <c r="T55" s="242"/>
      <c r="U55" s="242"/>
      <c r="V55" s="243">
        <f>SUM(V50,V54)</f>
        <v>0</v>
      </c>
      <c r="W55" s="243">
        <f>SUM(W50,W54)</f>
        <v>75747.275918013242</v>
      </c>
      <c r="X55" s="17">
        <f>SUM(X50,X54)</f>
        <v>1041174.3580709045</v>
      </c>
    </row>
    <row r="56" spans="1:24" ht="18.75" customHeight="1" thickTop="1" thickBot="1" x14ac:dyDescent="0.3">
      <c r="A56" s="759" t="s">
        <v>134</v>
      </c>
      <c r="B56" s="759"/>
      <c r="C56" s="759"/>
      <c r="D56" s="759"/>
      <c r="E56" s="759"/>
      <c r="F56" s="759"/>
      <c r="G56" s="759"/>
      <c r="H56" s="759"/>
      <c r="I56" s="759"/>
      <c r="J56" s="759"/>
      <c r="K56" s="759"/>
      <c r="L56" s="759"/>
      <c r="M56" s="759"/>
      <c r="N56" s="759"/>
      <c r="O56" s="759"/>
      <c r="P56" s="760"/>
      <c r="Q56" s="248">
        <f>IF(Q55*$D$5&lt;500,500,Q55*$D$5)</f>
        <v>500</v>
      </c>
      <c r="R56" s="249"/>
      <c r="S56" s="249"/>
      <c r="T56" s="249"/>
      <c r="U56" s="249"/>
      <c r="V56" s="250">
        <f>IF(V55*$D$5&lt;500,500,V55*$D$5)</f>
        <v>500</v>
      </c>
      <c r="W56" s="250">
        <f>IF(W55*$D$5&lt;500,500,W55*$D$5)</f>
        <v>18936.81897950331</v>
      </c>
      <c r="X56" s="251">
        <f>IF(X55*$D$5&lt;500,500,X55*$D$5)</f>
        <v>260293.58951772613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VNM+V60BKPpFk5i+3S/79Z48skMK5mJ5XxUhm5gKhdYWbJ9brGdJNqLUY0OEB3+j5CQKtDGgXfKoFes+KWcORA==" saltValue="C8KuNEzL5rkLlM69YrEtqw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" right="0.7" top="0.78740157499999996" bottom="0.78740157499999996" header="0.3" footer="0.3"/>
  <pageSetup paperSize="8" scale="60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zoomScaleNormal="85" zoomScaleSheetLayoutView="100" workbookViewId="0">
      <pane xSplit="4" ySplit="1" topLeftCell="P11" activePane="bottomRight" state="frozen"/>
      <selection pane="topRight" activeCell="E1" sqref="E1"/>
      <selection pane="bottomLeft" activeCell="A2" sqref="A2"/>
      <selection pane="bottomRight" activeCell="W26" sqref="W26:X26"/>
    </sheetView>
  </sheetViews>
  <sheetFormatPr baseColWidth="10" defaultRowHeight="15" outlineLevelRow="1" outlineLevelCol="1" x14ac:dyDescent="0.25"/>
  <cols>
    <col min="1" max="4" width="11.42578125" style="41" customWidth="1"/>
    <col min="5" max="16" width="14.28515625" style="41" customWidth="1" outlineLevel="1"/>
    <col min="17" max="17" width="14.28515625" style="41" customWidth="1"/>
    <col min="18" max="21" width="14.28515625" style="41" customWidth="1" outlineLevel="1"/>
    <col min="22" max="24" width="16.140625" style="41" bestFit="1" customWidth="1"/>
    <col min="25" max="16384" width="11.42578125" style="41"/>
  </cols>
  <sheetData>
    <row r="1" spans="1:24" ht="27" thickBot="1" x14ac:dyDescent="0.3">
      <c r="A1" s="701" t="s">
        <v>185</v>
      </c>
      <c r="B1" s="702"/>
      <c r="C1" s="702"/>
      <c r="D1" s="702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2"/>
      <c r="P1" s="702"/>
      <c r="Q1" s="702"/>
      <c r="R1" s="702"/>
      <c r="S1" s="702"/>
      <c r="T1" s="702"/>
      <c r="U1" s="702"/>
      <c r="V1" s="702"/>
      <c r="W1" s="702"/>
      <c r="X1" s="703"/>
    </row>
    <row r="2" spans="1:24" ht="15.75" thickBot="1" x14ac:dyDescent="0.3"/>
    <row r="3" spans="1:24" ht="15.75" thickBot="1" x14ac:dyDescent="0.3">
      <c r="A3" s="881" t="s">
        <v>180</v>
      </c>
      <c r="B3" s="882"/>
      <c r="C3" s="883"/>
      <c r="D3" s="391">
        <v>35000</v>
      </c>
    </row>
    <row r="4" spans="1:24" x14ac:dyDescent="0.25">
      <c r="A4" s="884" t="s">
        <v>189</v>
      </c>
      <c r="B4" s="885"/>
      <c r="C4" s="886"/>
      <c r="D4" s="392">
        <v>0.04</v>
      </c>
    </row>
    <row r="5" spans="1:24" x14ac:dyDescent="0.25">
      <c r="A5" s="764" t="s">
        <v>169</v>
      </c>
      <c r="B5" s="765"/>
      <c r="C5" s="766"/>
      <c r="D5" s="393">
        <v>0.06</v>
      </c>
    </row>
    <row r="6" spans="1:24" x14ac:dyDescent="0.25">
      <c r="A6" s="764" t="s">
        <v>170</v>
      </c>
      <c r="B6" s="765"/>
      <c r="C6" s="766"/>
      <c r="D6" s="393">
        <v>1E-3</v>
      </c>
    </row>
    <row r="7" spans="1:24" x14ac:dyDescent="0.25">
      <c r="A7" s="764" t="s">
        <v>105</v>
      </c>
      <c r="B7" s="765"/>
      <c r="C7" s="766"/>
      <c r="D7" s="383">
        <f>'Plan G&amp;V'!D6</f>
        <v>0.2</v>
      </c>
    </row>
    <row r="8" spans="1:24" ht="15.75" thickBot="1" x14ac:dyDescent="0.3">
      <c r="A8" s="767" t="s">
        <v>164</v>
      </c>
      <c r="B8" s="768"/>
      <c r="C8" s="769"/>
      <c r="D8" s="394">
        <v>0.2</v>
      </c>
    </row>
    <row r="9" spans="1:24" ht="18.75" customHeight="1" x14ac:dyDescent="0.25">
      <c r="A9" s="827" t="s">
        <v>259</v>
      </c>
      <c r="B9" s="828"/>
      <c r="C9" s="828"/>
      <c r="D9" s="829"/>
      <c r="E9" s="709" t="s">
        <v>20</v>
      </c>
      <c r="F9" s="709"/>
      <c r="G9" s="709"/>
      <c r="H9" s="709"/>
      <c r="I9" s="709"/>
      <c r="J9" s="709"/>
      <c r="K9" s="709"/>
      <c r="L9" s="709"/>
      <c r="M9" s="709"/>
      <c r="N9" s="709"/>
      <c r="O9" s="709"/>
      <c r="P9" s="709"/>
      <c r="Q9" s="718" t="s">
        <v>20</v>
      </c>
      <c r="R9" s="709" t="s">
        <v>25</v>
      </c>
      <c r="S9" s="709"/>
      <c r="T9" s="709"/>
      <c r="U9" s="709"/>
      <c r="V9" s="718" t="s">
        <v>25</v>
      </c>
      <c r="W9" s="718" t="s">
        <v>26</v>
      </c>
      <c r="X9" s="720" t="s">
        <v>27</v>
      </c>
    </row>
    <row r="10" spans="1:24" ht="18.75" customHeight="1" thickBot="1" x14ac:dyDescent="0.3">
      <c r="A10" s="830"/>
      <c r="B10" s="831"/>
      <c r="C10" s="831"/>
      <c r="D10" s="831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90">
        <v>12</v>
      </c>
      <c r="Q10" s="719"/>
      <c r="R10" s="4" t="s">
        <v>21</v>
      </c>
      <c r="S10" s="2" t="s">
        <v>22</v>
      </c>
      <c r="T10" s="2" t="s">
        <v>23</v>
      </c>
      <c r="U10" s="290" t="s">
        <v>24</v>
      </c>
      <c r="V10" s="719"/>
      <c r="W10" s="719"/>
      <c r="X10" s="721"/>
    </row>
    <row r="11" spans="1:24" ht="18.75" customHeight="1" thickTop="1" x14ac:dyDescent="0.25">
      <c r="A11" s="878" t="s">
        <v>144</v>
      </c>
      <c r="B11" s="777"/>
      <c r="C11" s="777"/>
      <c r="D11" s="777"/>
      <c r="E11" s="395">
        <v>0.9</v>
      </c>
      <c r="F11" s="396">
        <v>0.9</v>
      </c>
      <c r="G11" s="396">
        <v>0.9</v>
      </c>
      <c r="H11" s="396">
        <v>0.9</v>
      </c>
      <c r="I11" s="396">
        <v>0.9</v>
      </c>
      <c r="J11" s="396">
        <v>0.9</v>
      </c>
      <c r="K11" s="396">
        <v>0.9</v>
      </c>
      <c r="L11" s="396">
        <v>0.9</v>
      </c>
      <c r="M11" s="396">
        <v>0.9</v>
      </c>
      <c r="N11" s="396">
        <v>0.9</v>
      </c>
      <c r="O11" s="396">
        <v>0.9</v>
      </c>
      <c r="P11" s="397">
        <v>0.9</v>
      </c>
      <c r="Q11" s="317">
        <f>AVERAGE(E11:P11)</f>
        <v>0.90000000000000024</v>
      </c>
      <c r="R11" s="400">
        <v>0.9</v>
      </c>
      <c r="S11" s="396">
        <v>0.9</v>
      </c>
      <c r="T11" s="396">
        <v>0.9</v>
      </c>
      <c r="U11" s="397">
        <v>0.9</v>
      </c>
      <c r="V11" s="317">
        <f>AVERAGE(R11:U11)</f>
        <v>0.9</v>
      </c>
      <c r="W11" s="402">
        <v>0.9</v>
      </c>
      <c r="X11" s="403">
        <v>0.9</v>
      </c>
    </row>
    <row r="12" spans="1:24" ht="18.75" customHeight="1" x14ac:dyDescent="0.25">
      <c r="A12" s="802" t="s">
        <v>145</v>
      </c>
      <c r="B12" s="775"/>
      <c r="C12" s="775"/>
      <c r="D12" s="775"/>
      <c r="E12" s="398">
        <v>0.1</v>
      </c>
      <c r="F12" s="399">
        <v>0.1</v>
      </c>
      <c r="G12" s="399">
        <v>0.1</v>
      </c>
      <c r="H12" s="399">
        <v>0.1</v>
      </c>
      <c r="I12" s="399">
        <v>0.1</v>
      </c>
      <c r="J12" s="399">
        <v>0.1</v>
      </c>
      <c r="K12" s="399">
        <v>0.1</v>
      </c>
      <c r="L12" s="399">
        <v>0.1</v>
      </c>
      <c r="M12" s="399">
        <v>0.1</v>
      </c>
      <c r="N12" s="399">
        <v>0.1</v>
      </c>
      <c r="O12" s="399">
        <v>0.1</v>
      </c>
      <c r="P12" s="399">
        <v>0.1</v>
      </c>
      <c r="Q12" s="318">
        <f t="shared" ref="Q12:Q13" si="0">AVERAGE(E12:P12)</f>
        <v>9.9999999999999992E-2</v>
      </c>
      <c r="R12" s="401">
        <v>0.1</v>
      </c>
      <c r="S12" s="399">
        <v>0.1</v>
      </c>
      <c r="T12" s="399">
        <v>0.1</v>
      </c>
      <c r="U12" s="399">
        <v>0.1</v>
      </c>
      <c r="V12" s="318">
        <f t="shared" ref="V12:V13" si="1">AVERAGE(R12:U12)</f>
        <v>0.1</v>
      </c>
      <c r="W12" s="404">
        <v>0.1</v>
      </c>
      <c r="X12" s="405">
        <v>0.1</v>
      </c>
    </row>
    <row r="13" spans="1:24" ht="18.75" customHeight="1" thickBot="1" x14ac:dyDescent="0.3">
      <c r="A13" s="877" t="s">
        <v>146</v>
      </c>
      <c r="B13" s="779"/>
      <c r="C13" s="779"/>
      <c r="D13" s="779"/>
      <c r="E13" s="319">
        <f>1-E12-E11</f>
        <v>0</v>
      </c>
      <c r="F13" s="320">
        <f t="shared" ref="F13:X13" si="2">1-F12-F11</f>
        <v>0</v>
      </c>
      <c r="G13" s="320">
        <f t="shared" si="2"/>
        <v>0</v>
      </c>
      <c r="H13" s="320">
        <f t="shared" si="2"/>
        <v>0</v>
      </c>
      <c r="I13" s="320">
        <f t="shared" si="2"/>
        <v>0</v>
      </c>
      <c r="J13" s="320">
        <f t="shared" si="2"/>
        <v>0</v>
      </c>
      <c r="K13" s="320">
        <f t="shared" si="2"/>
        <v>0</v>
      </c>
      <c r="L13" s="320">
        <f t="shared" si="2"/>
        <v>0</v>
      </c>
      <c r="M13" s="320">
        <f t="shared" si="2"/>
        <v>0</v>
      </c>
      <c r="N13" s="320">
        <f t="shared" si="2"/>
        <v>0</v>
      </c>
      <c r="O13" s="320">
        <f t="shared" si="2"/>
        <v>0</v>
      </c>
      <c r="P13" s="321">
        <f t="shared" si="2"/>
        <v>0</v>
      </c>
      <c r="Q13" s="322">
        <f t="shared" si="0"/>
        <v>0</v>
      </c>
      <c r="R13" s="323">
        <f t="shared" si="2"/>
        <v>0</v>
      </c>
      <c r="S13" s="320">
        <f t="shared" si="2"/>
        <v>0</v>
      </c>
      <c r="T13" s="320">
        <f t="shared" si="2"/>
        <v>0</v>
      </c>
      <c r="U13" s="321">
        <f t="shared" si="2"/>
        <v>0</v>
      </c>
      <c r="V13" s="322">
        <f t="shared" si="1"/>
        <v>0</v>
      </c>
      <c r="W13" s="322">
        <f t="shared" si="2"/>
        <v>0</v>
      </c>
      <c r="X13" s="324">
        <f t="shared" si="2"/>
        <v>0</v>
      </c>
    </row>
    <row r="14" spans="1:24" ht="7.5" customHeight="1" thickTop="1" thickBot="1" x14ac:dyDescent="0.3">
      <c r="A14" s="325"/>
      <c r="B14" s="326"/>
      <c r="C14" s="326"/>
      <c r="D14" s="326"/>
      <c r="E14" s="327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9"/>
      <c r="Q14" s="330"/>
      <c r="R14" s="331"/>
      <c r="S14" s="328"/>
      <c r="T14" s="328"/>
      <c r="U14" s="329"/>
      <c r="V14" s="330"/>
      <c r="W14" s="330"/>
      <c r="X14" s="332"/>
    </row>
    <row r="15" spans="1:24" ht="18.75" customHeight="1" x14ac:dyDescent="0.25">
      <c r="A15" s="879" t="s">
        <v>147</v>
      </c>
      <c r="B15" s="880"/>
      <c r="C15" s="880"/>
      <c r="D15" s="880"/>
      <c r="E15" s="614">
        <f>'Plan G&amp;V'!E9</f>
        <v>0</v>
      </c>
      <c r="F15" s="615">
        <f>'Plan G&amp;V'!F9</f>
        <v>0</v>
      </c>
      <c r="G15" s="615">
        <f>'Plan G&amp;V'!G9</f>
        <v>0</v>
      </c>
      <c r="H15" s="615">
        <f>'Plan G&amp;V'!H9</f>
        <v>0</v>
      </c>
      <c r="I15" s="615">
        <f>'Plan G&amp;V'!I9</f>
        <v>0</v>
      </c>
      <c r="J15" s="615">
        <f>'Plan G&amp;V'!J9</f>
        <v>0</v>
      </c>
      <c r="K15" s="615">
        <f>'Plan G&amp;V'!K9</f>
        <v>100000</v>
      </c>
      <c r="L15" s="615">
        <f>'Plan G&amp;V'!L9</f>
        <v>0</v>
      </c>
      <c r="M15" s="615">
        <f>'Plan G&amp;V'!M9</f>
        <v>100000</v>
      </c>
      <c r="N15" s="615">
        <f>'Plan G&amp;V'!N9</f>
        <v>0</v>
      </c>
      <c r="O15" s="615">
        <f>'Plan G&amp;V'!O9</f>
        <v>100000</v>
      </c>
      <c r="P15" s="616">
        <f>'Plan G&amp;V'!P9</f>
        <v>6400</v>
      </c>
      <c r="Q15" s="617">
        <f>'Plan G&amp;V'!Q9</f>
        <v>306400</v>
      </c>
      <c r="R15" s="618">
        <f>'Plan G&amp;V'!R9</f>
        <v>147400</v>
      </c>
      <c r="S15" s="615">
        <f>'Plan G&amp;V'!S9</f>
        <v>147400</v>
      </c>
      <c r="T15" s="615">
        <f>'Plan G&amp;V'!T9</f>
        <v>149400</v>
      </c>
      <c r="U15" s="616">
        <f>'Plan G&amp;V'!U9</f>
        <v>247400</v>
      </c>
      <c r="V15" s="617">
        <f>'Plan G&amp;V'!V9</f>
        <v>691600</v>
      </c>
      <c r="W15" s="617">
        <f>'Plan G&amp;V'!W9</f>
        <v>1155800</v>
      </c>
      <c r="X15" s="619">
        <f>'Plan G&amp;V'!X9</f>
        <v>2124200</v>
      </c>
    </row>
    <row r="16" spans="1:24" ht="18.75" customHeight="1" thickBot="1" x14ac:dyDescent="0.3">
      <c r="A16" s="875" t="s">
        <v>152</v>
      </c>
      <c r="B16" s="876"/>
      <c r="C16" s="876"/>
      <c r="D16" s="876"/>
      <c r="E16" s="620">
        <f>E26*E11</f>
        <v>0</v>
      </c>
      <c r="F16" s="621">
        <f>F11*F26+E26*E12</f>
        <v>0</v>
      </c>
      <c r="G16" s="621">
        <f t="shared" ref="G16:P16" si="3">G11*G26+F26*F12+E26*E13</f>
        <v>0</v>
      </c>
      <c r="H16" s="621">
        <f t="shared" si="3"/>
        <v>0</v>
      </c>
      <c r="I16" s="621">
        <f t="shared" si="3"/>
        <v>0</v>
      </c>
      <c r="J16" s="621">
        <f t="shared" si="3"/>
        <v>0</v>
      </c>
      <c r="K16" s="621">
        <f t="shared" si="3"/>
        <v>90000</v>
      </c>
      <c r="L16" s="621">
        <f t="shared" si="3"/>
        <v>10000</v>
      </c>
      <c r="M16" s="621">
        <f t="shared" si="3"/>
        <v>90000</v>
      </c>
      <c r="N16" s="621">
        <f t="shared" si="3"/>
        <v>10000</v>
      </c>
      <c r="O16" s="621">
        <f t="shared" si="3"/>
        <v>90000</v>
      </c>
      <c r="P16" s="622">
        <f t="shared" si="3"/>
        <v>15760</v>
      </c>
      <c r="Q16" s="624">
        <f>SUM(E16:P16)</f>
        <v>305760</v>
      </c>
      <c r="R16" s="623">
        <f>(((R26/3)*SUM(R11,R12,R13))+((R26/3)*SUM(R11,R12))+((R26/3)*SUM(R11)))+(P26*P12)+(O26*O13)</f>
        <v>143126.66666666669</v>
      </c>
      <c r="S16" s="621">
        <f>(((S26/3)*SUM(S11,S12,S13))+((S26/3)*SUM(S11,S12))+((S26/3)*SUM(S11)))+((R26/3)*SUM(R12,R13)+(R26/3)*SUM(R13))</f>
        <v>147400.00000000003</v>
      </c>
      <c r="T16" s="621">
        <f>(((T26/3)*SUM(T11,T12,T13))+((T26/3)*SUM(T11,T12))+((T26/3)*SUM(T11)))+((S26/3)*SUM(S12,S13)+(S26/3)*SUM(S13))</f>
        <v>149333.33333333334</v>
      </c>
      <c r="U16" s="622">
        <f>(((U26/3)*SUM(U11,U12,U13))+((U26/3)*SUM(U11,U12))+((U26/3)*SUM(U11)))+((T26/3)*SUM(T12,T13)+(T26/3)*SUM(T13))</f>
        <v>244133.33333333334</v>
      </c>
      <c r="V16" s="624">
        <f>SUM(R16:U16)</f>
        <v>683993.33333333349</v>
      </c>
      <c r="W16" s="624">
        <f>((W26/12)*10*SUM(W11,W12,W13)+(W26/12)*1*SUM(W11,W12)+(W26/12)*1*SUM(W11))+((U26/3)*SUM(U12,U13)+(U26/3)*SUM(U13))</f>
        <v>1154415.0000000002</v>
      </c>
      <c r="X16" s="625">
        <f>((X26/12)*10*SUM(X11,X12,X13)+(X26/12)*1*SUM(X11,X12)+(X26/12)*1*SUM(X11))+((W26/12)*SUM(W12,W13)+(W26/12)*SUM(W13))</f>
        <v>2116129.9999999995</v>
      </c>
    </row>
    <row r="17" spans="1:24" ht="7.5" customHeight="1" thickBot="1" x14ac:dyDescent="0.3"/>
    <row r="18" spans="1:24" ht="22.5" customHeight="1" thickBot="1" x14ac:dyDescent="0.3">
      <c r="A18" s="868" t="s">
        <v>151</v>
      </c>
      <c r="B18" s="869"/>
      <c r="C18" s="870"/>
      <c r="D18" s="333"/>
      <c r="E18" s="709" t="s">
        <v>20</v>
      </c>
      <c r="F18" s="709"/>
      <c r="G18" s="709"/>
      <c r="H18" s="709"/>
      <c r="I18" s="709"/>
      <c r="J18" s="709"/>
      <c r="K18" s="709"/>
      <c r="L18" s="709"/>
      <c r="M18" s="709"/>
      <c r="N18" s="709"/>
      <c r="O18" s="709"/>
      <c r="P18" s="709"/>
      <c r="Q18" s="718" t="s">
        <v>20</v>
      </c>
      <c r="R18" s="709" t="s">
        <v>25</v>
      </c>
      <c r="S18" s="709"/>
      <c r="T18" s="709"/>
      <c r="U18" s="709"/>
      <c r="V18" s="718" t="s">
        <v>25</v>
      </c>
      <c r="W18" s="706" t="s">
        <v>26</v>
      </c>
      <c r="X18" s="720" t="s">
        <v>27</v>
      </c>
    </row>
    <row r="19" spans="1:24" ht="18.75" customHeight="1" thickBot="1" x14ac:dyDescent="0.3">
      <c r="A19" s="865" t="s">
        <v>150</v>
      </c>
      <c r="B19" s="866"/>
      <c r="C19" s="866"/>
      <c r="D19" s="867"/>
      <c r="E19" s="113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19"/>
      <c r="R19" s="113" t="s">
        <v>21</v>
      </c>
      <c r="S19" s="2" t="s">
        <v>22</v>
      </c>
      <c r="T19" s="2" t="s">
        <v>23</v>
      </c>
      <c r="U19" s="3" t="s">
        <v>24</v>
      </c>
      <c r="V19" s="719"/>
      <c r="W19" s="707"/>
      <c r="X19" s="721"/>
    </row>
    <row r="20" spans="1:24" ht="18.75" customHeight="1" outlineLevel="1" thickTop="1" x14ac:dyDescent="0.25">
      <c r="A20" s="872" t="s">
        <v>264</v>
      </c>
      <c r="B20" s="873"/>
      <c r="C20" s="873"/>
      <c r="D20" s="874"/>
      <c r="E20" s="149"/>
      <c r="F20" s="18"/>
      <c r="G20" s="18"/>
      <c r="H20" s="18"/>
      <c r="I20" s="18"/>
      <c r="J20" s="18"/>
      <c r="K20" s="18">
        <v>100000</v>
      </c>
      <c r="L20" s="18"/>
      <c r="M20" s="18">
        <v>100000</v>
      </c>
      <c r="N20" s="18"/>
      <c r="O20" s="18">
        <v>100000</v>
      </c>
      <c r="P20" s="154"/>
      <c r="Q20" s="8">
        <f>SUM(E20:P20)</f>
        <v>300000</v>
      </c>
      <c r="R20" s="408">
        <v>100000</v>
      </c>
      <c r="S20" s="18">
        <v>100000</v>
      </c>
      <c r="T20" s="18">
        <v>100000</v>
      </c>
      <c r="U20" s="154">
        <v>200000</v>
      </c>
      <c r="V20" s="8">
        <f>SUM(R20:U20)</f>
        <v>500000</v>
      </c>
      <c r="W20" s="412">
        <v>600000</v>
      </c>
      <c r="X20" s="147">
        <v>600000</v>
      </c>
    </row>
    <row r="21" spans="1:24" ht="18.75" customHeight="1" outlineLevel="1" x14ac:dyDescent="0.25">
      <c r="A21" s="680" t="s">
        <v>265</v>
      </c>
      <c r="B21" s="682"/>
      <c r="C21" s="682"/>
      <c r="D21" s="871"/>
      <c r="E21" s="407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155"/>
      <c r="Q21" s="12">
        <f t="shared" ref="Q21:Q24" si="4">SUM(E21:P21)</f>
        <v>0</v>
      </c>
      <c r="R21" s="139">
        <f>(((400000/100)*0.03)*1500)/4</f>
        <v>45000</v>
      </c>
      <c r="S21" s="96">
        <f>R21</f>
        <v>45000</v>
      </c>
      <c r="T21" s="96">
        <f>R21</f>
        <v>45000</v>
      </c>
      <c r="U21" s="155">
        <f>R21</f>
        <v>45000</v>
      </c>
      <c r="V21" s="12">
        <f t="shared" ref="V21:V24" si="5">SUM(R21:U21)</f>
        <v>180000</v>
      </c>
      <c r="W21" s="142">
        <f>(((400000/100)*0.09)*1500)</f>
        <v>540000</v>
      </c>
      <c r="X21" s="413">
        <f>(((400000/100)*0.25)*1500)</f>
        <v>1500000</v>
      </c>
    </row>
    <row r="22" spans="1:24" ht="18.75" customHeight="1" outlineLevel="1" x14ac:dyDescent="0.25">
      <c r="A22" s="680" t="s">
        <v>271</v>
      </c>
      <c r="B22" s="682"/>
      <c r="C22" s="682"/>
      <c r="D22" s="871"/>
      <c r="E22" s="40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155">
        <v>6400</v>
      </c>
      <c r="Q22" s="12">
        <f t="shared" si="4"/>
        <v>6400</v>
      </c>
      <c r="R22" s="139">
        <v>2400</v>
      </c>
      <c r="S22" s="96">
        <v>2400</v>
      </c>
      <c r="T22" s="96">
        <v>2400</v>
      </c>
      <c r="U22" s="155">
        <v>2400</v>
      </c>
      <c r="V22" s="12">
        <f t="shared" si="5"/>
        <v>9600</v>
      </c>
      <c r="W22" s="142">
        <f>16*800</f>
        <v>12800</v>
      </c>
      <c r="X22" s="413">
        <f>24*800</f>
        <v>19200</v>
      </c>
    </row>
    <row r="23" spans="1:24" ht="18.75" customHeight="1" outlineLevel="1" x14ac:dyDescent="0.25">
      <c r="A23" s="680" t="s">
        <v>270</v>
      </c>
      <c r="B23" s="682"/>
      <c r="C23" s="682"/>
      <c r="D23" s="871"/>
      <c r="E23" s="407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155"/>
      <c r="Q23" s="12">
        <f t="shared" si="4"/>
        <v>0</v>
      </c>
      <c r="R23" s="139"/>
      <c r="S23" s="96"/>
      <c r="T23" s="96">
        <v>2000</v>
      </c>
      <c r="U23" s="155"/>
      <c r="V23" s="12">
        <f t="shared" si="5"/>
        <v>2000</v>
      </c>
      <c r="W23" s="142">
        <v>3000</v>
      </c>
      <c r="X23" s="413">
        <v>5000</v>
      </c>
    </row>
    <row r="24" spans="1:24" ht="18.75" customHeight="1" outlineLevel="1" thickBot="1" x14ac:dyDescent="0.3">
      <c r="A24" s="817"/>
      <c r="B24" s="818"/>
      <c r="C24" s="818"/>
      <c r="D24" s="819"/>
      <c r="E24" s="314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56"/>
      <c r="Q24" s="136">
        <f t="shared" si="4"/>
        <v>0</v>
      </c>
      <c r="R24" s="140"/>
      <c r="S24" s="141"/>
      <c r="T24" s="141"/>
      <c r="U24" s="156"/>
      <c r="V24" s="136">
        <f t="shared" si="5"/>
        <v>0</v>
      </c>
      <c r="W24" s="144"/>
      <c r="X24" s="414"/>
    </row>
    <row r="25" spans="1:24" ht="7.5" customHeight="1" outlineLevel="1" thickTop="1" thickBot="1" x14ac:dyDescent="0.3">
      <c r="A25" s="820"/>
      <c r="B25" s="821"/>
      <c r="C25" s="821"/>
      <c r="D25" s="822"/>
      <c r="E25" s="315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316"/>
      <c r="Q25" s="330"/>
      <c r="R25" s="409"/>
      <c r="S25" s="410"/>
      <c r="T25" s="410"/>
      <c r="U25" s="411"/>
      <c r="V25" s="330"/>
      <c r="W25" s="415"/>
      <c r="X25" s="416"/>
    </row>
    <row r="26" spans="1:24" ht="18.75" customHeight="1" thickBot="1" x14ac:dyDescent="0.3">
      <c r="A26" s="805" t="s">
        <v>155</v>
      </c>
      <c r="B26" s="806"/>
      <c r="C26" s="806"/>
      <c r="D26" s="807"/>
      <c r="E26" s="626">
        <f t="shared" ref="E26:X26" si="6">SUM(E20:E25)</f>
        <v>0</v>
      </c>
      <c r="F26" s="560">
        <f t="shared" si="6"/>
        <v>0</v>
      </c>
      <c r="G26" s="560">
        <f t="shared" si="6"/>
        <v>0</v>
      </c>
      <c r="H26" s="560">
        <f t="shared" si="6"/>
        <v>0</v>
      </c>
      <c r="I26" s="560">
        <f t="shared" si="6"/>
        <v>0</v>
      </c>
      <c r="J26" s="560">
        <f t="shared" si="6"/>
        <v>0</v>
      </c>
      <c r="K26" s="560">
        <f t="shared" si="6"/>
        <v>100000</v>
      </c>
      <c r="L26" s="560">
        <f t="shared" si="6"/>
        <v>0</v>
      </c>
      <c r="M26" s="560">
        <f t="shared" si="6"/>
        <v>100000</v>
      </c>
      <c r="N26" s="560">
        <f t="shared" si="6"/>
        <v>0</v>
      </c>
      <c r="O26" s="560">
        <f t="shared" si="6"/>
        <v>100000</v>
      </c>
      <c r="P26" s="557">
        <f t="shared" si="6"/>
        <v>6400</v>
      </c>
      <c r="Q26" s="563">
        <f t="shared" si="6"/>
        <v>306400</v>
      </c>
      <c r="R26" s="447">
        <f t="shared" si="6"/>
        <v>147400</v>
      </c>
      <c r="S26" s="560">
        <f t="shared" si="6"/>
        <v>147400</v>
      </c>
      <c r="T26" s="560">
        <f t="shared" si="6"/>
        <v>149400</v>
      </c>
      <c r="U26" s="557">
        <f t="shared" si="6"/>
        <v>247400</v>
      </c>
      <c r="V26" s="563">
        <f t="shared" si="6"/>
        <v>691600</v>
      </c>
      <c r="W26" s="562">
        <f t="shared" si="6"/>
        <v>1155800</v>
      </c>
      <c r="X26" s="502">
        <f t="shared" si="6"/>
        <v>2124200</v>
      </c>
    </row>
    <row r="27" spans="1:24" ht="7.5" customHeight="1" thickBot="1" x14ac:dyDescent="0.3">
      <c r="A27" s="746"/>
      <c r="B27" s="747"/>
      <c r="C27" s="747"/>
      <c r="D27" s="747"/>
      <c r="E27" s="747"/>
      <c r="F27" s="747"/>
      <c r="G27" s="747"/>
      <c r="H27" s="747"/>
      <c r="I27" s="747"/>
      <c r="J27" s="747"/>
      <c r="K27" s="747"/>
      <c r="L27" s="747"/>
      <c r="M27" s="747"/>
      <c r="N27" s="747"/>
      <c r="O27" s="747"/>
      <c r="P27" s="747"/>
      <c r="Q27" s="747"/>
      <c r="R27" s="747"/>
      <c r="S27" s="747"/>
      <c r="T27" s="747"/>
      <c r="U27" s="747"/>
      <c r="V27" s="747"/>
      <c r="W27" s="747"/>
      <c r="X27" s="748"/>
    </row>
    <row r="28" spans="1:24" ht="18.75" customHeight="1" thickBot="1" x14ac:dyDescent="0.3">
      <c r="A28" s="811" t="s">
        <v>149</v>
      </c>
      <c r="B28" s="812"/>
      <c r="C28" s="812"/>
      <c r="D28" s="813"/>
      <c r="X28" s="335"/>
    </row>
    <row r="29" spans="1:24" ht="18.75" customHeight="1" outlineLevel="1" thickTop="1" x14ac:dyDescent="0.25">
      <c r="A29" s="824" t="s">
        <v>171</v>
      </c>
      <c r="B29" s="825"/>
      <c r="C29" s="825"/>
      <c r="D29" s="826"/>
      <c r="E29" s="278"/>
      <c r="F29" s="308"/>
      <c r="G29" s="308"/>
      <c r="H29" s="7">
        <f>E85</f>
        <v>0</v>
      </c>
      <c r="I29" s="308"/>
      <c r="J29" s="308"/>
      <c r="K29" s="7">
        <f>H85</f>
        <v>0</v>
      </c>
      <c r="L29" s="308"/>
      <c r="M29" s="308"/>
      <c r="N29" s="7">
        <f>K85</f>
        <v>0</v>
      </c>
      <c r="O29" s="308"/>
      <c r="P29" s="309"/>
      <c r="Q29" s="8">
        <f>SUM(E29:P29)</f>
        <v>0</v>
      </c>
      <c r="R29" s="310">
        <f>N85</f>
        <v>0</v>
      </c>
      <c r="S29" s="7">
        <f>R85</f>
        <v>0</v>
      </c>
      <c r="T29" s="7">
        <f>S85</f>
        <v>0</v>
      </c>
      <c r="U29" s="182">
        <f>T85</f>
        <v>0</v>
      </c>
      <c r="V29" s="8">
        <f>SUM(R29:U29)</f>
        <v>0</v>
      </c>
      <c r="W29" s="8">
        <f>U85</f>
        <v>0</v>
      </c>
      <c r="X29" s="9">
        <f>W85</f>
        <v>0</v>
      </c>
    </row>
    <row r="30" spans="1:24" ht="18.75" customHeight="1" outlineLevel="1" x14ac:dyDescent="0.25">
      <c r="A30" s="794" t="s">
        <v>184</v>
      </c>
      <c r="B30" s="795"/>
      <c r="C30" s="795"/>
      <c r="D30" s="796"/>
      <c r="E30" s="379"/>
      <c r="F30" s="380"/>
      <c r="G30" s="78">
        <f>((SUM(E41,E42,E43,E44,E46,E47,E48,E49,E52,E54)/(1+$D$8))*$D$8)+(Investitionsplan!F23*$D$8)</f>
        <v>12731.8</v>
      </c>
      <c r="H30" s="78">
        <f>((SUM(F41,F42,F43,F44,F46,F47,F48,F49,F52,F54)/(1+$D$8))*$D$8)+(Investitionsplan!G23*$D$8)</f>
        <v>943.16666666666686</v>
      </c>
      <c r="I30" s="78">
        <f>((SUM(G41,G42,G43,G44,G46,G47,G48,G49,G52,G54)/(1+$D$8))*$D$8)+(Investitionsplan!H23*$D$8)</f>
        <v>3276.5</v>
      </c>
      <c r="J30" s="78">
        <f>((SUM(H41,H42,H43,H44,H46,H47,H48,H49,H52,H54)/(1+$D$8))*$D$8)+(Investitionsplan!I23*$D$8)</f>
        <v>943.16666666666686</v>
      </c>
      <c r="K30" s="78">
        <f>((SUM(I41,I42,I43,I44,I46,I47,I48,I49,I52,I54)/(1+$D$8))*$D$8)+(Investitionsplan!J23*$D$8)</f>
        <v>3443.1666666666674</v>
      </c>
      <c r="L30" s="78">
        <f>((SUM(J41,J42,J43,J44,J46,J47,J48,J49,J52,J54)/(1+$D$8))*$D$8)+(Investitionsplan!K23*$D$8)</f>
        <v>2943.166666666667</v>
      </c>
      <c r="M30" s="78">
        <f>((SUM(K41,K42,K43,K44,K46,K47,K48,K49,K52,K54)/(1+$D$8))*$D$8)+(Investitionsplan!L23*$D$8)</f>
        <v>943.16666666666686</v>
      </c>
      <c r="N30" s="78">
        <f>((SUM(L41,L42,L43,L44,L46,L47,L48,L49,L52,L54)/(1+$D$8))*$D$8)+(Investitionsplan!M23*$D$8)</f>
        <v>943.16666666666686</v>
      </c>
      <c r="O30" s="78">
        <f>((SUM(M41,M42,M43,M44,M46,M47,M48,M49,M52,M54)/(1+$D$8))*$D$8)+(Investitionsplan!N23*$D$8)</f>
        <v>943.16666666666686</v>
      </c>
      <c r="P30" s="301">
        <f>((SUM(N41,N42,N43,N44,N46,N47,N48,N49,N52,N54)/(1+$D$8))*$D$8)+(Investitionsplan!O23*$D$8)</f>
        <v>5443.166666666667</v>
      </c>
      <c r="Q30" s="12">
        <f>SUM(E30:P30)</f>
        <v>32553.633333333342</v>
      </c>
      <c r="R30" s="77">
        <f>((SUM(O41:O44,O46:O49,O52,O54)/(1+$D$8))*$D$8)+((SUM(P41:P44,P46:P49,P52,P54)/(1+$D$8))*$D$8)+((SUM(R41:R44,R46:R49,R52,R54)/(1+$D$8))*$D$8)/3+(Investitionsplan!P23*$D$8)+(Investitionsplan!Q23*$D$8)+(Investitionsplan!S23*$D$8)/3</f>
        <v>3296.166666666667</v>
      </c>
      <c r="S30" s="78">
        <f>((SUM(R41:R44,R46:R49,R52,R54)/(1+$D$8))*$D$8)*(2/3)+((SUM(S41:S44,S46:S49,S52,S54)/(1+$D$8))*$D$8)/3+(Investitionsplan!S23*$D$8)*(2/3)+(Investitionsplan!T23*$D$8)/3</f>
        <v>3929.4999999999995</v>
      </c>
      <c r="T30" s="78">
        <f>((SUM(S41:S44,S46:S49,S52,S54)/(1+$D$8))*$D$8)*(2/3)+((SUM(T41:T44,T46:T49,T52,T54)/(1+$D$8))*$D$8)/3+(Investitionsplan!T23*$D$8)*(2/3)+(Investitionsplan!U23*$D$8)/3</f>
        <v>4496.166666666667</v>
      </c>
      <c r="U30" s="301">
        <f>((SUM(T41:T44,T46:T49,T52,T54)/(1+$D$8))*$D$8)*(2/3)+((SUM(U41:U44,U46:U49,U52,U54)/(1+$D$8))*$D$8)/3+(Investitionsplan!U23*$D$8)*(2/3)+(Investitionsplan!V23*$D$8)/3</f>
        <v>3107.2777777777778</v>
      </c>
      <c r="V30" s="12">
        <f>SUM(R30:U30)</f>
        <v>14829.111111111109</v>
      </c>
      <c r="W30" s="294">
        <f>((SUM(U41:U44,U46:U49,U52,U54)/(1+$D$8))*$D$8)*(2/3)+((SUM(W41:W44,W46:W49,W52,W54)/(1+$D$8))*$D$8)*(10/12)+(Investitionsplan!V23*$D$8)*(2/3)+(Investitionsplan!X23*$D$8)*(10/12)</f>
        <v>12151.333333333336</v>
      </c>
      <c r="X30" s="295">
        <f>((SUM(W41:W44,W46:W49,W52,W54)/(1+$D$8))*$D$8)*(2/12)+((SUM(X41:X44,X46:X49,X52,X54)/(1+$D$8))*$D$8)*(10/12)+(Investitionsplan!X23*$D$8)*(2/12)+(Investitionsplan!Y23*$D$8)*(10/12)</f>
        <v>11651.333333333336</v>
      </c>
    </row>
    <row r="31" spans="1:24" ht="18.75" customHeight="1" outlineLevel="1" x14ac:dyDescent="0.25">
      <c r="A31" s="794" t="s">
        <v>206</v>
      </c>
      <c r="B31" s="795"/>
      <c r="C31" s="795"/>
      <c r="D31" s="796"/>
      <c r="E31" s="407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155"/>
      <c r="Q31" s="12">
        <f t="shared" ref="Q31:Q32" si="7">SUM(E31:P31)</f>
        <v>0</v>
      </c>
      <c r="R31" s="417"/>
      <c r="S31" s="96"/>
      <c r="T31" s="96"/>
      <c r="U31" s="155"/>
      <c r="V31" s="12">
        <f t="shared" ref="V31:V32" si="8">SUM(R31:U31)</f>
        <v>0</v>
      </c>
      <c r="W31" s="421"/>
      <c r="X31" s="413"/>
    </row>
    <row r="32" spans="1:24" ht="18.75" customHeight="1" outlineLevel="1" thickBot="1" x14ac:dyDescent="0.3">
      <c r="A32" s="817"/>
      <c r="B32" s="818"/>
      <c r="C32" s="818"/>
      <c r="D32" s="819"/>
      <c r="E32" s="314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56"/>
      <c r="Q32" s="136">
        <f t="shared" si="7"/>
        <v>0</v>
      </c>
      <c r="R32" s="419" t="str">
        <f t="shared" ref="R32:U32" si="9">IF($D32="","",IF(AND($D32&lt;=15,$D32&gt;12),(15-$D32+1)*$B32*(1+$B$11)^1,IF(AND($D32&lt;=15,$D32&lt;=12),3*$B32*(1+$B$11)^1,"")))</f>
        <v/>
      </c>
      <c r="S32" s="141" t="str">
        <f t="shared" si="9"/>
        <v/>
      </c>
      <c r="T32" s="141" t="str">
        <f t="shared" si="9"/>
        <v/>
      </c>
      <c r="U32" s="156" t="str">
        <f t="shared" si="9"/>
        <v/>
      </c>
      <c r="V32" s="136">
        <f t="shared" si="8"/>
        <v>0</v>
      </c>
      <c r="W32" s="424"/>
      <c r="X32" s="414"/>
    </row>
    <row r="33" spans="1:24" ht="7.5" customHeight="1" outlineLevel="1" thickTop="1" thickBot="1" x14ac:dyDescent="0.3">
      <c r="A33" s="820"/>
      <c r="B33" s="821"/>
      <c r="C33" s="821"/>
      <c r="D33" s="822"/>
      <c r="E33" s="315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316"/>
      <c r="Q33" s="330"/>
      <c r="R33" s="420"/>
      <c r="S33" s="410"/>
      <c r="T33" s="410"/>
      <c r="U33" s="411"/>
      <c r="V33" s="330"/>
      <c r="W33" s="425"/>
      <c r="X33" s="416"/>
    </row>
    <row r="34" spans="1:24" ht="18.75" customHeight="1" thickBot="1" x14ac:dyDescent="0.3">
      <c r="A34" s="805" t="s">
        <v>153</v>
      </c>
      <c r="B34" s="806"/>
      <c r="C34" s="806"/>
      <c r="D34" s="807"/>
      <c r="E34" s="627">
        <f>SUM(E29:E33)</f>
        <v>0</v>
      </c>
      <c r="F34" s="628">
        <f t="shared" ref="F34:X34" si="10">SUM(F29:F33)</f>
        <v>0</v>
      </c>
      <c r="G34" s="628">
        <f t="shared" si="10"/>
        <v>12731.8</v>
      </c>
      <c r="H34" s="628">
        <f t="shared" si="10"/>
        <v>943.16666666666686</v>
      </c>
      <c r="I34" s="628">
        <f t="shared" si="10"/>
        <v>3276.5</v>
      </c>
      <c r="J34" s="628">
        <f t="shared" si="10"/>
        <v>943.16666666666686</v>
      </c>
      <c r="K34" s="628">
        <f t="shared" si="10"/>
        <v>3443.1666666666674</v>
      </c>
      <c r="L34" s="628">
        <f t="shared" si="10"/>
        <v>2943.166666666667</v>
      </c>
      <c r="M34" s="628">
        <f t="shared" si="10"/>
        <v>943.16666666666686</v>
      </c>
      <c r="N34" s="628">
        <f t="shared" si="10"/>
        <v>943.16666666666686</v>
      </c>
      <c r="O34" s="628">
        <f t="shared" si="10"/>
        <v>943.16666666666686</v>
      </c>
      <c r="P34" s="629">
        <f t="shared" si="10"/>
        <v>5443.166666666667</v>
      </c>
      <c r="Q34" s="563">
        <f t="shared" si="10"/>
        <v>32553.633333333342</v>
      </c>
      <c r="R34" s="630">
        <f t="shared" si="10"/>
        <v>3296.166666666667</v>
      </c>
      <c r="S34" s="628">
        <f t="shared" si="10"/>
        <v>3929.4999999999995</v>
      </c>
      <c r="T34" s="628">
        <f t="shared" si="10"/>
        <v>4496.166666666667</v>
      </c>
      <c r="U34" s="629">
        <f t="shared" si="10"/>
        <v>3107.2777777777778</v>
      </c>
      <c r="V34" s="563">
        <f t="shared" si="10"/>
        <v>14829.111111111109</v>
      </c>
      <c r="W34" s="563">
        <f t="shared" si="10"/>
        <v>12151.333333333336</v>
      </c>
      <c r="X34" s="631">
        <f t="shared" si="10"/>
        <v>11651.333333333336</v>
      </c>
    </row>
    <row r="35" spans="1:24" ht="7.5" customHeight="1" thickBot="1" x14ac:dyDescent="0.3">
      <c r="A35" s="746"/>
      <c r="B35" s="747"/>
      <c r="C35" s="747"/>
      <c r="D35" s="747"/>
      <c r="E35" s="747"/>
      <c r="F35" s="747"/>
      <c r="G35" s="747"/>
      <c r="H35" s="747"/>
      <c r="I35" s="747"/>
      <c r="J35" s="747"/>
      <c r="K35" s="747"/>
      <c r="L35" s="747"/>
      <c r="M35" s="747"/>
      <c r="N35" s="747"/>
      <c r="O35" s="747"/>
      <c r="P35" s="747"/>
      <c r="Q35" s="747"/>
      <c r="R35" s="747"/>
      <c r="S35" s="747"/>
      <c r="T35" s="747"/>
      <c r="U35" s="747"/>
      <c r="V35" s="747"/>
      <c r="W35" s="747"/>
      <c r="X35" s="748"/>
    </row>
    <row r="36" spans="1:24" ht="18" customHeight="1" thickBot="1" x14ac:dyDescent="0.3">
      <c r="A36" s="808" t="s">
        <v>154</v>
      </c>
      <c r="B36" s="809"/>
      <c r="C36" s="809"/>
      <c r="D36" s="810"/>
      <c r="E36" s="454">
        <f>SUM(E26,E34)</f>
        <v>0</v>
      </c>
      <c r="F36" s="568">
        <f t="shared" ref="F36:X36" si="11">SUM(F26,F34)</f>
        <v>0</v>
      </c>
      <c r="G36" s="568">
        <f t="shared" si="11"/>
        <v>12731.8</v>
      </c>
      <c r="H36" s="568">
        <f t="shared" si="11"/>
        <v>943.16666666666686</v>
      </c>
      <c r="I36" s="568">
        <f t="shared" si="11"/>
        <v>3276.5</v>
      </c>
      <c r="J36" s="568">
        <f t="shared" si="11"/>
        <v>943.16666666666686</v>
      </c>
      <c r="K36" s="568">
        <f t="shared" si="11"/>
        <v>103443.16666666667</v>
      </c>
      <c r="L36" s="568">
        <f t="shared" si="11"/>
        <v>2943.166666666667</v>
      </c>
      <c r="M36" s="568">
        <f t="shared" si="11"/>
        <v>100943.16666666667</v>
      </c>
      <c r="N36" s="568">
        <f t="shared" si="11"/>
        <v>943.16666666666686</v>
      </c>
      <c r="O36" s="568">
        <f t="shared" si="11"/>
        <v>100943.16666666667</v>
      </c>
      <c r="P36" s="632">
        <f t="shared" si="11"/>
        <v>11843.166666666668</v>
      </c>
      <c r="Q36" s="336">
        <f t="shared" si="11"/>
        <v>338953.63333333336</v>
      </c>
      <c r="R36" s="455">
        <f t="shared" si="11"/>
        <v>150696.16666666666</v>
      </c>
      <c r="S36" s="568">
        <f t="shared" si="11"/>
        <v>151329.5</v>
      </c>
      <c r="T36" s="568">
        <f t="shared" si="11"/>
        <v>153896.16666666666</v>
      </c>
      <c r="U36" s="632">
        <f t="shared" si="11"/>
        <v>250507.27777777778</v>
      </c>
      <c r="V36" s="336">
        <f t="shared" si="11"/>
        <v>706429.11111111112</v>
      </c>
      <c r="W36" s="336">
        <f t="shared" si="11"/>
        <v>1167951.3333333333</v>
      </c>
      <c r="X36" s="337">
        <f t="shared" si="11"/>
        <v>2135851.3333333335</v>
      </c>
    </row>
    <row r="37" spans="1:24" ht="15.75" thickBot="1" x14ac:dyDescent="0.3"/>
    <row r="38" spans="1:24" ht="22.5" customHeight="1" thickBot="1" x14ac:dyDescent="0.3">
      <c r="A38" s="868" t="s">
        <v>159</v>
      </c>
      <c r="B38" s="869"/>
      <c r="C38" s="870"/>
      <c r="D38" s="333"/>
      <c r="E38" s="709" t="s">
        <v>20</v>
      </c>
      <c r="F38" s="709"/>
      <c r="G38" s="709"/>
      <c r="H38" s="709"/>
      <c r="I38" s="709"/>
      <c r="J38" s="709"/>
      <c r="K38" s="709"/>
      <c r="L38" s="709"/>
      <c r="M38" s="709"/>
      <c r="N38" s="709"/>
      <c r="O38" s="709"/>
      <c r="P38" s="709"/>
      <c r="Q38" s="718" t="s">
        <v>20</v>
      </c>
      <c r="R38" s="709" t="s">
        <v>25</v>
      </c>
      <c r="S38" s="709"/>
      <c r="T38" s="709"/>
      <c r="U38" s="709"/>
      <c r="V38" s="718" t="s">
        <v>25</v>
      </c>
      <c r="W38" s="706" t="s">
        <v>26</v>
      </c>
      <c r="X38" s="720" t="s">
        <v>27</v>
      </c>
    </row>
    <row r="39" spans="1:24" ht="18.75" customHeight="1" thickBot="1" x14ac:dyDescent="0.3">
      <c r="A39" s="865" t="s">
        <v>160</v>
      </c>
      <c r="B39" s="866"/>
      <c r="C39" s="866"/>
      <c r="D39" s="867"/>
      <c r="E39" s="113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19"/>
      <c r="R39" s="113" t="s">
        <v>21</v>
      </c>
      <c r="S39" s="2" t="s">
        <v>22</v>
      </c>
      <c r="T39" s="2" t="s">
        <v>23</v>
      </c>
      <c r="U39" s="3" t="s">
        <v>24</v>
      </c>
      <c r="V39" s="719"/>
      <c r="W39" s="707"/>
      <c r="X39" s="721"/>
    </row>
    <row r="40" spans="1:24" ht="18.75" customHeight="1" outlineLevel="1" thickTop="1" x14ac:dyDescent="0.25">
      <c r="A40" s="824" t="str">
        <f>Plankosten!A25</f>
        <v>Personalkosten</v>
      </c>
      <c r="B40" s="825"/>
      <c r="C40" s="825"/>
      <c r="D40" s="826"/>
      <c r="E40" s="6">
        <f>Plankosten!E31</f>
        <v>16200.000000000002</v>
      </c>
      <c r="F40" s="7">
        <f>Plankosten!F31</f>
        <v>18508</v>
      </c>
      <c r="G40" s="7">
        <f>Plankosten!G31</f>
        <v>22156</v>
      </c>
      <c r="H40" s="7">
        <f>Plankosten!H31</f>
        <v>25804</v>
      </c>
      <c r="I40" s="7">
        <f>Plankosten!I31</f>
        <v>49700.666666666672</v>
      </c>
      <c r="J40" s="7">
        <f>Plankosten!J31</f>
        <v>25804</v>
      </c>
      <c r="K40" s="7">
        <f>Plankosten!K31</f>
        <v>25804</v>
      </c>
      <c r="L40" s="7">
        <f>Plankosten!L31</f>
        <v>25804</v>
      </c>
      <c r="M40" s="7">
        <f>Plankosten!M31</f>
        <v>25804</v>
      </c>
      <c r="N40" s="7">
        <f>Plankosten!N31</f>
        <v>25804</v>
      </c>
      <c r="O40" s="7">
        <f>Plankosten!O31</f>
        <v>49700.666666666672</v>
      </c>
      <c r="P40" s="182">
        <f>Plankosten!P31</f>
        <v>25804</v>
      </c>
      <c r="Q40" s="8">
        <f>Plankosten!Q31</f>
        <v>336893.33333333331</v>
      </c>
      <c r="R40" s="181">
        <f>Plankosten!R31</f>
        <v>91893.6</v>
      </c>
      <c r="S40" s="7">
        <f>Plankosten!S31</f>
        <v>122284.8</v>
      </c>
      <c r="T40" s="7">
        <f>Plankosten!T31</f>
        <v>91893.6</v>
      </c>
      <c r="U40" s="182">
        <f>Plankosten!U31</f>
        <v>122284.8</v>
      </c>
      <c r="V40" s="8">
        <f>Plankosten!V31</f>
        <v>428356.80000000005</v>
      </c>
      <c r="W40" s="183">
        <f>Plankosten!W31</f>
        <v>449630.64</v>
      </c>
      <c r="X40" s="9">
        <f>Plankosten!X31</f>
        <v>471968.17200000008</v>
      </c>
    </row>
    <row r="41" spans="1:24" ht="18.75" customHeight="1" outlineLevel="1" x14ac:dyDescent="0.25">
      <c r="A41" s="794" t="str">
        <f>Plankosten!A33</f>
        <v>Materialeinsatz</v>
      </c>
      <c r="B41" s="795"/>
      <c r="C41" s="795"/>
      <c r="D41" s="796"/>
      <c r="E41" s="338">
        <f>Plankosten!E38*(1+$D$8)</f>
        <v>0</v>
      </c>
      <c r="F41" s="339">
        <f>Plankosten!F38</f>
        <v>0</v>
      </c>
      <c r="G41" s="339">
        <f>Plankosten!G38</f>
        <v>0</v>
      </c>
      <c r="H41" s="339">
        <f>Plankosten!H38</f>
        <v>0</v>
      </c>
      <c r="I41" s="339">
        <f>Plankosten!I38</f>
        <v>0</v>
      </c>
      <c r="J41" s="339">
        <f>Plankosten!J38</f>
        <v>0</v>
      </c>
      <c r="K41" s="339">
        <f>Plankosten!K38</f>
        <v>0</v>
      </c>
      <c r="L41" s="339">
        <f>Plankosten!L38</f>
        <v>0</v>
      </c>
      <c r="M41" s="339">
        <f>Plankosten!M38</f>
        <v>0</v>
      </c>
      <c r="N41" s="339">
        <f>Plankosten!N38</f>
        <v>0</v>
      </c>
      <c r="O41" s="339">
        <f>Plankosten!O38</f>
        <v>0</v>
      </c>
      <c r="P41" s="340">
        <f>Plankosten!P38</f>
        <v>0</v>
      </c>
      <c r="Q41" s="334">
        <f>Plankosten!Q38</f>
        <v>0</v>
      </c>
      <c r="R41" s="341">
        <f>Plankosten!R38</f>
        <v>0</v>
      </c>
      <c r="S41" s="339">
        <f>Plankosten!S38</f>
        <v>0</v>
      </c>
      <c r="T41" s="339">
        <f>Plankosten!T38</f>
        <v>0</v>
      </c>
      <c r="U41" s="340">
        <f>Plankosten!U38</f>
        <v>0</v>
      </c>
      <c r="V41" s="334">
        <f>Plankosten!V38</f>
        <v>0</v>
      </c>
      <c r="W41" s="342">
        <f>Plankosten!W38</f>
        <v>0</v>
      </c>
      <c r="X41" s="247">
        <f>Plankosten!X38</f>
        <v>0</v>
      </c>
    </row>
    <row r="42" spans="1:24" ht="18.75" customHeight="1" outlineLevel="1" x14ac:dyDescent="0.25">
      <c r="A42" s="794" t="str">
        <f>Plankosten!A40</f>
        <v>Roh-, Betriebs- uns Hilfsstoffe</v>
      </c>
      <c r="B42" s="795"/>
      <c r="C42" s="795"/>
      <c r="D42" s="796"/>
      <c r="E42" s="338">
        <f>Plankosten!E45*(1+$D$8)</f>
        <v>0</v>
      </c>
      <c r="F42" s="339">
        <f>Plankosten!F45</f>
        <v>0</v>
      </c>
      <c r="G42" s="339">
        <f>Plankosten!G45</f>
        <v>0</v>
      </c>
      <c r="H42" s="339">
        <f>Plankosten!H45</f>
        <v>0</v>
      </c>
      <c r="I42" s="339">
        <f>Plankosten!I45</f>
        <v>0</v>
      </c>
      <c r="J42" s="339">
        <f>Plankosten!J45</f>
        <v>0</v>
      </c>
      <c r="K42" s="339">
        <f>Plankosten!K45</f>
        <v>0</v>
      </c>
      <c r="L42" s="339">
        <f>Plankosten!L45</f>
        <v>0</v>
      </c>
      <c r="M42" s="339">
        <f>Plankosten!M45</f>
        <v>0</v>
      </c>
      <c r="N42" s="339">
        <f>Plankosten!N45</f>
        <v>0</v>
      </c>
      <c r="O42" s="339">
        <f>Plankosten!O45</f>
        <v>0</v>
      </c>
      <c r="P42" s="340">
        <f>Plankosten!P45</f>
        <v>0</v>
      </c>
      <c r="Q42" s="334">
        <f>Plankosten!Q45</f>
        <v>0</v>
      </c>
      <c r="R42" s="341">
        <f>Plankosten!R45</f>
        <v>0</v>
      </c>
      <c r="S42" s="339">
        <f>Plankosten!S45</f>
        <v>0</v>
      </c>
      <c r="T42" s="339">
        <f>Plankosten!T45</f>
        <v>0</v>
      </c>
      <c r="U42" s="340">
        <f>Plankosten!U45</f>
        <v>0</v>
      </c>
      <c r="V42" s="334">
        <f>Plankosten!V45</f>
        <v>0</v>
      </c>
      <c r="W42" s="342">
        <f>Plankosten!W45</f>
        <v>0</v>
      </c>
      <c r="X42" s="247">
        <f>Plankosten!X45</f>
        <v>0</v>
      </c>
    </row>
    <row r="43" spans="1:24" ht="30" customHeight="1" outlineLevel="1" x14ac:dyDescent="0.25">
      <c r="A43" s="856" t="str">
        <f>Plankosten!A47</f>
        <v>Sonstige betriebliche Aufwendungen
(Miete, Pacht, Betriebskosten)</v>
      </c>
      <c r="B43" s="857"/>
      <c r="C43" s="857"/>
      <c r="D43" s="858"/>
      <c r="E43" s="338">
        <f>Plankosten!E54*(1+$D$8)</f>
        <v>1525.2</v>
      </c>
      <c r="F43" s="339">
        <f>Plankosten!F54</f>
        <v>1271</v>
      </c>
      <c r="G43" s="339">
        <f>Plankosten!G54</f>
        <v>1271</v>
      </c>
      <c r="H43" s="339">
        <f>Plankosten!H54</f>
        <v>1271</v>
      </c>
      <c r="I43" s="339">
        <f>Plankosten!I54</f>
        <v>1271</v>
      </c>
      <c r="J43" s="339">
        <f>Plankosten!J54</f>
        <v>1271</v>
      </c>
      <c r="K43" s="339">
        <f>Plankosten!K54</f>
        <v>1271</v>
      </c>
      <c r="L43" s="339">
        <f>Plankosten!L54</f>
        <v>1271</v>
      </c>
      <c r="M43" s="339">
        <f>Plankosten!M54</f>
        <v>1271</v>
      </c>
      <c r="N43" s="339">
        <f>Plankosten!N54</f>
        <v>1271</v>
      </c>
      <c r="O43" s="339">
        <f>Plankosten!O54</f>
        <v>1271</v>
      </c>
      <c r="P43" s="340">
        <f>Plankosten!P54</f>
        <v>1271</v>
      </c>
      <c r="Q43" s="334">
        <f>Plankosten!Q54</f>
        <v>15252</v>
      </c>
      <c r="R43" s="341">
        <f>Plankosten!R54</f>
        <v>3813</v>
      </c>
      <c r="S43" s="339">
        <f>Plankosten!S54</f>
        <v>3813</v>
      </c>
      <c r="T43" s="339">
        <f>Plankosten!T54</f>
        <v>3813</v>
      </c>
      <c r="U43" s="340">
        <f>Plankosten!U54</f>
        <v>3813</v>
      </c>
      <c r="V43" s="334">
        <f>Plankosten!V54</f>
        <v>15252</v>
      </c>
      <c r="W43" s="342">
        <f>Plankosten!W54</f>
        <v>15252</v>
      </c>
      <c r="X43" s="247">
        <f>Plankosten!X54</f>
        <v>15252</v>
      </c>
    </row>
    <row r="44" spans="1:24" ht="18.75" customHeight="1" outlineLevel="1" x14ac:dyDescent="0.25">
      <c r="A44" s="856" t="str">
        <f>Plankosten!A56</f>
        <v>Instandhaltung</v>
      </c>
      <c r="B44" s="857"/>
      <c r="C44" s="857"/>
      <c r="D44" s="858"/>
      <c r="E44" s="338">
        <f>Plankosten!E61*(1+$D$8)</f>
        <v>0</v>
      </c>
      <c r="F44" s="339">
        <f>Plankosten!F61</f>
        <v>0</v>
      </c>
      <c r="G44" s="339">
        <f>Plankosten!G61</f>
        <v>0</v>
      </c>
      <c r="H44" s="339">
        <f>Plankosten!H61</f>
        <v>0</v>
      </c>
      <c r="I44" s="339">
        <f>Plankosten!I61</f>
        <v>0</v>
      </c>
      <c r="J44" s="339">
        <f>Plankosten!J61</f>
        <v>0</v>
      </c>
      <c r="K44" s="339">
        <f>Plankosten!K61</f>
        <v>0</v>
      </c>
      <c r="L44" s="339">
        <f>Plankosten!L61</f>
        <v>0</v>
      </c>
      <c r="M44" s="339">
        <f>Plankosten!M61</f>
        <v>0</v>
      </c>
      <c r="N44" s="339">
        <f>Plankosten!N61</f>
        <v>0</v>
      </c>
      <c r="O44" s="339">
        <f>Plankosten!O61</f>
        <v>0</v>
      </c>
      <c r="P44" s="340">
        <f>Plankosten!P61</f>
        <v>2000</v>
      </c>
      <c r="Q44" s="334">
        <f>Plankosten!Q61</f>
        <v>2000</v>
      </c>
      <c r="R44" s="341">
        <f>Plankosten!R61</f>
        <v>0</v>
      </c>
      <c r="S44" s="339">
        <f>Plankosten!S61</f>
        <v>0</v>
      </c>
      <c r="T44" s="339">
        <f>Plankosten!T61</f>
        <v>0</v>
      </c>
      <c r="U44" s="340">
        <f>Plankosten!U61</f>
        <v>2000</v>
      </c>
      <c r="V44" s="334">
        <f>Plankosten!V61</f>
        <v>2000</v>
      </c>
      <c r="W44" s="342">
        <f>Plankosten!W61</f>
        <v>2000</v>
      </c>
      <c r="X44" s="247">
        <f>Plankosten!X61</f>
        <v>2000</v>
      </c>
    </row>
    <row r="45" spans="1:24" ht="18.75" customHeight="1" outlineLevel="1" x14ac:dyDescent="0.25">
      <c r="A45" s="856" t="str">
        <f>Plankosten!A63</f>
        <v>Kfz-Kosten und Reisekosten</v>
      </c>
      <c r="B45" s="857"/>
      <c r="C45" s="857"/>
      <c r="D45" s="858"/>
      <c r="E45" s="338">
        <f>Plankosten!E69</f>
        <v>2000</v>
      </c>
      <c r="F45" s="339">
        <f>Plankosten!F69</f>
        <v>500</v>
      </c>
      <c r="G45" s="339">
        <f>Plankosten!G69</f>
        <v>500</v>
      </c>
      <c r="H45" s="339">
        <f>Plankosten!H69</f>
        <v>500</v>
      </c>
      <c r="I45" s="339">
        <f>Plankosten!I69</f>
        <v>500</v>
      </c>
      <c r="J45" s="339">
        <f>Plankosten!J69</f>
        <v>500</v>
      </c>
      <c r="K45" s="339">
        <f>Plankosten!K69</f>
        <v>500</v>
      </c>
      <c r="L45" s="339">
        <f>Plankosten!L69</f>
        <v>500</v>
      </c>
      <c r="M45" s="339">
        <f>Plankosten!M69</f>
        <v>500</v>
      </c>
      <c r="N45" s="339">
        <f>Plankosten!N69</f>
        <v>500</v>
      </c>
      <c r="O45" s="339">
        <f>Plankosten!O69</f>
        <v>500</v>
      </c>
      <c r="P45" s="340">
        <f>Plankosten!P69</f>
        <v>500</v>
      </c>
      <c r="Q45" s="334">
        <f>Plankosten!Q69</f>
        <v>7500</v>
      </c>
      <c r="R45" s="341">
        <f>Plankosten!R69</f>
        <v>3000</v>
      </c>
      <c r="S45" s="339">
        <f>Plankosten!S69</f>
        <v>1500</v>
      </c>
      <c r="T45" s="339">
        <f>Plankosten!T69</f>
        <v>1500</v>
      </c>
      <c r="U45" s="340">
        <f>Plankosten!U69</f>
        <v>1500</v>
      </c>
      <c r="V45" s="334">
        <f>Plankosten!V69</f>
        <v>7500</v>
      </c>
      <c r="W45" s="342">
        <f>Plankosten!W69</f>
        <v>7500</v>
      </c>
      <c r="X45" s="247">
        <f>Plankosten!X69</f>
        <v>7500</v>
      </c>
    </row>
    <row r="46" spans="1:24" ht="18.75" customHeight="1" outlineLevel="1" x14ac:dyDescent="0.25">
      <c r="A46" s="856" t="str">
        <f>Plankosten!A71</f>
        <v>Büromaterial</v>
      </c>
      <c r="B46" s="857"/>
      <c r="C46" s="857"/>
      <c r="D46" s="858"/>
      <c r="E46" s="338">
        <f>Plankosten!E77*(1+$D$8)</f>
        <v>2640</v>
      </c>
      <c r="F46" s="339">
        <f>Plankosten!F77</f>
        <v>2200</v>
      </c>
      <c r="G46" s="339">
        <f>Plankosten!G77</f>
        <v>2200</v>
      </c>
      <c r="H46" s="339">
        <f>Plankosten!H77</f>
        <v>2200</v>
      </c>
      <c r="I46" s="339">
        <f>Plankosten!I77</f>
        <v>2200</v>
      </c>
      <c r="J46" s="339">
        <f>Plankosten!J77</f>
        <v>2200</v>
      </c>
      <c r="K46" s="339">
        <f>Plankosten!K77</f>
        <v>2200</v>
      </c>
      <c r="L46" s="339">
        <f>Plankosten!L77</f>
        <v>2200</v>
      </c>
      <c r="M46" s="339">
        <f>Plankosten!M77</f>
        <v>2200</v>
      </c>
      <c r="N46" s="339">
        <f>Plankosten!N77</f>
        <v>2200</v>
      </c>
      <c r="O46" s="339">
        <f>Plankosten!O77</f>
        <v>2200</v>
      </c>
      <c r="P46" s="340">
        <f>Plankosten!P77</f>
        <v>2200</v>
      </c>
      <c r="Q46" s="334">
        <f>Plankosten!Q77</f>
        <v>26400</v>
      </c>
      <c r="R46" s="341">
        <f>Plankosten!R77</f>
        <v>6600</v>
      </c>
      <c r="S46" s="339">
        <f>Plankosten!S77</f>
        <v>6600</v>
      </c>
      <c r="T46" s="339">
        <f>Plankosten!T77</f>
        <v>6600</v>
      </c>
      <c r="U46" s="340">
        <f>Plankosten!U77</f>
        <v>6600</v>
      </c>
      <c r="V46" s="334">
        <f>Plankosten!V77</f>
        <v>26400</v>
      </c>
      <c r="W46" s="342">
        <f>Plankosten!W77</f>
        <v>26400</v>
      </c>
      <c r="X46" s="247">
        <f>Plankosten!X77</f>
        <v>26400</v>
      </c>
    </row>
    <row r="47" spans="1:24" ht="18.75" customHeight="1" outlineLevel="1" x14ac:dyDescent="0.25">
      <c r="A47" s="856" t="str">
        <f>Plankosten!A79</f>
        <v>Telefon / Fax / Internet</v>
      </c>
      <c r="B47" s="857"/>
      <c r="C47" s="857"/>
      <c r="D47" s="858"/>
      <c r="E47" s="338">
        <f>Plankosten!E85*(1+$D$8)</f>
        <v>465.59999999999997</v>
      </c>
      <c r="F47" s="339">
        <f>Plankosten!F85</f>
        <v>388</v>
      </c>
      <c r="G47" s="339">
        <f>Plankosten!G85</f>
        <v>388</v>
      </c>
      <c r="H47" s="339">
        <f>Plankosten!H85</f>
        <v>388</v>
      </c>
      <c r="I47" s="339">
        <f>Plankosten!I85</f>
        <v>388</v>
      </c>
      <c r="J47" s="339">
        <f>Plankosten!J85</f>
        <v>388</v>
      </c>
      <c r="K47" s="339">
        <f>Plankosten!K85</f>
        <v>388</v>
      </c>
      <c r="L47" s="339">
        <f>Plankosten!L85</f>
        <v>388</v>
      </c>
      <c r="M47" s="339">
        <f>Plankosten!M85</f>
        <v>388</v>
      </c>
      <c r="N47" s="339">
        <f>Plankosten!N85</f>
        <v>388</v>
      </c>
      <c r="O47" s="339">
        <f>Plankosten!O85</f>
        <v>388</v>
      </c>
      <c r="P47" s="340">
        <f>Plankosten!P85</f>
        <v>388</v>
      </c>
      <c r="Q47" s="334">
        <f>Plankosten!Q85</f>
        <v>4656</v>
      </c>
      <c r="R47" s="341">
        <f>Plankosten!R85</f>
        <v>1164</v>
      </c>
      <c r="S47" s="339">
        <f>Plankosten!S85</f>
        <v>1164</v>
      </c>
      <c r="T47" s="339">
        <f>Plankosten!T85</f>
        <v>1164</v>
      </c>
      <c r="U47" s="340">
        <f>Plankosten!U85</f>
        <v>1164</v>
      </c>
      <c r="V47" s="334">
        <f>Plankosten!V85</f>
        <v>4656</v>
      </c>
      <c r="W47" s="342">
        <f>Plankosten!W85</f>
        <v>4656</v>
      </c>
      <c r="X47" s="247">
        <f>Plankosten!X85</f>
        <v>4656</v>
      </c>
    </row>
    <row r="48" spans="1:24" ht="18.75" customHeight="1" outlineLevel="1" x14ac:dyDescent="0.25">
      <c r="A48" s="862" t="str">
        <f>Plankosten!A87</f>
        <v>Steuer- und Rechtsberatung</v>
      </c>
      <c r="B48" s="863"/>
      <c r="C48" s="863"/>
      <c r="D48" s="864"/>
      <c r="E48" s="338">
        <f>Plankosten!E94*(1+$D$8)</f>
        <v>360</v>
      </c>
      <c r="F48" s="339">
        <f>Plankosten!F94</f>
        <v>300</v>
      </c>
      <c r="G48" s="339">
        <f>Plankosten!G94</f>
        <v>2300</v>
      </c>
      <c r="H48" s="339">
        <f>Plankosten!H94</f>
        <v>300</v>
      </c>
      <c r="I48" s="339">
        <f>Plankosten!I94</f>
        <v>300</v>
      </c>
      <c r="J48" s="339">
        <f>Plankosten!J94</f>
        <v>300</v>
      </c>
      <c r="K48" s="339">
        <f>Plankosten!K94</f>
        <v>300</v>
      </c>
      <c r="L48" s="339">
        <f>Plankosten!L94</f>
        <v>300</v>
      </c>
      <c r="M48" s="339">
        <f>Plankosten!M94</f>
        <v>300</v>
      </c>
      <c r="N48" s="339">
        <f>Plankosten!N94</f>
        <v>3300</v>
      </c>
      <c r="O48" s="339">
        <f>Plankosten!O94</f>
        <v>300</v>
      </c>
      <c r="P48" s="340">
        <f>Plankosten!P94</f>
        <v>300</v>
      </c>
      <c r="Q48" s="334">
        <f>Plankosten!Q94</f>
        <v>8600</v>
      </c>
      <c r="R48" s="341">
        <f>Plankosten!R94</f>
        <v>900</v>
      </c>
      <c r="S48" s="339">
        <f>Plankosten!S94</f>
        <v>900</v>
      </c>
      <c r="T48" s="339">
        <f>Plankosten!T94</f>
        <v>900</v>
      </c>
      <c r="U48" s="340">
        <f>Plankosten!U94</f>
        <v>3900</v>
      </c>
      <c r="V48" s="334">
        <f>Plankosten!V94</f>
        <v>6600</v>
      </c>
      <c r="W48" s="342">
        <f>Plankosten!W94</f>
        <v>6600</v>
      </c>
      <c r="X48" s="247">
        <f>Plankosten!X94</f>
        <v>6600</v>
      </c>
    </row>
    <row r="49" spans="1:24" ht="18.75" customHeight="1" outlineLevel="1" x14ac:dyDescent="0.25">
      <c r="A49" s="797" t="str">
        <f>Plankosten!A96</f>
        <v>Werbungskosten</v>
      </c>
      <c r="B49" s="798"/>
      <c r="C49" s="798"/>
      <c r="D49" s="799"/>
      <c r="E49" s="338">
        <f>Plankosten!E101*(1+$D$8)</f>
        <v>0</v>
      </c>
      <c r="F49" s="339">
        <f>Plankosten!F101</f>
        <v>0</v>
      </c>
      <c r="G49" s="339">
        <f>Plankosten!G101</f>
        <v>0</v>
      </c>
      <c r="H49" s="339">
        <f>Plankosten!H101</f>
        <v>0</v>
      </c>
      <c r="I49" s="339">
        <f>Plankosten!I101</f>
        <v>0</v>
      </c>
      <c r="J49" s="339">
        <f>Plankosten!J101</f>
        <v>0</v>
      </c>
      <c r="K49" s="339">
        <f>Plankosten!K101</f>
        <v>0</v>
      </c>
      <c r="L49" s="339">
        <f>Plankosten!L101</f>
        <v>0</v>
      </c>
      <c r="M49" s="339">
        <f>Plankosten!M101</f>
        <v>0</v>
      </c>
      <c r="N49" s="339">
        <f>Plankosten!N101</f>
        <v>0</v>
      </c>
      <c r="O49" s="339">
        <f>Plankosten!O101</f>
        <v>0</v>
      </c>
      <c r="P49" s="340">
        <f>Plankosten!P101</f>
        <v>0</v>
      </c>
      <c r="Q49" s="334">
        <f>Plankosten!Q101</f>
        <v>0</v>
      </c>
      <c r="R49" s="341">
        <f>Plankosten!R101</f>
        <v>0</v>
      </c>
      <c r="S49" s="339">
        <f>Plankosten!S101</f>
        <v>0</v>
      </c>
      <c r="T49" s="339">
        <f>Plankosten!T101</f>
        <v>0</v>
      </c>
      <c r="U49" s="340">
        <f>Plankosten!U101</f>
        <v>0</v>
      </c>
      <c r="V49" s="334">
        <f>Plankosten!V101</f>
        <v>0</v>
      </c>
      <c r="W49" s="342">
        <f>Plankosten!W101</f>
        <v>0</v>
      </c>
      <c r="X49" s="247">
        <f>Plankosten!X101</f>
        <v>0</v>
      </c>
    </row>
    <row r="50" spans="1:24" ht="18.75" customHeight="1" outlineLevel="1" x14ac:dyDescent="0.25">
      <c r="A50" s="797" t="str">
        <f>Plankosten!A103</f>
        <v>Gebühren, Kammerbeiträge</v>
      </c>
      <c r="B50" s="798"/>
      <c r="C50" s="798"/>
      <c r="D50" s="799"/>
      <c r="E50" s="338">
        <f>Plankosten!E110</f>
        <v>120.60271160166667</v>
      </c>
      <c r="F50" s="339">
        <f>Plankosten!F110</f>
        <v>320.60271160166667</v>
      </c>
      <c r="G50" s="339">
        <f>Plankosten!G110</f>
        <v>120.60271160166667</v>
      </c>
      <c r="H50" s="339">
        <f>Plankosten!H110</f>
        <v>120.60271160166667</v>
      </c>
      <c r="I50" s="339">
        <f>Plankosten!I110</f>
        <v>320.60271160166667</v>
      </c>
      <c r="J50" s="339">
        <f>Plankosten!J110</f>
        <v>120.60271160166667</v>
      </c>
      <c r="K50" s="339">
        <f>Plankosten!K110</f>
        <v>120.60271160166667</v>
      </c>
      <c r="L50" s="339">
        <f>Plankosten!L110</f>
        <v>320.60271160166667</v>
      </c>
      <c r="M50" s="339">
        <f>Plankosten!M110</f>
        <v>120.60271160166667</v>
      </c>
      <c r="N50" s="339">
        <f>Plankosten!N110</f>
        <v>120.60271160166667</v>
      </c>
      <c r="O50" s="339">
        <f>Plankosten!O110</f>
        <v>320.60271160166667</v>
      </c>
      <c r="P50" s="340">
        <f>Plankosten!P110</f>
        <v>120.60271160166667</v>
      </c>
      <c r="Q50" s="334">
        <f>Plankosten!Q110</f>
        <v>2247.2325392199996</v>
      </c>
      <c r="R50" s="341">
        <f>Plankosten!R110</f>
        <v>561.8081348049999</v>
      </c>
      <c r="S50" s="339">
        <f>Plankosten!S110</f>
        <v>561.8081348049999</v>
      </c>
      <c r="T50" s="339">
        <f>Plankosten!T110</f>
        <v>561.8081348049999</v>
      </c>
      <c r="U50" s="340">
        <f>Plankosten!U110</f>
        <v>561.8081348049999</v>
      </c>
      <c r="V50" s="334">
        <f>Plankosten!V110</f>
        <v>2247.2325392199996</v>
      </c>
      <c r="W50" s="342">
        <f>Plankosten!W110</f>
        <v>2247.2325392199996</v>
      </c>
      <c r="X50" s="247">
        <f>Plankosten!X110</f>
        <v>2247.2325392199996</v>
      </c>
    </row>
    <row r="51" spans="1:24" ht="18.75" customHeight="1" outlineLevel="1" x14ac:dyDescent="0.25">
      <c r="A51" s="797" t="str">
        <f>Plankosten!A112</f>
        <v>Betriebsversicherung</v>
      </c>
      <c r="B51" s="798"/>
      <c r="C51" s="798"/>
      <c r="D51" s="799"/>
      <c r="E51" s="338">
        <f>Plankosten!E117</f>
        <v>0</v>
      </c>
      <c r="F51" s="339">
        <f>Plankosten!F117</f>
        <v>0</v>
      </c>
      <c r="G51" s="339">
        <f>Plankosten!G117</f>
        <v>0</v>
      </c>
      <c r="H51" s="339">
        <f>Plankosten!H117</f>
        <v>0</v>
      </c>
      <c r="I51" s="339">
        <f>Plankosten!I117</f>
        <v>0</v>
      </c>
      <c r="J51" s="339">
        <f>Plankosten!J117</f>
        <v>0</v>
      </c>
      <c r="K51" s="339">
        <f>Plankosten!K117</f>
        <v>0</v>
      </c>
      <c r="L51" s="339">
        <f>Plankosten!L117</f>
        <v>0</v>
      </c>
      <c r="M51" s="339">
        <f>Plankosten!M117</f>
        <v>0</v>
      </c>
      <c r="N51" s="339">
        <f>Plankosten!N117</f>
        <v>0</v>
      </c>
      <c r="O51" s="339">
        <f>Plankosten!O117</f>
        <v>0</v>
      </c>
      <c r="P51" s="340">
        <f>Plankosten!P117</f>
        <v>0</v>
      </c>
      <c r="Q51" s="334">
        <f>Plankosten!Q117</f>
        <v>0</v>
      </c>
      <c r="R51" s="341">
        <f>Plankosten!R117</f>
        <v>0</v>
      </c>
      <c r="S51" s="339">
        <f>Plankosten!S117</f>
        <v>0</v>
      </c>
      <c r="T51" s="339">
        <f>Plankosten!T117</f>
        <v>0</v>
      </c>
      <c r="U51" s="340">
        <f>Plankosten!U117</f>
        <v>0</v>
      </c>
      <c r="V51" s="334">
        <f>Plankosten!V117</f>
        <v>0</v>
      </c>
      <c r="W51" s="342">
        <f>Plankosten!W117</f>
        <v>0</v>
      </c>
      <c r="X51" s="247">
        <f>Plankosten!X117</f>
        <v>0</v>
      </c>
    </row>
    <row r="52" spans="1:24" ht="18.75" customHeight="1" outlineLevel="1" x14ac:dyDescent="0.25">
      <c r="A52" s="797" t="str">
        <f>Plankosten!A119</f>
        <v>Leasinggebühren</v>
      </c>
      <c r="B52" s="798"/>
      <c r="C52" s="798"/>
      <c r="D52" s="799"/>
      <c r="E52" s="338">
        <f>Plankosten!E124*(1+$D$8)</f>
        <v>1800</v>
      </c>
      <c r="F52" s="339">
        <f>Plankosten!F124</f>
        <v>1500</v>
      </c>
      <c r="G52" s="339">
        <f>Plankosten!G124</f>
        <v>1500</v>
      </c>
      <c r="H52" s="339">
        <f>Plankosten!H124</f>
        <v>1500</v>
      </c>
      <c r="I52" s="339">
        <f>Plankosten!I124</f>
        <v>1500</v>
      </c>
      <c r="J52" s="339">
        <f>Plankosten!J124</f>
        <v>1500</v>
      </c>
      <c r="K52" s="339">
        <f>Plankosten!K124</f>
        <v>1500</v>
      </c>
      <c r="L52" s="339">
        <f>Plankosten!L124</f>
        <v>1500</v>
      </c>
      <c r="M52" s="339">
        <f>Plankosten!M124</f>
        <v>1500</v>
      </c>
      <c r="N52" s="339">
        <f>Plankosten!N124</f>
        <v>1500</v>
      </c>
      <c r="O52" s="339">
        <f>Plankosten!O124</f>
        <v>1500</v>
      </c>
      <c r="P52" s="340">
        <f>Plankosten!P124</f>
        <v>1500</v>
      </c>
      <c r="Q52" s="334">
        <f>Plankosten!Q124</f>
        <v>18000</v>
      </c>
      <c r="R52" s="341">
        <f>Plankosten!R124</f>
        <v>4500</v>
      </c>
      <c r="S52" s="339">
        <f>Plankosten!S124</f>
        <v>4500</v>
      </c>
      <c r="T52" s="339">
        <f>Plankosten!T124</f>
        <v>4500</v>
      </c>
      <c r="U52" s="340">
        <f>Plankosten!U124</f>
        <v>4500</v>
      </c>
      <c r="V52" s="334">
        <f>Plankosten!V124</f>
        <v>0</v>
      </c>
      <c r="W52" s="342">
        <f>Plankosten!W124</f>
        <v>0</v>
      </c>
      <c r="X52" s="247">
        <f>Plankosten!X124</f>
        <v>0</v>
      </c>
    </row>
    <row r="53" spans="1:24" ht="18.75" customHeight="1" outlineLevel="1" x14ac:dyDescent="0.25">
      <c r="A53" s="797" t="str">
        <f>Plankosten!A126</f>
        <v>Spesen-, Bank-, Kreditgebühren</v>
      </c>
      <c r="B53" s="798"/>
      <c r="C53" s="798"/>
      <c r="D53" s="799"/>
      <c r="E53" s="338">
        <f>Plankosten!E131</f>
        <v>50</v>
      </c>
      <c r="F53" s="339">
        <f>Plankosten!F131</f>
        <v>0</v>
      </c>
      <c r="G53" s="339">
        <f>Plankosten!G131</f>
        <v>0</v>
      </c>
      <c r="H53" s="339">
        <f>Plankosten!H131</f>
        <v>50</v>
      </c>
      <c r="I53" s="339">
        <f>Plankosten!I131</f>
        <v>0</v>
      </c>
      <c r="J53" s="339">
        <f>Plankosten!J131</f>
        <v>0</v>
      </c>
      <c r="K53" s="339">
        <f>Plankosten!K131</f>
        <v>50</v>
      </c>
      <c r="L53" s="339">
        <f>Plankosten!L131</f>
        <v>0</v>
      </c>
      <c r="M53" s="339">
        <f>Plankosten!M131</f>
        <v>0</v>
      </c>
      <c r="N53" s="339">
        <f>Plankosten!N131</f>
        <v>50</v>
      </c>
      <c r="O53" s="339">
        <f>Plankosten!O131</f>
        <v>0</v>
      </c>
      <c r="P53" s="340">
        <f>Plankosten!P131</f>
        <v>0</v>
      </c>
      <c r="Q53" s="334">
        <f>Plankosten!Q131</f>
        <v>200</v>
      </c>
      <c r="R53" s="341">
        <f>Plankosten!R131</f>
        <v>50</v>
      </c>
      <c r="S53" s="339">
        <f>Plankosten!S131</f>
        <v>50</v>
      </c>
      <c r="T53" s="339">
        <f>Plankosten!T131</f>
        <v>50</v>
      </c>
      <c r="U53" s="340">
        <f>Plankosten!U131</f>
        <v>50</v>
      </c>
      <c r="V53" s="334">
        <f>Plankosten!V131</f>
        <v>200</v>
      </c>
      <c r="W53" s="342">
        <f>Plankosten!W131</f>
        <v>200</v>
      </c>
      <c r="X53" s="247">
        <f>Plankosten!X131</f>
        <v>200</v>
      </c>
    </row>
    <row r="54" spans="1:24" ht="18.75" customHeight="1" outlineLevel="1" thickBot="1" x14ac:dyDescent="0.3">
      <c r="A54" s="859" t="str">
        <f>Plankosten!A133</f>
        <v>Sonstige Kosten</v>
      </c>
      <c r="B54" s="860"/>
      <c r="C54" s="860"/>
      <c r="D54" s="861"/>
      <c r="E54" s="130">
        <f>Plankosten!E139*(1+$D$8)</f>
        <v>0</v>
      </c>
      <c r="F54" s="131">
        <f>Plankosten!F139</f>
        <v>0</v>
      </c>
      <c r="G54" s="131">
        <f>Plankosten!G139</f>
        <v>0</v>
      </c>
      <c r="H54" s="131">
        <f>Plankosten!H139</f>
        <v>0</v>
      </c>
      <c r="I54" s="131">
        <f>Plankosten!I139</f>
        <v>15000</v>
      </c>
      <c r="J54" s="131">
        <f>Plankosten!J139</f>
        <v>0</v>
      </c>
      <c r="K54" s="131">
        <f>Plankosten!K139</f>
        <v>0</v>
      </c>
      <c r="L54" s="131">
        <f>Plankosten!L139</f>
        <v>0</v>
      </c>
      <c r="M54" s="131">
        <f>Plankosten!M139</f>
        <v>0</v>
      </c>
      <c r="N54" s="131">
        <f>Plankosten!N139</f>
        <v>0</v>
      </c>
      <c r="O54" s="131">
        <f>Plankosten!O139</f>
        <v>0</v>
      </c>
      <c r="P54" s="161">
        <f>Plankosten!P139</f>
        <v>0</v>
      </c>
      <c r="Q54" s="136">
        <f>Plankosten!Q139</f>
        <v>15000</v>
      </c>
      <c r="R54" s="198">
        <f>Plankosten!R139</f>
        <v>0</v>
      </c>
      <c r="S54" s="131">
        <f>Plankosten!S139</f>
        <v>15000</v>
      </c>
      <c r="T54" s="131">
        <f>Plankosten!T139</f>
        <v>0</v>
      </c>
      <c r="U54" s="161">
        <f>Plankosten!U139</f>
        <v>0</v>
      </c>
      <c r="V54" s="136">
        <f>Plankosten!V139</f>
        <v>15000</v>
      </c>
      <c r="W54" s="199">
        <f>Plankosten!W139</f>
        <v>15000</v>
      </c>
      <c r="X54" s="137">
        <f>Plankosten!X139</f>
        <v>15000</v>
      </c>
    </row>
    <row r="55" spans="1:24" ht="7.5" customHeight="1" outlineLevel="1" thickTop="1" thickBot="1" x14ac:dyDescent="0.3">
      <c r="A55" s="853"/>
      <c r="B55" s="854"/>
      <c r="C55" s="854"/>
      <c r="D55" s="855"/>
      <c r="E55" s="343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344"/>
      <c r="Q55" s="330" t="str">
        <f t="shared" ref="Q55" si="12">IF(SUM(E55:P55)=0,"",SUM(E55:P55))</f>
        <v/>
      </c>
      <c r="R55" s="345"/>
      <c r="S55" s="328"/>
      <c r="T55" s="328"/>
      <c r="U55" s="346"/>
      <c r="V55" s="330" t="str">
        <f t="shared" ref="V55" si="13">IF(SUM(R55:U55)=0,"",SUM(R55:U55))</f>
        <v/>
      </c>
      <c r="W55" s="347"/>
      <c r="X55" s="332"/>
    </row>
    <row r="56" spans="1:24" ht="18.75" customHeight="1" thickBot="1" x14ac:dyDescent="0.3">
      <c r="A56" s="805" t="s">
        <v>161</v>
      </c>
      <c r="B56" s="806"/>
      <c r="C56" s="806"/>
      <c r="D56" s="807"/>
      <c r="E56" s="626">
        <f t="shared" ref="E56:X56" si="14">SUM(E40:E55)</f>
        <v>25161.402711601666</v>
      </c>
      <c r="F56" s="560">
        <f t="shared" si="14"/>
        <v>24987.602711601667</v>
      </c>
      <c r="G56" s="560">
        <f t="shared" si="14"/>
        <v>30435.602711601667</v>
      </c>
      <c r="H56" s="560">
        <f t="shared" si="14"/>
        <v>32133.602711601667</v>
      </c>
      <c r="I56" s="560">
        <f t="shared" si="14"/>
        <v>71180.269378268335</v>
      </c>
      <c r="J56" s="560">
        <f t="shared" si="14"/>
        <v>32083.602711601667</v>
      </c>
      <c r="K56" s="560">
        <f t="shared" si="14"/>
        <v>32133.602711601667</v>
      </c>
      <c r="L56" s="560">
        <f t="shared" si="14"/>
        <v>32283.602711601667</v>
      </c>
      <c r="M56" s="560">
        <f t="shared" si="14"/>
        <v>32083.602711601667</v>
      </c>
      <c r="N56" s="560">
        <f t="shared" si="14"/>
        <v>35133.602711601663</v>
      </c>
      <c r="O56" s="560">
        <f t="shared" si="14"/>
        <v>56180.269378268335</v>
      </c>
      <c r="P56" s="557">
        <f t="shared" si="14"/>
        <v>34083.602711601663</v>
      </c>
      <c r="Q56" s="563">
        <f t="shared" si="14"/>
        <v>436748.56587255333</v>
      </c>
      <c r="R56" s="447">
        <f t="shared" si="14"/>
        <v>112482.40813480501</v>
      </c>
      <c r="S56" s="560">
        <f t="shared" si="14"/>
        <v>156373.60813480499</v>
      </c>
      <c r="T56" s="560">
        <f t="shared" si="14"/>
        <v>110982.40813480501</v>
      </c>
      <c r="U56" s="557">
        <f t="shared" si="14"/>
        <v>146373.60813480499</v>
      </c>
      <c r="V56" s="563">
        <f t="shared" si="14"/>
        <v>508212.03253922006</v>
      </c>
      <c r="W56" s="562">
        <f t="shared" si="14"/>
        <v>529485.87253922003</v>
      </c>
      <c r="X56" s="502">
        <f t="shared" si="14"/>
        <v>551823.40453922004</v>
      </c>
    </row>
    <row r="57" spans="1:24" ht="7.5" customHeight="1" thickBot="1" x14ac:dyDescent="0.3">
      <c r="A57" s="746"/>
      <c r="B57" s="747"/>
      <c r="C57" s="747"/>
      <c r="D57" s="747"/>
      <c r="E57" s="747"/>
      <c r="F57" s="747"/>
      <c r="G57" s="747"/>
      <c r="H57" s="747"/>
      <c r="I57" s="747"/>
      <c r="J57" s="747"/>
      <c r="K57" s="747"/>
      <c r="L57" s="747"/>
      <c r="M57" s="747"/>
      <c r="N57" s="747"/>
      <c r="O57" s="747"/>
      <c r="P57" s="747"/>
      <c r="Q57" s="747"/>
      <c r="R57" s="747"/>
      <c r="S57" s="747"/>
      <c r="T57" s="747"/>
      <c r="U57" s="747"/>
      <c r="V57" s="747"/>
      <c r="W57" s="747"/>
      <c r="X57" s="748"/>
    </row>
    <row r="58" spans="1:24" ht="18.75" customHeight="1" thickBot="1" x14ac:dyDescent="0.3">
      <c r="A58" s="811" t="s">
        <v>163</v>
      </c>
      <c r="B58" s="812"/>
      <c r="C58" s="812"/>
      <c r="D58" s="813"/>
      <c r="X58" s="335"/>
    </row>
    <row r="59" spans="1:24" ht="18.75" customHeight="1" outlineLevel="1" thickTop="1" x14ac:dyDescent="0.25">
      <c r="A59" s="824" t="s">
        <v>165</v>
      </c>
      <c r="B59" s="825"/>
      <c r="C59" s="825"/>
      <c r="D59" s="826"/>
      <c r="E59" s="6">
        <f>Investitionsplan!F23*(1+$D$8)</f>
        <v>69600</v>
      </c>
      <c r="F59" s="7">
        <f>Investitionsplan!G23*(1+$D$8)</f>
        <v>0</v>
      </c>
      <c r="G59" s="7">
        <f>Investitionsplan!H23*(1+$D$8)</f>
        <v>12000</v>
      </c>
      <c r="H59" s="7">
        <f>Investitionsplan!I23*(1+$D$8)</f>
        <v>0</v>
      </c>
      <c r="I59" s="7">
        <f>Investitionsplan!J23*(1+$D$8)</f>
        <v>0</v>
      </c>
      <c r="J59" s="7">
        <f>Investitionsplan!K23*(1+$D$8)</f>
        <v>12000</v>
      </c>
      <c r="K59" s="7">
        <f>Investitionsplan!L23*(1+$D$8)</f>
        <v>0</v>
      </c>
      <c r="L59" s="7">
        <f>Investitionsplan!M23*(1+$D$8)</f>
        <v>0</v>
      </c>
      <c r="M59" s="7">
        <f>Investitionsplan!N23*(1+$D$8)</f>
        <v>0</v>
      </c>
      <c r="N59" s="7">
        <f>Investitionsplan!O23*(1+$D$8)</f>
        <v>24000</v>
      </c>
      <c r="O59" s="7">
        <f>Investitionsplan!P23*(1+$D$8)</f>
        <v>0</v>
      </c>
      <c r="P59" s="182">
        <f>Investitionsplan!Q23*(1+$D$8)</f>
        <v>0</v>
      </c>
      <c r="Q59" s="8">
        <f>Investitionsplan!R23*(1+$D$8)</f>
        <v>117600</v>
      </c>
      <c r="R59" s="310">
        <f>Investitionsplan!S23*(1+$D$8)</f>
        <v>2400</v>
      </c>
      <c r="S59" s="7">
        <f>Investitionsplan!T23*(1+$D$8)</f>
        <v>0</v>
      </c>
      <c r="T59" s="7">
        <f>Investitionsplan!U23*(1+$D$8)</f>
        <v>0</v>
      </c>
      <c r="U59" s="182">
        <f>Investitionsplan!V23*(1+$D$8)</f>
        <v>0</v>
      </c>
      <c r="V59" s="8">
        <f>Investitionsplan!W23*(1+$D$8)</f>
        <v>2400</v>
      </c>
      <c r="W59" s="8">
        <f>Investitionsplan!X23*(1+$D$8)</f>
        <v>0</v>
      </c>
      <c r="X59" s="9">
        <f>Investitionsplan!Y23*(1+$D$8)</f>
        <v>0</v>
      </c>
    </row>
    <row r="60" spans="1:24" ht="18.75" customHeight="1" outlineLevel="1" thickBot="1" x14ac:dyDescent="0.3">
      <c r="A60" s="847" t="s">
        <v>166</v>
      </c>
      <c r="B60" s="848"/>
      <c r="C60" s="848"/>
      <c r="D60" s="849"/>
      <c r="E60" s="130">
        <f>Investitionsplan!F32</f>
        <v>0</v>
      </c>
      <c r="F60" s="131">
        <f>Investitionsplan!G32</f>
        <v>0</v>
      </c>
      <c r="G60" s="131">
        <f>Investitionsplan!H32</f>
        <v>35000</v>
      </c>
      <c r="H60" s="131">
        <f>Investitionsplan!I32</f>
        <v>0</v>
      </c>
      <c r="I60" s="131">
        <f>Investitionsplan!J32</f>
        <v>0</v>
      </c>
      <c r="J60" s="131">
        <f>Investitionsplan!K32</f>
        <v>0</v>
      </c>
      <c r="K60" s="131">
        <f>Investitionsplan!L32</f>
        <v>0</v>
      </c>
      <c r="L60" s="131">
        <f>Investitionsplan!M32</f>
        <v>0</v>
      </c>
      <c r="M60" s="131">
        <f>Investitionsplan!N32</f>
        <v>0</v>
      </c>
      <c r="N60" s="131">
        <f>Investitionsplan!O32</f>
        <v>0</v>
      </c>
      <c r="O60" s="131">
        <f>Investitionsplan!P32</f>
        <v>0</v>
      </c>
      <c r="P60" s="161">
        <f>Investitionsplan!Q32</f>
        <v>0</v>
      </c>
      <c r="Q60" s="136">
        <f>Investitionsplan!R32</f>
        <v>35000</v>
      </c>
      <c r="R60" s="162">
        <f>Investitionsplan!S32</f>
        <v>60000</v>
      </c>
      <c r="S60" s="131">
        <f>Investitionsplan!T32</f>
        <v>0</v>
      </c>
      <c r="T60" s="131">
        <f>Investitionsplan!U32</f>
        <v>0</v>
      </c>
      <c r="U60" s="161">
        <f>Investitionsplan!V32</f>
        <v>0</v>
      </c>
      <c r="V60" s="136">
        <f>Investitionsplan!W32</f>
        <v>60000</v>
      </c>
      <c r="W60" s="136">
        <f>Investitionsplan!X32</f>
        <v>0</v>
      </c>
      <c r="X60" s="137">
        <f>Investitionsplan!Y32</f>
        <v>0</v>
      </c>
    </row>
    <row r="61" spans="1:24" ht="7.5" customHeight="1" outlineLevel="1" thickTop="1" thickBot="1" x14ac:dyDescent="0.3">
      <c r="A61" s="850"/>
      <c r="B61" s="851"/>
      <c r="C61" s="851"/>
      <c r="D61" s="852"/>
      <c r="E61" s="343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344"/>
      <c r="Q61" s="330" t="str">
        <f t="shared" ref="Q61" si="15">IF(SUM(E61:P61)=0,"",SUM(E61:P61))</f>
        <v/>
      </c>
      <c r="R61" s="331"/>
      <c r="S61" s="328"/>
      <c r="T61" s="328"/>
      <c r="U61" s="346"/>
      <c r="V61" s="330" t="str">
        <f t="shared" ref="V61" si="16">IF(SUM(R61:U61)=0,"",SUM(R61:U61))</f>
        <v/>
      </c>
      <c r="W61" s="330"/>
      <c r="X61" s="332"/>
    </row>
    <row r="62" spans="1:24" ht="18.75" customHeight="1" thickBot="1" x14ac:dyDescent="0.3">
      <c r="A62" s="805" t="s">
        <v>162</v>
      </c>
      <c r="B62" s="806"/>
      <c r="C62" s="806"/>
      <c r="D62" s="807"/>
      <c r="E62" s="627">
        <f>SUM(E59:E61)</f>
        <v>69600</v>
      </c>
      <c r="F62" s="628">
        <f t="shared" ref="F62:X62" si="17">SUM(F59:F61)</f>
        <v>0</v>
      </c>
      <c r="G62" s="628">
        <f t="shared" si="17"/>
        <v>47000</v>
      </c>
      <c r="H62" s="628">
        <f t="shared" si="17"/>
        <v>0</v>
      </c>
      <c r="I62" s="628">
        <f t="shared" si="17"/>
        <v>0</v>
      </c>
      <c r="J62" s="628">
        <f t="shared" si="17"/>
        <v>12000</v>
      </c>
      <c r="K62" s="628">
        <f t="shared" si="17"/>
        <v>0</v>
      </c>
      <c r="L62" s="628">
        <f t="shared" si="17"/>
        <v>0</v>
      </c>
      <c r="M62" s="628">
        <f t="shared" si="17"/>
        <v>0</v>
      </c>
      <c r="N62" s="628">
        <f t="shared" si="17"/>
        <v>24000</v>
      </c>
      <c r="O62" s="628">
        <f t="shared" si="17"/>
        <v>0</v>
      </c>
      <c r="P62" s="629">
        <f t="shared" si="17"/>
        <v>0</v>
      </c>
      <c r="Q62" s="563">
        <f t="shared" si="17"/>
        <v>152600</v>
      </c>
      <c r="R62" s="630">
        <f t="shared" si="17"/>
        <v>62400</v>
      </c>
      <c r="S62" s="628">
        <f t="shared" si="17"/>
        <v>0</v>
      </c>
      <c r="T62" s="628">
        <f t="shared" si="17"/>
        <v>0</v>
      </c>
      <c r="U62" s="629">
        <f t="shared" si="17"/>
        <v>0</v>
      </c>
      <c r="V62" s="563">
        <f t="shared" si="17"/>
        <v>62400</v>
      </c>
      <c r="W62" s="563">
        <f t="shared" si="17"/>
        <v>0</v>
      </c>
      <c r="X62" s="631">
        <f t="shared" si="17"/>
        <v>0</v>
      </c>
    </row>
    <row r="63" spans="1:24" ht="7.5" customHeight="1" thickBot="1" x14ac:dyDescent="0.3">
      <c r="A63" s="746"/>
      <c r="B63" s="747"/>
      <c r="C63" s="747"/>
      <c r="D63" s="747"/>
      <c r="E63" s="747"/>
      <c r="F63" s="747"/>
      <c r="G63" s="747"/>
      <c r="H63" s="747"/>
      <c r="I63" s="747"/>
      <c r="J63" s="747"/>
      <c r="K63" s="747"/>
      <c r="L63" s="747"/>
      <c r="M63" s="747"/>
      <c r="N63" s="747"/>
      <c r="O63" s="747"/>
      <c r="P63" s="747"/>
      <c r="Q63" s="747"/>
      <c r="R63" s="747"/>
      <c r="S63" s="747"/>
      <c r="T63" s="747"/>
      <c r="U63" s="747"/>
      <c r="V63" s="747"/>
      <c r="W63" s="747"/>
      <c r="X63" s="748"/>
    </row>
    <row r="64" spans="1:24" ht="18.75" customHeight="1" thickBot="1" x14ac:dyDescent="0.3">
      <c r="A64" s="811" t="s">
        <v>172</v>
      </c>
      <c r="B64" s="812"/>
      <c r="C64" s="812"/>
      <c r="D64" s="813"/>
      <c r="X64" s="335"/>
    </row>
    <row r="65" spans="1:24" ht="18.75" customHeight="1" outlineLevel="1" thickTop="1" x14ac:dyDescent="0.25">
      <c r="A65" s="814" t="str">
        <f>A84</f>
        <v>Sollzinsen Kontokorrentkredit</v>
      </c>
      <c r="B65" s="815"/>
      <c r="C65" s="815"/>
      <c r="D65" s="816"/>
      <c r="E65" s="278"/>
      <c r="F65" s="308"/>
      <c r="G65" s="308"/>
      <c r="H65" s="7">
        <f>E84</f>
        <v>972.04956101103755</v>
      </c>
      <c r="I65" s="308"/>
      <c r="J65" s="308"/>
      <c r="K65" s="7">
        <f>H84</f>
        <v>3277.4874905944857</v>
      </c>
      <c r="L65" s="308"/>
      <c r="M65" s="308"/>
      <c r="N65" s="7">
        <f>K84</f>
        <v>3653.5490327395405</v>
      </c>
      <c r="O65" s="308"/>
      <c r="P65" s="309"/>
      <c r="Q65" s="8">
        <f>SUM(E65:P65)</f>
        <v>7903.0860843450646</v>
      </c>
      <c r="R65" s="310">
        <f>N84</f>
        <v>3601.611659469665</v>
      </c>
      <c r="S65" s="7">
        <f>R84</f>
        <v>4189.0436778105359</v>
      </c>
      <c r="T65" s="7">
        <f>S84</f>
        <v>4758.5762148622125</v>
      </c>
      <c r="U65" s="182">
        <f>T84</f>
        <v>4912.8693194126663</v>
      </c>
      <c r="V65" s="8">
        <f>SUM(R65:U65)</f>
        <v>17462.100871555078</v>
      </c>
      <c r="W65" s="8">
        <f>U84</f>
        <v>4297.0911162751363</v>
      </c>
      <c r="X65" s="9">
        <f>W84</f>
        <v>15125.823788727073</v>
      </c>
    </row>
    <row r="66" spans="1:24" ht="18.75" customHeight="1" outlineLevel="1" x14ac:dyDescent="0.25">
      <c r="A66" s="797" t="str">
        <f>A86</f>
        <v>Zinsen Einmalkredit</v>
      </c>
      <c r="B66" s="798"/>
      <c r="C66" s="798"/>
      <c r="D66" s="799"/>
      <c r="E66" s="379"/>
      <c r="F66" s="380"/>
      <c r="G66" s="380"/>
      <c r="H66" s="11">
        <f>E86</f>
        <v>0</v>
      </c>
      <c r="I66" s="380"/>
      <c r="J66" s="380"/>
      <c r="K66" s="11">
        <f>H86</f>
        <v>0</v>
      </c>
      <c r="L66" s="380"/>
      <c r="M66" s="380"/>
      <c r="N66" s="11">
        <f>K86</f>
        <v>0</v>
      </c>
      <c r="O66" s="380"/>
      <c r="P66" s="381"/>
      <c r="Q66" s="12">
        <f>SUM(E66:P66)</f>
        <v>0</v>
      </c>
      <c r="R66" s="311">
        <f>N86</f>
        <v>0</v>
      </c>
      <c r="S66" s="11">
        <f>R86</f>
        <v>0</v>
      </c>
      <c r="T66" s="11">
        <f>S86</f>
        <v>0</v>
      </c>
      <c r="U66" s="187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794" t="s">
        <v>181</v>
      </c>
      <c r="B67" s="795"/>
      <c r="C67" s="795"/>
      <c r="D67" s="796"/>
      <c r="E67" s="407">
        <f>500/12</f>
        <v>41.666666666666664</v>
      </c>
      <c r="F67" s="96">
        <f t="shared" ref="F67:P67" si="18">500/12</f>
        <v>41.666666666666664</v>
      </c>
      <c r="G67" s="96">
        <f t="shared" si="18"/>
        <v>41.666666666666664</v>
      </c>
      <c r="H67" s="96">
        <f t="shared" si="18"/>
        <v>41.666666666666664</v>
      </c>
      <c r="I67" s="96">
        <f t="shared" si="18"/>
        <v>41.666666666666664</v>
      </c>
      <c r="J67" s="96">
        <f t="shared" si="18"/>
        <v>41.666666666666664</v>
      </c>
      <c r="K67" s="96">
        <f t="shared" si="18"/>
        <v>41.666666666666664</v>
      </c>
      <c r="L67" s="96">
        <f t="shared" si="18"/>
        <v>41.666666666666664</v>
      </c>
      <c r="M67" s="96">
        <f t="shared" si="18"/>
        <v>41.666666666666664</v>
      </c>
      <c r="N67" s="96">
        <f t="shared" si="18"/>
        <v>41.666666666666664</v>
      </c>
      <c r="O67" s="96">
        <f t="shared" si="18"/>
        <v>41.666666666666664</v>
      </c>
      <c r="P67" s="155">
        <f t="shared" si="18"/>
        <v>41.666666666666664</v>
      </c>
      <c r="Q67" s="12">
        <f>SUM(E67:P67)</f>
        <v>500.00000000000006</v>
      </c>
      <c r="R67" s="417">
        <f>500/4</f>
        <v>125</v>
      </c>
      <c r="S67" s="96">
        <f t="shared" ref="S67:U67" si="19">500/4</f>
        <v>125</v>
      </c>
      <c r="T67" s="96">
        <f t="shared" si="19"/>
        <v>125</v>
      </c>
      <c r="U67" s="155">
        <f t="shared" si="19"/>
        <v>125</v>
      </c>
      <c r="V67" s="12">
        <f>SUM(R67:U67)</f>
        <v>500</v>
      </c>
      <c r="W67" s="421">
        <v>500</v>
      </c>
      <c r="X67" s="413">
        <v>60000</v>
      </c>
    </row>
    <row r="68" spans="1:24" ht="18.75" customHeight="1" outlineLevel="1" x14ac:dyDescent="0.25">
      <c r="A68" s="794" t="s">
        <v>175</v>
      </c>
      <c r="B68" s="795"/>
      <c r="C68" s="795"/>
      <c r="D68" s="796"/>
      <c r="E68" s="312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313"/>
      <c r="Q68" s="294">
        <f>SUM(E68:P68)</f>
        <v>0</v>
      </c>
      <c r="R68" s="418"/>
      <c r="S68" s="100"/>
      <c r="T68" s="100"/>
      <c r="U68" s="313"/>
      <c r="V68" s="294">
        <f>SUM(R68:U68)</f>
        <v>0</v>
      </c>
      <c r="W68" s="422"/>
      <c r="X68" s="423"/>
    </row>
    <row r="69" spans="1:24" ht="18.75" customHeight="1" outlineLevel="1" x14ac:dyDescent="0.25">
      <c r="A69" s="794" t="s">
        <v>101</v>
      </c>
      <c r="B69" s="795"/>
      <c r="C69" s="795"/>
      <c r="D69" s="796"/>
      <c r="E69" s="279"/>
      <c r="F69" s="382"/>
      <c r="G69" s="82">
        <f t="shared" ref="G69:P69" si="20">E15*($D$7/(1+$D$7))</f>
        <v>0</v>
      </c>
      <c r="H69" s="82">
        <f t="shared" si="20"/>
        <v>0</v>
      </c>
      <c r="I69" s="82">
        <f t="shared" si="20"/>
        <v>0</v>
      </c>
      <c r="J69" s="82">
        <f t="shared" si="20"/>
        <v>0</v>
      </c>
      <c r="K69" s="82">
        <f t="shared" si="20"/>
        <v>0</v>
      </c>
      <c r="L69" s="82">
        <f t="shared" si="20"/>
        <v>0</v>
      </c>
      <c r="M69" s="82">
        <f t="shared" si="20"/>
        <v>16666.666666666668</v>
      </c>
      <c r="N69" s="82">
        <f t="shared" si="20"/>
        <v>0</v>
      </c>
      <c r="O69" s="82">
        <f t="shared" si="20"/>
        <v>16666.666666666668</v>
      </c>
      <c r="P69" s="385">
        <f t="shared" si="20"/>
        <v>0</v>
      </c>
      <c r="Q69" s="348">
        <f t="shared" ref="Q69:Q70" si="21">SUM(E69:P69)</f>
        <v>33333.333333333336</v>
      </c>
      <c r="R69" s="81">
        <f>((O15+P15+R15)/3)*($D$7/(1+$D$7))</f>
        <v>14100.000000000002</v>
      </c>
      <c r="S69" s="82">
        <f>((2*R15+S15)/3)*($D$7/(1+$D$7))</f>
        <v>24566.666666666668</v>
      </c>
      <c r="T69" s="82">
        <f>((2*S15+T15)/3)*($D$7/(1+$D$7))</f>
        <v>24677.777777777777</v>
      </c>
      <c r="U69" s="385">
        <f>((2*T15+U15)/3)*($D$7/(1+$D$7))</f>
        <v>30344.444444444445</v>
      </c>
      <c r="V69" s="348">
        <f t="shared" ref="V69:V70" si="22">SUM(R69:U69)</f>
        <v>93688.888888888905</v>
      </c>
      <c r="W69" s="348">
        <f>((8*U15+10*W15)/12)*($D$7/(1+$D$7))</f>
        <v>188016.66666666669</v>
      </c>
      <c r="X69" s="384">
        <f>((2*W15+10*X15)/12)*($D$7/(1+$D$7))</f>
        <v>327133.33333333337</v>
      </c>
    </row>
    <row r="70" spans="1:24" ht="18.75" customHeight="1" outlineLevel="1" thickBot="1" x14ac:dyDescent="0.3">
      <c r="A70" s="817"/>
      <c r="B70" s="818"/>
      <c r="C70" s="818"/>
      <c r="D70" s="819"/>
      <c r="E70" s="314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56"/>
      <c r="Q70" s="349">
        <f t="shared" si="21"/>
        <v>0</v>
      </c>
      <c r="R70" s="419"/>
      <c r="S70" s="141"/>
      <c r="T70" s="141"/>
      <c r="U70" s="156"/>
      <c r="V70" s="349">
        <f t="shared" si="22"/>
        <v>0</v>
      </c>
      <c r="W70" s="424"/>
      <c r="X70" s="414"/>
    </row>
    <row r="71" spans="1:24" ht="7.5" customHeight="1" outlineLevel="1" thickTop="1" thickBot="1" x14ac:dyDescent="0.3">
      <c r="A71" s="820"/>
      <c r="B71" s="821"/>
      <c r="C71" s="821"/>
      <c r="D71" s="822"/>
      <c r="E71" s="315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316"/>
      <c r="Q71" s="350"/>
      <c r="R71" s="420"/>
      <c r="S71" s="410"/>
      <c r="T71" s="410"/>
      <c r="U71" s="411"/>
      <c r="V71" s="350"/>
      <c r="W71" s="425"/>
      <c r="X71" s="416"/>
    </row>
    <row r="72" spans="1:24" ht="18.75" customHeight="1" thickBot="1" x14ac:dyDescent="0.3">
      <c r="A72" s="805" t="s">
        <v>262</v>
      </c>
      <c r="B72" s="806"/>
      <c r="C72" s="806"/>
      <c r="D72" s="823"/>
      <c r="E72" s="633">
        <f>SUM(E65:E71)</f>
        <v>41.666666666666664</v>
      </c>
      <c r="F72" s="628">
        <f t="shared" ref="F72:X72" si="23">SUM(F65:F71)</f>
        <v>41.666666666666664</v>
      </c>
      <c r="G72" s="628">
        <f t="shared" si="23"/>
        <v>41.666666666666664</v>
      </c>
      <c r="H72" s="628">
        <f t="shared" si="23"/>
        <v>1013.7162276777042</v>
      </c>
      <c r="I72" s="628">
        <f t="shared" si="23"/>
        <v>41.666666666666664</v>
      </c>
      <c r="J72" s="628">
        <f t="shared" si="23"/>
        <v>41.666666666666664</v>
      </c>
      <c r="K72" s="628">
        <f t="shared" si="23"/>
        <v>3319.1541572611522</v>
      </c>
      <c r="L72" s="628">
        <f t="shared" si="23"/>
        <v>41.666666666666664</v>
      </c>
      <c r="M72" s="628">
        <f t="shared" si="23"/>
        <v>16708.333333333336</v>
      </c>
      <c r="N72" s="628">
        <f t="shared" si="23"/>
        <v>3695.215699406207</v>
      </c>
      <c r="O72" s="628">
        <f t="shared" si="23"/>
        <v>16708.333333333336</v>
      </c>
      <c r="P72" s="629">
        <f t="shared" si="23"/>
        <v>41.666666666666664</v>
      </c>
      <c r="Q72" s="563">
        <f t="shared" si="23"/>
        <v>41736.4194176784</v>
      </c>
      <c r="R72" s="630">
        <f t="shared" si="23"/>
        <v>17826.611659469665</v>
      </c>
      <c r="S72" s="628">
        <f t="shared" si="23"/>
        <v>28880.710344477204</v>
      </c>
      <c r="T72" s="628">
        <f t="shared" si="23"/>
        <v>29561.35399263999</v>
      </c>
      <c r="U72" s="629">
        <f t="shared" si="23"/>
        <v>35382.313763857113</v>
      </c>
      <c r="V72" s="563">
        <f t="shared" si="23"/>
        <v>111650.98976044398</v>
      </c>
      <c r="W72" s="563">
        <f t="shared" si="23"/>
        <v>192813.75778294183</v>
      </c>
      <c r="X72" s="631">
        <f t="shared" si="23"/>
        <v>402259.15712206042</v>
      </c>
    </row>
    <row r="73" spans="1:24" ht="7.5" customHeight="1" thickBot="1" x14ac:dyDescent="0.3">
      <c r="A73" s="746"/>
      <c r="B73" s="747"/>
      <c r="C73" s="747"/>
      <c r="D73" s="747"/>
      <c r="E73" s="747"/>
      <c r="F73" s="747"/>
      <c r="G73" s="747"/>
      <c r="H73" s="747"/>
      <c r="I73" s="747"/>
      <c r="J73" s="747"/>
      <c r="K73" s="747"/>
      <c r="L73" s="747"/>
      <c r="M73" s="747"/>
      <c r="N73" s="747"/>
      <c r="O73" s="747"/>
      <c r="P73" s="747"/>
      <c r="Q73" s="747"/>
      <c r="R73" s="747"/>
      <c r="S73" s="747"/>
      <c r="T73" s="747"/>
      <c r="U73" s="747"/>
      <c r="V73" s="747"/>
      <c r="W73" s="747"/>
      <c r="X73" s="748"/>
    </row>
    <row r="74" spans="1:24" ht="18" customHeight="1" thickBot="1" x14ac:dyDescent="0.3">
      <c r="A74" s="808" t="s">
        <v>167</v>
      </c>
      <c r="B74" s="809"/>
      <c r="C74" s="809"/>
      <c r="D74" s="810"/>
      <c r="E74" s="454">
        <f t="shared" ref="E74:X74" si="24">SUM(E56,E62,E72)</f>
        <v>94803.069378268337</v>
      </c>
      <c r="F74" s="568">
        <f t="shared" si="24"/>
        <v>25029.269378268335</v>
      </c>
      <c r="G74" s="568">
        <f t="shared" si="24"/>
        <v>77477.269378268335</v>
      </c>
      <c r="H74" s="568">
        <f t="shared" si="24"/>
        <v>33147.318939279372</v>
      </c>
      <c r="I74" s="568">
        <f t="shared" si="24"/>
        <v>71221.936044935006</v>
      </c>
      <c r="J74" s="568">
        <f t="shared" si="24"/>
        <v>44125.269378268327</v>
      </c>
      <c r="K74" s="568">
        <f t="shared" si="24"/>
        <v>35452.756868862816</v>
      </c>
      <c r="L74" s="568">
        <f t="shared" si="24"/>
        <v>32325.269378268335</v>
      </c>
      <c r="M74" s="568">
        <f t="shared" si="24"/>
        <v>48791.936044935006</v>
      </c>
      <c r="N74" s="568">
        <f t="shared" si="24"/>
        <v>62828.818411007873</v>
      </c>
      <c r="O74" s="568">
        <f t="shared" si="24"/>
        <v>72888.602711601678</v>
      </c>
      <c r="P74" s="632">
        <f t="shared" si="24"/>
        <v>34125.269378268327</v>
      </c>
      <c r="Q74" s="336">
        <f t="shared" si="24"/>
        <v>631084.98529023165</v>
      </c>
      <c r="R74" s="455">
        <f t="shared" si="24"/>
        <v>192709.01979427467</v>
      </c>
      <c r="S74" s="568">
        <f t="shared" si="24"/>
        <v>185254.3184792822</v>
      </c>
      <c r="T74" s="568">
        <f t="shared" si="24"/>
        <v>140543.76212744499</v>
      </c>
      <c r="U74" s="632">
        <f t="shared" si="24"/>
        <v>181755.92189866211</v>
      </c>
      <c r="V74" s="336">
        <f t="shared" si="24"/>
        <v>682263.0222996641</v>
      </c>
      <c r="W74" s="336">
        <f t="shared" si="24"/>
        <v>722299.63032216183</v>
      </c>
      <c r="X74" s="337">
        <f t="shared" si="24"/>
        <v>954082.56166128046</v>
      </c>
    </row>
    <row r="75" spans="1:24" ht="7.5" customHeight="1" thickBot="1" x14ac:dyDescent="0.3"/>
    <row r="76" spans="1:24" ht="22.5" customHeight="1" thickBot="1" x14ac:dyDescent="0.3">
      <c r="A76" s="800" t="s">
        <v>177</v>
      </c>
      <c r="B76" s="801"/>
      <c r="C76" s="801"/>
      <c r="D76" s="801"/>
      <c r="E76" s="351">
        <f>E36-E74</f>
        <v>-94803.069378268337</v>
      </c>
      <c r="F76" s="352">
        <f t="shared" ref="F76:X76" si="25">F36-F74</f>
        <v>-25029.269378268335</v>
      </c>
      <c r="G76" s="352">
        <f t="shared" si="25"/>
        <v>-64745.469378268332</v>
      </c>
      <c r="H76" s="352">
        <f t="shared" si="25"/>
        <v>-32204.152272612704</v>
      </c>
      <c r="I76" s="352">
        <f t="shared" si="25"/>
        <v>-67945.436044935006</v>
      </c>
      <c r="J76" s="352">
        <f t="shared" si="25"/>
        <v>-43182.102711601663</v>
      </c>
      <c r="K76" s="352">
        <f t="shared" si="25"/>
        <v>67990.409797803848</v>
      </c>
      <c r="L76" s="352">
        <f t="shared" si="25"/>
        <v>-29382.102711601667</v>
      </c>
      <c r="M76" s="352">
        <f t="shared" si="25"/>
        <v>52151.230621731665</v>
      </c>
      <c r="N76" s="352">
        <f t="shared" si="25"/>
        <v>-61885.651744341209</v>
      </c>
      <c r="O76" s="352">
        <f t="shared" si="25"/>
        <v>28054.563955064994</v>
      </c>
      <c r="P76" s="353">
        <f t="shared" si="25"/>
        <v>-22282.102711601659</v>
      </c>
      <c r="Q76" s="354">
        <f t="shared" si="25"/>
        <v>-292131.35195689829</v>
      </c>
      <c r="R76" s="355">
        <f t="shared" si="25"/>
        <v>-42012.853127608018</v>
      </c>
      <c r="S76" s="352">
        <f t="shared" si="25"/>
        <v>-33924.818479282199</v>
      </c>
      <c r="T76" s="352">
        <f t="shared" si="25"/>
        <v>13352.404539221665</v>
      </c>
      <c r="U76" s="353">
        <f t="shared" si="25"/>
        <v>68751.355879115668</v>
      </c>
      <c r="V76" s="354">
        <f t="shared" si="25"/>
        <v>24166.088811447029</v>
      </c>
      <c r="W76" s="356">
        <f t="shared" si="25"/>
        <v>445651.70301117143</v>
      </c>
      <c r="X76" s="357">
        <f t="shared" si="25"/>
        <v>1181768.771672053</v>
      </c>
    </row>
    <row r="77" spans="1:24" ht="7.5" customHeight="1" thickTop="1" thickBot="1" x14ac:dyDescent="0.3">
      <c r="A77" s="358"/>
      <c r="B77" s="359"/>
      <c r="C77" s="359"/>
      <c r="D77" s="359"/>
      <c r="E77" s="360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2"/>
      <c r="Q77" s="363"/>
      <c r="R77" s="364"/>
      <c r="S77" s="361"/>
      <c r="T77" s="361"/>
      <c r="U77" s="362"/>
      <c r="V77" s="363"/>
      <c r="W77" s="365"/>
      <c r="X77" s="366"/>
    </row>
    <row r="78" spans="1:24" ht="22.5" customHeight="1" thickTop="1" thickBot="1" x14ac:dyDescent="0.3">
      <c r="A78" s="803" t="s">
        <v>178</v>
      </c>
      <c r="B78" s="804"/>
      <c r="C78" s="804"/>
      <c r="D78" s="804"/>
      <c r="E78" s="367">
        <f>$D$3+E76-E82</f>
        <v>-59803.069378268337</v>
      </c>
      <c r="F78" s="368">
        <f>IF(F82&lt;E82,((E78+F76)-(F82-E82)),(E78+F76))</f>
        <v>-84832.338756536672</v>
      </c>
      <c r="G78" s="368">
        <f t="shared" ref="G78:U78" si="26">IF(G82&lt;F82,((F78+G76)-(G82-F82)),(F78+G76))</f>
        <v>-149577.808134805</v>
      </c>
      <c r="H78" s="368">
        <f t="shared" si="26"/>
        <v>-181781.9604074177</v>
      </c>
      <c r="I78" s="368">
        <f t="shared" si="26"/>
        <v>-249727.3964523527</v>
      </c>
      <c r="J78" s="368">
        <f t="shared" si="26"/>
        <v>-292909.49916395434</v>
      </c>
      <c r="K78" s="368">
        <f t="shared" si="26"/>
        <v>-224919.0893661505</v>
      </c>
      <c r="L78" s="368">
        <f t="shared" si="26"/>
        <v>-254301.19207775217</v>
      </c>
      <c r="M78" s="368">
        <f t="shared" si="26"/>
        <v>-202149.96145602051</v>
      </c>
      <c r="N78" s="368">
        <f t="shared" si="26"/>
        <v>-264035.61320036172</v>
      </c>
      <c r="O78" s="368">
        <f t="shared" si="26"/>
        <v>-235981.04924529674</v>
      </c>
      <c r="P78" s="369">
        <f t="shared" si="26"/>
        <v>-258263.15195689839</v>
      </c>
      <c r="Q78" s="370">
        <f>P78</f>
        <v>-258263.15195689839</v>
      </c>
      <c r="R78" s="371">
        <f>IF(R82&lt;P82,((P78+R76)-(R82-P82)),(P78+R76))</f>
        <v>-300276.00508450641</v>
      </c>
      <c r="S78" s="368">
        <f t="shared" si="26"/>
        <v>-334200.82356378861</v>
      </c>
      <c r="T78" s="368">
        <f t="shared" si="26"/>
        <v>-320848.41902456695</v>
      </c>
      <c r="U78" s="369">
        <f t="shared" si="26"/>
        <v>-252097.06314545128</v>
      </c>
      <c r="V78" s="370">
        <f>U78</f>
        <v>-252097.06314545128</v>
      </c>
      <c r="W78" s="372">
        <f>IF(W82&lt;U82,((U78+W76)-(W82-U82)),(U78+W76))</f>
        <v>193554.63986572015</v>
      </c>
      <c r="X78" s="373">
        <f t="shared" ref="X78" si="27">IF(X82&lt;W82,((W78+X76)-(X82-W82)),(W78+X76))</f>
        <v>1375323.4115377732</v>
      </c>
    </row>
    <row r="79" spans="1:24" ht="30" customHeight="1" thickBot="1" x14ac:dyDescent="0.3"/>
    <row r="80" spans="1:24" ht="18.75" customHeight="1" x14ac:dyDescent="0.25">
      <c r="A80" s="827" t="s">
        <v>179</v>
      </c>
      <c r="B80" s="828"/>
      <c r="C80" s="828"/>
      <c r="D80" s="829"/>
      <c r="E80" s="709" t="s">
        <v>20</v>
      </c>
      <c r="F80" s="709"/>
      <c r="G80" s="709"/>
      <c r="H80" s="709"/>
      <c r="I80" s="709"/>
      <c r="J80" s="709"/>
      <c r="K80" s="709"/>
      <c r="L80" s="709"/>
      <c r="M80" s="709"/>
      <c r="N80" s="709"/>
      <c r="O80" s="709"/>
      <c r="P80" s="709"/>
      <c r="Q80" s="718" t="s">
        <v>20</v>
      </c>
      <c r="R80" s="709" t="s">
        <v>25</v>
      </c>
      <c r="S80" s="709"/>
      <c r="T80" s="709"/>
      <c r="U80" s="709"/>
      <c r="V80" s="718" t="s">
        <v>25</v>
      </c>
      <c r="W80" s="706" t="s">
        <v>26</v>
      </c>
      <c r="X80" s="720" t="s">
        <v>27</v>
      </c>
    </row>
    <row r="81" spans="1:24" ht="18.75" customHeight="1" thickBot="1" x14ac:dyDescent="0.3">
      <c r="A81" s="830"/>
      <c r="B81" s="831"/>
      <c r="C81" s="831"/>
      <c r="D81" s="832"/>
      <c r="E81" s="113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19"/>
      <c r="R81" s="113" t="s">
        <v>21</v>
      </c>
      <c r="S81" s="2" t="s">
        <v>22</v>
      </c>
      <c r="T81" s="2" t="s">
        <v>23</v>
      </c>
      <c r="U81" s="3" t="s">
        <v>24</v>
      </c>
      <c r="V81" s="719"/>
      <c r="W81" s="707"/>
      <c r="X81" s="721"/>
    </row>
    <row r="82" spans="1:24" ht="18.75" customHeight="1" thickTop="1" x14ac:dyDescent="0.25">
      <c r="A82" s="824" t="s">
        <v>176</v>
      </c>
      <c r="B82" s="825"/>
      <c r="C82" s="825"/>
      <c r="D82" s="826"/>
      <c r="E82" s="149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6"/>
      <c r="Q82" s="293">
        <f>SUM(E82:P82)</f>
        <v>0</v>
      </c>
      <c r="R82" s="148"/>
      <c r="S82" s="18"/>
      <c r="T82" s="18"/>
      <c r="U82" s="426"/>
      <c r="V82" s="293">
        <f>SUM(R82:U82)</f>
        <v>0</v>
      </c>
      <c r="W82" s="146"/>
      <c r="X82" s="147"/>
    </row>
    <row r="83" spans="1:24" s="377" customFormat="1" ht="7.5" customHeight="1" x14ac:dyDescent="0.25">
      <c r="A83" s="374"/>
      <c r="B83" s="375"/>
      <c r="C83" s="375"/>
      <c r="D83" s="376"/>
      <c r="E83" s="302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4"/>
      <c r="Q83" s="305"/>
      <c r="R83" s="306"/>
      <c r="S83" s="303"/>
      <c r="T83" s="303"/>
      <c r="U83" s="304"/>
      <c r="V83" s="305"/>
      <c r="W83" s="305"/>
      <c r="X83" s="307"/>
    </row>
    <row r="84" spans="1:24" ht="18.75" customHeight="1" x14ac:dyDescent="0.25">
      <c r="A84" s="802" t="s">
        <v>168</v>
      </c>
      <c r="B84" s="775"/>
      <c r="C84" s="775"/>
      <c r="D84" s="775"/>
      <c r="E84" s="835">
        <f>IF(SUM($D$3,E$78:G$78)&lt;0,IPMT($D$5,1,1,AVERAGE($D$3,E$78:G$78))/4,0)</f>
        <v>972.04956101103755</v>
      </c>
      <c r="F84" s="836"/>
      <c r="G84" s="836"/>
      <c r="H84" s="836">
        <f>IF(SUM(G$78:J$78)&lt;0,IPMT($D$5,1,1,AVERAGE(G$78:J$78))/4,0)</f>
        <v>3277.4874905944857</v>
      </c>
      <c r="I84" s="836"/>
      <c r="J84" s="836"/>
      <c r="K84" s="843">
        <f>IF(SUM(J$78:M$78)&lt;0,IPMT($D$5,1,1,AVERAGE(J$78:M$78))/4,0)</f>
        <v>3653.5490327395405</v>
      </c>
      <c r="L84" s="838"/>
      <c r="M84" s="839"/>
      <c r="N84" s="843">
        <f>IF(SUM(M$78:P$78)&lt;0,IPMT($D$5,1,1,AVERAGE(M$78:P$78))/4,0)</f>
        <v>3601.611659469665</v>
      </c>
      <c r="O84" s="838"/>
      <c r="P84" s="844"/>
      <c r="Q84" s="294">
        <f>SUM(B84:P84)</f>
        <v>11504.69774381473</v>
      </c>
      <c r="R84" s="77">
        <f>IF(SUM(R$78,P$78)&lt;0,IPMT($D$5,1,1,AVERAGE(R$78,P$78))/4,0)</f>
        <v>4189.0436778105359</v>
      </c>
      <c r="S84" s="78">
        <f>IF(SUM(S$78,R$78)&lt;0,IPMT($D$5,1,1,AVERAGE(S$78,R$78))/4,0)</f>
        <v>4758.5762148622125</v>
      </c>
      <c r="T84" s="78">
        <f>IF(SUM(T$78,S$78)&lt;0,IPMT($D$5,1,1,AVERAGE(T$78,S$78))/4,0)</f>
        <v>4912.8693194126663</v>
      </c>
      <c r="U84" s="301">
        <f>IF(SUM(U$78,T$78)&lt;0,IPMT($D$5,1,1,AVERAGE(U$78,T$78))/4,0)</f>
        <v>4297.0911162751363</v>
      </c>
      <c r="V84" s="294">
        <f>SUM(R84:U84)</f>
        <v>18157.580328360549</v>
      </c>
      <c r="W84" s="294">
        <f>IF(V$78&lt;0,IPMT($D$5,1,1,V$78),0)</f>
        <v>15125.823788727073</v>
      </c>
      <c r="X84" s="295">
        <f>IF(W$78&lt;0,IPMT($D$5,1,1,W$78),0)</f>
        <v>0</v>
      </c>
    </row>
    <row r="85" spans="1:24" ht="18.75" customHeight="1" x14ac:dyDescent="0.25">
      <c r="A85" s="802" t="s">
        <v>171</v>
      </c>
      <c r="B85" s="775"/>
      <c r="C85" s="775"/>
      <c r="D85" s="775"/>
      <c r="E85" s="837">
        <f>IF(SUM($D$3,E$78:G$78)&gt;0,IPMT($D$6,1,1,AVERAGE($D$3,E$78:G$78))/4,0)</f>
        <v>0</v>
      </c>
      <c r="F85" s="838"/>
      <c r="G85" s="839"/>
      <c r="H85" s="843">
        <f>IF(SUM(G$78:J$78)&gt;0,IPMT($D$6,1,1,AVERAGE(G$78:J$78))/4,0)</f>
        <v>0</v>
      </c>
      <c r="I85" s="838"/>
      <c r="J85" s="839"/>
      <c r="K85" s="843">
        <f>IF(SUM(J$78:M$78)&gt;0,IPMT($D$6,1,1,AVERAGE(J$78:M$78))/4,0)</f>
        <v>0</v>
      </c>
      <c r="L85" s="838"/>
      <c r="M85" s="839"/>
      <c r="N85" s="843">
        <f>IF(SUM(M$78:P$78)&gt;0,IPMT($D$6,1,1,AVERAGE(M$78:P$78))/4,0)</f>
        <v>0</v>
      </c>
      <c r="O85" s="838"/>
      <c r="P85" s="844"/>
      <c r="Q85" s="294">
        <f t="shared" ref="Q85:Q86" si="28">SUM(B85:P85)</f>
        <v>0</v>
      </c>
      <c r="R85" s="77">
        <f>IF(SUM(R$78,P$78)&gt;0,IPMT($D$6,1,1,AVERAGE(R$78,P$78))/4,0)</f>
        <v>0</v>
      </c>
      <c r="S85" s="78">
        <f>IF(SUM(S$78,R$78)&gt;0,IPMT($D$6,1,1,AVERAGE(S$78,R$78))/4,0)</f>
        <v>0</v>
      </c>
      <c r="T85" s="78">
        <f>IF(SUM(T$78,S$78)&gt;0,IPMT($D$6,1,1,AVERAGE(T$78,S$78))/4,0)</f>
        <v>0</v>
      </c>
      <c r="U85" s="78">
        <f>IF(SUM(U$78,T$78)&gt;0,IPMT($D$6,1,1,AVERAGE(U$78,T$78))/4,0)</f>
        <v>0</v>
      </c>
      <c r="V85" s="294">
        <f t="shared" ref="V85:V86" si="29">SUM(R85:U85)</f>
        <v>0</v>
      </c>
      <c r="W85" s="294">
        <f>IF(V$78&gt;0,IPMT($D$6,1,1,V$78),0)</f>
        <v>0</v>
      </c>
      <c r="X85" s="295">
        <f>IF(W$78&gt;0,IPMT($D$6,1,1,(W$78/4)),0)</f>
        <v>-48.388659966430041</v>
      </c>
    </row>
    <row r="86" spans="1:24" ht="18.75" customHeight="1" thickBot="1" x14ac:dyDescent="0.3">
      <c r="A86" s="833" t="s">
        <v>173</v>
      </c>
      <c r="B86" s="834"/>
      <c r="C86" s="834"/>
      <c r="D86" s="834"/>
      <c r="E86" s="840">
        <f>IF(SUM(E$82:G$82)&lt;0,IPMT($D$4,1,1,AVERAGE(E$82:G$82))/4,0)</f>
        <v>0</v>
      </c>
      <c r="F86" s="841"/>
      <c r="G86" s="842"/>
      <c r="H86" s="845">
        <f>IF(SUM(G$82:J$82)&lt;0,IPMT($D$4,1,1,AVERAGE(G$82:J$82))/4,0)</f>
        <v>0</v>
      </c>
      <c r="I86" s="841"/>
      <c r="J86" s="842"/>
      <c r="K86" s="845">
        <f>IF(SUM(J$82:M$82)&lt;0,IPMT($D$4,1,1,AVERAGE(J$82:M$82))/4,0)</f>
        <v>0</v>
      </c>
      <c r="L86" s="841"/>
      <c r="M86" s="842"/>
      <c r="N86" s="845">
        <f>IF(SUM(M$82:P$82)&lt;0,IPMT($D$4,1,1,AVERAGE(M$82:P$82))/4,0)</f>
        <v>0</v>
      </c>
      <c r="O86" s="841"/>
      <c r="P86" s="846"/>
      <c r="Q86" s="298">
        <f t="shared" si="28"/>
        <v>0</v>
      </c>
      <c r="R86" s="299">
        <f>IF(SUM(R$82,P$82)&lt;0,IPMT($D$4,1,1,AVERAGE(R$82,P$82))/4,0)</f>
        <v>0</v>
      </c>
      <c r="S86" s="296">
        <f>IF(SUM(S$82,R$82)&lt;0,IPMT($D$4,1,1,AVERAGE(S$82,R$82))/4,0)</f>
        <v>0</v>
      </c>
      <c r="T86" s="296">
        <f>IF(SUM(T$82,S$82)&lt;0,IPMT($D$4,1,1,AVERAGE(T$82,S$82))/4,0)</f>
        <v>0</v>
      </c>
      <c r="U86" s="297">
        <f>IF(SUM(U$82,T$82)&lt;0,IPMT($D$4,1,1,AVERAGE(U$82,T$82))/4,0)</f>
        <v>0</v>
      </c>
      <c r="V86" s="298">
        <f t="shared" si="29"/>
        <v>0</v>
      </c>
      <c r="W86" s="298">
        <f>IF(V$82&lt;0,IPMT($D$4,1,1,V$82),0)</f>
        <v>0</v>
      </c>
      <c r="X86" s="300">
        <f>IF(W$82&lt;0,IPMT($D$4,1,1,W$82),0)</f>
        <v>0</v>
      </c>
    </row>
    <row r="88" spans="1:24" x14ac:dyDescent="0.25">
      <c r="F88" s="378"/>
    </row>
  </sheetData>
  <mergeCells count="112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" right="0.7" top="0.78740157499999996" bottom="0.78740157499999996" header="0.3" footer="0.3"/>
  <pageSetup paperSize="8" scale="58" fitToHeight="0" orientation="landscape" horizontalDpi="300" verticalDpi="300" r:id="rId1"/>
  <rowBreaks count="1" manualBreakCount="1">
    <brk id="63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20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41" bestFit="1" customWidth="1"/>
    <col min="2" max="3" width="12.5703125" style="41" customWidth="1"/>
    <col min="4" max="4" width="7.140625" style="41" bestFit="1" customWidth="1"/>
    <col min="5" max="5" width="15.5703125" style="41" bestFit="1" customWidth="1"/>
    <col min="6" max="6" width="11.28515625" style="41" bestFit="1" customWidth="1"/>
    <col min="7" max="7" width="17.7109375" style="41" bestFit="1" customWidth="1"/>
    <col min="8" max="8" width="11.28515625" style="41" bestFit="1" customWidth="1"/>
    <col min="9" max="9" width="17.28515625" style="41" bestFit="1" customWidth="1"/>
    <col min="10" max="10" width="11.28515625" style="41" bestFit="1" customWidth="1"/>
    <col min="11" max="11" width="18.28515625" style="41" bestFit="1" customWidth="1"/>
    <col min="12" max="12" width="11.28515625" style="41" bestFit="1" customWidth="1"/>
    <col min="13" max="16384" width="11.42578125" style="41"/>
  </cols>
  <sheetData>
    <row r="1" spans="1:12" ht="27" thickBot="1" x14ac:dyDescent="0.3">
      <c r="A1" s="701" t="s">
        <v>190</v>
      </c>
      <c r="B1" s="702"/>
      <c r="C1" s="702"/>
      <c r="D1" s="702"/>
      <c r="E1" s="702"/>
      <c r="F1" s="702"/>
      <c r="G1" s="702"/>
      <c r="H1" s="702"/>
      <c r="I1" s="702"/>
      <c r="J1" s="702"/>
      <c r="K1" s="702"/>
      <c r="L1" s="703"/>
    </row>
    <row r="2" spans="1:12" ht="7.5" customHeight="1" thickBot="1" x14ac:dyDescent="0.3"/>
    <row r="3" spans="1:12" ht="15" customHeight="1" thickBot="1" x14ac:dyDescent="0.3">
      <c r="A3" s="887" t="s">
        <v>164</v>
      </c>
      <c r="B3" s="888"/>
      <c r="C3" s="888"/>
      <c r="D3" s="479">
        <f>Liquiditätsplan!D8</f>
        <v>0.2</v>
      </c>
    </row>
    <row r="4" spans="1:12" ht="22.5" customHeight="1" thickBot="1" x14ac:dyDescent="0.3">
      <c r="A4" s="444" t="s">
        <v>193</v>
      </c>
      <c r="B4" s="436"/>
      <c r="C4" s="436"/>
      <c r="D4" s="437"/>
      <c r="E4" s="757" t="s">
        <v>20</v>
      </c>
      <c r="F4" s="758"/>
      <c r="G4" s="708" t="s">
        <v>25</v>
      </c>
      <c r="H4" s="706"/>
      <c r="I4" s="708" t="s">
        <v>26</v>
      </c>
      <c r="J4" s="706"/>
      <c r="K4" s="708" t="s">
        <v>27</v>
      </c>
      <c r="L4" s="753"/>
    </row>
    <row r="5" spans="1:12" s="5" customFormat="1" ht="18.75" customHeight="1" thickBot="1" x14ac:dyDescent="0.3">
      <c r="A5" s="440" t="s">
        <v>195</v>
      </c>
      <c r="B5" s="438"/>
      <c r="C5" s="438"/>
      <c r="D5" s="439"/>
      <c r="E5" s="262" t="s">
        <v>191</v>
      </c>
      <c r="F5" s="263" t="s">
        <v>192</v>
      </c>
      <c r="G5" s="264" t="s">
        <v>191</v>
      </c>
      <c r="H5" s="271" t="s">
        <v>192</v>
      </c>
      <c r="I5" s="264" t="s">
        <v>191</v>
      </c>
      <c r="J5" s="271" t="s">
        <v>192</v>
      </c>
      <c r="K5" s="264" t="s">
        <v>191</v>
      </c>
      <c r="L5" s="386" t="s">
        <v>192</v>
      </c>
    </row>
    <row r="6" spans="1:12" ht="18.75" customHeight="1" outlineLevel="1" thickTop="1" x14ac:dyDescent="0.25">
      <c r="A6" s="824" t="s">
        <v>218</v>
      </c>
      <c r="B6" s="825"/>
      <c r="C6" s="825"/>
      <c r="D6" s="826"/>
      <c r="E6" s="6">
        <f>Abschreibung!G18</f>
        <v>20000</v>
      </c>
      <c r="F6" s="427">
        <f>IF(E$22=0,0,E6/E$22)</f>
        <v>0.19552253397204028</v>
      </c>
      <c r="G6" s="73">
        <f>Abschreibung!I18</f>
        <v>20000</v>
      </c>
      <c r="H6" s="430">
        <f>IF(G$22=0,0,G6/G$22)</f>
        <v>0.14880214275085579</v>
      </c>
      <c r="I6" s="73">
        <f>Abschreibung!K18</f>
        <v>20000</v>
      </c>
      <c r="J6" s="430">
        <f>IF(I$22=0,0,I6/I$22)</f>
        <v>7.0202623055814914E-2</v>
      </c>
      <c r="K6" s="73">
        <f>Abschreibung!M18</f>
        <v>20000</v>
      </c>
      <c r="L6" s="433">
        <f>IF(K$22=0,0,K6/K$22)</f>
        <v>1.3922792711307945E-2</v>
      </c>
    </row>
    <row r="7" spans="1:12" ht="18.75" customHeight="1" outlineLevel="1" x14ac:dyDescent="0.25">
      <c r="A7" s="794" t="s">
        <v>219</v>
      </c>
      <c r="B7" s="795"/>
      <c r="C7" s="795"/>
      <c r="D7" s="796"/>
      <c r="E7" s="10">
        <f>SUM(Abschreibung!G5:G6)</f>
        <v>24900</v>
      </c>
      <c r="F7" s="428">
        <f>IF(E$22=0,0,E7/E$22)</f>
        <v>0.24342555479519015</v>
      </c>
      <c r="G7" s="77">
        <f>SUM(Abschreibung!I5:I6)</f>
        <v>21800</v>
      </c>
      <c r="H7" s="431">
        <f>IF(G$22=0,0,G7/G$22)</f>
        <v>0.1621943355984328</v>
      </c>
      <c r="I7" s="77">
        <f>SUM(Abschreibung!K5:K6)</f>
        <v>18700</v>
      </c>
      <c r="J7" s="431">
        <f>IF(I$22=0,0,I7/I$22)</f>
        <v>6.563945255718695E-2</v>
      </c>
      <c r="K7" s="77">
        <f>SUM(Abschreibung!M5:M6)</f>
        <v>15600</v>
      </c>
      <c r="L7" s="434">
        <f>IF(K$22=0,0,K7/K$22)</f>
        <v>1.0859778314820198E-2</v>
      </c>
    </row>
    <row r="8" spans="1:12" ht="18.75" customHeight="1" outlineLevel="1" x14ac:dyDescent="0.25">
      <c r="A8" s="794" t="s">
        <v>220</v>
      </c>
      <c r="B8" s="795"/>
      <c r="C8" s="795"/>
      <c r="D8" s="796"/>
      <c r="E8" s="10">
        <f>SUM(Abschreibung!G11:G12)</f>
        <v>15500</v>
      </c>
      <c r="F8" s="428">
        <f>IF(E$22=0,0,E8/E$22)</f>
        <v>0.15152996382833123</v>
      </c>
      <c r="G8" s="77">
        <f>SUM(Abschreibung!I11:I12)</f>
        <v>11000</v>
      </c>
      <c r="H8" s="431">
        <f>IF(G$22=0,0,G8/G$22)</f>
        <v>8.184117851297068E-2</v>
      </c>
      <c r="I8" s="77">
        <f>SUM(Abschreibung!K11:K12)</f>
        <v>6500</v>
      </c>
      <c r="J8" s="431">
        <f>IF(I$22=0,0,I8/I$22)</f>
        <v>2.2815852493139849E-2</v>
      </c>
      <c r="K8" s="77">
        <f>SUM(Abschreibung!M11:M12)</f>
        <v>2000</v>
      </c>
      <c r="L8" s="434">
        <f>IF(K$22=0,0,K8/K$22)</f>
        <v>1.3922792711307944E-3</v>
      </c>
    </row>
    <row r="9" spans="1:12" ht="18.75" customHeight="1" outlineLevel="1" x14ac:dyDescent="0.25">
      <c r="A9" s="794" t="s">
        <v>216</v>
      </c>
      <c r="B9" s="795"/>
      <c r="C9" s="795"/>
      <c r="D9" s="796"/>
      <c r="E9" s="10">
        <f>Abschreibung!G32</f>
        <v>26250</v>
      </c>
      <c r="F9" s="428">
        <f>IF(E$22=0,0,E9/E$22)</f>
        <v>0.25662332583830288</v>
      </c>
      <c r="G9" s="77">
        <f>Abschreibung!I32</f>
        <v>62500</v>
      </c>
      <c r="H9" s="431">
        <f>IF(G$22=0,0,G9/G$22)</f>
        <v>0.46500669609642431</v>
      </c>
      <c r="I9" s="77">
        <f>Abschreibung!K32</f>
        <v>38750</v>
      </c>
      <c r="J9" s="431">
        <f>IF(I$22=0,0,I9/I$22)</f>
        <v>0.13601758217064142</v>
      </c>
      <c r="K9" s="77">
        <f>Abschreibung!M32</f>
        <v>15000</v>
      </c>
      <c r="L9" s="434">
        <f>IF(K$22=0,0,K9/K$22)</f>
        <v>1.044209453348096E-2</v>
      </c>
    </row>
    <row r="10" spans="1:12" ht="18.75" customHeight="1" outlineLevel="1" thickBot="1" x14ac:dyDescent="0.3">
      <c r="A10" s="794" t="s">
        <v>217</v>
      </c>
      <c r="B10" s="795"/>
      <c r="C10" s="795"/>
      <c r="D10" s="796"/>
      <c r="E10" s="10">
        <f>SUM(Abschreibung!G8:G10)</f>
        <v>15000</v>
      </c>
      <c r="F10" s="428">
        <f>IF(E$22=0,0,E10/E$22)</f>
        <v>0.1466419004790302</v>
      </c>
      <c r="G10" s="77">
        <f>SUM(Abschreibung!I8:I10)</f>
        <v>11500</v>
      </c>
      <c r="H10" s="431">
        <f>IF(G$22=0,0,G10/G$22)</f>
        <v>8.5561232081742072E-2</v>
      </c>
      <c r="I10" s="77">
        <f>SUM(Abschreibung!K8:K10)</f>
        <v>6000</v>
      </c>
      <c r="J10" s="431">
        <f>IF(I$22=0,0,I10/I$22)</f>
        <v>2.1060786916744477E-2</v>
      </c>
      <c r="K10" s="77">
        <f>SUM(Abschreibung!M8:M10)</f>
        <v>500</v>
      </c>
      <c r="L10" s="434">
        <f>IF(K$22=0,0,K10/K$22)</f>
        <v>3.4806981778269861E-4</v>
      </c>
    </row>
    <row r="11" spans="1:12" ht="7.5" customHeight="1" outlineLevel="1" thickTop="1" thickBot="1" x14ac:dyDescent="0.3">
      <c r="A11" s="892"/>
      <c r="B11" s="893"/>
      <c r="C11" s="893"/>
      <c r="D11" s="894"/>
      <c r="E11" s="27"/>
      <c r="F11" s="429"/>
      <c r="G11" s="31"/>
      <c r="H11" s="432"/>
      <c r="I11" s="31"/>
      <c r="J11" s="432"/>
      <c r="K11" s="31"/>
      <c r="L11" s="435"/>
    </row>
    <row r="12" spans="1:12" ht="18.75" customHeight="1" thickBot="1" x14ac:dyDescent="0.3">
      <c r="A12" s="805" t="s">
        <v>194</v>
      </c>
      <c r="B12" s="806"/>
      <c r="C12" s="806"/>
      <c r="D12" s="823"/>
      <c r="E12" s="447">
        <f t="shared" ref="E12:L12" si="0">SUM(E6:E11)</f>
        <v>101650</v>
      </c>
      <c r="F12" s="448">
        <f t="shared" si="0"/>
        <v>0.99374327891289482</v>
      </c>
      <c r="G12" s="449">
        <f t="shared" si="0"/>
        <v>126800</v>
      </c>
      <c r="H12" s="450">
        <f t="shared" si="0"/>
        <v>0.9434055850404256</v>
      </c>
      <c r="I12" s="449">
        <f t="shared" si="0"/>
        <v>89950</v>
      </c>
      <c r="J12" s="448">
        <f t="shared" si="0"/>
        <v>0.31573629719352764</v>
      </c>
      <c r="K12" s="449">
        <f t="shared" si="0"/>
        <v>53100</v>
      </c>
      <c r="L12" s="451">
        <f t="shared" si="0"/>
        <v>3.6965014648522594E-2</v>
      </c>
    </row>
    <row r="13" spans="1:12" ht="7.5" customHeight="1" thickBot="1" x14ac:dyDescent="0.3">
      <c r="A13" s="712"/>
      <c r="B13" s="713"/>
      <c r="C13" s="713"/>
      <c r="D13" s="713"/>
      <c r="E13" s="713"/>
      <c r="F13" s="713"/>
      <c r="G13" s="713"/>
      <c r="H13" s="713"/>
      <c r="I13" s="713"/>
      <c r="J13" s="713"/>
      <c r="K13" s="713"/>
      <c r="L13" s="714"/>
    </row>
    <row r="14" spans="1:12" ht="18.75" customHeight="1" thickBot="1" x14ac:dyDescent="0.3">
      <c r="A14" s="441" t="s">
        <v>196</v>
      </c>
      <c r="B14" s="442"/>
      <c r="C14" s="442"/>
      <c r="D14" s="443"/>
      <c r="E14" s="465"/>
      <c r="F14" s="466"/>
      <c r="G14" s="466"/>
      <c r="H14" s="466"/>
      <c r="I14" s="466"/>
      <c r="J14" s="466"/>
      <c r="K14" s="466"/>
      <c r="L14" s="467"/>
    </row>
    <row r="15" spans="1:12" ht="18.75" customHeight="1" outlineLevel="1" thickTop="1" x14ac:dyDescent="0.25">
      <c r="A15" s="824" t="s">
        <v>211</v>
      </c>
      <c r="B15" s="825" t="s">
        <v>211</v>
      </c>
      <c r="C15" s="825" t="s">
        <v>211</v>
      </c>
      <c r="D15" s="826" t="s">
        <v>211</v>
      </c>
      <c r="E15" s="406">
        <v>0</v>
      </c>
      <c r="F15" s="480">
        <f>IF(E$22=0,0,E15/E$22)</f>
        <v>0</v>
      </c>
      <c r="G15" s="634">
        <v>0</v>
      </c>
      <c r="H15" s="481">
        <f>IF(G$22=0,0,G15/G$22)</f>
        <v>0</v>
      </c>
      <c r="I15" s="634">
        <v>0</v>
      </c>
      <c r="J15" s="480">
        <f>IF(I$22=0,0,I15/I$22)</f>
        <v>0</v>
      </c>
      <c r="K15" s="634">
        <v>0</v>
      </c>
      <c r="L15" s="482">
        <f>IF(K$22=0,0,K15/K$22)</f>
        <v>0</v>
      </c>
    </row>
    <row r="16" spans="1:12" ht="18.75" customHeight="1" outlineLevel="1" x14ac:dyDescent="0.25">
      <c r="A16" s="794" t="s">
        <v>212</v>
      </c>
      <c r="B16" s="795" t="s">
        <v>212</v>
      </c>
      <c r="C16" s="795" t="s">
        <v>212</v>
      </c>
      <c r="D16" s="796" t="s">
        <v>212</v>
      </c>
      <c r="E16" s="463">
        <f>Liquiditätsplan!Q15-Liquiditätsplan!Q16</f>
        <v>640</v>
      </c>
      <c r="F16" s="428">
        <f t="shared" ref="F16:H18" si="1">IF(E$22=0,0,E16/E$22)</f>
        <v>6.2567210871052889E-3</v>
      </c>
      <c r="G16" s="77">
        <f>Liquiditätsplan!V15-Liquiditätsplan!V16</f>
        <v>7606.6666666665114</v>
      </c>
      <c r="H16" s="431">
        <f t="shared" si="1"/>
        <v>5.6594414959574325E-2</v>
      </c>
      <c r="I16" s="77">
        <f>Liquiditätsplan!W15-Liquiditätsplan!W16</f>
        <v>1384.9999999997672</v>
      </c>
      <c r="J16" s="428">
        <f t="shared" ref="J16" si="2">IF(I$22=0,0,I16/I$22)</f>
        <v>4.8615316466143659E-3</v>
      </c>
      <c r="K16" s="77">
        <f>Liquiditätsplan!X15-Liquiditätsplan!X16</f>
        <v>8070.0000000004657</v>
      </c>
      <c r="L16" s="473">
        <f t="shared" ref="L16" si="3">IF(K$22=0,0,K16/K$22)</f>
        <v>5.6178468590130804E-3</v>
      </c>
    </row>
    <row r="17" spans="1:12" ht="18.75" customHeight="1" outlineLevel="1" x14ac:dyDescent="0.25">
      <c r="A17" s="794" t="s">
        <v>213</v>
      </c>
      <c r="B17" s="795" t="s">
        <v>213</v>
      </c>
      <c r="C17" s="795" t="s">
        <v>213</v>
      </c>
      <c r="D17" s="796" t="s">
        <v>213</v>
      </c>
      <c r="E17" s="463">
        <f>MAX(0,SUM(-E12,-E15,-E16,-E18,E30,E33,E34,E36))</f>
        <v>0</v>
      </c>
      <c r="F17" s="428">
        <f t="shared" si="1"/>
        <v>0</v>
      </c>
      <c r="G17" s="77">
        <f>MAX(0,SUM(-G12,-G15,-G16,-G18,G30,G33,G34,G36))</f>
        <v>0</v>
      </c>
      <c r="H17" s="431">
        <f t="shared" si="1"/>
        <v>0</v>
      </c>
      <c r="I17" s="77">
        <f>MAX(0,SUM(-I12,-I15,-I16,-I18,I30,I33,I34,I36))</f>
        <v>0</v>
      </c>
      <c r="J17" s="428">
        <f t="shared" ref="J17" si="4">IF(I$22=0,0,I17/I$22)</f>
        <v>0</v>
      </c>
      <c r="K17" s="77">
        <f>MAX(0,SUM(-K12,-K15,-K16,-K18,K30,K33,K34,K36))</f>
        <v>0</v>
      </c>
      <c r="L17" s="473">
        <f t="shared" ref="L17" si="5">IF(K$22=0,0,K17/K$22)</f>
        <v>0</v>
      </c>
    </row>
    <row r="18" spans="1:12" ht="18.75" customHeight="1" outlineLevel="1" thickBot="1" x14ac:dyDescent="0.3">
      <c r="A18" s="847" t="s">
        <v>214</v>
      </c>
      <c r="B18" s="848" t="s">
        <v>214</v>
      </c>
      <c r="C18" s="848" t="s">
        <v>214</v>
      </c>
      <c r="D18" s="849" t="s">
        <v>214</v>
      </c>
      <c r="E18" s="464">
        <f>IF(Liquiditätsplan!Q78&gt;0,Liquiditätsplan!Q78,0)</f>
        <v>0</v>
      </c>
      <c r="F18" s="468">
        <f t="shared" si="1"/>
        <v>0</v>
      </c>
      <c r="G18" s="133">
        <f>IF(Liquiditätsplan!V78&gt;0,Liquiditätsplan!V78,0)</f>
        <v>0</v>
      </c>
      <c r="H18" s="470">
        <f t="shared" si="1"/>
        <v>0</v>
      </c>
      <c r="I18" s="133">
        <f>IF(Liquiditätsplan!W78&gt;0,Liquiditätsplan!W78,0)</f>
        <v>193554.63986572015</v>
      </c>
      <c r="J18" s="468">
        <f t="shared" ref="J18" si="6">IF(I$22=0,0,I18/I$22)</f>
        <v>0.6794021711598579</v>
      </c>
      <c r="K18" s="133">
        <f>IF(Liquiditätsplan!X78&gt;0,Liquiditätsplan!X78,0)</f>
        <v>1375323.4115377732</v>
      </c>
      <c r="L18" s="474">
        <f t="shared" ref="L18" si="7">IF(K$22=0,0,K18/K$22)</f>
        <v>0.95741713849246435</v>
      </c>
    </row>
    <row r="19" spans="1:12" ht="7.5" customHeight="1" outlineLevel="1" thickTop="1" thickBot="1" x14ac:dyDescent="0.3">
      <c r="A19" s="889"/>
      <c r="B19" s="890"/>
      <c r="C19" s="890"/>
      <c r="D19" s="891"/>
      <c r="E19" s="452"/>
      <c r="F19" s="469"/>
      <c r="G19" s="453"/>
      <c r="H19" s="471"/>
      <c r="I19" s="453"/>
      <c r="J19" s="469"/>
      <c r="K19" s="453"/>
      <c r="L19" s="475"/>
    </row>
    <row r="20" spans="1:12" ht="18.75" customHeight="1" thickBot="1" x14ac:dyDescent="0.3">
      <c r="A20" s="805" t="s">
        <v>197</v>
      </c>
      <c r="B20" s="806"/>
      <c r="C20" s="806"/>
      <c r="D20" s="823"/>
      <c r="E20" s="447">
        <f t="shared" ref="E20:L20" si="8">SUM(E13:E19)</f>
        <v>640</v>
      </c>
      <c r="F20" s="448">
        <f t="shared" si="8"/>
        <v>6.2567210871052889E-3</v>
      </c>
      <c r="G20" s="449">
        <f t="shared" si="8"/>
        <v>7606.6666666665114</v>
      </c>
      <c r="H20" s="450">
        <f t="shared" si="8"/>
        <v>5.6594414959574325E-2</v>
      </c>
      <c r="I20" s="449">
        <f t="shared" si="8"/>
        <v>194939.63986571992</v>
      </c>
      <c r="J20" s="448">
        <f t="shared" si="8"/>
        <v>0.68426370280647231</v>
      </c>
      <c r="K20" s="449">
        <f t="shared" si="8"/>
        <v>1383393.4115377737</v>
      </c>
      <c r="L20" s="451">
        <f t="shared" si="8"/>
        <v>0.96303498535147747</v>
      </c>
    </row>
    <row r="21" spans="1:12" ht="7.5" customHeight="1" thickBot="1" x14ac:dyDescent="0.3">
      <c r="A21" s="48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7"/>
    </row>
    <row r="22" spans="1:12" s="49" customFormat="1" ht="18.75" customHeight="1" thickBot="1" x14ac:dyDescent="0.3">
      <c r="A22" s="754" t="s">
        <v>198</v>
      </c>
      <c r="B22" s="755"/>
      <c r="C22" s="755"/>
      <c r="D22" s="895"/>
      <c r="E22" s="454">
        <f t="shared" ref="E22:L22" si="9">E20+E12</f>
        <v>102290</v>
      </c>
      <c r="F22" s="476">
        <f t="shared" si="9"/>
        <v>1.0000000000000002</v>
      </c>
      <c r="G22" s="455">
        <f t="shared" si="9"/>
        <v>134406.66666666651</v>
      </c>
      <c r="H22" s="476">
        <f t="shared" si="9"/>
        <v>0.99999999999999989</v>
      </c>
      <c r="I22" s="456">
        <f t="shared" si="9"/>
        <v>284889.63986571995</v>
      </c>
      <c r="J22" s="477">
        <f t="shared" si="9"/>
        <v>1</v>
      </c>
      <c r="K22" s="457">
        <f t="shared" si="9"/>
        <v>1436493.4115377737</v>
      </c>
      <c r="L22" s="478">
        <f t="shared" si="9"/>
        <v>1</v>
      </c>
    </row>
    <row r="23" spans="1:12" ht="15.75" thickBot="1" x14ac:dyDescent="0.3"/>
    <row r="24" spans="1:12" ht="22.5" customHeight="1" thickBot="1" x14ac:dyDescent="0.3">
      <c r="A24" s="444" t="s">
        <v>199</v>
      </c>
      <c r="B24" s="436"/>
      <c r="C24" s="436"/>
      <c r="D24" s="437"/>
      <c r="E24" s="757" t="s">
        <v>20</v>
      </c>
      <c r="F24" s="758"/>
      <c r="G24" s="708" t="s">
        <v>25</v>
      </c>
      <c r="H24" s="706"/>
      <c r="I24" s="708" t="s">
        <v>26</v>
      </c>
      <c r="J24" s="706"/>
      <c r="K24" s="708" t="s">
        <v>27</v>
      </c>
      <c r="L24" s="753"/>
    </row>
    <row r="25" spans="1:12" s="5" customFormat="1" ht="18.75" customHeight="1" thickBot="1" x14ac:dyDescent="0.3">
      <c r="A25" s="440" t="s">
        <v>200</v>
      </c>
      <c r="B25" s="438"/>
      <c r="C25" s="438"/>
      <c r="D25" s="439"/>
      <c r="E25" s="262" t="s">
        <v>191</v>
      </c>
      <c r="F25" s="263" t="s">
        <v>192</v>
      </c>
      <c r="G25" s="264" t="s">
        <v>191</v>
      </c>
      <c r="H25" s="271" t="s">
        <v>192</v>
      </c>
      <c r="I25" s="264" t="s">
        <v>191</v>
      </c>
      <c r="J25" s="271" t="s">
        <v>192</v>
      </c>
      <c r="K25" s="264" t="s">
        <v>191</v>
      </c>
      <c r="L25" s="386" t="s">
        <v>192</v>
      </c>
    </row>
    <row r="26" spans="1:12" ht="18.75" customHeight="1" outlineLevel="1" thickTop="1" x14ac:dyDescent="0.25">
      <c r="A26" s="902" t="s">
        <v>204</v>
      </c>
      <c r="B26" s="903"/>
      <c r="C26" s="903"/>
      <c r="D26" s="904"/>
      <c r="E26" s="445">
        <f>Liquiditätsplan!D3+Liquiditätsplan!Q31</f>
        <v>35000</v>
      </c>
      <c r="F26" s="427">
        <f>IF(E$40=0,0,E26/E$40)</f>
        <v>0.34216443445107048</v>
      </c>
      <c r="G26" s="73">
        <f>E26+Liquiditätsplan!V31</f>
        <v>35000</v>
      </c>
      <c r="H26" s="430">
        <f>IF(G$40=0,0,G26/G$40)</f>
        <v>0.26040374981399761</v>
      </c>
      <c r="I26" s="73">
        <f>G26+Liquiditätsplan!W31</f>
        <v>35000</v>
      </c>
      <c r="J26" s="430">
        <f>IF(I$40=0,0,I26/I$40)</f>
        <v>0.12285459034767611</v>
      </c>
      <c r="K26" s="73">
        <f>I26+Liquiditätsplan!X31</f>
        <v>35000</v>
      </c>
      <c r="L26" s="433">
        <f>IF(K$40=0,0,K26/K$40)</f>
        <v>2.4364887244788903E-2</v>
      </c>
    </row>
    <row r="27" spans="1:12" ht="18.75" customHeight="1" outlineLevel="1" x14ac:dyDescent="0.25">
      <c r="A27" s="899" t="s">
        <v>205</v>
      </c>
      <c r="B27" s="900"/>
      <c r="C27" s="900"/>
      <c r="D27" s="901"/>
      <c r="E27" s="379"/>
      <c r="F27" s="446"/>
      <c r="G27" s="77">
        <f>SUM(E27:E28)</f>
        <v>-226086.86361636809</v>
      </c>
      <c r="H27" s="431">
        <f>IF(G$40=0,0,G27/G$40)</f>
        <v>-1.6821104876968034</v>
      </c>
      <c r="I27" s="77">
        <f>SUM(G27:G28)</f>
        <v>-249874.87648394867</v>
      </c>
      <c r="J27" s="431">
        <f t="shared" ref="J27" si="10">IF(I$40=0,0,I27/I$40)</f>
        <v>-0.87709358824604799</v>
      </c>
      <c r="K27" s="77">
        <f>SUM(I27:I28)</f>
        <v>34177.408208601002</v>
      </c>
      <c r="L27" s="434">
        <f t="shared" ref="L27" si="11">IF(K$40=0,0,K27/K$40)</f>
        <v>2.379224849490532E-2</v>
      </c>
    </row>
    <row r="28" spans="1:12" ht="18.75" customHeight="1" outlineLevel="1" thickBot="1" x14ac:dyDescent="0.3">
      <c r="A28" s="899" t="s">
        <v>126</v>
      </c>
      <c r="B28" s="900"/>
      <c r="C28" s="900"/>
      <c r="D28" s="901"/>
      <c r="E28" s="10">
        <f>'Plan G&amp;V'!Q47</f>
        <v>-226086.86361636809</v>
      </c>
      <c r="F28" s="428">
        <f>IF(E$40=0,0,E28/E$40)</f>
        <v>-2.2102538236031686</v>
      </c>
      <c r="G28" s="77">
        <f>'Plan G&amp;V'!V47</f>
        <v>-23788.012867580561</v>
      </c>
      <c r="H28" s="431">
        <f>IF(G$40=0,0,G28/G$40)</f>
        <v>-0.17698536432404585</v>
      </c>
      <c r="I28" s="77">
        <f>'Plan G&amp;V'!W47</f>
        <v>284052.28469254967</v>
      </c>
      <c r="J28" s="431">
        <f t="shared" ref="J28" si="12">IF(I$40=0,0,I28/I$40)</f>
        <v>0.99706077352070455</v>
      </c>
      <c r="K28" s="77">
        <f>'Plan G&amp;V'!X47</f>
        <v>802513.81728308741</v>
      </c>
      <c r="L28" s="434">
        <f t="shared" ref="L28" si="13">IF(K$40=0,0,K28/K$40)</f>
        <v>0.55866167629964425</v>
      </c>
    </row>
    <row r="29" spans="1:12" ht="7.5" customHeight="1" outlineLevel="1" thickTop="1" thickBot="1" x14ac:dyDescent="0.3">
      <c r="A29" s="892"/>
      <c r="B29" s="893"/>
      <c r="C29" s="893"/>
      <c r="D29" s="894"/>
      <c r="E29" s="27"/>
      <c r="F29" s="429"/>
      <c r="G29" s="31"/>
      <c r="H29" s="432"/>
      <c r="I29" s="31"/>
      <c r="J29" s="432"/>
      <c r="K29" s="31"/>
      <c r="L29" s="435"/>
    </row>
    <row r="30" spans="1:12" ht="18.75" customHeight="1" thickBot="1" x14ac:dyDescent="0.3">
      <c r="A30" s="805" t="s">
        <v>201</v>
      </c>
      <c r="B30" s="806"/>
      <c r="C30" s="806"/>
      <c r="D30" s="823"/>
      <c r="E30" s="458">
        <f>SUM(E26:E29)</f>
        <v>-191086.86361636809</v>
      </c>
      <c r="F30" s="459">
        <f t="shared" ref="F30:L30" si="14">SUM(F26:F29)</f>
        <v>-1.868089389152098</v>
      </c>
      <c r="G30" s="460">
        <f t="shared" si="14"/>
        <v>-214874.87648394867</v>
      </c>
      <c r="H30" s="461">
        <f t="shared" si="14"/>
        <v>-1.5986921022068517</v>
      </c>
      <c r="I30" s="460">
        <f t="shared" si="14"/>
        <v>69177.408208601002</v>
      </c>
      <c r="J30" s="459">
        <f t="shared" si="14"/>
        <v>0.24282177562233265</v>
      </c>
      <c r="K30" s="460">
        <f t="shared" si="14"/>
        <v>871691.22549168835</v>
      </c>
      <c r="L30" s="462">
        <f t="shared" si="14"/>
        <v>0.60681881203933852</v>
      </c>
    </row>
    <row r="31" spans="1:12" ht="7.5" customHeight="1" thickBot="1" x14ac:dyDescent="0.3">
      <c r="A31" s="712"/>
      <c r="B31" s="713"/>
      <c r="C31" s="713"/>
      <c r="D31" s="713"/>
      <c r="E31" s="713"/>
      <c r="F31" s="713"/>
      <c r="G31" s="713"/>
      <c r="H31" s="713"/>
      <c r="I31" s="713"/>
      <c r="J31" s="713"/>
      <c r="K31" s="713"/>
      <c r="L31" s="714"/>
    </row>
    <row r="32" spans="1:12" ht="18.75" customHeight="1" thickBot="1" x14ac:dyDescent="0.3">
      <c r="A32" s="441" t="s">
        <v>203</v>
      </c>
      <c r="B32" s="442"/>
      <c r="C32" s="442"/>
      <c r="D32" s="443"/>
      <c r="E32" s="46"/>
      <c r="F32" s="46"/>
      <c r="G32" s="46"/>
      <c r="H32" s="46"/>
      <c r="I32" s="46"/>
      <c r="J32" s="46"/>
      <c r="K32" s="46"/>
      <c r="L32" s="47"/>
    </row>
    <row r="33" spans="1:13" ht="18.75" customHeight="1" outlineLevel="1" thickTop="1" x14ac:dyDescent="0.25">
      <c r="A33" s="902" t="s">
        <v>207</v>
      </c>
      <c r="B33" s="903"/>
      <c r="C33" s="903"/>
      <c r="D33" s="904"/>
      <c r="E33" s="445">
        <f>'Plan G&amp;V'!Q56</f>
        <v>500</v>
      </c>
      <c r="F33" s="427">
        <f>IF(E$40=0,0,E33/E$40)</f>
        <v>4.8880633493010072E-3</v>
      </c>
      <c r="G33" s="73">
        <f>'Plan G&amp;V'!V56</f>
        <v>500</v>
      </c>
      <c r="H33" s="430">
        <f>IF(G$40=0,0,G33/G$40)</f>
        <v>3.7200535687713946E-3</v>
      </c>
      <c r="I33" s="73">
        <f>'Plan G&amp;V'!W56</f>
        <v>18936.81897950331</v>
      </c>
      <c r="J33" s="427">
        <f>IF(I$40=0,0,I33/I$40)</f>
        <v>6.6470718234713635E-2</v>
      </c>
      <c r="K33" s="73">
        <f>'Plan G&amp;V'!X56</f>
        <v>260293.58951772613</v>
      </c>
      <c r="L33" s="472">
        <f>IF(K$40=0,0,K33/K$40)</f>
        <v>0.18120068454687899</v>
      </c>
    </row>
    <row r="34" spans="1:13" ht="18.75" customHeight="1" outlineLevel="1" x14ac:dyDescent="0.25">
      <c r="A34" s="899" t="s">
        <v>208</v>
      </c>
      <c r="B34" s="900"/>
      <c r="C34" s="900"/>
      <c r="D34" s="901"/>
      <c r="E34" s="463">
        <f>(SUM((-SUM('Plan G&amp;V'!Q19,'Plan G&amp;V'!Q20,'Plan G&amp;V'!Q24:Q30,'Plan G&amp;V'!Q35)+Investitionsplan!R34)*(1+$D$3),-'Plan G&amp;V'!Q31,-'Plan G&amp;V'!Q32))-(SUM(Liquiditätsplan!Q41:Q54,Liquiditätsplan!Q62))</f>
        <v>4681.5999999999767</v>
      </c>
      <c r="F34" s="428">
        <f t="shared" ref="F34:H36" si="15">IF(E$40=0,0,E34/E$40)</f>
        <v>4.5767914752174961E-2</v>
      </c>
      <c r="G34" s="77">
        <f>(SUM((-SUM('Plan G&amp;V'!V19,'Plan G&amp;V'!V20,'Plan G&amp;V'!V24:V30,'Plan G&amp;V'!V35)+Investitionsplan!W34)*(1+$D$3),-'Plan G&amp;V'!V31,-'Plan G&amp;V'!V32))-(SUM(Liquiditätsplan!V41:V54,Liquiditätsplan!V62))</f>
        <v>27281.599999999977</v>
      </c>
      <c r="H34" s="431">
        <f t="shared" si="15"/>
        <v>0.20297802688358718</v>
      </c>
      <c r="I34" s="77">
        <f>(SUM((-SUM('Plan G&amp;V'!W19,'Plan G&amp;V'!W20,'Plan G&amp;V'!W24:W30,'Plan G&amp;V'!W35)+Investitionsplan!X34)*(1+$D$3),-'Plan G&amp;V'!W31,-'Plan G&amp;V'!W32))-(SUM(Liquiditätsplan!W41:W54,Liquiditätsplan!W62))</f>
        <v>15281.599999999991</v>
      </c>
      <c r="J34" s="428">
        <f t="shared" ref="J34" si="16">IF(I$40=0,0,I34/I$40)</f>
        <v>5.3640420224487034E-2</v>
      </c>
      <c r="K34" s="77">
        <f>(SUM((-SUM('Plan G&amp;V'!X19,'Plan G&amp;V'!X20,'Plan G&amp;V'!X24:X30,'Plan G&amp;V'!X35)+Investitionsplan!Y34)*(1+$D$3),-'Plan G&amp;V'!X31,-'Plan G&amp;V'!X32))-(SUM(Liquiditätsplan!X41:X54,Liquiditätsplan!X62))</f>
        <v>15281.599999999991</v>
      </c>
      <c r="L34" s="473">
        <f t="shared" ref="L34" si="17">IF(K$40=0,0,K34/K$40)</f>
        <v>1.0638127454856169E-2</v>
      </c>
    </row>
    <row r="35" spans="1:13" ht="18.75" customHeight="1" outlineLevel="1" x14ac:dyDescent="0.25">
      <c r="A35" s="899" t="s">
        <v>209</v>
      </c>
      <c r="B35" s="900"/>
      <c r="C35" s="900"/>
      <c r="D35" s="901"/>
      <c r="E35" s="463">
        <f>MAX(0,SUM(E12,E15,E16,E18,-E30,-E33,-E34,-E36))</f>
        <v>29932.111659469723</v>
      </c>
      <c r="F35" s="428">
        <f t="shared" si="15"/>
        <v>0.29262011593967857</v>
      </c>
      <c r="G35" s="77">
        <f>MAX(0,SUM(G12,G15,G16,G18,-G30,-G33,-G34,-G36))</f>
        <v>69402.880005163926</v>
      </c>
      <c r="H35" s="431">
        <f t="shared" si="15"/>
        <v>0.51636486289244587</v>
      </c>
      <c r="I35" s="77">
        <f>MAX(0,SUM(I12,I15,I16,I18,-I30,-I33,-I34,-I36))</f>
        <v>181493.81267761567</v>
      </c>
      <c r="J35" s="428">
        <f t="shared" ref="J35" si="18">IF(I$40=0,0,I35/I$40)</f>
        <v>0.63706708591846684</v>
      </c>
      <c r="K35" s="77">
        <f>MAX(0,SUM(K12,K15,K16,K18,-K30,-K33,-K34,-K36))</f>
        <v>289226.99652835925</v>
      </c>
      <c r="L35" s="473">
        <f t="shared" ref="L35" si="19">IF(K$40=0,0,K35/K$40)</f>
        <v>0.20134237595892643</v>
      </c>
    </row>
    <row r="36" spans="1:13" ht="18.75" customHeight="1" outlineLevel="1" thickBot="1" x14ac:dyDescent="0.3">
      <c r="A36" s="896" t="s">
        <v>210</v>
      </c>
      <c r="B36" s="897"/>
      <c r="C36" s="897"/>
      <c r="D36" s="898"/>
      <c r="E36" s="464">
        <f>IF(Liquiditätsplan!Q78&lt;=0,((-Liquiditätsplan!Q78)-Liquiditätsplan!Q82),-Liquiditätsplan!Q82)</f>
        <v>258263.15195689839</v>
      </c>
      <c r="F36" s="468">
        <f t="shared" si="15"/>
        <v>2.5248132951109432</v>
      </c>
      <c r="G36" s="133">
        <f>IF(Liquiditätsplan!V78&lt;=0,((-Liquiditätsplan!V78)-Liquiditätsplan!V82),-Liquiditätsplan!V82)</f>
        <v>252097.06314545128</v>
      </c>
      <c r="H36" s="470">
        <f t="shared" si="15"/>
        <v>1.8756291588620473</v>
      </c>
      <c r="I36" s="133">
        <f>IF(Liquiditätsplan!W78&lt;=0,((-Liquiditätsplan!W78)-Liquiditätsplan!W82),-Liquiditätsplan!W82)</f>
        <v>0</v>
      </c>
      <c r="J36" s="468">
        <f t="shared" ref="J36" si="20">IF(I$40=0,0,I36/I$40)</f>
        <v>0</v>
      </c>
      <c r="K36" s="133">
        <f>IF(Liquiditätsplan!X78&lt;=0,((-Liquiditätsplan!X78)-Liquiditätsplan!X82),-Liquiditätsplan!X82)</f>
        <v>0</v>
      </c>
      <c r="L36" s="474">
        <f t="shared" ref="L36" si="21">IF(K$40=0,0,K36/K$40)</f>
        <v>0</v>
      </c>
    </row>
    <row r="37" spans="1:13" ht="7.5" customHeight="1" outlineLevel="1" thickTop="1" thickBot="1" x14ac:dyDescent="0.3">
      <c r="A37" s="889"/>
      <c r="B37" s="890"/>
      <c r="C37" s="890"/>
      <c r="D37" s="891"/>
      <c r="E37" s="452"/>
      <c r="F37" s="469"/>
      <c r="G37" s="453"/>
      <c r="H37" s="471"/>
      <c r="I37" s="453"/>
      <c r="J37" s="469"/>
      <c r="K37" s="453"/>
      <c r="L37" s="475"/>
    </row>
    <row r="38" spans="1:13" ht="18.75" customHeight="1" thickBot="1" x14ac:dyDescent="0.3">
      <c r="A38" s="805" t="s">
        <v>202</v>
      </c>
      <c r="B38" s="806"/>
      <c r="C38" s="806"/>
      <c r="D38" s="823"/>
      <c r="E38" s="458">
        <f>SUM(E33:E37)</f>
        <v>293376.86361636809</v>
      </c>
      <c r="F38" s="459">
        <f t="shared" ref="F38:L38" si="22">SUM(F33:F37)</f>
        <v>2.8680893891520975</v>
      </c>
      <c r="G38" s="460">
        <f t="shared" si="22"/>
        <v>349281.54315061518</v>
      </c>
      <c r="H38" s="461">
        <f t="shared" si="22"/>
        <v>2.5986921022068517</v>
      </c>
      <c r="I38" s="460">
        <f t="shared" si="22"/>
        <v>215712.23165711897</v>
      </c>
      <c r="J38" s="459">
        <f t="shared" si="22"/>
        <v>0.75717822437766746</v>
      </c>
      <c r="K38" s="460">
        <f t="shared" si="22"/>
        <v>564802.18604608532</v>
      </c>
      <c r="L38" s="462">
        <f t="shared" si="22"/>
        <v>0.39318118796066159</v>
      </c>
    </row>
    <row r="39" spans="1:13" ht="7.5" customHeight="1" thickBot="1" x14ac:dyDescent="0.3">
      <c r="A39" s="48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7"/>
    </row>
    <row r="40" spans="1:13" s="49" customFormat="1" ht="18.75" customHeight="1" thickBot="1" x14ac:dyDescent="0.3">
      <c r="A40" s="754" t="s">
        <v>215</v>
      </c>
      <c r="B40" s="755"/>
      <c r="C40" s="755"/>
      <c r="D40" s="895"/>
      <c r="E40" s="454">
        <f t="shared" ref="E40:L40" si="23">E38+E30</f>
        <v>102290</v>
      </c>
      <c r="F40" s="476">
        <f t="shared" si="23"/>
        <v>0.99999999999999956</v>
      </c>
      <c r="G40" s="455">
        <f t="shared" si="23"/>
        <v>134406.66666666651</v>
      </c>
      <c r="H40" s="476">
        <f t="shared" si="23"/>
        <v>1</v>
      </c>
      <c r="I40" s="456">
        <f t="shared" si="23"/>
        <v>284889.63986571995</v>
      </c>
      <c r="J40" s="477">
        <f t="shared" si="23"/>
        <v>1</v>
      </c>
      <c r="K40" s="457">
        <f t="shared" si="23"/>
        <v>1436493.4115377737</v>
      </c>
      <c r="L40" s="478">
        <f t="shared" si="23"/>
        <v>1</v>
      </c>
      <c r="M40" s="49" t="str">
        <f>IF(OR(ROUND(E40-E22,2)&lt;&gt;0,ROUND(G40-G22,2)&lt;&gt;0,ROUND(I40-I22,2)&lt;&gt;0,ROUND(K40-K22,2)&lt;&gt;0),"Fehler in der Bilanz","")</f>
        <v/>
      </c>
    </row>
    <row r="41" spans="1:13" x14ac:dyDescent="0.25">
      <c r="E41" s="378"/>
      <c r="F41" s="378"/>
      <c r="G41" s="378"/>
      <c r="H41" s="378"/>
      <c r="I41" s="378"/>
      <c r="J41" s="378"/>
      <c r="K41" s="378"/>
      <c r="L41" s="378"/>
    </row>
    <row r="42" spans="1:13" x14ac:dyDescent="0.25">
      <c r="K42" s="378"/>
    </row>
  </sheetData>
  <sheetProtection algorithmName="SHA-512" hashValue="GZmBWnpSADQebtaZH1g+rCXX6iLjNxmsS5zQK64XXj0UPZfRTqJLZY6r5yOKijw/0gd00KCmzPcMdAtSGCKS2g==" saltValue="c0/qJ0FLjg/3yFadaoJdNA==" spinCount="100000" sheet="1" objects="1" scenarios="1" selectLockedCell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Normal="100" zoomScaleSheetLayoutView="100" workbookViewId="0">
      <selection activeCell="K6" sqref="K6"/>
    </sheetView>
  </sheetViews>
  <sheetFormatPr baseColWidth="10" defaultRowHeight="15" x14ac:dyDescent="0.25"/>
  <cols>
    <col min="1" max="2" width="3.5703125" style="41" customWidth="1"/>
    <col min="3" max="4" width="23.28515625" style="41" customWidth="1"/>
    <col min="5" max="6" width="12.85546875" style="41" bestFit="1" customWidth="1"/>
    <col min="7" max="7" width="12.28515625" style="41" bestFit="1" customWidth="1"/>
    <col min="8" max="8" width="12.140625" style="41" bestFit="1" customWidth="1"/>
    <col min="9" max="16384" width="11.42578125" style="41"/>
  </cols>
  <sheetData>
    <row r="1" spans="1:8" ht="27" thickBot="1" x14ac:dyDescent="0.3">
      <c r="A1" s="701" t="s">
        <v>223</v>
      </c>
      <c r="B1" s="702"/>
      <c r="C1" s="702"/>
      <c r="D1" s="702"/>
      <c r="E1" s="702"/>
      <c r="F1" s="702"/>
      <c r="G1" s="702"/>
      <c r="H1" s="702"/>
    </row>
    <row r="2" spans="1:8" ht="7.5" customHeight="1" thickBot="1" x14ac:dyDescent="0.3"/>
    <row r="3" spans="1:8" ht="22.5" customHeight="1" thickBot="1" x14ac:dyDescent="0.3">
      <c r="A3" s="492"/>
      <c r="B3" s="493"/>
      <c r="C3" s="493"/>
      <c r="D3" s="494"/>
      <c r="E3" s="491" t="s">
        <v>20</v>
      </c>
      <c r="F3" s="484" t="s">
        <v>25</v>
      </c>
      <c r="G3" s="484" t="s">
        <v>26</v>
      </c>
      <c r="H3" s="483" t="s">
        <v>27</v>
      </c>
    </row>
    <row r="4" spans="1:8" ht="18.75" customHeight="1" thickTop="1" x14ac:dyDescent="0.25">
      <c r="A4" s="495" t="s">
        <v>113</v>
      </c>
      <c r="B4" s="905" t="s">
        <v>126</v>
      </c>
      <c r="C4" s="905"/>
      <c r="D4" s="906"/>
      <c r="E4" s="6">
        <f>'Plan G&amp;V'!Q47</f>
        <v>-226086.86361636809</v>
      </c>
      <c r="F4" s="73">
        <f>'Plan G&amp;V'!V47</f>
        <v>-23788.012867580561</v>
      </c>
      <c r="G4" s="73">
        <f>'Plan G&amp;V'!W47</f>
        <v>284052.28469254967</v>
      </c>
      <c r="H4" s="501">
        <f>'Plan G&amp;V'!X47</f>
        <v>802513.81728308741</v>
      </c>
    </row>
    <row r="5" spans="1:8" ht="18.75" customHeight="1" x14ac:dyDescent="0.25">
      <c r="A5" s="496" t="s">
        <v>113</v>
      </c>
      <c r="B5" s="795" t="s">
        <v>137</v>
      </c>
      <c r="C5" s="795"/>
      <c r="D5" s="796"/>
      <c r="E5" s="10">
        <f>-'Plan G&amp;V'!Q36</f>
        <v>15100.000000000002</v>
      </c>
      <c r="F5" s="77">
        <f>-'Plan G&amp;V'!V36</f>
        <v>15600</v>
      </c>
      <c r="G5" s="77">
        <f>-'Plan G&amp;V'!W36</f>
        <v>49300</v>
      </c>
      <c r="H5" s="295">
        <f>-'Plan G&amp;V'!X36</f>
        <v>33700</v>
      </c>
    </row>
    <row r="6" spans="1:8" ht="18.75" customHeight="1" thickBot="1" x14ac:dyDescent="0.3">
      <c r="A6" s="496" t="s">
        <v>113</v>
      </c>
      <c r="B6" s="795" t="s">
        <v>221</v>
      </c>
      <c r="C6" s="795"/>
      <c r="D6" s="796"/>
      <c r="E6" s="10">
        <f>Planbilanz!E33</f>
        <v>500</v>
      </c>
      <c r="F6" s="77">
        <f>Planbilanz!G33-Planbilanz!E33</f>
        <v>0</v>
      </c>
      <c r="G6" s="77">
        <f>Planbilanz!I33-Planbilanz!G33</f>
        <v>18436.81897950331</v>
      </c>
      <c r="H6" s="295">
        <f>Planbilanz!K33-Planbilanz!I33</f>
        <v>241356.7705382228</v>
      </c>
    </row>
    <row r="7" spans="1:8" ht="7.5" customHeight="1" thickTop="1" thickBot="1" x14ac:dyDescent="0.3">
      <c r="A7" s="892"/>
      <c r="B7" s="893"/>
      <c r="C7" s="893"/>
      <c r="D7" s="894"/>
      <c r="E7" s="27"/>
      <c r="F7" s="31"/>
      <c r="G7" s="31"/>
      <c r="H7" s="34"/>
    </row>
    <row r="8" spans="1:8" ht="18.75" customHeight="1" thickBot="1" x14ac:dyDescent="0.3">
      <c r="A8" s="805" t="s">
        <v>222</v>
      </c>
      <c r="B8" s="806"/>
      <c r="C8" s="806"/>
      <c r="D8" s="823"/>
      <c r="E8" s="447">
        <f>SUM(E4:E7)</f>
        <v>-210486.86361636809</v>
      </c>
      <c r="F8" s="449">
        <f>SUM(F4:F7)</f>
        <v>-8188.0128675805609</v>
      </c>
      <c r="G8" s="449">
        <f>SUM(G4:G7)</f>
        <v>351789.10367205297</v>
      </c>
      <c r="H8" s="502">
        <f>SUM(H4:H7)</f>
        <v>1077570.5878213102</v>
      </c>
    </row>
    <row r="9" spans="1:8" ht="7.5" customHeight="1" thickBot="1" x14ac:dyDescent="0.3">
      <c r="A9" s="712"/>
      <c r="B9" s="713"/>
      <c r="C9" s="713"/>
      <c r="D9" s="713"/>
      <c r="E9" s="713"/>
      <c r="F9" s="713"/>
      <c r="G9" s="713"/>
      <c r="H9" s="714"/>
    </row>
    <row r="10" spans="1:8" ht="18.75" customHeight="1" x14ac:dyDescent="0.25">
      <c r="A10" s="495" t="s">
        <v>112</v>
      </c>
      <c r="B10" s="905" t="s">
        <v>229</v>
      </c>
      <c r="C10" s="905" t="s">
        <v>224</v>
      </c>
      <c r="D10" s="906" t="s">
        <v>224</v>
      </c>
      <c r="E10" s="505">
        <f>-(Planbilanz!E15)</f>
        <v>0</v>
      </c>
      <c r="F10" s="506">
        <f>-(Planbilanz!G15-Planbilanz!E15)</f>
        <v>0</v>
      </c>
      <c r="G10" s="506">
        <f>-(Planbilanz!I15-Planbilanz!G15)</f>
        <v>0</v>
      </c>
      <c r="H10" s="507">
        <f>-(Planbilanz!K15-Planbilanz!I15)</f>
        <v>0</v>
      </c>
    </row>
    <row r="11" spans="1:8" ht="18.75" customHeight="1" x14ac:dyDescent="0.25">
      <c r="A11" s="496" t="s">
        <v>112</v>
      </c>
      <c r="B11" s="795" t="s">
        <v>230</v>
      </c>
      <c r="C11" s="795" t="s">
        <v>225</v>
      </c>
      <c r="D11" s="796" t="s">
        <v>225</v>
      </c>
      <c r="E11" s="463">
        <f>0-Planbilanz!E16</f>
        <v>-640</v>
      </c>
      <c r="F11" s="77">
        <f>Planbilanz!E16-Planbilanz!G16</f>
        <v>-6966.6666666665114</v>
      </c>
      <c r="G11" s="77">
        <f>Planbilanz!G16-Planbilanz!I16</f>
        <v>6221.6666666667443</v>
      </c>
      <c r="H11" s="295">
        <f>Planbilanz!I16-Planbilanz!K16</f>
        <v>-6685.0000000006985</v>
      </c>
    </row>
    <row r="12" spans="1:8" ht="18.75" customHeight="1" x14ac:dyDescent="0.25">
      <c r="A12" s="496" t="s">
        <v>113</v>
      </c>
      <c r="B12" s="795" t="s">
        <v>231</v>
      </c>
      <c r="C12" s="795" t="s">
        <v>226</v>
      </c>
      <c r="D12" s="796" t="s">
        <v>226</v>
      </c>
      <c r="E12" s="463">
        <f>Planbilanz!E34</f>
        <v>4681.5999999999767</v>
      </c>
      <c r="F12" s="77">
        <f>Planbilanz!G34-Planbilanz!E34</f>
        <v>22600</v>
      </c>
      <c r="G12" s="77">
        <f>Planbilanz!I34-Planbilanz!G34</f>
        <v>-11999.999999999985</v>
      </c>
      <c r="H12" s="295">
        <f>Planbilanz!K34-Planbilanz!I34</f>
        <v>0</v>
      </c>
    </row>
    <row r="13" spans="1:8" ht="18.75" customHeight="1" x14ac:dyDescent="0.25">
      <c r="A13" s="499" t="s">
        <v>112</v>
      </c>
      <c r="B13" s="795" t="s">
        <v>232</v>
      </c>
      <c r="C13" s="795" t="s">
        <v>227</v>
      </c>
      <c r="D13" s="796" t="s">
        <v>227</v>
      </c>
      <c r="E13" s="497">
        <f>-Planbilanz!E17</f>
        <v>0</v>
      </c>
      <c r="F13" s="81">
        <f>Planbilanz!E17-Planbilanz!G17</f>
        <v>0</v>
      </c>
      <c r="G13" s="81">
        <f>Planbilanz!G17-Planbilanz!I17</f>
        <v>0</v>
      </c>
      <c r="H13" s="384">
        <f>Planbilanz!I17-Planbilanz!K17</f>
        <v>0</v>
      </c>
    </row>
    <row r="14" spans="1:8" ht="18.75" customHeight="1" thickBot="1" x14ac:dyDescent="0.3">
      <c r="A14" s="500" t="s">
        <v>113</v>
      </c>
      <c r="B14" s="848" t="s">
        <v>233</v>
      </c>
      <c r="C14" s="848" t="s">
        <v>228</v>
      </c>
      <c r="D14" s="849" t="s">
        <v>228</v>
      </c>
      <c r="E14" s="464">
        <f>Planbilanz!E35</f>
        <v>29932.111659469723</v>
      </c>
      <c r="F14" s="133">
        <f>Planbilanz!G35-Planbilanz!E35</f>
        <v>39470.768345694203</v>
      </c>
      <c r="G14" s="133">
        <f>Planbilanz!I35-Planbilanz!G35</f>
        <v>112090.93267245175</v>
      </c>
      <c r="H14" s="503">
        <f>Planbilanz!K35-Planbilanz!I35</f>
        <v>107733.18385074358</v>
      </c>
    </row>
    <row r="15" spans="1:8" ht="7.5" customHeight="1" thickTop="1" thickBot="1" x14ac:dyDescent="0.3">
      <c r="A15" s="889"/>
      <c r="B15" s="890"/>
      <c r="C15" s="890"/>
      <c r="D15" s="891"/>
      <c r="E15" s="452"/>
      <c r="F15" s="453"/>
      <c r="G15" s="453"/>
      <c r="H15" s="504"/>
    </row>
    <row r="16" spans="1:8" ht="18.75" customHeight="1" thickBot="1" x14ac:dyDescent="0.3">
      <c r="A16" s="805" t="s">
        <v>234</v>
      </c>
      <c r="B16" s="806"/>
      <c r="C16" s="806"/>
      <c r="D16" s="823"/>
      <c r="E16" s="447">
        <f>SUM(E10:E15)</f>
        <v>33973.7116594697</v>
      </c>
      <c r="F16" s="449">
        <f>SUM(F9:F15)</f>
        <v>55104.101679027692</v>
      </c>
      <c r="G16" s="449">
        <f>SUM(G9:G15)</f>
        <v>106312.5993391185</v>
      </c>
      <c r="H16" s="502">
        <f>SUM(H9:H15)</f>
        <v>101048.18385074288</v>
      </c>
    </row>
    <row r="17" spans="1:8" ht="7.5" customHeight="1" thickBot="1" x14ac:dyDescent="0.3">
      <c r="A17" s="48"/>
      <c r="B17" s="46"/>
      <c r="C17" s="46"/>
      <c r="D17" s="46"/>
      <c r="E17" s="46"/>
      <c r="F17" s="46"/>
      <c r="G17" s="46"/>
      <c r="H17" s="47"/>
    </row>
    <row r="18" spans="1:8" s="49" customFormat="1" ht="18.75" customHeight="1" thickBot="1" x14ac:dyDescent="0.3">
      <c r="A18" s="754" t="s">
        <v>235</v>
      </c>
      <c r="B18" s="755"/>
      <c r="C18" s="755"/>
      <c r="D18" s="895"/>
      <c r="E18" s="454">
        <f>E16+E8</f>
        <v>-176513.15195689839</v>
      </c>
      <c r="F18" s="455">
        <f>F16+F8</f>
        <v>46916.088811447131</v>
      </c>
      <c r="G18" s="456">
        <f>G16+G8</f>
        <v>458101.70301117148</v>
      </c>
      <c r="H18" s="337">
        <f>H16+H8</f>
        <v>1178618.771672053</v>
      </c>
    </row>
    <row r="19" spans="1:8" x14ac:dyDescent="0.25">
      <c r="E19" s="378"/>
      <c r="F19" s="378"/>
      <c r="G19" s="378"/>
      <c r="H19" s="378"/>
    </row>
    <row r="20" spans="1:8" x14ac:dyDescent="0.25">
      <c r="H20" s="378"/>
    </row>
  </sheetData>
  <sheetProtection algorithmName="SHA-512" hashValue="nhTTC3O73W1xqpwdSGv01RJhK4BTA1MvhX2f1rh4NSKQM+iHLiDkWJF4MYArKTZIxyHrBIY95EcJU9IMHTzAbw==" saltValue="iCPqTyHuptTw6sino8Ho2Q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6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20"/>
  <sheetViews>
    <sheetView view="pageBreakPreview" zoomScale="115" zoomScaleNormal="100" zoomScaleSheetLayoutView="115" workbookViewId="0">
      <selection activeCell="G6" sqref="G6"/>
    </sheetView>
  </sheetViews>
  <sheetFormatPr baseColWidth="10" defaultRowHeight="15" x14ac:dyDescent="0.25"/>
  <cols>
    <col min="1" max="4" width="10.140625" style="41" customWidth="1"/>
    <col min="5" max="5" width="12.85546875" style="41" customWidth="1"/>
    <col min="6" max="7" width="13.140625" style="41" customWidth="1"/>
    <col min="8" max="8" width="13.85546875" style="41" customWidth="1"/>
    <col min="9" max="16384" width="11.42578125" style="41"/>
  </cols>
  <sheetData>
    <row r="1" spans="1:8" ht="27" thickBot="1" x14ac:dyDescent="0.3">
      <c r="A1" s="701" t="s">
        <v>236</v>
      </c>
      <c r="B1" s="702"/>
      <c r="C1" s="702"/>
      <c r="D1" s="702"/>
      <c r="E1" s="702"/>
      <c r="F1" s="702"/>
      <c r="G1" s="702"/>
      <c r="H1" s="703"/>
    </row>
    <row r="2" spans="1:8" ht="7.5" customHeight="1" thickBot="1" x14ac:dyDescent="0.3"/>
    <row r="3" spans="1:8" ht="22.5" customHeight="1" thickBot="1" x14ac:dyDescent="0.3">
      <c r="A3" s="492"/>
      <c r="B3" s="493"/>
      <c r="C3" s="493"/>
      <c r="D3" s="494"/>
      <c r="E3" s="491" t="s">
        <v>20</v>
      </c>
      <c r="F3" s="484" t="s">
        <v>25</v>
      </c>
      <c r="G3" s="484" t="s">
        <v>26</v>
      </c>
      <c r="H3" s="483" t="s">
        <v>27</v>
      </c>
    </row>
    <row r="4" spans="1:8" ht="18.75" customHeight="1" thickTop="1" x14ac:dyDescent="0.25">
      <c r="A4" s="910" t="s">
        <v>237</v>
      </c>
      <c r="B4" s="905"/>
      <c r="C4" s="905"/>
      <c r="D4" s="906"/>
      <c r="E4" s="520">
        <f>-'Plan G&amp;V'!Q23/'Plan G&amp;V'!Q18</f>
        <v>1.416908921249316</v>
      </c>
      <c r="F4" s="521">
        <f>-'Plan G&amp;V'!V23/'Plan G&amp;V'!V18</f>
        <v>0.79815816305235732</v>
      </c>
      <c r="G4" s="521">
        <f>-'Plan G&amp;V'!W23/'Plan G&amp;V'!W18</f>
        <v>0.50131590918415947</v>
      </c>
      <c r="H4" s="522">
        <f>-'Plan G&amp;V'!X23/'Plan G&amp;V'!X18</f>
        <v>0.28632257189365173</v>
      </c>
    </row>
    <row r="5" spans="1:8" ht="7.5" customHeight="1" x14ac:dyDescent="0.25">
      <c r="A5" s="374"/>
      <c r="B5" s="375"/>
      <c r="C5" s="375"/>
      <c r="D5" s="376"/>
      <c r="E5" s="302"/>
      <c r="F5" s="306"/>
      <c r="G5" s="306"/>
      <c r="H5" s="307"/>
    </row>
    <row r="6" spans="1:8" ht="18.75" customHeight="1" x14ac:dyDescent="0.25">
      <c r="A6" s="794" t="s">
        <v>238</v>
      </c>
      <c r="B6" s="795"/>
      <c r="C6" s="795"/>
      <c r="D6" s="796"/>
      <c r="E6" s="523">
        <f>Planbilanz!E30/Planbilanz!E40</f>
        <v>-1.868089389152098</v>
      </c>
      <c r="F6" s="524">
        <f>Planbilanz!G30/Planbilanz!G40</f>
        <v>-1.5986921022068517</v>
      </c>
      <c r="G6" s="524">
        <f>Planbilanz!I30/Planbilanz!I40</f>
        <v>0.24282177562233265</v>
      </c>
      <c r="H6" s="525">
        <f>Planbilanz!K30/Planbilanz!K40</f>
        <v>0.60681881203933841</v>
      </c>
    </row>
    <row r="7" spans="1:8" ht="7.5" customHeight="1" x14ac:dyDescent="0.25">
      <c r="A7" s="508"/>
      <c r="B7" s="509"/>
      <c r="C7" s="509"/>
      <c r="D7" s="510"/>
      <c r="E7" s="511"/>
      <c r="F7" s="512"/>
      <c r="G7" s="512"/>
      <c r="H7" s="513"/>
    </row>
    <row r="8" spans="1:8" ht="18.75" customHeight="1" x14ac:dyDescent="0.25">
      <c r="A8" s="794" t="s">
        <v>239</v>
      </c>
      <c r="B8" s="795"/>
      <c r="C8" s="795"/>
      <c r="D8" s="796"/>
      <c r="E8" s="523">
        <f>Planbilanz!E38/Planbilanz!E40</f>
        <v>2.868089389152098</v>
      </c>
      <c r="F8" s="524">
        <f>Planbilanz!G38/Planbilanz!G40</f>
        <v>2.5986921022068517</v>
      </c>
      <c r="G8" s="524">
        <f>Planbilanz!I38/Planbilanz!I40</f>
        <v>0.75717822437766746</v>
      </c>
      <c r="H8" s="525">
        <f>Planbilanz!K38/Planbilanz!K40</f>
        <v>0.39318118796066154</v>
      </c>
    </row>
    <row r="9" spans="1:8" ht="7.5" customHeight="1" x14ac:dyDescent="0.25">
      <c r="A9" s="508"/>
      <c r="B9" s="509"/>
      <c r="C9" s="509"/>
      <c r="D9" s="510"/>
      <c r="E9" s="302"/>
      <c r="F9" s="306"/>
      <c r="G9" s="306"/>
      <c r="H9" s="307"/>
    </row>
    <row r="10" spans="1:8" ht="18.75" customHeight="1" x14ac:dyDescent="0.25">
      <c r="A10" s="794" t="s">
        <v>240</v>
      </c>
      <c r="B10" s="795"/>
      <c r="C10" s="795"/>
      <c r="D10" s="796"/>
      <c r="E10" s="526">
        <f>('Plan G&amp;V'!Q38+'Plan G&amp;V'!Q40)/'Plan G&amp;V'!Q18</f>
        <v>-0.90038864142516928</v>
      </c>
      <c r="F10" s="527">
        <f>('Plan G&amp;V'!V38+'Plan G&amp;V'!V40)/'Plan G&amp;V'!V18</f>
        <v>-9.5595461801187363E-3</v>
      </c>
      <c r="G10" s="527">
        <f>('Plan G&amp;V'!W38+'Plan G&amp;V'!W40)/'Plan G&amp;V'!W18</f>
        <v>0.35468239905771071</v>
      </c>
      <c r="H10" s="528">
        <f>('Plan G&amp;V'!X38+'Plan G&amp;V'!X40)/'Plan G&amp;V'!X18</f>
        <v>0.64475904985989485</v>
      </c>
    </row>
    <row r="11" spans="1:8" ht="7.5" customHeight="1" x14ac:dyDescent="0.25">
      <c r="A11" s="508"/>
      <c r="B11" s="509"/>
      <c r="C11" s="509"/>
      <c r="D11" s="510"/>
      <c r="E11" s="302"/>
      <c r="F11" s="306"/>
      <c r="G11" s="306"/>
      <c r="H11" s="307"/>
    </row>
    <row r="12" spans="1:8" ht="18.75" customHeight="1" x14ac:dyDescent="0.25">
      <c r="A12" s="794" t="s">
        <v>241</v>
      </c>
      <c r="B12" s="795"/>
      <c r="C12" s="795"/>
      <c r="D12" s="796"/>
      <c r="E12" s="529">
        <f>360/(('Plan G&amp;V'!Q18+(-'Plan G&amp;V'!Q10))/(Planbilanz!E16/2))</f>
        <v>0.38522450027821764</v>
      </c>
      <c r="F12" s="530">
        <f>360/(('Plan G&amp;V'!V18+(-'Plan G&amp;V'!V10))/((Planbilanz!E16+Planbilanz!G16)/2))</f>
        <v>2.1991058984156071</v>
      </c>
      <c r="G12" s="530">
        <f>360/(('Plan G&amp;V'!W18+(-'Plan G&amp;V'!W10))/((Planbilanz!G16+Planbilanz!I16)/2))</f>
        <v>1.4347630907836972</v>
      </c>
      <c r="H12" s="531">
        <f>360/(('Plan G&amp;V'!T18+(-'Plan G&amp;V'!T10))/((Planbilanz!I16+Planbilanz!K16)/2))</f>
        <v>11.671686746988239</v>
      </c>
    </row>
    <row r="13" spans="1:8" ht="7.5" customHeight="1" x14ac:dyDescent="0.25">
      <c r="A13" s="508"/>
      <c r="B13" s="509"/>
      <c r="C13" s="509"/>
      <c r="D13" s="510"/>
      <c r="E13" s="511"/>
      <c r="F13" s="512"/>
      <c r="G13" s="512"/>
      <c r="H13" s="513"/>
    </row>
    <row r="14" spans="1:8" ht="18.75" customHeight="1" x14ac:dyDescent="0.25">
      <c r="A14" s="794" t="s">
        <v>242</v>
      </c>
      <c r="B14" s="795"/>
      <c r="C14" s="795"/>
      <c r="D14" s="796"/>
      <c r="E14" s="529">
        <f>360/(('Plan G&amp;V'!Q19+'Plan G&amp;V'!Q20+(-'Plan G&amp;V'!Q10))/(Planbilanz!E34))</f>
        <v>27.502872062663052</v>
      </c>
      <c r="F14" s="530">
        <f>360/(('Plan G&amp;V'!V19+'Plan G&amp;V'!V20+(-'Plan G&amp;V'!V10))/((Planbilanz!E34+Planbilanz!G34)/2))</f>
        <v>41.594679005205258</v>
      </c>
      <c r="G14" s="530">
        <f>360/(('Plan G&amp;V'!W19+'Plan G&amp;V'!W20+(-'Plan G&amp;V'!W10))/((Planbilanz!G34+Planbilanz!I34)/2))</f>
        <v>33.143173559439326</v>
      </c>
      <c r="H14" s="531">
        <f>360/(('Plan G&amp;V'!T19+'Plan G&amp;V'!T20+(-'Plan G&amp;V'!T10))/((Planbilanz!I34+Planbilanz!K34)/2))</f>
        <v>184.1156626506023</v>
      </c>
    </row>
    <row r="15" spans="1:8" ht="7.5" customHeight="1" x14ac:dyDescent="0.25">
      <c r="A15" s="508"/>
      <c r="B15" s="509"/>
      <c r="C15" s="509"/>
      <c r="D15" s="510"/>
      <c r="E15" s="514"/>
      <c r="F15" s="515"/>
      <c r="G15" s="515"/>
      <c r="H15" s="516"/>
    </row>
    <row r="16" spans="1:8" ht="18.75" customHeight="1" x14ac:dyDescent="0.25">
      <c r="A16" s="794" t="s">
        <v>243</v>
      </c>
      <c r="B16" s="795"/>
      <c r="C16" s="795"/>
      <c r="D16" s="796"/>
      <c r="E16" s="532" t="str">
        <f>IF(OR('Plan G&amp;V'!Q19=0,Planbilanz!E15=0),"",'Plan G&amp;V'!Q19/Planbilanz!E15)</f>
        <v/>
      </c>
      <c r="F16" s="533" t="str">
        <f>IF(OR('Plan G&amp;V'!V19=0,Planbilanz!G15=0),"",'Plan G&amp;V'!V19/Planbilanz!G15)</f>
        <v/>
      </c>
      <c r="G16" s="533" t="str">
        <f>IF(OR('Plan G&amp;V'!W19=0,Planbilanz!I15=0),"",'Plan G&amp;V'!W19/Planbilanz!I15)</f>
        <v/>
      </c>
      <c r="H16" s="534" t="str">
        <f>IF(OR('Plan G&amp;V'!X19=0,Planbilanz!K15=0),"",'Plan G&amp;V'!X19/Planbilanz!K15)</f>
        <v/>
      </c>
    </row>
    <row r="17" spans="1:8" ht="7.5" customHeight="1" x14ac:dyDescent="0.25">
      <c r="A17" s="517"/>
      <c r="B17" s="518"/>
      <c r="C17" s="518"/>
      <c r="D17" s="519"/>
      <c r="E17" s="514"/>
      <c r="F17" s="515"/>
      <c r="G17" s="515"/>
      <c r="H17" s="516"/>
    </row>
    <row r="18" spans="1:8" ht="18.75" customHeight="1" thickBot="1" x14ac:dyDescent="0.3">
      <c r="A18" s="907" t="s">
        <v>244</v>
      </c>
      <c r="B18" s="908"/>
      <c r="C18" s="908"/>
      <c r="D18" s="909"/>
      <c r="E18" s="535" t="str">
        <f>IF(E16="","",360/E16)</f>
        <v/>
      </c>
      <c r="F18" s="536" t="str">
        <f t="shared" ref="F18:H18" si="0">IF(F16="","",360/F16)</f>
        <v/>
      </c>
      <c r="G18" s="536" t="str">
        <f t="shared" si="0"/>
        <v/>
      </c>
      <c r="H18" s="537" t="str">
        <f t="shared" si="0"/>
        <v/>
      </c>
    </row>
    <row r="19" spans="1:8" x14ac:dyDescent="0.25">
      <c r="E19" s="378"/>
      <c r="F19" s="378"/>
      <c r="G19" s="378"/>
      <c r="H19" s="378"/>
    </row>
    <row r="20" spans="1:8" x14ac:dyDescent="0.25">
      <c r="E20" s="673"/>
      <c r="H20" s="378"/>
    </row>
  </sheetData>
  <sheetProtection algorithmName="SHA-512" hashValue="uECiPqIp4DjwzIOYcqO+Dh1Ic36k1lUnqows/BDg/y4wLL3Ii9SrRBslwExvEcniCtikGPTMkMeu9AZI4HZH3w==" saltValue="e4wjP6ZoGjmJNbTgRCMs8w==" spinCount="100000" sheet="1" objects="1" scenarios="1" selectLockedCells="1"/>
  <mergeCells count="9">
    <mergeCell ref="A14:D14"/>
    <mergeCell ref="A16:D16"/>
    <mergeCell ref="A18:D18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8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view="pageBreakPreview" zoomScaleNormal="100" zoomScaleSheetLayoutView="100" workbookViewId="0">
      <selection sqref="A1:XFD1"/>
    </sheetView>
  </sheetViews>
  <sheetFormatPr baseColWidth="10" defaultRowHeight="15" x14ac:dyDescent="0.25"/>
  <cols>
    <col min="1" max="2" width="10" style="173" customWidth="1"/>
    <col min="3" max="16384" width="11.42578125" style="173"/>
  </cols>
  <sheetData>
    <row r="1" spans="1:13" s="41" customFormat="1" ht="27" thickBot="1" x14ac:dyDescent="0.3">
      <c r="A1" s="701" t="s">
        <v>157</v>
      </c>
      <c r="B1" s="702"/>
      <c r="C1" s="702"/>
      <c r="D1" s="702"/>
      <c r="E1" s="702"/>
      <c r="F1" s="702"/>
      <c r="G1" s="702"/>
      <c r="H1" s="702"/>
      <c r="I1" s="702"/>
      <c r="J1" s="702"/>
      <c r="K1" s="703"/>
      <c r="L1" s="291"/>
      <c r="M1" s="291"/>
    </row>
    <row r="2" spans="1:13" ht="15.75" thickBot="1" x14ac:dyDescent="0.3"/>
    <row r="3" spans="1:13" ht="30.75" thickBot="1" x14ac:dyDescent="0.3">
      <c r="A3" s="635" t="s">
        <v>158</v>
      </c>
      <c r="B3" s="636" t="s">
        <v>156</v>
      </c>
    </row>
    <row r="4" spans="1:13" ht="18.75" customHeight="1" thickTop="1" x14ac:dyDescent="0.25">
      <c r="A4" s="637">
        <v>0.05</v>
      </c>
      <c r="B4" s="638">
        <v>500</v>
      </c>
    </row>
    <row r="5" spans="1:13" ht="18.75" customHeight="1" thickBot="1" x14ac:dyDescent="0.3">
      <c r="A5" s="639">
        <v>0.3</v>
      </c>
      <c r="B5" s="640">
        <v>2000</v>
      </c>
    </row>
    <row r="6" spans="1:13" ht="7.5" customHeight="1" thickTop="1" x14ac:dyDescent="0.25">
      <c r="A6" s="641"/>
      <c r="B6" s="642"/>
    </row>
    <row r="7" spans="1:13" ht="18.75" customHeight="1" thickBot="1" x14ac:dyDescent="0.3">
      <c r="A7" s="292">
        <v>0.55000000000000004</v>
      </c>
      <c r="B7" s="643">
        <f>SLOPE(B4:B5,A4:A5)*A7+INTERCEPT(B4:B5,A4:A5)</f>
        <v>3500.0000000000009</v>
      </c>
    </row>
  </sheetData>
  <sheetProtection algorithmName="SHA-512" hashValue="C9DN0m05tIxGtWSztg+nUgGuqmU46bSBkz/nb/+w2OkGgyfm7IBzRKkjHVNWsloPdTHZIihPdTdEgFPS3JjPpw==" saltValue="K4QyIlPE/aRuYxfu8wZ1Lg==" spinCount="100000" sheet="1" objects="1" scenarios="1"/>
  <mergeCells count="1">
    <mergeCell ref="A1:K1"/>
  </mergeCells>
  <pageMargins left="0.59055118110236227" right="0.59055118110236227" top="0.78740157480314965" bottom="0.78740157480314965" header="0.31496062992125984" footer="0.31496062992125984"/>
  <pageSetup paperSize="9" orientation="landscape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"/>
  <sheetViews>
    <sheetView tabSelected="1" workbookViewId="0">
      <selection activeCell="I28" sqref="I28"/>
    </sheetView>
  </sheetViews>
  <sheetFormatPr baseColWidth="10" defaultRowHeight="15" x14ac:dyDescent="0.25"/>
  <cols>
    <col min="1" max="1" width="13.5703125" bestFit="1" customWidth="1"/>
    <col min="3" max="3" width="11.5703125" bestFit="1" customWidth="1"/>
    <col min="4" max="7" width="13.140625" bestFit="1" customWidth="1"/>
  </cols>
  <sheetData>
    <row r="1" spans="1:8" s="41" customFormat="1" ht="27" thickBot="1" x14ac:dyDescent="0.3">
      <c r="A1" s="701" t="s">
        <v>268</v>
      </c>
      <c r="B1" s="702"/>
      <c r="C1" s="702"/>
      <c r="D1" s="702"/>
      <c r="E1" s="702"/>
      <c r="F1" s="703"/>
      <c r="G1" s="291"/>
      <c r="H1" s="291"/>
    </row>
    <row r="2" spans="1:8" ht="15.75" thickBot="1" x14ac:dyDescent="0.3"/>
    <row r="3" spans="1:8" ht="15.75" thickBot="1" x14ac:dyDescent="0.3">
      <c r="B3" s="915">
        <v>2017</v>
      </c>
      <c r="C3" s="916">
        <v>2018</v>
      </c>
      <c r="D3" s="916">
        <v>2019</v>
      </c>
      <c r="E3" s="916">
        <v>2020</v>
      </c>
      <c r="F3" s="917">
        <v>2021</v>
      </c>
    </row>
    <row r="4" spans="1:8" ht="15.75" thickTop="1" x14ac:dyDescent="0.25">
      <c r="A4" s="913" t="s">
        <v>266</v>
      </c>
      <c r="B4" s="918">
        <v>0</v>
      </c>
      <c r="C4" s="919">
        <f>Liquiditätsplan!Q36</f>
        <v>338953.63333333336</v>
      </c>
      <c r="D4" s="919">
        <f>Liquiditätsplan!V36</f>
        <v>706429.11111111112</v>
      </c>
      <c r="E4" s="919">
        <f>Liquiditätsplan!W36</f>
        <v>1167951.3333333333</v>
      </c>
      <c r="F4" s="920">
        <f>Liquiditätsplan!X36</f>
        <v>2135851.3333333335</v>
      </c>
    </row>
    <row r="5" spans="1:8" ht="15.75" thickBot="1" x14ac:dyDescent="0.3">
      <c r="A5" s="929" t="s">
        <v>267</v>
      </c>
      <c r="B5" s="930">
        <v>0</v>
      </c>
      <c r="C5" s="931">
        <f>Liquiditätsplan!Q74</f>
        <v>631084.98529023165</v>
      </c>
      <c r="D5" s="931">
        <f>Liquiditätsplan!V74</f>
        <v>682263.0222996641</v>
      </c>
      <c r="E5" s="931">
        <f>Liquiditätsplan!W74</f>
        <v>722299.63032216183</v>
      </c>
      <c r="F5" s="932">
        <f>Liquiditätsplan!X74</f>
        <v>954082.56166128046</v>
      </c>
    </row>
    <row r="6" spans="1:8" ht="15.75" thickTop="1" x14ac:dyDescent="0.25">
      <c r="A6" s="925" t="s">
        <v>272</v>
      </c>
      <c r="B6" s="926">
        <v>0</v>
      </c>
      <c r="C6" s="927">
        <f>Liquiditätsplan!Q36</f>
        <v>338953.63333333336</v>
      </c>
      <c r="D6" s="927">
        <f>Liquiditätsplan!V36+C6</f>
        <v>1045382.7444444445</v>
      </c>
      <c r="E6" s="927">
        <f>Liquiditätsplan!W36+D6</f>
        <v>2213334.0777777778</v>
      </c>
      <c r="F6" s="928">
        <f>Liquiditätsplan!X36+E6</f>
        <v>4349185.4111111108</v>
      </c>
    </row>
    <row r="7" spans="1:8" ht="15.75" thickBot="1" x14ac:dyDescent="0.3">
      <c r="A7" s="914" t="s">
        <v>273</v>
      </c>
      <c r="B7" s="921">
        <v>0</v>
      </c>
      <c r="C7" s="911">
        <f>Liquiditätsplan!Q74</f>
        <v>631084.98529023165</v>
      </c>
      <c r="D7" s="911">
        <f>Liquiditätsplan!V74+C7</f>
        <v>1313348.0075898957</v>
      </c>
      <c r="E7" s="911">
        <f>Liquiditätsplan!W74+D7</f>
        <v>2035647.6379120576</v>
      </c>
      <c r="F7" s="912">
        <f>Liquiditätsplan!X74+E7</f>
        <v>2989730.199573338</v>
      </c>
    </row>
    <row r="24" spans="1:3" ht="15.75" thickBot="1" x14ac:dyDescent="0.3"/>
    <row r="25" spans="1:3" ht="18.75" customHeight="1" thickBot="1" x14ac:dyDescent="0.3">
      <c r="A25" s="922" t="s">
        <v>269</v>
      </c>
      <c r="B25" s="924"/>
      <c r="C25" s="923">
        <f>MAX(C5-C4,D5-D4,E5-E4,F5-F4)</f>
        <v>292131.35195689829</v>
      </c>
    </row>
  </sheetData>
  <mergeCells count="2">
    <mergeCell ref="A1:F1"/>
    <mergeCell ref="A25:B25"/>
  </mergeCells>
  <pageMargins left="0.59055118110236227" right="0.59055118110236227" top="0.78740157480314965" bottom="0.59055118110236227" header="0.31496062992125984" footer="0.31496062992125984"/>
  <pageSetup paperSize="9" scale="95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49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0nq2bzQfWcEhPjwSkc3mlWaSZ8WgHnkmXAkPf8WnvwUD7FFH5BnnTREKJz6NUY46wV+22iAZpaBYm7EF/Sw8AA==" saltValue="2PZGslgA9zbZaiI8im8+H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16</vt:i4>
      </vt:variant>
    </vt:vector>
  </HeadingPairs>
  <TitlesOfParts>
    <vt:vector size="28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Lizenzgebühr</vt:lpstr>
      <vt:lpstr>Break-Even-Point</vt:lpstr>
      <vt:lpstr>Auswahltabellen</vt:lpstr>
      <vt:lpstr>Anually</vt:lpstr>
      <vt:lpstr>Bimonthly</vt:lpstr>
      <vt:lpstr>Abschreibung!Druckbereich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2018-01-06T11:17:25Z</cp:lastPrinted>
  <dcterms:created xsi:type="dcterms:W3CDTF">2017-11-17T17:38:13Z</dcterms:created>
  <dcterms:modified xsi:type="dcterms:W3CDTF">2018-01-06T11:19:11Z</dcterms:modified>
</cp:coreProperties>
</file>