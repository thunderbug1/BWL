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906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Break-Even-Point (netto)" sheetId="16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Abschreibung!$A$1:$M$38</definedName>
    <definedName name="_xlnm.Print_Area" localSheetId="11">'Aufteilung Aufwände'!$A$1:$G$53</definedName>
    <definedName name="_xlnm.Print_Area" localSheetId="9">'Break-Even-Point'!$A$1:$F$27</definedName>
    <definedName name="_xlnm.Print_Area" localSheetId="10">'Break-Even-Point (netto)'!$A$1:$F$27</definedName>
    <definedName name="_xlnm.Print_Area" localSheetId="7">'Cash Flow'!$A$1:$H$18</definedName>
    <definedName name="_xlnm.Print_Area" localSheetId="1">Investitionsplan!$A$1:$Y$38</definedName>
    <definedName name="_xlnm.Print_Area" localSheetId="8">Kennzahlen!$A$1:$H$14</definedName>
    <definedName name="_xlnm.Print_Area" localSheetId="5">Liquiditätsplan!$A$1:$X$86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 localSheetId="10">#REF!</definedName>
    <definedName name="x">#REF!</definedName>
    <definedName name="y" localSheetId="10">#REF!</definedName>
    <definedName name="y">#REF!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6" l="1"/>
  <c r="F4" i="16"/>
  <c r="E5" i="16"/>
  <c r="E4" i="16"/>
  <c r="D5" i="16"/>
  <c r="D4" i="16"/>
  <c r="C5" i="16"/>
  <c r="C4" i="16"/>
  <c r="C7" i="16"/>
  <c r="D7" i="16"/>
  <c r="E7" i="16"/>
  <c r="F7" i="16"/>
  <c r="C6" i="16"/>
  <c r="D6" i="16"/>
  <c r="E6" i="16"/>
  <c r="F6" i="16"/>
  <c r="C26" i="16"/>
  <c r="C25" i="16"/>
  <c r="H12" i="13"/>
  <c r="G12" i="13"/>
  <c r="F12" i="13"/>
  <c r="E12" i="13"/>
  <c r="I20" i="9"/>
  <c r="X23" i="9"/>
  <c r="W23" i="9"/>
  <c r="T23" i="9"/>
  <c r="X22" i="9"/>
  <c r="W22" i="9"/>
  <c r="S22" i="9"/>
  <c r="T22" i="9"/>
  <c r="U22" i="9"/>
  <c r="R22" i="9"/>
  <c r="P22" i="9"/>
  <c r="X21" i="9"/>
  <c r="W21" i="9"/>
  <c r="R21" i="9"/>
  <c r="X20" i="9"/>
  <c r="W20" i="9"/>
  <c r="S20" i="9"/>
  <c r="T20" i="9"/>
  <c r="U20" i="9"/>
  <c r="R20" i="9"/>
  <c r="O20" i="9"/>
  <c r="M20" i="9"/>
  <c r="K20" i="9"/>
  <c r="A28" i="8" a="1"/>
  <c r="A28" i="8"/>
  <c r="B28" i="8"/>
  <c r="C28" i="8"/>
  <c r="D28" i="8"/>
  <c r="A29" i="8"/>
  <c r="B29" i="8"/>
  <c r="C29" i="8"/>
  <c r="D29" i="8"/>
  <c r="A30" i="8"/>
  <c r="B30" i="8"/>
  <c r="C30" i="8"/>
  <c r="D30" i="8"/>
  <c r="A31" i="8"/>
  <c r="B31" i="8"/>
  <c r="C31" i="8"/>
  <c r="D31" i="8"/>
  <c r="A32" i="8"/>
  <c r="B32" i="8"/>
  <c r="C32" i="8"/>
  <c r="D32" i="8"/>
  <c r="A33" i="8"/>
  <c r="B33" i="8"/>
  <c r="C33" i="8"/>
  <c r="D33" i="8"/>
  <c r="A34" i="8"/>
  <c r="B34" i="8"/>
  <c r="C34" i="8"/>
  <c r="D34" i="8"/>
  <c r="E30" i="8"/>
  <c r="F30" i="8"/>
  <c r="G30" i="8"/>
  <c r="H30" i="8"/>
  <c r="I30" i="8"/>
  <c r="J30" i="8"/>
  <c r="K30" i="8"/>
  <c r="L30" i="8"/>
  <c r="M30" i="8"/>
  <c r="E31" i="8"/>
  <c r="F31" i="8"/>
  <c r="G31" i="8"/>
  <c r="H31" i="8"/>
  <c r="I31" i="8"/>
  <c r="J31" i="8"/>
  <c r="K31" i="8"/>
  <c r="L31" i="8"/>
  <c r="M31" i="8"/>
  <c r="E29" i="8"/>
  <c r="F29" i="8"/>
  <c r="G29" i="8"/>
  <c r="H29" i="8"/>
  <c r="I29" i="8"/>
  <c r="J29" i="8"/>
  <c r="K29" i="8"/>
  <c r="L29" i="8"/>
  <c r="M29" i="8"/>
  <c r="A5" i="8" a="1"/>
  <c r="A5" i="8"/>
  <c r="B5" i="8"/>
  <c r="C5" i="8"/>
  <c r="D5" i="8"/>
  <c r="A6" i="8"/>
  <c r="B6" i="8"/>
  <c r="C6" i="8"/>
  <c r="D6" i="8"/>
  <c r="A7" i="8"/>
  <c r="B7" i="8"/>
  <c r="C7" i="8"/>
  <c r="D7" i="8"/>
  <c r="A8" i="8"/>
  <c r="B8" i="8"/>
  <c r="C8" i="8"/>
  <c r="D8" i="8"/>
  <c r="A9" i="8"/>
  <c r="B9" i="8"/>
  <c r="C9" i="8"/>
  <c r="D9" i="8"/>
  <c r="A10" i="8"/>
  <c r="B10" i="8"/>
  <c r="C10" i="8"/>
  <c r="D10" i="8"/>
  <c r="A11" i="8"/>
  <c r="B11" i="8"/>
  <c r="C11" i="8"/>
  <c r="D11" i="8"/>
  <c r="A12" i="8"/>
  <c r="B12" i="8"/>
  <c r="C12" i="8"/>
  <c r="D12" i="8"/>
  <c r="A13" i="8"/>
  <c r="B13" i="8"/>
  <c r="C13" i="8"/>
  <c r="D13" i="8"/>
  <c r="A14" i="8"/>
  <c r="B14" i="8"/>
  <c r="C14" i="8"/>
  <c r="D14" i="8"/>
  <c r="E12" i="8"/>
  <c r="F12" i="8"/>
  <c r="G12" i="8"/>
  <c r="H12" i="8"/>
  <c r="I12" i="8"/>
  <c r="J12" i="8"/>
  <c r="K12" i="8"/>
  <c r="L12" i="8"/>
  <c r="M12" i="8"/>
  <c r="F74" i="3"/>
  <c r="G74" i="3"/>
  <c r="H74" i="3"/>
  <c r="I74" i="3"/>
  <c r="J74" i="3"/>
  <c r="K74" i="3"/>
  <c r="L74" i="3"/>
  <c r="M74" i="3"/>
  <c r="N74" i="3"/>
  <c r="O74" i="3"/>
  <c r="P74" i="3"/>
  <c r="Q74" i="3"/>
  <c r="S74" i="3"/>
  <c r="T74" i="3"/>
  <c r="U74" i="3"/>
  <c r="V74" i="3"/>
  <c r="W74" i="3"/>
  <c r="X74" i="3"/>
  <c r="Z74" i="3"/>
  <c r="X26" i="3"/>
  <c r="W26" i="3"/>
  <c r="R26" i="3"/>
  <c r="S26" i="3"/>
  <c r="T26" i="3"/>
  <c r="U26" i="3"/>
  <c r="V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X25" i="3"/>
  <c r="W25" i="3"/>
  <c r="R25" i="3"/>
  <c r="S25" i="3"/>
  <c r="T25" i="3"/>
  <c r="U25" i="3"/>
  <c r="V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X24" i="3"/>
  <c r="W24" i="3"/>
  <c r="R24" i="3"/>
  <c r="S24" i="3"/>
  <c r="T24" i="3"/>
  <c r="U24" i="3"/>
  <c r="V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X23" i="3"/>
  <c r="W23" i="3"/>
  <c r="R23" i="3"/>
  <c r="S23" i="3"/>
  <c r="T23" i="3"/>
  <c r="U23" i="3"/>
  <c r="V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X22" i="3"/>
  <c r="W22" i="3"/>
  <c r="R22" i="3"/>
  <c r="S22" i="3"/>
  <c r="T22" i="3"/>
  <c r="U22" i="3"/>
  <c r="V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X21" i="3"/>
  <c r="W21" i="3"/>
  <c r="R21" i="3"/>
  <c r="S21" i="3"/>
  <c r="T21" i="3"/>
  <c r="U21" i="3"/>
  <c r="V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X20" i="3"/>
  <c r="W20" i="3"/>
  <c r="R20" i="3"/>
  <c r="S20" i="3"/>
  <c r="T20" i="3"/>
  <c r="U20" i="3"/>
  <c r="V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X19" i="3"/>
  <c r="W19" i="3"/>
  <c r="R19" i="3"/>
  <c r="S19" i="3"/>
  <c r="T19" i="3"/>
  <c r="U19" i="3"/>
  <c r="V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X18" i="3"/>
  <c r="W18" i="3"/>
  <c r="R18" i="3"/>
  <c r="S18" i="3"/>
  <c r="T18" i="3"/>
  <c r="U18" i="3"/>
  <c r="V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Y34" i="2"/>
  <c r="X34" i="2"/>
  <c r="S34" i="2"/>
  <c r="T34" i="2"/>
  <c r="U34" i="2"/>
  <c r="V34" i="2"/>
  <c r="W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Y33" i="2"/>
  <c r="X33" i="2"/>
  <c r="S33" i="2"/>
  <c r="T33" i="2"/>
  <c r="U33" i="2"/>
  <c r="V33" i="2"/>
  <c r="W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Y32" i="2"/>
  <c r="X32" i="2"/>
  <c r="S32" i="2"/>
  <c r="T32" i="2"/>
  <c r="U32" i="2"/>
  <c r="V32" i="2"/>
  <c r="W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Y31" i="2"/>
  <c r="X31" i="2"/>
  <c r="S31" i="2"/>
  <c r="T31" i="2"/>
  <c r="U31" i="2"/>
  <c r="V31" i="2"/>
  <c r="W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Y30" i="2"/>
  <c r="X30" i="2"/>
  <c r="S30" i="2"/>
  <c r="T30" i="2"/>
  <c r="U30" i="2"/>
  <c r="V30" i="2"/>
  <c r="W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11" i="2"/>
  <c r="T11" i="2"/>
  <c r="U11" i="2"/>
  <c r="V11" i="2"/>
  <c r="W11" i="2"/>
  <c r="Y11" i="2"/>
  <c r="X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F6" i="2"/>
  <c r="F7" i="2"/>
  <c r="F8" i="2"/>
  <c r="F9" i="2"/>
  <c r="F10" i="2"/>
  <c r="F12" i="2"/>
  <c r="F13" i="2"/>
  <c r="F14" i="2"/>
  <c r="F5" i="2"/>
  <c r="F16" i="2"/>
  <c r="F19" i="2"/>
  <c r="F20" i="2"/>
  <c r="F22" i="2"/>
  <c r="F24" i="2"/>
  <c r="E59" i="9"/>
  <c r="F28" i="2"/>
  <c r="F29" i="2"/>
  <c r="F36" i="2"/>
  <c r="E60" i="9"/>
  <c r="E62" i="9"/>
  <c r="E9" i="3"/>
  <c r="E10" i="3"/>
  <c r="E11" i="3"/>
  <c r="E8" i="3"/>
  <c r="E13" i="3"/>
  <c r="E17" i="3"/>
  <c r="E16" i="3"/>
  <c r="E28" i="3"/>
  <c r="E30" i="3"/>
  <c r="E34" i="3"/>
  <c r="F8" i="3"/>
  <c r="F9" i="3"/>
  <c r="F10" i="3"/>
  <c r="F11" i="3"/>
  <c r="F13" i="3"/>
  <c r="F17" i="3"/>
  <c r="F16" i="3"/>
  <c r="F28" i="3"/>
  <c r="F30" i="3"/>
  <c r="F34" i="3"/>
  <c r="G8" i="3"/>
  <c r="G9" i="3"/>
  <c r="G10" i="3"/>
  <c r="G11" i="3"/>
  <c r="G13" i="3"/>
  <c r="G17" i="3"/>
  <c r="G16" i="3"/>
  <c r="G28" i="3"/>
  <c r="G30" i="3"/>
  <c r="G34" i="3"/>
  <c r="H8" i="3"/>
  <c r="H9" i="3"/>
  <c r="H10" i="3"/>
  <c r="H11" i="3"/>
  <c r="H13" i="3"/>
  <c r="H17" i="3"/>
  <c r="H16" i="3"/>
  <c r="H28" i="3"/>
  <c r="H30" i="3"/>
  <c r="H34" i="3"/>
  <c r="I8" i="3"/>
  <c r="I9" i="3"/>
  <c r="I10" i="3"/>
  <c r="I11" i="3"/>
  <c r="I13" i="3"/>
  <c r="I17" i="3"/>
  <c r="I16" i="3"/>
  <c r="I28" i="3"/>
  <c r="I30" i="3"/>
  <c r="I34" i="3"/>
  <c r="J8" i="3"/>
  <c r="J9" i="3"/>
  <c r="J10" i="3"/>
  <c r="J11" i="3"/>
  <c r="J13" i="3"/>
  <c r="J17" i="3"/>
  <c r="J16" i="3"/>
  <c r="J28" i="3"/>
  <c r="J30" i="3"/>
  <c r="J34" i="3"/>
  <c r="K8" i="3"/>
  <c r="K9" i="3"/>
  <c r="K10" i="3"/>
  <c r="K11" i="3"/>
  <c r="K13" i="3"/>
  <c r="K17" i="3"/>
  <c r="K16" i="3"/>
  <c r="K28" i="3"/>
  <c r="K30" i="3"/>
  <c r="K34" i="3"/>
  <c r="L8" i="3"/>
  <c r="L9" i="3"/>
  <c r="L10" i="3"/>
  <c r="L11" i="3"/>
  <c r="L13" i="3"/>
  <c r="L17" i="3"/>
  <c r="L16" i="3"/>
  <c r="L28" i="3"/>
  <c r="L30" i="3"/>
  <c r="L34" i="3"/>
  <c r="M8" i="3"/>
  <c r="M9" i="3"/>
  <c r="M10" i="3"/>
  <c r="M11" i="3"/>
  <c r="M13" i="3"/>
  <c r="M17" i="3"/>
  <c r="M16" i="3"/>
  <c r="M28" i="3"/>
  <c r="M30" i="3"/>
  <c r="M34" i="3"/>
  <c r="N8" i="3"/>
  <c r="N9" i="3"/>
  <c r="N10" i="3"/>
  <c r="N11" i="3"/>
  <c r="N13" i="3"/>
  <c r="N17" i="3"/>
  <c r="N16" i="3"/>
  <c r="N28" i="3"/>
  <c r="N30" i="3"/>
  <c r="N34" i="3"/>
  <c r="O8" i="3"/>
  <c r="O9" i="3"/>
  <c r="O10" i="3"/>
  <c r="O11" i="3"/>
  <c r="O13" i="3"/>
  <c r="O17" i="3"/>
  <c r="O16" i="3"/>
  <c r="O28" i="3"/>
  <c r="O30" i="3"/>
  <c r="O34" i="3"/>
  <c r="P8" i="3"/>
  <c r="P9" i="3"/>
  <c r="P10" i="3"/>
  <c r="P11" i="3"/>
  <c r="P13" i="3"/>
  <c r="P17" i="3"/>
  <c r="P16" i="3"/>
  <c r="P28" i="3"/>
  <c r="P30" i="3"/>
  <c r="P34" i="3"/>
  <c r="Q34" i="3"/>
  <c r="E35" i="3"/>
  <c r="E36" i="3"/>
  <c r="E38" i="3"/>
  <c r="E40" i="9"/>
  <c r="E42" i="3"/>
  <c r="E43" i="3"/>
  <c r="E45" i="3"/>
  <c r="E41" i="9"/>
  <c r="E49" i="3"/>
  <c r="E50" i="3"/>
  <c r="E52" i="3"/>
  <c r="E42" i="9"/>
  <c r="E56" i="3"/>
  <c r="E57" i="3"/>
  <c r="E58" i="3"/>
  <c r="E59" i="3"/>
  <c r="E61" i="3"/>
  <c r="E43" i="9"/>
  <c r="E65" i="3"/>
  <c r="E66" i="3"/>
  <c r="E68" i="3"/>
  <c r="E44" i="9"/>
  <c r="E72" i="3"/>
  <c r="E75" i="3"/>
  <c r="E76" i="3"/>
  <c r="E78" i="3"/>
  <c r="E45" i="9"/>
  <c r="E82" i="3"/>
  <c r="E83" i="3"/>
  <c r="E84" i="3"/>
  <c r="E86" i="3"/>
  <c r="E46" i="9"/>
  <c r="E90" i="3"/>
  <c r="E91" i="3"/>
  <c r="E92" i="3"/>
  <c r="E94" i="3"/>
  <c r="E47" i="9"/>
  <c r="E98" i="3"/>
  <c r="E99" i="3"/>
  <c r="E100" i="3"/>
  <c r="E101" i="3"/>
  <c r="E103" i="3"/>
  <c r="E48" i="9"/>
  <c r="E107" i="3"/>
  <c r="E108" i="3"/>
  <c r="E109" i="3"/>
  <c r="E111" i="3"/>
  <c r="E49" i="9"/>
  <c r="R8" i="3"/>
  <c r="R9" i="3"/>
  <c r="R10" i="3"/>
  <c r="R11" i="3"/>
  <c r="R13" i="3"/>
  <c r="R16" i="3"/>
  <c r="R17" i="3"/>
  <c r="R28" i="3"/>
  <c r="R30" i="3"/>
  <c r="R34" i="3"/>
  <c r="S8" i="3"/>
  <c r="S9" i="3"/>
  <c r="S10" i="3"/>
  <c r="S11" i="3"/>
  <c r="S13" i="3"/>
  <c r="S16" i="3"/>
  <c r="S17" i="3"/>
  <c r="S28" i="3"/>
  <c r="S30" i="3"/>
  <c r="S34" i="3"/>
  <c r="T8" i="3"/>
  <c r="T9" i="3"/>
  <c r="T10" i="3"/>
  <c r="T11" i="3"/>
  <c r="T13" i="3"/>
  <c r="T16" i="3"/>
  <c r="T17" i="3"/>
  <c r="T28" i="3"/>
  <c r="T30" i="3"/>
  <c r="T34" i="3"/>
  <c r="U8" i="3"/>
  <c r="U9" i="3"/>
  <c r="U10" i="3"/>
  <c r="U11" i="3"/>
  <c r="U13" i="3"/>
  <c r="U16" i="3"/>
  <c r="U17" i="3"/>
  <c r="U28" i="3"/>
  <c r="U30" i="3"/>
  <c r="U34" i="3"/>
  <c r="V34" i="3"/>
  <c r="W9" i="3"/>
  <c r="W10" i="3"/>
  <c r="W11" i="3"/>
  <c r="W8" i="3"/>
  <c r="W13" i="3"/>
  <c r="W17" i="3"/>
  <c r="W16" i="3"/>
  <c r="W28" i="3"/>
  <c r="W30" i="3"/>
  <c r="W34" i="3"/>
  <c r="X9" i="3"/>
  <c r="X10" i="3"/>
  <c r="X11" i="3"/>
  <c r="X8" i="3"/>
  <c r="X13" i="3"/>
  <c r="X17" i="3"/>
  <c r="X16" i="3"/>
  <c r="X28" i="3"/>
  <c r="X30" i="3"/>
  <c r="X34" i="3"/>
  <c r="Z34" i="3"/>
  <c r="B34" i="3"/>
  <c r="B116" i="3"/>
  <c r="E116" i="3"/>
  <c r="B117" i="3"/>
  <c r="E117" i="3"/>
  <c r="E115" i="3"/>
  <c r="E118" i="3"/>
  <c r="E120" i="3"/>
  <c r="E50" i="9"/>
  <c r="E124" i="3"/>
  <c r="E125" i="3"/>
  <c r="E127" i="3"/>
  <c r="E51" i="9"/>
  <c r="E131" i="3"/>
  <c r="E132" i="3"/>
  <c r="E134" i="3"/>
  <c r="E52" i="9"/>
  <c r="E138" i="3"/>
  <c r="E139" i="3"/>
  <c r="E141" i="3"/>
  <c r="E53" i="9"/>
  <c r="E145" i="3"/>
  <c r="E146" i="3"/>
  <c r="E147" i="3"/>
  <c r="E149" i="3"/>
  <c r="E54" i="9"/>
  <c r="E56" i="9"/>
  <c r="E74" i="9"/>
  <c r="E76" i="9"/>
  <c r="E78" i="9"/>
  <c r="G19" i="2"/>
  <c r="G20" i="2"/>
  <c r="G22" i="2"/>
  <c r="G5" i="2"/>
  <c r="G6" i="2"/>
  <c r="G7" i="2"/>
  <c r="G8" i="2"/>
  <c r="G9" i="2"/>
  <c r="G10" i="2"/>
  <c r="G12" i="2"/>
  <c r="G13" i="2"/>
  <c r="G14" i="2"/>
  <c r="G16" i="2"/>
  <c r="G24" i="2"/>
  <c r="F59" i="9"/>
  <c r="G28" i="2"/>
  <c r="G29" i="2"/>
  <c r="G36" i="2"/>
  <c r="F60" i="9"/>
  <c r="F62" i="9"/>
  <c r="F35" i="3"/>
  <c r="F36" i="3"/>
  <c r="F38" i="3"/>
  <c r="F40" i="9"/>
  <c r="F42" i="3"/>
  <c r="F43" i="3"/>
  <c r="F45" i="3"/>
  <c r="F41" i="9"/>
  <c r="F49" i="3"/>
  <c r="F50" i="3"/>
  <c r="F52" i="3"/>
  <c r="F42" i="9"/>
  <c r="F56" i="3"/>
  <c r="F57" i="3"/>
  <c r="F58" i="3"/>
  <c r="F59" i="3"/>
  <c r="F61" i="3"/>
  <c r="F43" i="9"/>
  <c r="F65" i="3"/>
  <c r="F66" i="3"/>
  <c r="F68" i="3"/>
  <c r="F44" i="9"/>
  <c r="F72" i="3"/>
  <c r="F73" i="3"/>
  <c r="F75" i="3"/>
  <c r="F76" i="3"/>
  <c r="F78" i="3"/>
  <c r="F45" i="9"/>
  <c r="F82" i="3"/>
  <c r="F83" i="3"/>
  <c r="F84" i="3"/>
  <c r="F86" i="3"/>
  <c r="F46" i="9"/>
  <c r="F90" i="3"/>
  <c r="F91" i="3"/>
  <c r="F92" i="3"/>
  <c r="F94" i="3"/>
  <c r="F47" i="9"/>
  <c r="F98" i="3"/>
  <c r="F99" i="3"/>
  <c r="F100" i="3"/>
  <c r="F101" i="3"/>
  <c r="F103" i="3"/>
  <c r="F48" i="9"/>
  <c r="F107" i="3"/>
  <c r="F108" i="3"/>
  <c r="F109" i="3"/>
  <c r="F111" i="3"/>
  <c r="F49" i="9"/>
  <c r="F116" i="3"/>
  <c r="F117" i="3"/>
  <c r="F115" i="3"/>
  <c r="F118" i="3"/>
  <c r="F120" i="3"/>
  <c r="F50" i="9"/>
  <c r="F124" i="3"/>
  <c r="F125" i="3"/>
  <c r="F127" i="3"/>
  <c r="F51" i="9"/>
  <c r="F131" i="3"/>
  <c r="F132" i="3"/>
  <c r="F134" i="3"/>
  <c r="F52" i="9"/>
  <c r="F138" i="3"/>
  <c r="F139" i="3"/>
  <c r="F141" i="3"/>
  <c r="F53" i="9"/>
  <c r="F145" i="3"/>
  <c r="F146" i="3"/>
  <c r="F147" i="3"/>
  <c r="F149" i="3"/>
  <c r="F54" i="9"/>
  <c r="F56" i="9"/>
  <c r="F74" i="9"/>
  <c r="F76" i="9"/>
  <c r="F78" i="9"/>
  <c r="G30" i="9"/>
  <c r="G34" i="9"/>
  <c r="G36" i="9"/>
  <c r="H19" i="2"/>
  <c r="H20" i="2"/>
  <c r="H22" i="2"/>
  <c r="H5" i="2"/>
  <c r="H6" i="2"/>
  <c r="H7" i="2"/>
  <c r="H8" i="2"/>
  <c r="H9" i="2"/>
  <c r="H10" i="2"/>
  <c r="H12" i="2"/>
  <c r="H13" i="2"/>
  <c r="H14" i="2"/>
  <c r="H16" i="2"/>
  <c r="H24" i="2"/>
  <c r="G59" i="9"/>
  <c r="H28" i="2"/>
  <c r="H29" i="2"/>
  <c r="H36" i="2"/>
  <c r="G60" i="9"/>
  <c r="G62" i="9"/>
  <c r="G35" i="3"/>
  <c r="G36" i="3"/>
  <c r="G38" i="3"/>
  <c r="G40" i="9"/>
  <c r="G42" i="3"/>
  <c r="G43" i="3"/>
  <c r="G45" i="3"/>
  <c r="G41" i="9"/>
  <c r="G49" i="3"/>
  <c r="G50" i="3"/>
  <c r="G52" i="3"/>
  <c r="G42" i="9"/>
  <c r="G56" i="3"/>
  <c r="G57" i="3"/>
  <c r="G58" i="3"/>
  <c r="G59" i="3"/>
  <c r="G61" i="3"/>
  <c r="G43" i="9"/>
  <c r="G65" i="3"/>
  <c r="G66" i="3"/>
  <c r="G68" i="3"/>
  <c r="G44" i="9"/>
  <c r="G72" i="3"/>
  <c r="G73" i="3"/>
  <c r="G75" i="3"/>
  <c r="G76" i="3"/>
  <c r="G78" i="3"/>
  <c r="G45" i="9"/>
  <c r="G82" i="3"/>
  <c r="G83" i="3"/>
  <c r="G84" i="3"/>
  <c r="G86" i="3"/>
  <c r="G46" i="9"/>
  <c r="G90" i="3"/>
  <c r="G91" i="3"/>
  <c r="G92" i="3"/>
  <c r="G94" i="3"/>
  <c r="G47" i="9"/>
  <c r="G98" i="3"/>
  <c r="G99" i="3"/>
  <c r="G100" i="3"/>
  <c r="G101" i="3"/>
  <c r="G103" i="3"/>
  <c r="G48" i="9"/>
  <c r="G107" i="3"/>
  <c r="G108" i="3"/>
  <c r="G109" i="3"/>
  <c r="G111" i="3"/>
  <c r="G49" i="9"/>
  <c r="G116" i="3"/>
  <c r="G117" i="3"/>
  <c r="G115" i="3"/>
  <c r="G118" i="3"/>
  <c r="G120" i="3"/>
  <c r="G50" i="9"/>
  <c r="G124" i="3"/>
  <c r="G125" i="3"/>
  <c r="G127" i="3"/>
  <c r="G51" i="9"/>
  <c r="G131" i="3"/>
  <c r="G132" i="3"/>
  <c r="G134" i="3"/>
  <c r="G52" i="9"/>
  <c r="G138" i="3"/>
  <c r="G139" i="3"/>
  <c r="G141" i="3"/>
  <c r="G53" i="9"/>
  <c r="G145" i="3"/>
  <c r="G146" i="3"/>
  <c r="G147" i="3"/>
  <c r="G149" i="3"/>
  <c r="G54" i="9"/>
  <c r="G56" i="9"/>
  <c r="G74" i="9"/>
  <c r="G76" i="9"/>
  <c r="G78" i="9"/>
  <c r="E85" i="9"/>
  <c r="H29" i="9"/>
  <c r="H30" i="9"/>
  <c r="H34" i="9"/>
  <c r="H36" i="9"/>
  <c r="I19" i="2"/>
  <c r="I20" i="2"/>
  <c r="I22" i="2"/>
  <c r="I5" i="2"/>
  <c r="I6" i="2"/>
  <c r="I7" i="2"/>
  <c r="I8" i="2"/>
  <c r="I9" i="2"/>
  <c r="I10" i="2"/>
  <c r="I12" i="2"/>
  <c r="I13" i="2"/>
  <c r="I14" i="2"/>
  <c r="I16" i="2"/>
  <c r="I24" i="2"/>
  <c r="H59" i="9"/>
  <c r="I28" i="2"/>
  <c r="I29" i="2"/>
  <c r="I36" i="2"/>
  <c r="H60" i="9"/>
  <c r="H62" i="9"/>
  <c r="E84" i="9"/>
  <c r="H65" i="9"/>
  <c r="H72" i="9"/>
  <c r="H35" i="3"/>
  <c r="H36" i="3"/>
  <c r="H38" i="3"/>
  <c r="H40" i="9"/>
  <c r="H42" i="3"/>
  <c r="H43" i="3"/>
  <c r="H45" i="3"/>
  <c r="H41" i="9"/>
  <c r="H49" i="3"/>
  <c r="H50" i="3"/>
  <c r="H52" i="3"/>
  <c r="H42" i="9"/>
  <c r="H56" i="3"/>
  <c r="H57" i="3"/>
  <c r="H58" i="3"/>
  <c r="H59" i="3"/>
  <c r="H61" i="3"/>
  <c r="H43" i="9"/>
  <c r="H65" i="3"/>
  <c r="H66" i="3"/>
  <c r="H68" i="3"/>
  <c r="H44" i="9"/>
  <c r="H72" i="3"/>
  <c r="H73" i="3"/>
  <c r="H75" i="3"/>
  <c r="H76" i="3"/>
  <c r="H78" i="3"/>
  <c r="H45" i="9"/>
  <c r="H82" i="3"/>
  <c r="H83" i="3"/>
  <c r="H84" i="3"/>
  <c r="H86" i="3"/>
  <c r="H46" i="9"/>
  <c r="H90" i="3"/>
  <c r="H91" i="3"/>
  <c r="H92" i="3"/>
  <c r="H94" i="3"/>
  <c r="H47" i="9"/>
  <c r="H98" i="3"/>
  <c r="H99" i="3"/>
  <c r="H100" i="3"/>
  <c r="H101" i="3"/>
  <c r="H103" i="3"/>
  <c r="H48" i="9"/>
  <c r="H107" i="3"/>
  <c r="H108" i="3"/>
  <c r="H109" i="3"/>
  <c r="H111" i="3"/>
  <c r="H49" i="9"/>
  <c r="H116" i="3"/>
  <c r="H117" i="3"/>
  <c r="H115" i="3"/>
  <c r="H118" i="3"/>
  <c r="H120" i="3"/>
  <c r="H50" i="9"/>
  <c r="H124" i="3"/>
  <c r="H125" i="3"/>
  <c r="H127" i="3"/>
  <c r="H51" i="9"/>
  <c r="H131" i="3"/>
  <c r="H132" i="3"/>
  <c r="H134" i="3"/>
  <c r="H52" i="9"/>
  <c r="H138" i="3"/>
  <c r="H139" i="3"/>
  <c r="H141" i="3"/>
  <c r="H53" i="9"/>
  <c r="H145" i="3"/>
  <c r="H146" i="3"/>
  <c r="H147" i="3"/>
  <c r="H149" i="3"/>
  <c r="H54" i="9"/>
  <c r="H56" i="9"/>
  <c r="H74" i="9"/>
  <c r="H76" i="9"/>
  <c r="H78" i="9"/>
  <c r="I30" i="9"/>
  <c r="I34" i="9"/>
  <c r="I26" i="9"/>
  <c r="I36" i="9"/>
  <c r="J19" i="2"/>
  <c r="J20" i="2"/>
  <c r="J22" i="2"/>
  <c r="J5" i="2"/>
  <c r="J6" i="2"/>
  <c r="J7" i="2"/>
  <c r="J8" i="2"/>
  <c r="J9" i="2"/>
  <c r="J10" i="2"/>
  <c r="J12" i="2"/>
  <c r="J13" i="2"/>
  <c r="J14" i="2"/>
  <c r="J16" i="2"/>
  <c r="J24" i="2"/>
  <c r="I59" i="9"/>
  <c r="J28" i="2"/>
  <c r="J29" i="2"/>
  <c r="J36" i="2"/>
  <c r="I60" i="9"/>
  <c r="I62" i="9"/>
  <c r="I35" i="3"/>
  <c r="I36" i="3"/>
  <c r="I38" i="3"/>
  <c r="I40" i="9"/>
  <c r="I42" i="3"/>
  <c r="I43" i="3"/>
  <c r="I45" i="3"/>
  <c r="I41" i="9"/>
  <c r="I49" i="3"/>
  <c r="I50" i="3"/>
  <c r="I52" i="3"/>
  <c r="I42" i="9"/>
  <c r="I56" i="3"/>
  <c r="I57" i="3"/>
  <c r="I58" i="3"/>
  <c r="I59" i="3"/>
  <c r="I61" i="3"/>
  <c r="I43" i="9"/>
  <c r="I65" i="3"/>
  <c r="I66" i="3"/>
  <c r="I68" i="3"/>
  <c r="I44" i="9"/>
  <c r="I72" i="3"/>
  <c r="I73" i="3"/>
  <c r="I75" i="3"/>
  <c r="I76" i="3"/>
  <c r="I78" i="3"/>
  <c r="I45" i="9"/>
  <c r="I82" i="3"/>
  <c r="I83" i="3"/>
  <c r="I84" i="3"/>
  <c r="I86" i="3"/>
  <c r="I46" i="9"/>
  <c r="I90" i="3"/>
  <c r="I91" i="3"/>
  <c r="I92" i="3"/>
  <c r="I94" i="3"/>
  <c r="I47" i="9"/>
  <c r="I98" i="3"/>
  <c r="I99" i="3"/>
  <c r="I100" i="3"/>
  <c r="I101" i="3"/>
  <c r="I103" i="3"/>
  <c r="I48" i="9"/>
  <c r="I107" i="3"/>
  <c r="I108" i="3"/>
  <c r="I109" i="3"/>
  <c r="I111" i="3"/>
  <c r="I49" i="9"/>
  <c r="I116" i="3"/>
  <c r="I117" i="3"/>
  <c r="I115" i="3"/>
  <c r="I118" i="3"/>
  <c r="I120" i="3"/>
  <c r="I50" i="9"/>
  <c r="I124" i="3"/>
  <c r="I125" i="3"/>
  <c r="I127" i="3"/>
  <c r="I51" i="9"/>
  <c r="I131" i="3"/>
  <c r="I132" i="3"/>
  <c r="I134" i="3"/>
  <c r="I52" i="9"/>
  <c r="I138" i="3"/>
  <c r="I139" i="3"/>
  <c r="I141" i="3"/>
  <c r="I53" i="9"/>
  <c r="I145" i="3"/>
  <c r="I146" i="3"/>
  <c r="I147" i="3"/>
  <c r="I149" i="3"/>
  <c r="I54" i="9"/>
  <c r="I56" i="9"/>
  <c r="I74" i="9"/>
  <c r="I76" i="9"/>
  <c r="I78" i="9"/>
  <c r="J30" i="9"/>
  <c r="J34" i="9"/>
  <c r="J36" i="9"/>
  <c r="K19" i="2"/>
  <c r="K20" i="2"/>
  <c r="K22" i="2"/>
  <c r="K5" i="2"/>
  <c r="K6" i="2"/>
  <c r="K7" i="2"/>
  <c r="K8" i="2"/>
  <c r="K9" i="2"/>
  <c r="K10" i="2"/>
  <c r="K12" i="2"/>
  <c r="K13" i="2"/>
  <c r="K14" i="2"/>
  <c r="K16" i="2"/>
  <c r="K24" i="2"/>
  <c r="J59" i="9"/>
  <c r="K28" i="2"/>
  <c r="K29" i="2"/>
  <c r="K36" i="2"/>
  <c r="J60" i="9"/>
  <c r="J62" i="9"/>
  <c r="J35" i="3"/>
  <c r="J36" i="3"/>
  <c r="J38" i="3"/>
  <c r="J40" i="9"/>
  <c r="J42" i="3"/>
  <c r="J43" i="3"/>
  <c r="J45" i="3"/>
  <c r="J41" i="9"/>
  <c r="J49" i="3"/>
  <c r="J50" i="3"/>
  <c r="J52" i="3"/>
  <c r="J42" i="9"/>
  <c r="J56" i="3"/>
  <c r="J57" i="3"/>
  <c r="J58" i="3"/>
  <c r="J59" i="3"/>
  <c r="J61" i="3"/>
  <c r="J43" i="9"/>
  <c r="J65" i="3"/>
  <c r="J66" i="3"/>
  <c r="J68" i="3"/>
  <c r="J44" i="9"/>
  <c r="J72" i="3"/>
  <c r="J73" i="3"/>
  <c r="J75" i="3"/>
  <c r="J76" i="3"/>
  <c r="J78" i="3"/>
  <c r="J45" i="9"/>
  <c r="J82" i="3"/>
  <c r="J83" i="3"/>
  <c r="J84" i="3"/>
  <c r="J86" i="3"/>
  <c r="J46" i="9"/>
  <c r="J90" i="3"/>
  <c r="J91" i="3"/>
  <c r="J92" i="3"/>
  <c r="J94" i="3"/>
  <c r="J47" i="9"/>
  <c r="J98" i="3"/>
  <c r="J99" i="3"/>
  <c r="J100" i="3"/>
  <c r="J101" i="3"/>
  <c r="J103" i="3"/>
  <c r="J48" i="9"/>
  <c r="J107" i="3"/>
  <c r="J108" i="3"/>
  <c r="J109" i="3"/>
  <c r="J111" i="3"/>
  <c r="J49" i="9"/>
  <c r="J116" i="3"/>
  <c r="J117" i="3"/>
  <c r="J115" i="3"/>
  <c r="J118" i="3"/>
  <c r="J120" i="3"/>
  <c r="J50" i="9"/>
  <c r="J124" i="3"/>
  <c r="J125" i="3"/>
  <c r="J127" i="3"/>
  <c r="J51" i="9"/>
  <c r="J131" i="3"/>
  <c r="J132" i="3"/>
  <c r="J134" i="3"/>
  <c r="J52" i="9"/>
  <c r="J138" i="3"/>
  <c r="J139" i="3"/>
  <c r="J141" i="3"/>
  <c r="J53" i="9"/>
  <c r="J145" i="3"/>
  <c r="J146" i="3"/>
  <c r="J147" i="3"/>
  <c r="J149" i="3"/>
  <c r="J54" i="9"/>
  <c r="J56" i="9"/>
  <c r="J74" i="9"/>
  <c r="J76" i="9"/>
  <c r="J78" i="9"/>
  <c r="H85" i="9"/>
  <c r="K29" i="9"/>
  <c r="K30" i="9"/>
  <c r="K34" i="9"/>
  <c r="K26" i="9"/>
  <c r="K36" i="9"/>
  <c r="L19" i="2"/>
  <c r="L20" i="2"/>
  <c r="L22" i="2"/>
  <c r="L5" i="2"/>
  <c r="L6" i="2"/>
  <c r="L7" i="2"/>
  <c r="L8" i="2"/>
  <c r="L9" i="2"/>
  <c r="L10" i="2"/>
  <c r="L12" i="2"/>
  <c r="L13" i="2"/>
  <c r="L14" i="2"/>
  <c r="L16" i="2"/>
  <c r="L24" i="2"/>
  <c r="K59" i="9"/>
  <c r="L28" i="2"/>
  <c r="L29" i="2"/>
  <c r="L36" i="2"/>
  <c r="K60" i="9"/>
  <c r="K62" i="9"/>
  <c r="H84" i="9"/>
  <c r="K65" i="9"/>
  <c r="K72" i="9"/>
  <c r="K35" i="3"/>
  <c r="K36" i="3"/>
  <c r="K38" i="3"/>
  <c r="K40" i="9"/>
  <c r="K42" i="3"/>
  <c r="K43" i="3"/>
  <c r="K45" i="3"/>
  <c r="K41" i="9"/>
  <c r="K49" i="3"/>
  <c r="K50" i="3"/>
  <c r="K52" i="3"/>
  <c r="K42" i="9"/>
  <c r="K56" i="3"/>
  <c r="K57" i="3"/>
  <c r="K58" i="3"/>
  <c r="K59" i="3"/>
  <c r="K61" i="3"/>
  <c r="K43" i="9"/>
  <c r="K65" i="3"/>
  <c r="K66" i="3"/>
  <c r="K68" i="3"/>
  <c r="K44" i="9"/>
  <c r="K72" i="3"/>
  <c r="K73" i="3"/>
  <c r="K75" i="3"/>
  <c r="K76" i="3"/>
  <c r="K78" i="3"/>
  <c r="K45" i="9"/>
  <c r="K82" i="3"/>
  <c r="K83" i="3"/>
  <c r="K84" i="3"/>
  <c r="K86" i="3"/>
  <c r="K46" i="9"/>
  <c r="K90" i="3"/>
  <c r="K91" i="3"/>
  <c r="K92" i="3"/>
  <c r="K94" i="3"/>
  <c r="K47" i="9"/>
  <c r="K98" i="3"/>
  <c r="K99" i="3"/>
  <c r="K100" i="3"/>
  <c r="K101" i="3"/>
  <c r="K103" i="3"/>
  <c r="K48" i="9"/>
  <c r="K107" i="3"/>
  <c r="K108" i="3"/>
  <c r="K109" i="3"/>
  <c r="K111" i="3"/>
  <c r="K49" i="9"/>
  <c r="K116" i="3"/>
  <c r="K117" i="3"/>
  <c r="K115" i="3"/>
  <c r="K118" i="3"/>
  <c r="K120" i="3"/>
  <c r="K50" i="9"/>
  <c r="K124" i="3"/>
  <c r="K125" i="3"/>
  <c r="K127" i="3"/>
  <c r="K51" i="9"/>
  <c r="K131" i="3"/>
  <c r="K132" i="3"/>
  <c r="K134" i="3"/>
  <c r="K52" i="9"/>
  <c r="K138" i="3"/>
  <c r="K139" i="3"/>
  <c r="K141" i="3"/>
  <c r="K53" i="9"/>
  <c r="K145" i="3"/>
  <c r="K146" i="3"/>
  <c r="K147" i="3"/>
  <c r="K149" i="3"/>
  <c r="K54" i="9"/>
  <c r="K56" i="9"/>
  <c r="K74" i="9"/>
  <c r="K76" i="9"/>
  <c r="K78" i="9"/>
  <c r="L30" i="9"/>
  <c r="L34" i="9"/>
  <c r="L36" i="9"/>
  <c r="M19" i="2"/>
  <c r="M20" i="2"/>
  <c r="M22" i="2"/>
  <c r="M5" i="2"/>
  <c r="M6" i="2"/>
  <c r="M7" i="2"/>
  <c r="M8" i="2"/>
  <c r="M9" i="2"/>
  <c r="M10" i="2"/>
  <c r="M12" i="2"/>
  <c r="M13" i="2"/>
  <c r="M14" i="2"/>
  <c r="M16" i="2"/>
  <c r="M24" i="2"/>
  <c r="L59" i="9"/>
  <c r="M28" i="2"/>
  <c r="M29" i="2"/>
  <c r="M36" i="2"/>
  <c r="L60" i="9"/>
  <c r="L62" i="9"/>
  <c r="L35" i="3"/>
  <c r="L36" i="3"/>
  <c r="L38" i="3"/>
  <c r="L40" i="9"/>
  <c r="L42" i="3"/>
  <c r="L43" i="3"/>
  <c r="L45" i="3"/>
  <c r="L41" i="9"/>
  <c r="L49" i="3"/>
  <c r="L50" i="3"/>
  <c r="L52" i="3"/>
  <c r="L42" i="9"/>
  <c r="L56" i="3"/>
  <c r="L57" i="3"/>
  <c r="L58" i="3"/>
  <c r="L59" i="3"/>
  <c r="L61" i="3"/>
  <c r="L43" i="9"/>
  <c r="L65" i="3"/>
  <c r="L66" i="3"/>
  <c r="L68" i="3"/>
  <c r="L44" i="9"/>
  <c r="L72" i="3"/>
  <c r="L73" i="3"/>
  <c r="L75" i="3"/>
  <c r="L76" i="3"/>
  <c r="L78" i="3"/>
  <c r="L45" i="9"/>
  <c r="L82" i="3"/>
  <c r="L83" i="3"/>
  <c r="L84" i="3"/>
  <c r="L86" i="3"/>
  <c r="L46" i="9"/>
  <c r="L90" i="3"/>
  <c r="L91" i="3"/>
  <c r="L92" i="3"/>
  <c r="L94" i="3"/>
  <c r="L47" i="9"/>
  <c r="L98" i="3"/>
  <c r="L99" i="3"/>
  <c r="L100" i="3"/>
  <c r="L101" i="3"/>
  <c r="L103" i="3"/>
  <c r="L48" i="9"/>
  <c r="L107" i="3"/>
  <c r="L108" i="3"/>
  <c r="L109" i="3"/>
  <c r="L111" i="3"/>
  <c r="L49" i="9"/>
  <c r="L116" i="3"/>
  <c r="L117" i="3"/>
  <c r="L115" i="3"/>
  <c r="L118" i="3"/>
  <c r="L120" i="3"/>
  <c r="L50" i="9"/>
  <c r="L124" i="3"/>
  <c r="L125" i="3"/>
  <c r="L127" i="3"/>
  <c r="L51" i="9"/>
  <c r="L131" i="3"/>
  <c r="L132" i="3"/>
  <c r="L134" i="3"/>
  <c r="L52" i="9"/>
  <c r="L138" i="3"/>
  <c r="L139" i="3"/>
  <c r="L141" i="3"/>
  <c r="L53" i="9"/>
  <c r="L145" i="3"/>
  <c r="L146" i="3"/>
  <c r="L147" i="3"/>
  <c r="L149" i="3"/>
  <c r="L54" i="9"/>
  <c r="L56" i="9"/>
  <c r="L74" i="9"/>
  <c r="L76" i="9"/>
  <c r="L78" i="9"/>
  <c r="M30" i="9"/>
  <c r="M34" i="9"/>
  <c r="M26" i="9"/>
  <c r="M36" i="9"/>
  <c r="N19" i="2"/>
  <c r="N20" i="2"/>
  <c r="N22" i="2"/>
  <c r="N5" i="2"/>
  <c r="N6" i="2"/>
  <c r="N7" i="2"/>
  <c r="N8" i="2"/>
  <c r="N9" i="2"/>
  <c r="N10" i="2"/>
  <c r="N12" i="2"/>
  <c r="N13" i="2"/>
  <c r="N14" i="2"/>
  <c r="N16" i="2"/>
  <c r="N24" i="2"/>
  <c r="M59" i="9"/>
  <c r="N28" i="2"/>
  <c r="N29" i="2"/>
  <c r="N36" i="2"/>
  <c r="M60" i="9"/>
  <c r="M62" i="9"/>
  <c r="M35" i="3"/>
  <c r="M36" i="3"/>
  <c r="M38" i="3"/>
  <c r="M40" i="9"/>
  <c r="M42" i="3"/>
  <c r="M43" i="3"/>
  <c r="M45" i="3"/>
  <c r="M41" i="9"/>
  <c r="M49" i="3"/>
  <c r="M50" i="3"/>
  <c r="M52" i="3"/>
  <c r="M42" i="9"/>
  <c r="M56" i="3"/>
  <c r="M57" i="3"/>
  <c r="M58" i="3"/>
  <c r="M59" i="3"/>
  <c r="M61" i="3"/>
  <c r="M43" i="9"/>
  <c r="M65" i="3"/>
  <c r="M66" i="3"/>
  <c r="M68" i="3"/>
  <c r="M44" i="9"/>
  <c r="M72" i="3"/>
  <c r="M73" i="3"/>
  <c r="M75" i="3"/>
  <c r="M76" i="3"/>
  <c r="M78" i="3"/>
  <c r="M45" i="9"/>
  <c r="M82" i="3"/>
  <c r="M83" i="3"/>
  <c r="M84" i="3"/>
  <c r="M86" i="3"/>
  <c r="M46" i="9"/>
  <c r="M90" i="3"/>
  <c r="M91" i="3"/>
  <c r="M92" i="3"/>
  <c r="M94" i="3"/>
  <c r="M47" i="9"/>
  <c r="M98" i="3"/>
  <c r="M99" i="3"/>
  <c r="M100" i="3"/>
  <c r="M101" i="3"/>
  <c r="M103" i="3"/>
  <c r="M48" i="9"/>
  <c r="M107" i="3"/>
  <c r="M108" i="3"/>
  <c r="M109" i="3"/>
  <c r="M111" i="3"/>
  <c r="M49" i="9"/>
  <c r="M116" i="3"/>
  <c r="M117" i="3"/>
  <c r="M115" i="3"/>
  <c r="M118" i="3"/>
  <c r="M120" i="3"/>
  <c r="M50" i="9"/>
  <c r="M124" i="3"/>
  <c r="M125" i="3"/>
  <c r="M127" i="3"/>
  <c r="M51" i="9"/>
  <c r="M131" i="3"/>
  <c r="M132" i="3"/>
  <c r="M134" i="3"/>
  <c r="M52" i="9"/>
  <c r="M138" i="3"/>
  <c r="M139" i="3"/>
  <c r="M141" i="3"/>
  <c r="M53" i="9"/>
  <c r="M145" i="3"/>
  <c r="M146" i="3"/>
  <c r="M147" i="3"/>
  <c r="M149" i="3"/>
  <c r="M54" i="9"/>
  <c r="M56" i="9"/>
  <c r="M74" i="9"/>
  <c r="M76" i="9"/>
  <c r="M78" i="9"/>
  <c r="K85" i="9"/>
  <c r="N29" i="9"/>
  <c r="N30" i="9"/>
  <c r="N34" i="9"/>
  <c r="N36" i="9"/>
  <c r="O19" i="2"/>
  <c r="O20" i="2"/>
  <c r="O22" i="2"/>
  <c r="O5" i="2"/>
  <c r="O6" i="2"/>
  <c r="O7" i="2"/>
  <c r="O8" i="2"/>
  <c r="O9" i="2"/>
  <c r="O10" i="2"/>
  <c r="O12" i="2"/>
  <c r="O13" i="2"/>
  <c r="O14" i="2"/>
  <c r="O16" i="2"/>
  <c r="O24" i="2"/>
  <c r="N59" i="9"/>
  <c r="O28" i="2"/>
  <c r="O29" i="2"/>
  <c r="O36" i="2"/>
  <c r="N60" i="9"/>
  <c r="N62" i="9"/>
  <c r="K84" i="9"/>
  <c r="N65" i="9"/>
  <c r="N72" i="9"/>
  <c r="N35" i="3"/>
  <c r="N36" i="3"/>
  <c r="N38" i="3"/>
  <c r="N40" i="9"/>
  <c r="N42" i="3"/>
  <c r="N43" i="3"/>
  <c r="N45" i="3"/>
  <c r="N41" i="9"/>
  <c r="N49" i="3"/>
  <c r="N50" i="3"/>
  <c r="N52" i="3"/>
  <c r="N42" i="9"/>
  <c r="N56" i="3"/>
  <c r="N57" i="3"/>
  <c r="N58" i="3"/>
  <c r="N59" i="3"/>
  <c r="N61" i="3"/>
  <c r="N43" i="9"/>
  <c r="N65" i="3"/>
  <c r="N66" i="3"/>
  <c r="N68" i="3"/>
  <c r="N44" i="9"/>
  <c r="N72" i="3"/>
  <c r="N73" i="3"/>
  <c r="N75" i="3"/>
  <c r="N76" i="3"/>
  <c r="N78" i="3"/>
  <c r="N45" i="9"/>
  <c r="N82" i="3"/>
  <c r="N83" i="3"/>
  <c r="N84" i="3"/>
  <c r="N86" i="3"/>
  <c r="N46" i="9"/>
  <c r="N90" i="3"/>
  <c r="N91" i="3"/>
  <c r="N92" i="3"/>
  <c r="N94" i="3"/>
  <c r="N47" i="9"/>
  <c r="N98" i="3"/>
  <c r="N99" i="3"/>
  <c r="N100" i="3"/>
  <c r="N101" i="3"/>
  <c r="N103" i="3"/>
  <c r="N48" i="9"/>
  <c r="N107" i="3"/>
  <c r="N108" i="3"/>
  <c r="N109" i="3"/>
  <c r="N111" i="3"/>
  <c r="N49" i="9"/>
  <c r="N116" i="3"/>
  <c r="N117" i="3"/>
  <c r="N115" i="3"/>
  <c r="N118" i="3"/>
  <c r="N120" i="3"/>
  <c r="N50" i="9"/>
  <c r="N124" i="3"/>
  <c r="N125" i="3"/>
  <c r="N127" i="3"/>
  <c r="N51" i="9"/>
  <c r="N131" i="3"/>
  <c r="N132" i="3"/>
  <c r="N134" i="3"/>
  <c r="N52" i="9"/>
  <c r="N138" i="3"/>
  <c r="N139" i="3"/>
  <c r="N141" i="3"/>
  <c r="N53" i="9"/>
  <c r="N145" i="3"/>
  <c r="N146" i="3"/>
  <c r="N147" i="3"/>
  <c r="N149" i="3"/>
  <c r="N54" i="9"/>
  <c r="N56" i="9"/>
  <c r="N74" i="9"/>
  <c r="N76" i="9"/>
  <c r="N78" i="9"/>
  <c r="O30" i="9"/>
  <c r="O34" i="9"/>
  <c r="O26" i="9"/>
  <c r="O36" i="9"/>
  <c r="P19" i="2"/>
  <c r="P20" i="2"/>
  <c r="P22" i="2"/>
  <c r="P5" i="2"/>
  <c r="P6" i="2"/>
  <c r="P7" i="2"/>
  <c r="P8" i="2"/>
  <c r="P9" i="2"/>
  <c r="P10" i="2"/>
  <c r="P12" i="2"/>
  <c r="P13" i="2"/>
  <c r="P14" i="2"/>
  <c r="P16" i="2"/>
  <c r="P24" i="2"/>
  <c r="O59" i="9"/>
  <c r="P28" i="2"/>
  <c r="P29" i="2"/>
  <c r="P36" i="2"/>
  <c r="O60" i="9"/>
  <c r="O62" i="9"/>
  <c r="O35" i="3"/>
  <c r="O36" i="3"/>
  <c r="O38" i="3"/>
  <c r="O40" i="9"/>
  <c r="O42" i="3"/>
  <c r="O43" i="3"/>
  <c r="O45" i="3"/>
  <c r="O41" i="9"/>
  <c r="O49" i="3"/>
  <c r="O50" i="3"/>
  <c r="O52" i="3"/>
  <c r="O42" i="9"/>
  <c r="O56" i="3"/>
  <c r="O57" i="3"/>
  <c r="O58" i="3"/>
  <c r="O59" i="3"/>
  <c r="O61" i="3"/>
  <c r="O43" i="9"/>
  <c r="O65" i="3"/>
  <c r="O66" i="3"/>
  <c r="O68" i="3"/>
  <c r="O44" i="9"/>
  <c r="O72" i="3"/>
  <c r="O73" i="3"/>
  <c r="O75" i="3"/>
  <c r="O76" i="3"/>
  <c r="O78" i="3"/>
  <c r="O45" i="9"/>
  <c r="O82" i="3"/>
  <c r="O83" i="3"/>
  <c r="O84" i="3"/>
  <c r="O86" i="3"/>
  <c r="O46" i="9"/>
  <c r="O90" i="3"/>
  <c r="O91" i="3"/>
  <c r="O92" i="3"/>
  <c r="O94" i="3"/>
  <c r="O47" i="9"/>
  <c r="O98" i="3"/>
  <c r="O99" i="3"/>
  <c r="O100" i="3"/>
  <c r="O101" i="3"/>
  <c r="O103" i="3"/>
  <c r="O48" i="9"/>
  <c r="O107" i="3"/>
  <c r="O108" i="3"/>
  <c r="O109" i="3"/>
  <c r="O111" i="3"/>
  <c r="O49" i="9"/>
  <c r="O116" i="3"/>
  <c r="O117" i="3"/>
  <c r="O115" i="3"/>
  <c r="O118" i="3"/>
  <c r="O120" i="3"/>
  <c r="O50" i="9"/>
  <c r="O124" i="3"/>
  <c r="O125" i="3"/>
  <c r="O127" i="3"/>
  <c r="O51" i="9"/>
  <c r="O131" i="3"/>
  <c r="O132" i="3"/>
  <c r="O134" i="3"/>
  <c r="O52" i="9"/>
  <c r="O138" i="3"/>
  <c r="O139" i="3"/>
  <c r="O141" i="3"/>
  <c r="O53" i="9"/>
  <c r="O145" i="3"/>
  <c r="O146" i="3"/>
  <c r="O147" i="3"/>
  <c r="O149" i="3"/>
  <c r="O54" i="9"/>
  <c r="O56" i="9"/>
  <c r="O74" i="9"/>
  <c r="O76" i="9"/>
  <c r="O78" i="9"/>
  <c r="P30" i="9"/>
  <c r="P34" i="9"/>
  <c r="P26" i="9"/>
  <c r="P36" i="9"/>
  <c r="Q19" i="2"/>
  <c r="Q20" i="2"/>
  <c r="Q22" i="2"/>
  <c r="Q5" i="2"/>
  <c r="Q6" i="2"/>
  <c r="Q7" i="2"/>
  <c r="Q8" i="2"/>
  <c r="Q9" i="2"/>
  <c r="Q10" i="2"/>
  <c r="Q12" i="2"/>
  <c r="Q13" i="2"/>
  <c r="Q14" i="2"/>
  <c r="Q16" i="2"/>
  <c r="Q24" i="2"/>
  <c r="P59" i="9"/>
  <c r="Q28" i="2"/>
  <c r="Q29" i="2"/>
  <c r="Q36" i="2"/>
  <c r="P60" i="9"/>
  <c r="P62" i="9"/>
  <c r="P35" i="3"/>
  <c r="P36" i="3"/>
  <c r="P38" i="3"/>
  <c r="P40" i="9"/>
  <c r="P42" i="3"/>
  <c r="P43" i="3"/>
  <c r="P45" i="3"/>
  <c r="P41" i="9"/>
  <c r="P49" i="3"/>
  <c r="P50" i="3"/>
  <c r="P52" i="3"/>
  <c r="P42" i="9"/>
  <c r="P56" i="3"/>
  <c r="P57" i="3"/>
  <c r="P58" i="3"/>
  <c r="P59" i="3"/>
  <c r="P61" i="3"/>
  <c r="P43" i="9"/>
  <c r="P65" i="3"/>
  <c r="P66" i="3"/>
  <c r="P68" i="3"/>
  <c r="P44" i="9"/>
  <c r="P72" i="3"/>
  <c r="P73" i="3"/>
  <c r="P75" i="3"/>
  <c r="P76" i="3"/>
  <c r="P78" i="3"/>
  <c r="P45" i="9"/>
  <c r="P82" i="3"/>
  <c r="P83" i="3"/>
  <c r="P84" i="3"/>
  <c r="P86" i="3"/>
  <c r="P46" i="9"/>
  <c r="P90" i="3"/>
  <c r="P91" i="3"/>
  <c r="P92" i="3"/>
  <c r="P94" i="3"/>
  <c r="P47" i="9"/>
  <c r="P98" i="3"/>
  <c r="P99" i="3"/>
  <c r="P100" i="3"/>
  <c r="P101" i="3"/>
  <c r="P103" i="3"/>
  <c r="P48" i="9"/>
  <c r="P107" i="3"/>
  <c r="P108" i="3"/>
  <c r="P109" i="3"/>
  <c r="P111" i="3"/>
  <c r="P49" i="9"/>
  <c r="P116" i="3"/>
  <c r="P117" i="3"/>
  <c r="P115" i="3"/>
  <c r="P118" i="3"/>
  <c r="P120" i="3"/>
  <c r="P50" i="9"/>
  <c r="P124" i="3"/>
  <c r="P125" i="3"/>
  <c r="P127" i="3"/>
  <c r="P51" i="9"/>
  <c r="P131" i="3"/>
  <c r="P132" i="3"/>
  <c r="P134" i="3"/>
  <c r="P52" i="9"/>
  <c r="P138" i="3"/>
  <c r="P139" i="3"/>
  <c r="P141" i="3"/>
  <c r="P53" i="9"/>
  <c r="P145" i="3"/>
  <c r="P146" i="3"/>
  <c r="P147" i="3"/>
  <c r="P149" i="3"/>
  <c r="P54" i="9"/>
  <c r="P56" i="9"/>
  <c r="P74" i="9"/>
  <c r="P76" i="9"/>
  <c r="P78" i="9"/>
  <c r="N85" i="9"/>
  <c r="R29" i="9"/>
  <c r="S6" i="2"/>
  <c r="S7" i="2"/>
  <c r="S8" i="2"/>
  <c r="S9" i="2"/>
  <c r="S10" i="2"/>
  <c r="S12" i="2"/>
  <c r="S13" i="2"/>
  <c r="S14" i="2"/>
  <c r="S5" i="2"/>
  <c r="S16" i="2"/>
  <c r="S19" i="2"/>
  <c r="S20" i="2"/>
  <c r="S22" i="2"/>
  <c r="S24" i="2"/>
  <c r="R42" i="3"/>
  <c r="R43" i="3"/>
  <c r="R45" i="3"/>
  <c r="R41" i="9"/>
  <c r="R49" i="3"/>
  <c r="R50" i="3"/>
  <c r="R52" i="3"/>
  <c r="R42" i="9"/>
  <c r="R56" i="3"/>
  <c r="R57" i="3"/>
  <c r="R58" i="3"/>
  <c r="R59" i="3"/>
  <c r="R61" i="3"/>
  <c r="R43" i="9"/>
  <c r="R65" i="3"/>
  <c r="R66" i="3"/>
  <c r="R68" i="3"/>
  <c r="R44" i="9"/>
  <c r="R82" i="3"/>
  <c r="R83" i="3"/>
  <c r="R84" i="3"/>
  <c r="R86" i="3"/>
  <c r="R46" i="9"/>
  <c r="R90" i="3"/>
  <c r="R91" i="3"/>
  <c r="R92" i="3"/>
  <c r="R94" i="3"/>
  <c r="R47" i="9"/>
  <c r="R99" i="3"/>
  <c r="R100" i="3"/>
  <c r="R101" i="3"/>
  <c r="R103" i="3"/>
  <c r="R48" i="9"/>
  <c r="R107" i="3"/>
  <c r="R108" i="3"/>
  <c r="R109" i="3"/>
  <c r="R111" i="3"/>
  <c r="R49" i="9"/>
  <c r="R131" i="3"/>
  <c r="R132" i="3"/>
  <c r="R134" i="3"/>
  <c r="R52" i="9"/>
  <c r="R145" i="3"/>
  <c r="R146" i="3"/>
  <c r="R147" i="3"/>
  <c r="R149" i="3"/>
  <c r="R54" i="9"/>
  <c r="R30" i="9"/>
  <c r="R34" i="9"/>
  <c r="R26" i="9"/>
  <c r="R36" i="9"/>
  <c r="R59" i="9"/>
  <c r="S29" i="2"/>
  <c r="S28" i="2"/>
  <c r="S36" i="2"/>
  <c r="R60" i="9"/>
  <c r="R62" i="9"/>
  <c r="N84" i="9"/>
  <c r="R65" i="9"/>
  <c r="R15" i="9"/>
  <c r="P15" i="9"/>
  <c r="R69" i="9"/>
  <c r="R72" i="9"/>
  <c r="R35" i="3"/>
  <c r="R36" i="3"/>
  <c r="R38" i="3"/>
  <c r="R40" i="9"/>
  <c r="R72" i="3"/>
  <c r="R73" i="3"/>
  <c r="R75" i="3"/>
  <c r="R76" i="3"/>
  <c r="R78" i="3"/>
  <c r="R45" i="9"/>
  <c r="R116" i="3"/>
  <c r="R117" i="3"/>
  <c r="R115" i="3"/>
  <c r="R118" i="3"/>
  <c r="R120" i="3"/>
  <c r="R50" i="9"/>
  <c r="R124" i="3"/>
  <c r="R125" i="3"/>
  <c r="R127" i="3"/>
  <c r="R51" i="9"/>
  <c r="R138" i="3"/>
  <c r="R139" i="3"/>
  <c r="R141" i="3"/>
  <c r="R53" i="9"/>
  <c r="R56" i="9"/>
  <c r="R74" i="9"/>
  <c r="R76" i="9"/>
  <c r="R78" i="9"/>
  <c r="R85" i="9"/>
  <c r="S29" i="9"/>
  <c r="T6" i="2"/>
  <c r="T7" i="2"/>
  <c r="T8" i="2"/>
  <c r="T9" i="2"/>
  <c r="T10" i="2"/>
  <c r="T12" i="2"/>
  <c r="T13" i="2"/>
  <c r="T14" i="2"/>
  <c r="T5" i="2"/>
  <c r="T16" i="2"/>
  <c r="T19" i="2"/>
  <c r="T20" i="2"/>
  <c r="T22" i="2"/>
  <c r="T24" i="2"/>
  <c r="S42" i="3"/>
  <c r="S43" i="3"/>
  <c r="S45" i="3"/>
  <c r="S41" i="9"/>
  <c r="S49" i="3"/>
  <c r="S50" i="3"/>
  <c r="S52" i="3"/>
  <c r="S42" i="9"/>
  <c r="S56" i="3"/>
  <c r="S57" i="3"/>
  <c r="S58" i="3"/>
  <c r="S59" i="3"/>
  <c r="S61" i="3"/>
  <c r="S43" i="9"/>
  <c r="S65" i="3"/>
  <c r="S66" i="3"/>
  <c r="S68" i="3"/>
  <c r="S44" i="9"/>
  <c r="S82" i="3"/>
  <c r="S83" i="3"/>
  <c r="S84" i="3"/>
  <c r="S86" i="3"/>
  <c r="S46" i="9"/>
  <c r="S90" i="3"/>
  <c r="S91" i="3"/>
  <c r="S92" i="3"/>
  <c r="S94" i="3"/>
  <c r="S47" i="9"/>
  <c r="S99" i="3"/>
  <c r="S100" i="3"/>
  <c r="S101" i="3"/>
  <c r="S103" i="3"/>
  <c r="S48" i="9"/>
  <c r="S107" i="3"/>
  <c r="S108" i="3"/>
  <c r="S109" i="3"/>
  <c r="S111" i="3"/>
  <c r="S49" i="9"/>
  <c r="S131" i="3"/>
  <c r="S132" i="3"/>
  <c r="S134" i="3"/>
  <c r="S52" i="9"/>
  <c r="S145" i="3"/>
  <c r="S146" i="3"/>
  <c r="S147" i="3"/>
  <c r="S149" i="3"/>
  <c r="S54" i="9"/>
  <c r="S30" i="9"/>
  <c r="S34" i="9"/>
  <c r="S21" i="9"/>
  <c r="S26" i="9"/>
  <c r="S36" i="9"/>
  <c r="S59" i="9"/>
  <c r="T29" i="2"/>
  <c r="T28" i="2"/>
  <c r="T36" i="2"/>
  <c r="S60" i="9"/>
  <c r="S62" i="9"/>
  <c r="R84" i="9"/>
  <c r="S65" i="9"/>
  <c r="S15" i="9"/>
  <c r="S69" i="9"/>
  <c r="S72" i="9"/>
  <c r="S35" i="3"/>
  <c r="S36" i="3"/>
  <c r="S38" i="3"/>
  <c r="S40" i="9"/>
  <c r="S72" i="3"/>
  <c r="S73" i="3"/>
  <c r="S75" i="3"/>
  <c r="S76" i="3"/>
  <c r="S78" i="3"/>
  <c r="S45" i="9"/>
  <c r="S116" i="3"/>
  <c r="S117" i="3"/>
  <c r="S115" i="3"/>
  <c r="S118" i="3"/>
  <c r="S120" i="3"/>
  <c r="S50" i="9"/>
  <c r="S124" i="3"/>
  <c r="S125" i="3"/>
  <c r="S127" i="3"/>
  <c r="S51" i="9"/>
  <c r="S138" i="3"/>
  <c r="S139" i="3"/>
  <c r="S141" i="3"/>
  <c r="S53" i="9"/>
  <c r="S56" i="9"/>
  <c r="S74" i="9"/>
  <c r="S76" i="9"/>
  <c r="S78" i="9"/>
  <c r="Q78" i="9"/>
  <c r="S85" i="9"/>
  <c r="T29" i="9"/>
  <c r="U6" i="2"/>
  <c r="U7" i="2"/>
  <c r="U8" i="2"/>
  <c r="U9" i="2"/>
  <c r="U10" i="2"/>
  <c r="U12" i="2"/>
  <c r="U13" i="2"/>
  <c r="U14" i="2"/>
  <c r="U5" i="2"/>
  <c r="U16" i="2"/>
  <c r="U19" i="2"/>
  <c r="U20" i="2"/>
  <c r="U22" i="2"/>
  <c r="U24" i="2"/>
  <c r="T42" i="3"/>
  <c r="T43" i="3"/>
  <c r="T45" i="3"/>
  <c r="T41" i="9"/>
  <c r="T49" i="3"/>
  <c r="T50" i="3"/>
  <c r="T52" i="3"/>
  <c r="T42" i="9"/>
  <c r="T56" i="3"/>
  <c r="T57" i="3"/>
  <c r="T58" i="3"/>
  <c r="T59" i="3"/>
  <c r="T61" i="3"/>
  <c r="T43" i="9"/>
  <c r="T65" i="3"/>
  <c r="T66" i="3"/>
  <c r="T68" i="3"/>
  <c r="T44" i="9"/>
  <c r="T82" i="3"/>
  <c r="T83" i="3"/>
  <c r="T84" i="3"/>
  <c r="T86" i="3"/>
  <c r="T46" i="9"/>
  <c r="T90" i="3"/>
  <c r="T91" i="3"/>
  <c r="T92" i="3"/>
  <c r="T94" i="3"/>
  <c r="T47" i="9"/>
  <c r="T99" i="3"/>
  <c r="T100" i="3"/>
  <c r="T101" i="3"/>
  <c r="T103" i="3"/>
  <c r="T48" i="9"/>
  <c r="T107" i="3"/>
  <c r="T108" i="3"/>
  <c r="T109" i="3"/>
  <c r="T111" i="3"/>
  <c r="T49" i="9"/>
  <c r="T131" i="3"/>
  <c r="T132" i="3"/>
  <c r="T134" i="3"/>
  <c r="T52" i="9"/>
  <c r="T145" i="3"/>
  <c r="T146" i="3"/>
  <c r="T147" i="3"/>
  <c r="T149" i="3"/>
  <c r="T54" i="9"/>
  <c r="T30" i="9"/>
  <c r="T34" i="9"/>
  <c r="T21" i="9"/>
  <c r="T26" i="9"/>
  <c r="T36" i="9"/>
  <c r="T59" i="9"/>
  <c r="U29" i="2"/>
  <c r="U28" i="2"/>
  <c r="U36" i="2"/>
  <c r="T60" i="9"/>
  <c r="T62" i="9"/>
  <c r="S84" i="9"/>
  <c r="T65" i="9"/>
  <c r="T15" i="9"/>
  <c r="T69" i="9"/>
  <c r="T72" i="9"/>
  <c r="T35" i="3"/>
  <c r="T36" i="3"/>
  <c r="T38" i="3"/>
  <c r="T40" i="9"/>
  <c r="T72" i="3"/>
  <c r="T73" i="3"/>
  <c r="T75" i="3"/>
  <c r="T76" i="3"/>
  <c r="T78" i="3"/>
  <c r="T45" i="9"/>
  <c r="T116" i="3"/>
  <c r="T117" i="3"/>
  <c r="T115" i="3"/>
  <c r="T118" i="3"/>
  <c r="T120" i="3"/>
  <c r="T50" i="9"/>
  <c r="T124" i="3"/>
  <c r="T125" i="3"/>
  <c r="T127" i="3"/>
  <c r="T51" i="9"/>
  <c r="T138" i="3"/>
  <c r="T139" i="3"/>
  <c r="T141" i="3"/>
  <c r="T53" i="9"/>
  <c r="T56" i="9"/>
  <c r="T74" i="9"/>
  <c r="T76" i="9"/>
  <c r="T78" i="9"/>
  <c r="T85" i="9"/>
  <c r="U29" i="9"/>
  <c r="V6" i="2"/>
  <c r="V7" i="2"/>
  <c r="V8" i="2"/>
  <c r="V9" i="2"/>
  <c r="V10" i="2"/>
  <c r="V12" i="2"/>
  <c r="V13" i="2"/>
  <c r="V14" i="2"/>
  <c r="V5" i="2"/>
  <c r="V16" i="2"/>
  <c r="V19" i="2"/>
  <c r="V20" i="2"/>
  <c r="V22" i="2"/>
  <c r="V24" i="2"/>
  <c r="U42" i="3"/>
  <c r="U43" i="3"/>
  <c r="U45" i="3"/>
  <c r="U41" i="9"/>
  <c r="U49" i="3"/>
  <c r="U50" i="3"/>
  <c r="U52" i="3"/>
  <c r="U42" i="9"/>
  <c r="U56" i="3"/>
  <c r="U57" i="3"/>
  <c r="U58" i="3"/>
  <c r="U59" i="3"/>
  <c r="U61" i="3"/>
  <c r="U43" i="9"/>
  <c r="U65" i="3"/>
  <c r="U66" i="3"/>
  <c r="U68" i="3"/>
  <c r="U44" i="9"/>
  <c r="U82" i="3"/>
  <c r="U83" i="3"/>
  <c r="U84" i="3"/>
  <c r="U86" i="3"/>
  <c r="U46" i="9"/>
  <c r="U90" i="3"/>
  <c r="U91" i="3"/>
  <c r="U92" i="3"/>
  <c r="U94" i="3"/>
  <c r="U47" i="9"/>
  <c r="U99" i="3"/>
  <c r="U100" i="3"/>
  <c r="U101" i="3"/>
  <c r="U103" i="3"/>
  <c r="U48" i="9"/>
  <c r="U107" i="3"/>
  <c r="U108" i="3"/>
  <c r="U109" i="3"/>
  <c r="U111" i="3"/>
  <c r="U49" i="9"/>
  <c r="U131" i="3"/>
  <c r="U132" i="3"/>
  <c r="U134" i="3"/>
  <c r="U52" i="9"/>
  <c r="U145" i="3"/>
  <c r="U146" i="3"/>
  <c r="U147" i="3"/>
  <c r="U149" i="3"/>
  <c r="U54" i="9"/>
  <c r="U30" i="9"/>
  <c r="U34" i="9"/>
  <c r="U21" i="9"/>
  <c r="U26" i="9"/>
  <c r="U36" i="9"/>
  <c r="U59" i="9"/>
  <c r="V29" i="2"/>
  <c r="V28" i="2"/>
  <c r="V36" i="2"/>
  <c r="U60" i="9"/>
  <c r="U62" i="9"/>
  <c r="T84" i="9"/>
  <c r="U65" i="9"/>
  <c r="U15" i="9"/>
  <c r="U69" i="9"/>
  <c r="U72" i="9"/>
  <c r="U35" i="3"/>
  <c r="U36" i="3"/>
  <c r="U38" i="3"/>
  <c r="U40" i="9"/>
  <c r="U72" i="3"/>
  <c r="U73" i="3"/>
  <c r="U75" i="3"/>
  <c r="U76" i="3"/>
  <c r="U78" i="3"/>
  <c r="U45" i="9"/>
  <c r="U116" i="3"/>
  <c r="U117" i="3"/>
  <c r="U115" i="3"/>
  <c r="U118" i="3"/>
  <c r="U120" i="3"/>
  <c r="U50" i="9"/>
  <c r="U124" i="3"/>
  <c r="U125" i="3"/>
  <c r="U127" i="3"/>
  <c r="U51" i="9"/>
  <c r="U138" i="3"/>
  <c r="U139" i="3"/>
  <c r="U141" i="3"/>
  <c r="U53" i="9"/>
  <c r="U56" i="9"/>
  <c r="U74" i="9"/>
  <c r="U76" i="9"/>
  <c r="U78" i="9"/>
  <c r="U85" i="9"/>
  <c r="W29" i="9"/>
  <c r="X6" i="2"/>
  <c r="X7" i="2"/>
  <c r="X8" i="2"/>
  <c r="X9" i="2"/>
  <c r="X10" i="2"/>
  <c r="X12" i="2"/>
  <c r="X13" i="2"/>
  <c r="X14" i="2"/>
  <c r="X5" i="2"/>
  <c r="X16" i="2"/>
  <c r="X19" i="2"/>
  <c r="X20" i="2"/>
  <c r="X22" i="2"/>
  <c r="X24" i="2"/>
  <c r="W42" i="3"/>
  <c r="W43" i="3"/>
  <c r="W45" i="3"/>
  <c r="W41" i="9"/>
  <c r="W49" i="3"/>
  <c r="W50" i="3"/>
  <c r="W52" i="3"/>
  <c r="W42" i="9"/>
  <c r="W56" i="3"/>
  <c r="W57" i="3"/>
  <c r="W58" i="3"/>
  <c r="W59" i="3"/>
  <c r="W61" i="3"/>
  <c r="W43" i="9"/>
  <c r="W65" i="3"/>
  <c r="W66" i="3"/>
  <c r="W68" i="3"/>
  <c r="W44" i="9"/>
  <c r="W82" i="3"/>
  <c r="W83" i="3"/>
  <c r="W84" i="3"/>
  <c r="W86" i="3"/>
  <c r="W46" i="9"/>
  <c r="W90" i="3"/>
  <c r="W91" i="3"/>
  <c r="W92" i="3"/>
  <c r="W94" i="3"/>
  <c r="W47" i="9"/>
  <c r="W99" i="3"/>
  <c r="W100" i="3"/>
  <c r="W101" i="3"/>
  <c r="W103" i="3"/>
  <c r="W48" i="9"/>
  <c r="W107" i="3"/>
  <c r="W108" i="3"/>
  <c r="W109" i="3"/>
  <c r="W111" i="3"/>
  <c r="W49" i="9"/>
  <c r="W132" i="3"/>
  <c r="W134" i="3"/>
  <c r="W52" i="9"/>
  <c r="W145" i="3"/>
  <c r="W146" i="3"/>
  <c r="W147" i="3"/>
  <c r="W149" i="3"/>
  <c r="W54" i="9"/>
  <c r="W30" i="9"/>
  <c r="W34" i="9"/>
  <c r="W26" i="9"/>
  <c r="W36" i="9"/>
  <c r="W59" i="9"/>
  <c r="X29" i="2"/>
  <c r="X28" i="2"/>
  <c r="X36" i="2"/>
  <c r="W60" i="9"/>
  <c r="W62" i="9"/>
  <c r="U84" i="9"/>
  <c r="W65" i="9"/>
  <c r="V78" i="9"/>
  <c r="W84" i="9"/>
  <c r="W39" i="6"/>
  <c r="W85" i="9"/>
  <c r="W40" i="6"/>
  <c r="W42" i="6"/>
  <c r="E5" i="8"/>
  <c r="F5" i="8"/>
  <c r="G5" i="8"/>
  <c r="H5" i="8"/>
  <c r="I5" i="8"/>
  <c r="E6" i="8"/>
  <c r="F6" i="8"/>
  <c r="G6" i="8"/>
  <c r="H6" i="8"/>
  <c r="I6" i="8"/>
  <c r="E7" i="8"/>
  <c r="F7" i="8"/>
  <c r="G7" i="8"/>
  <c r="H7" i="8"/>
  <c r="I7" i="8"/>
  <c r="E8" i="8"/>
  <c r="F8" i="8"/>
  <c r="G8" i="8"/>
  <c r="H8" i="8"/>
  <c r="I8" i="8"/>
  <c r="E9" i="8"/>
  <c r="F9" i="8"/>
  <c r="G9" i="8"/>
  <c r="H9" i="8"/>
  <c r="I9" i="8"/>
  <c r="E10" i="8"/>
  <c r="H10" i="8"/>
  <c r="F10" i="8"/>
  <c r="G10" i="8"/>
  <c r="I10" i="8"/>
  <c r="E11" i="8"/>
  <c r="H11" i="8"/>
  <c r="F11" i="8"/>
  <c r="G11" i="8"/>
  <c r="I11" i="8"/>
  <c r="E13" i="8"/>
  <c r="F13" i="8"/>
  <c r="G13" i="8"/>
  <c r="H13" i="8"/>
  <c r="I13" i="8"/>
  <c r="E14" i="8"/>
  <c r="F14" i="8"/>
  <c r="G14" i="8"/>
  <c r="H14" i="8"/>
  <c r="I14" i="8"/>
  <c r="I16" i="8"/>
  <c r="W36" i="6"/>
  <c r="W19" i="6"/>
  <c r="W20" i="6"/>
  <c r="W10" i="6"/>
  <c r="W12" i="6"/>
  <c r="W13" i="6"/>
  <c r="W14" i="6"/>
  <c r="W18" i="6"/>
  <c r="W22" i="6"/>
  <c r="W35" i="3"/>
  <c r="W36" i="3"/>
  <c r="W38" i="3"/>
  <c r="W23" i="6"/>
  <c r="W24" i="6"/>
  <c r="W25" i="6"/>
  <c r="W72" i="3"/>
  <c r="W73" i="3"/>
  <c r="W75" i="3"/>
  <c r="W76" i="3"/>
  <c r="W78" i="3"/>
  <c r="W26" i="6"/>
  <c r="W27" i="6"/>
  <c r="W28" i="6"/>
  <c r="W29" i="6"/>
  <c r="W30" i="6"/>
  <c r="W116" i="3"/>
  <c r="W117" i="3"/>
  <c r="W115" i="3"/>
  <c r="W118" i="3"/>
  <c r="W120" i="3"/>
  <c r="W31" i="6"/>
  <c r="W124" i="3"/>
  <c r="W125" i="3"/>
  <c r="W127" i="3"/>
  <c r="W32" i="6"/>
  <c r="W33" i="6"/>
  <c r="W138" i="3"/>
  <c r="W139" i="3"/>
  <c r="W141" i="3"/>
  <c r="W34" i="6"/>
  <c r="W35" i="6"/>
  <c r="W38" i="6"/>
  <c r="W44" i="6"/>
  <c r="W49" i="6"/>
  <c r="W50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F16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22" i="6"/>
  <c r="L19" i="6"/>
  <c r="L20" i="6"/>
  <c r="L22" i="6"/>
  <c r="M19" i="6"/>
  <c r="M20" i="6"/>
  <c r="M22" i="6"/>
  <c r="N19" i="6"/>
  <c r="N20" i="6"/>
  <c r="N22" i="6"/>
  <c r="O19" i="6"/>
  <c r="O20" i="6"/>
  <c r="O22" i="6"/>
  <c r="P19" i="6"/>
  <c r="P20" i="6"/>
  <c r="P10" i="6"/>
  <c r="P12" i="6"/>
  <c r="P13" i="6"/>
  <c r="P14" i="6"/>
  <c r="P18" i="6"/>
  <c r="P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38" i="6"/>
  <c r="Q44" i="6"/>
  <c r="Q49" i="6"/>
  <c r="Q50" i="6"/>
  <c r="Q52" i="6"/>
  <c r="V51" i="6"/>
  <c r="R39" i="6"/>
  <c r="S39" i="6"/>
  <c r="T39" i="6"/>
  <c r="U39" i="6"/>
  <c r="V39" i="6"/>
  <c r="R40" i="6"/>
  <c r="S40" i="6"/>
  <c r="T40" i="6"/>
  <c r="U40" i="6"/>
  <c r="V40" i="6"/>
  <c r="V42" i="6"/>
  <c r="H16" i="8"/>
  <c r="R36" i="6"/>
  <c r="S36" i="6"/>
  <c r="T36" i="6"/>
  <c r="U36" i="6"/>
  <c r="V36" i="6"/>
  <c r="R19" i="6"/>
  <c r="S19" i="6"/>
  <c r="T19" i="6"/>
  <c r="U19" i="6"/>
  <c r="V19" i="6"/>
  <c r="R20" i="6"/>
  <c r="S20" i="6"/>
  <c r="T20" i="6"/>
  <c r="U20" i="6"/>
  <c r="V20" i="6"/>
  <c r="V9" i="6"/>
  <c r="R10" i="6"/>
  <c r="S10" i="6"/>
  <c r="T10" i="6"/>
  <c r="U10" i="6"/>
  <c r="V10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3" i="6"/>
  <c r="S23" i="6"/>
  <c r="T23" i="6"/>
  <c r="U23" i="6"/>
  <c r="V23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1" i="6"/>
  <c r="S31" i="6"/>
  <c r="T31" i="6"/>
  <c r="U31" i="6"/>
  <c r="V31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V38" i="6"/>
  <c r="V44" i="6"/>
  <c r="V49" i="6"/>
  <c r="V50" i="6"/>
  <c r="V52" i="6"/>
  <c r="W51" i="6"/>
  <c r="W54" i="6"/>
  <c r="W55" i="6"/>
  <c r="W56" i="6"/>
  <c r="W67" i="9"/>
  <c r="W15" i="9"/>
  <c r="W69" i="9"/>
  <c r="W72" i="9"/>
  <c r="W40" i="9"/>
  <c r="W45" i="9"/>
  <c r="W50" i="9"/>
  <c r="W51" i="9"/>
  <c r="W53" i="9"/>
  <c r="W56" i="9"/>
  <c r="W74" i="9"/>
  <c r="W76" i="9"/>
  <c r="W78" i="9"/>
  <c r="X29" i="9"/>
  <c r="Y6" i="2"/>
  <c r="Y7" i="2"/>
  <c r="Y8" i="2"/>
  <c r="Y9" i="2"/>
  <c r="Y10" i="2"/>
  <c r="Y12" i="2"/>
  <c r="Y13" i="2"/>
  <c r="Y14" i="2"/>
  <c r="Y5" i="2"/>
  <c r="Y16" i="2"/>
  <c r="Y19" i="2"/>
  <c r="Y20" i="2"/>
  <c r="Y22" i="2"/>
  <c r="Y24" i="2"/>
  <c r="X42" i="3"/>
  <c r="X43" i="3"/>
  <c r="X45" i="3"/>
  <c r="X41" i="9"/>
  <c r="X49" i="3"/>
  <c r="X50" i="3"/>
  <c r="X52" i="3"/>
  <c r="X42" i="9"/>
  <c r="X56" i="3"/>
  <c r="X57" i="3"/>
  <c r="X58" i="3"/>
  <c r="X59" i="3"/>
  <c r="X61" i="3"/>
  <c r="X43" i="9"/>
  <c r="X65" i="3"/>
  <c r="X66" i="3"/>
  <c r="X68" i="3"/>
  <c r="X44" i="9"/>
  <c r="X82" i="3"/>
  <c r="X83" i="3"/>
  <c r="X84" i="3"/>
  <c r="X86" i="3"/>
  <c r="X46" i="9"/>
  <c r="X90" i="3"/>
  <c r="X91" i="3"/>
  <c r="X92" i="3"/>
  <c r="X94" i="3"/>
  <c r="X47" i="9"/>
  <c r="X99" i="3"/>
  <c r="X100" i="3"/>
  <c r="X101" i="3"/>
  <c r="X103" i="3"/>
  <c r="X48" i="9"/>
  <c r="X107" i="3"/>
  <c r="X108" i="3"/>
  <c r="X109" i="3"/>
  <c r="X111" i="3"/>
  <c r="X49" i="9"/>
  <c r="X132" i="3"/>
  <c r="X134" i="3"/>
  <c r="X52" i="9"/>
  <c r="X145" i="3"/>
  <c r="X146" i="3"/>
  <c r="X147" i="3"/>
  <c r="X149" i="3"/>
  <c r="X54" i="9"/>
  <c r="X30" i="9"/>
  <c r="X34" i="9"/>
  <c r="X26" i="9"/>
  <c r="X36" i="9"/>
  <c r="X59" i="9"/>
  <c r="Y29" i="2"/>
  <c r="Y28" i="2"/>
  <c r="Y36" i="2"/>
  <c r="X60" i="9"/>
  <c r="X62" i="9"/>
  <c r="X65" i="9"/>
  <c r="X84" i="9"/>
  <c r="X39" i="6"/>
  <c r="X85" i="9"/>
  <c r="X40" i="6"/>
  <c r="X42" i="6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3" i="8"/>
  <c r="K13" i="8"/>
  <c r="J14" i="8"/>
  <c r="K14" i="8"/>
  <c r="K16" i="8"/>
  <c r="X36" i="6"/>
  <c r="X19" i="6"/>
  <c r="X20" i="6"/>
  <c r="X10" i="6"/>
  <c r="X12" i="6"/>
  <c r="X13" i="6"/>
  <c r="X14" i="6"/>
  <c r="X18" i="6"/>
  <c r="X22" i="6"/>
  <c r="X35" i="3"/>
  <c r="X36" i="3"/>
  <c r="X38" i="3"/>
  <c r="X23" i="6"/>
  <c r="X24" i="6"/>
  <c r="X25" i="6"/>
  <c r="X72" i="3"/>
  <c r="X73" i="3"/>
  <c r="X75" i="3"/>
  <c r="X76" i="3"/>
  <c r="X78" i="3"/>
  <c r="X26" i="6"/>
  <c r="X27" i="6"/>
  <c r="X28" i="6"/>
  <c r="X29" i="6"/>
  <c r="X30" i="6"/>
  <c r="X116" i="3"/>
  <c r="X117" i="3"/>
  <c r="X115" i="3"/>
  <c r="X118" i="3"/>
  <c r="X120" i="3"/>
  <c r="X31" i="6"/>
  <c r="X124" i="3"/>
  <c r="X125" i="3"/>
  <c r="X127" i="3"/>
  <c r="X32" i="6"/>
  <c r="X33" i="6"/>
  <c r="X138" i="3"/>
  <c r="X139" i="3"/>
  <c r="X141" i="3"/>
  <c r="X34" i="6"/>
  <c r="X35" i="6"/>
  <c r="X38" i="6"/>
  <c r="X44" i="6"/>
  <c r="X49" i="6"/>
  <c r="X50" i="6"/>
  <c r="W52" i="6"/>
  <c r="X51" i="6"/>
  <c r="X54" i="6"/>
  <c r="X55" i="6"/>
  <c r="X56" i="6"/>
  <c r="X67" i="9"/>
  <c r="X15" i="9"/>
  <c r="X69" i="9"/>
  <c r="X72" i="9"/>
  <c r="X40" i="9"/>
  <c r="X45" i="9"/>
  <c r="X50" i="9"/>
  <c r="X51" i="9"/>
  <c r="X53" i="9"/>
  <c r="X56" i="9"/>
  <c r="X74" i="9"/>
  <c r="X76" i="9"/>
  <c r="X78" i="9"/>
  <c r="C26" i="14"/>
  <c r="E10" i="6"/>
  <c r="F10" i="6"/>
  <c r="G10" i="6"/>
  <c r="H10" i="6"/>
  <c r="I10" i="6"/>
  <c r="J10" i="6"/>
  <c r="L10" i="6"/>
  <c r="M10" i="6"/>
  <c r="N10" i="6"/>
  <c r="O10" i="6"/>
  <c r="K10" i="6"/>
  <c r="K15" i="9"/>
  <c r="M69" i="9"/>
  <c r="M72" i="9"/>
  <c r="M15" i="9"/>
  <c r="O69" i="9"/>
  <c r="O72" i="9"/>
  <c r="K12" i="6"/>
  <c r="K13" i="6"/>
  <c r="K14" i="6"/>
  <c r="K18" i="6"/>
  <c r="M12" i="6"/>
  <c r="M13" i="6"/>
  <c r="M14" i="6"/>
  <c r="M18" i="6"/>
  <c r="O12" i="6"/>
  <c r="O13" i="6"/>
  <c r="O14" i="6"/>
  <c r="O18" i="6"/>
  <c r="L12" i="6"/>
  <c r="L13" i="6"/>
  <c r="L14" i="6"/>
  <c r="L18" i="6"/>
  <c r="N12" i="6"/>
  <c r="N13" i="6"/>
  <c r="N14" i="6"/>
  <c r="N18" i="6"/>
  <c r="E12" i="6"/>
  <c r="E13" i="6"/>
  <c r="E14" i="6"/>
  <c r="E18" i="6"/>
  <c r="F12" i="6"/>
  <c r="F13" i="6"/>
  <c r="F14" i="6"/>
  <c r="F18" i="6"/>
  <c r="G12" i="6"/>
  <c r="G13" i="6"/>
  <c r="G14" i="6"/>
  <c r="G18" i="6"/>
  <c r="H12" i="6"/>
  <c r="H13" i="6"/>
  <c r="H14" i="6"/>
  <c r="H18" i="6"/>
  <c r="I12" i="6"/>
  <c r="I13" i="6"/>
  <c r="I14" i="6"/>
  <c r="I18" i="6"/>
  <c r="J12" i="6"/>
  <c r="J13" i="6"/>
  <c r="J14" i="6"/>
  <c r="J18" i="6"/>
  <c r="Q54" i="6"/>
  <c r="Q55" i="6"/>
  <c r="Q56" i="6"/>
  <c r="E33" i="11"/>
  <c r="Q45" i="6"/>
  <c r="Q47" i="6"/>
  <c r="E28" i="11"/>
  <c r="E30" i="11"/>
  <c r="E36" i="11"/>
  <c r="K16" i="9"/>
  <c r="L16" i="9"/>
  <c r="M16" i="9"/>
  <c r="N16" i="9"/>
  <c r="O16" i="9"/>
  <c r="P16" i="9"/>
  <c r="I16" i="9"/>
  <c r="J16" i="9"/>
  <c r="Q16" i="9"/>
  <c r="Q9" i="6"/>
  <c r="Q15" i="9"/>
  <c r="E16" i="11"/>
  <c r="E18" i="11"/>
  <c r="Q116" i="3"/>
  <c r="Q117" i="3"/>
  <c r="Q115" i="3"/>
  <c r="Q118" i="3"/>
  <c r="Q120" i="3"/>
  <c r="Q50" i="9"/>
  <c r="R19" i="2"/>
  <c r="R20" i="2"/>
  <c r="R22" i="2"/>
  <c r="R5" i="2"/>
  <c r="R6" i="2"/>
  <c r="R7" i="2"/>
  <c r="R8" i="2"/>
  <c r="R9" i="2"/>
  <c r="R10" i="2"/>
  <c r="R12" i="2"/>
  <c r="R13" i="2"/>
  <c r="R14" i="2"/>
  <c r="R16" i="2"/>
  <c r="R24" i="2"/>
  <c r="R28" i="2"/>
  <c r="R29" i="2"/>
  <c r="R36" i="2"/>
  <c r="R38" i="2"/>
  <c r="Q59" i="9"/>
  <c r="Q60" i="9"/>
  <c r="Q62" i="9"/>
  <c r="Q19" i="6"/>
  <c r="Q20" i="6"/>
  <c r="Q42" i="3"/>
  <c r="Q43" i="3"/>
  <c r="Q45" i="3"/>
  <c r="Q41" i="9"/>
  <c r="Q49" i="3"/>
  <c r="Q50" i="3"/>
  <c r="Q52" i="3"/>
  <c r="Q42" i="9"/>
  <c r="Q56" i="3"/>
  <c r="Q57" i="3"/>
  <c r="Q58" i="3"/>
  <c r="Q59" i="3"/>
  <c r="Q61" i="3"/>
  <c r="Q43" i="9"/>
  <c r="Q65" i="3"/>
  <c r="Q66" i="3"/>
  <c r="Q68" i="3"/>
  <c r="Q44" i="9"/>
  <c r="Q72" i="3"/>
  <c r="Q73" i="3"/>
  <c r="Q75" i="3"/>
  <c r="Q76" i="3"/>
  <c r="Q78" i="3"/>
  <c r="Q45" i="9"/>
  <c r="Q82" i="3"/>
  <c r="Q83" i="3"/>
  <c r="Q84" i="3"/>
  <c r="Q86" i="3"/>
  <c r="Q46" i="9"/>
  <c r="Q90" i="3"/>
  <c r="Q91" i="3"/>
  <c r="Q92" i="3"/>
  <c r="Q94" i="3"/>
  <c r="Q47" i="9"/>
  <c r="Q98" i="3"/>
  <c r="Q99" i="3"/>
  <c r="Q100" i="3"/>
  <c r="Q101" i="3"/>
  <c r="Q103" i="3"/>
  <c r="Q48" i="9"/>
  <c r="Q107" i="3"/>
  <c r="Q108" i="3"/>
  <c r="Q109" i="3"/>
  <c r="Q111" i="3"/>
  <c r="Q49" i="9"/>
  <c r="Q124" i="3"/>
  <c r="Q125" i="3"/>
  <c r="Q127" i="3"/>
  <c r="Q51" i="9"/>
  <c r="Q131" i="3"/>
  <c r="Q132" i="3"/>
  <c r="Q134" i="3"/>
  <c r="Q52" i="9"/>
  <c r="Q138" i="3"/>
  <c r="Q139" i="3"/>
  <c r="Q141" i="3"/>
  <c r="Q53" i="9"/>
  <c r="Q145" i="3"/>
  <c r="Q146" i="3"/>
  <c r="Q147" i="3"/>
  <c r="Q149" i="3"/>
  <c r="Q54" i="9"/>
  <c r="E34" i="11"/>
  <c r="A19" i="8" a="1"/>
  <c r="B19" i="8"/>
  <c r="G19" i="8"/>
  <c r="E6" i="11"/>
  <c r="E7" i="11"/>
  <c r="E8" i="11"/>
  <c r="E28" i="8"/>
  <c r="F28" i="8"/>
  <c r="G28" i="8"/>
  <c r="E32" i="8"/>
  <c r="F32" i="8"/>
  <c r="G32" i="8"/>
  <c r="E33" i="8"/>
  <c r="F33" i="8"/>
  <c r="G33" i="8"/>
  <c r="E34" i="8"/>
  <c r="F34" i="8"/>
  <c r="G34" i="8"/>
  <c r="G36" i="8"/>
  <c r="E9" i="11"/>
  <c r="E10" i="11"/>
  <c r="E12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O15" i="9"/>
  <c r="V54" i="6"/>
  <c r="V55" i="6"/>
  <c r="V56" i="6"/>
  <c r="V45" i="6"/>
  <c r="V47" i="6"/>
  <c r="G28" i="11"/>
  <c r="G30" i="11"/>
  <c r="G33" i="11"/>
  <c r="G36" i="11"/>
  <c r="G18" i="11"/>
  <c r="R16" i="9"/>
  <c r="S16" i="9"/>
  <c r="T16" i="9"/>
  <c r="U16" i="9"/>
  <c r="V16" i="9"/>
  <c r="V15" i="9"/>
  <c r="G16" i="11"/>
  <c r="V116" i="3"/>
  <c r="V117" i="3"/>
  <c r="V115" i="3"/>
  <c r="V118" i="3"/>
  <c r="V120" i="3"/>
  <c r="V50" i="9"/>
  <c r="W6" i="2"/>
  <c r="W7" i="2"/>
  <c r="W8" i="2"/>
  <c r="W9" i="2"/>
  <c r="W10" i="2"/>
  <c r="W12" i="2"/>
  <c r="W13" i="2"/>
  <c r="W14" i="2"/>
  <c r="W5" i="2"/>
  <c r="W16" i="2"/>
  <c r="W19" i="2"/>
  <c r="W20" i="2"/>
  <c r="W22" i="2"/>
  <c r="W24" i="2"/>
  <c r="W29" i="2"/>
  <c r="W28" i="2"/>
  <c r="W36" i="2"/>
  <c r="W38" i="2"/>
  <c r="V59" i="9"/>
  <c r="V60" i="9"/>
  <c r="V62" i="9"/>
  <c r="V42" i="3"/>
  <c r="V43" i="3"/>
  <c r="V45" i="3"/>
  <c r="V41" i="9"/>
  <c r="V49" i="3"/>
  <c r="V50" i="3"/>
  <c r="V52" i="3"/>
  <c r="V42" i="9"/>
  <c r="V56" i="3"/>
  <c r="V57" i="3"/>
  <c r="V58" i="3"/>
  <c r="V59" i="3"/>
  <c r="V61" i="3"/>
  <c r="V43" i="9"/>
  <c r="V65" i="3"/>
  <c r="V66" i="3"/>
  <c r="V68" i="3"/>
  <c r="V44" i="9"/>
  <c r="V72" i="3"/>
  <c r="V73" i="3"/>
  <c r="V75" i="3"/>
  <c r="V76" i="3"/>
  <c r="V78" i="3"/>
  <c r="V45" i="9"/>
  <c r="V82" i="3"/>
  <c r="V83" i="3"/>
  <c r="V84" i="3"/>
  <c r="V86" i="3"/>
  <c r="V46" i="9"/>
  <c r="V90" i="3"/>
  <c r="V91" i="3"/>
  <c r="V92" i="3"/>
  <c r="V94" i="3"/>
  <c r="V47" i="9"/>
  <c r="V98" i="3"/>
  <c r="V99" i="3"/>
  <c r="V100" i="3"/>
  <c r="V101" i="3"/>
  <c r="V103" i="3"/>
  <c r="V48" i="9"/>
  <c r="V107" i="3"/>
  <c r="V108" i="3"/>
  <c r="V109" i="3"/>
  <c r="V111" i="3"/>
  <c r="V49" i="9"/>
  <c r="V124" i="3"/>
  <c r="V125" i="3"/>
  <c r="V127" i="3"/>
  <c r="V51" i="9"/>
  <c r="V132" i="3"/>
  <c r="V134" i="3"/>
  <c r="V52" i="9"/>
  <c r="V138" i="3"/>
  <c r="V139" i="3"/>
  <c r="V141" i="3"/>
  <c r="V53" i="9"/>
  <c r="V145" i="3"/>
  <c r="V146" i="3"/>
  <c r="V147" i="3"/>
  <c r="V149" i="3"/>
  <c r="V54" i="9"/>
  <c r="G34" i="11"/>
  <c r="I19" i="8"/>
  <c r="G6" i="11"/>
  <c r="G7" i="11"/>
  <c r="G8" i="11"/>
  <c r="H28" i="8"/>
  <c r="I28" i="8"/>
  <c r="H32" i="8"/>
  <c r="I32" i="8"/>
  <c r="H33" i="8"/>
  <c r="I33" i="8"/>
  <c r="H34" i="8"/>
  <c r="I34" i="8"/>
  <c r="I36" i="8"/>
  <c r="G9" i="11"/>
  <c r="G10" i="11"/>
  <c r="G12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45" i="6"/>
  <c r="W47" i="6"/>
  <c r="I28" i="11"/>
  <c r="I30" i="11"/>
  <c r="I33" i="11"/>
  <c r="I36" i="11"/>
  <c r="I18" i="11"/>
  <c r="W16" i="9"/>
  <c r="I16" i="11"/>
  <c r="X38" i="2"/>
  <c r="I34" i="11"/>
  <c r="K19" i="8"/>
  <c r="I6" i="11"/>
  <c r="I7" i="11"/>
  <c r="I8" i="11"/>
  <c r="J28" i="8"/>
  <c r="K28" i="8"/>
  <c r="J32" i="8"/>
  <c r="K32" i="8"/>
  <c r="J33" i="8"/>
  <c r="K33" i="8"/>
  <c r="J34" i="8"/>
  <c r="K34" i="8"/>
  <c r="K36" i="8"/>
  <c r="I9" i="11"/>
  <c r="I10" i="11"/>
  <c r="I12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45" i="6"/>
  <c r="X47" i="6"/>
  <c r="K28" i="11"/>
  <c r="K30" i="11"/>
  <c r="K33" i="11"/>
  <c r="K36" i="11"/>
  <c r="K18" i="11"/>
  <c r="X16" i="9"/>
  <c r="K16" i="11"/>
  <c r="Y38" i="2"/>
  <c r="K34" i="11"/>
  <c r="M19" i="8"/>
  <c r="K6" i="11"/>
  <c r="L5" i="8"/>
  <c r="M5" i="8"/>
  <c r="L6" i="8"/>
  <c r="M6" i="8"/>
  <c r="K7" i="11"/>
  <c r="L11" i="8"/>
  <c r="M11" i="8"/>
  <c r="L13" i="8"/>
  <c r="M13" i="8"/>
  <c r="K8" i="11"/>
  <c r="L28" i="8"/>
  <c r="M28" i="8"/>
  <c r="L32" i="8"/>
  <c r="M32" i="8"/>
  <c r="L33" i="8"/>
  <c r="M33" i="8"/>
  <c r="L34" i="8"/>
  <c r="M34" i="8"/>
  <c r="M36" i="8"/>
  <c r="K9" i="11"/>
  <c r="L8" i="8"/>
  <c r="M8" i="8"/>
  <c r="L9" i="8"/>
  <c r="M9" i="8"/>
  <c r="L10" i="8"/>
  <c r="M10" i="8"/>
  <c r="K10" i="11"/>
  <c r="K12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Q18" i="6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47" i="3"/>
  <c r="Z146" i="3"/>
  <c r="Z145" i="3"/>
  <c r="Z139" i="3"/>
  <c r="Z138" i="3"/>
  <c r="Z132" i="3"/>
  <c r="Z131" i="3"/>
  <c r="Z125" i="3"/>
  <c r="Z124" i="3"/>
  <c r="Z118" i="3"/>
  <c r="Z117" i="3"/>
  <c r="Z116" i="3"/>
  <c r="Z115" i="3"/>
  <c r="Z109" i="3"/>
  <c r="Z108" i="3"/>
  <c r="Z107" i="3"/>
  <c r="Z99" i="3"/>
  <c r="Z100" i="3"/>
  <c r="Z101" i="3"/>
  <c r="Z98" i="3"/>
  <c r="Z92" i="3"/>
  <c r="Z91" i="3"/>
  <c r="Z90" i="3"/>
  <c r="Z83" i="3"/>
  <c r="Z84" i="3"/>
  <c r="Z82" i="3"/>
  <c r="Z73" i="3"/>
  <c r="Z75" i="3"/>
  <c r="Z76" i="3"/>
  <c r="Z72" i="3"/>
  <c r="Z66" i="3"/>
  <c r="Z65" i="3"/>
  <c r="Z57" i="3"/>
  <c r="Z58" i="3"/>
  <c r="Z59" i="3"/>
  <c r="Z56" i="3"/>
  <c r="Z50" i="3"/>
  <c r="Z49" i="3"/>
  <c r="Z43" i="3"/>
  <c r="Z42" i="3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2" i="15"/>
  <c r="E22" i="15"/>
  <c r="D24" i="15"/>
  <c r="E24" i="15"/>
  <c r="D25" i="15"/>
  <c r="E25" i="15"/>
  <c r="C22" i="15"/>
  <c r="C24" i="15"/>
  <c r="V69" i="9"/>
  <c r="C25" i="15"/>
  <c r="C20" i="15"/>
  <c r="C19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V35" i="3"/>
  <c r="V36" i="3"/>
  <c r="V38" i="3"/>
  <c r="V40" i="9"/>
  <c r="C4" i="15"/>
  <c r="B22" i="15"/>
  <c r="B24" i="15"/>
  <c r="Q69" i="9"/>
  <c r="B25" i="15"/>
  <c r="B20" i="15"/>
  <c r="B19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Q35" i="3"/>
  <c r="Q36" i="3"/>
  <c r="Q38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F12" i="12"/>
  <c r="G12" i="12"/>
  <c r="H12" i="12"/>
  <c r="E12" i="12"/>
  <c r="Q23" i="9"/>
  <c r="V23" i="9"/>
  <c r="Q22" i="9"/>
  <c r="V22" i="9"/>
  <c r="A19" i="8"/>
  <c r="B22" i="2"/>
  <c r="C21" i="8"/>
  <c r="C20" i="8"/>
  <c r="C19" i="8"/>
  <c r="D21" i="8"/>
  <c r="D20" i="8"/>
  <c r="D19" i="8"/>
  <c r="B21" i="8"/>
  <c r="B20" i="8"/>
  <c r="A21" i="8"/>
  <c r="A20" i="8"/>
  <c r="H10" i="12"/>
  <c r="G10" i="12"/>
  <c r="F10" i="12"/>
  <c r="E10" i="1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G26" i="9"/>
  <c r="F26" i="9"/>
  <c r="L26" i="9"/>
  <c r="E34" i="9"/>
  <c r="H26" i="9"/>
  <c r="N26" i="9"/>
  <c r="E26" i="9"/>
  <c r="H11" i="12"/>
  <c r="E36" i="9"/>
  <c r="E16" i="9"/>
  <c r="H16" i="9"/>
  <c r="F36" i="9"/>
  <c r="F16" i="9"/>
  <c r="G16" i="9"/>
  <c r="Q26" i="9"/>
  <c r="B22" i="8"/>
  <c r="B36" i="8"/>
  <c r="L14" i="8"/>
  <c r="K20" i="8"/>
  <c r="M20" i="8"/>
  <c r="I20" i="8"/>
  <c r="G20" i="8"/>
  <c r="B16" i="8"/>
  <c r="B24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M14" i="8"/>
  <c r="L7" i="8"/>
  <c r="F11" i="12"/>
  <c r="J36" i="8"/>
  <c r="H36" i="8"/>
  <c r="M22" i="8"/>
  <c r="I22" i="8"/>
  <c r="K22" i="8"/>
  <c r="G22" i="8"/>
  <c r="J16" i="8"/>
  <c r="U18" i="6"/>
  <c r="Q10" i="6"/>
  <c r="Q12" i="6"/>
  <c r="B36" i="2"/>
  <c r="E11" i="12"/>
  <c r="F36" i="8"/>
  <c r="M7" i="8"/>
  <c r="G16" i="8"/>
  <c r="G24" i="8"/>
  <c r="J38" i="8"/>
  <c r="H38" i="8"/>
  <c r="T18" i="6"/>
  <c r="S18" i="6"/>
  <c r="R18" i="6"/>
  <c r="Q14" i="6"/>
  <c r="Q13" i="6"/>
  <c r="G38" i="8"/>
  <c r="F38" i="8"/>
  <c r="G5" i="12"/>
  <c r="F5" i="12"/>
  <c r="I24" i="8"/>
  <c r="I38" i="8"/>
  <c r="V17" i="3"/>
  <c r="Q17" i="3"/>
  <c r="V11" i="3"/>
  <c r="V10" i="3"/>
  <c r="Q16" i="3"/>
  <c r="V16" i="3"/>
  <c r="V9" i="3"/>
  <c r="Q8" i="3"/>
  <c r="V8" i="3"/>
  <c r="Q11" i="3"/>
  <c r="Q10" i="3"/>
  <c r="Q9" i="3"/>
  <c r="E5" i="12"/>
  <c r="V28" i="3"/>
  <c r="V13" i="3"/>
  <c r="Q28" i="3"/>
  <c r="Q13" i="3"/>
  <c r="L16" i="8"/>
  <c r="L36" i="8"/>
  <c r="H5" i="12"/>
  <c r="K24" i="8"/>
  <c r="K38" i="8"/>
  <c r="R22" i="6"/>
  <c r="L38" i="8"/>
  <c r="M16" i="8"/>
  <c r="M24" i="8"/>
  <c r="M38" i="8"/>
  <c r="B13" i="3"/>
  <c r="B28" i="3"/>
  <c r="Z36" i="3"/>
  <c r="B36" i="3"/>
  <c r="Q30" i="3"/>
  <c r="V30" i="3"/>
  <c r="Z149" i="3"/>
  <c r="B149" i="3"/>
  <c r="Z141" i="3"/>
  <c r="B141" i="3"/>
  <c r="Z134" i="3"/>
  <c r="B134" i="3"/>
  <c r="Z127" i="3"/>
  <c r="B127" i="3"/>
  <c r="Z111" i="3"/>
  <c r="B111" i="3"/>
  <c r="Z103" i="3"/>
  <c r="B103" i="3"/>
  <c r="Z94" i="3"/>
  <c r="B94" i="3"/>
  <c r="Z86" i="3"/>
  <c r="B86" i="3"/>
  <c r="Z78" i="3"/>
  <c r="B78" i="3"/>
  <c r="Z68" i="3"/>
  <c r="B68" i="3"/>
  <c r="Z52" i="3"/>
  <c r="B52" i="3"/>
  <c r="Z45" i="3"/>
  <c r="B45" i="3"/>
  <c r="S22" i="6"/>
  <c r="T22" i="6"/>
  <c r="U22" i="6"/>
  <c r="Z61" i="3"/>
  <c r="B61" i="3"/>
  <c r="B30" i="3"/>
  <c r="B16" i="2"/>
  <c r="B24" i="2"/>
  <c r="B38" i="2"/>
  <c r="L38" i="2"/>
  <c r="P38" i="2"/>
  <c r="H38" i="2"/>
  <c r="Q38" i="2"/>
  <c r="O38" i="2"/>
  <c r="K38" i="2"/>
  <c r="N38" i="2"/>
  <c r="J38" i="2"/>
  <c r="F38" i="2"/>
  <c r="M38" i="2"/>
  <c r="I38" i="2"/>
  <c r="T38" i="2"/>
  <c r="E4" i="13"/>
  <c r="F4" i="13"/>
  <c r="U38" i="2"/>
  <c r="G38" i="2"/>
  <c r="Q30" i="9"/>
  <c r="V38" i="2"/>
  <c r="S38" i="2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20" i="3"/>
  <c r="B120" i="3"/>
  <c r="Q56" i="9"/>
  <c r="N38" i="6"/>
  <c r="G38" i="6"/>
  <c r="T38" i="6"/>
  <c r="Z35" i="3"/>
  <c r="Z38" i="3"/>
  <c r="B38" i="3"/>
  <c r="B35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C4" i="14"/>
  <c r="Q72" i="9"/>
  <c r="Q74" i="9"/>
  <c r="C5" i="14"/>
  <c r="C6" i="14"/>
  <c r="C7" i="14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D4" i="14"/>
  <c r="E4" i="14"/>
  <c r="F4" i="14"/>
  <c r="V72" i="9"/>
  <c r="V74" i="9"/>
  <c r="D5" i="14"/>
  <c r="E5" i="14"/>
  <c r="F5" i="14"/>
  <c r="D6" i="14"/>
  <c r="E6" i="14"/>
  <c r="F6" i="14"/>
  <c r="D7" i="14"/>
  <c r="E7" i="14"/>
  <c r="F7" i="14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<sst xmlns="http://schemas.openxmlformats.org/spreadsheetml/2006/main" count="771" uniqueCount="281">
  <si>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</si>
  <si>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</si>
  <si>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</si>
  <si>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</si>
  <si>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</si>
  <si>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</si>
  <si>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</si>
  <si>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</si>
  <si>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</si>
  <si>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</si>
  <si>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</si>
  <si>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</si>
  <si>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</si>
  <si>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</si>
  <si>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</si>
  <si>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</si>
  <si>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</si>
  <si>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</si>
  <si>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</si>
  <si>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</si>
  <si>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</si>
  <si>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</si>
  <si>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</si>
  <si>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</si>
  <si>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</si>
  <si>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</si>
  <si>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</si>
  <si>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</si>
  <si>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</si>
  <si>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</si>
  <si>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</si>
  <si>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</si>
  <si>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</si>
  <si>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</si>
  <si>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</si>
  <si>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</si>
  <si>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</si>
  <si>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</si>
  <si>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</si>
  <si>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</si>
  <si>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</si>
  <si>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</si>
  <si>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</si>
  <si>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</si>
  <si>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</si>
  <si>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</si>
  <si>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</si>
  <si>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</si>
  <si>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</si>
  <si>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</si>
  <si>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</si>
  <si>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</si>
  <si>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</si>
  <si>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</si>
  <si>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</si>
  <si>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</si>
  <si>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</si>
  <si>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</si>
  <si>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</si>
  <si>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</si>
  <si>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</si>
  <si>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</si>
  <si>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</si>
  <si>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</si>
  <si>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</si>
  <si>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</si>
  <si>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</si>
  <si>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</si>
  <si>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</si>
  <si>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</si>
  <si>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</si>
  <si>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</si>
  <si>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</si>
  <si>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</si>
  <si>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</si>
  <si>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</si>
  <si>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</si>
  <si>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</si>
  <si>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</si>
  <si>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</si>
  <si>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</si>
  <si>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</si>
  <si>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</si>
  <si>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</si>
  <si>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</si>
  <si>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</si>
  <si>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</si>
  <si>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</si>
  <si>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</si>
  <si>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</si>
  <si>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</si>
  <si>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</si>
  <si>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</si>
  <si>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</si>
  <si>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</si>
  <si>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</si>
  <si>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</si>
  <si>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</si>
  <si>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</si>
  <si>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</si>
  <si>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</si>
  <si>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</si>
  <si>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</si>
  <si>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</si>
  <si>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</si>
  <si>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</si>
  <si>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</si>
  <si>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</si>
  <si>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</si>
  <si>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</si>
  <si>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</si>
  <si>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</si>
  <si>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</si>
  <si>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</si>
  <si>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</si>
  <si>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</si>
  <si>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</si>
  <si>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</si>
  <si>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</si>
  <si>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</si>
  <si>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</si>
  <si>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</si>
  <si>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</si>
  <si>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</si>
  <si>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</si>
  <si>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</si>
  <si>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</si>
  <si>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</si>
  <si>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</si>
  <si>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</si>
  <si>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</si>
  <si>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</si>
  <si>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</si>
  <si>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</si>
  <si>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</si>
  <si>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</si>
  <si>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</si>
  <si>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</si>
  <si>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</si>
  <si>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</si>
  <si>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</si>
  <si>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</si>
  <si>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</si>
  <si>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</si>
  <si>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</si>
  <si>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</si>
  <si>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</si>
  <si>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</si>
  <si>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</si>
  <si>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</si>
  <si>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</si>
  <si>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</si>
  <si>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</si>
  <si>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</si>
  <si>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</si>
  <si>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</si>
  <si>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</si>
  <si>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</si>
  <si>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</si>
  <si>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</si>
  <si>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</si>
  <si>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</si>
  <si>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</si>
  <si>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</si>
  <si>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</si>
  <si>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</si>
  <si>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</si>
  <si>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</si>
  <si>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</si>
  <si>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</si>
  <si>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</si>
  <si>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</si>
  <si>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</si>
  <si>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</si>
  <si>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</si>
  <si>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</si>
  <si>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</si>
  <si>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</si>
  <si>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</si>
  <si>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</si>
  <si>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</si>
  <si>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</si>
  <si>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</si>
  <si>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</si>
  <si>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</si>
  <si>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</si>
  <si>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</si>
  <si>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</si>
  <si>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</si>
  <si>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</si>
  <si>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</si>
  <si>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</si>
  <si>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</si>
  <si>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</si>
  <si>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</si>
  <si>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</si>
  <si>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</si>
  <si>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</si>
  <si>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</si>
  <si>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</si>
  <si>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</si>
  <si>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</si>
  <si>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</si>
  <si>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</si>
  <si>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</si>
  <si>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</si>
  <si>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</si>
  <si>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</si>
  <si>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</si>
  <si>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</si>
  <si>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</si>
  <si>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</si>
  <si>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</si>
  <si>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</si>
  <si>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</si>
  <si>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</si>
  <si>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</si>
  <si>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</si>
  <si>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</si>
  <si>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</si>
  <si>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</si>
  <si>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</si>
  <si>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</si>
  <si>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</si>
  <si>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</si>
  <si>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</si>
  <si>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</si>
  <si>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</si>
  <si>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</si>
  <si>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</si>
  <si>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</si>
  <si>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</si>
  <si>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</si>
  <si>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</si>
  <si>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</si>
  <si>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</si>
  <si>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</si>
  <si>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</si>
  <si>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</si>
  <si>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</si>
  <si>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</si>
  <si>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</si>
  <si>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</si>
  <si>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</si>
  <si>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</si>
  <si>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</si>
  <si>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</si>
  <si>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</si>
  <si>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</si>
  <si>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</si>
  <si>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</si>
  <si>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</si>
  <si>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</si>
  <si>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</si>
  <si>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</si>
  <si>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</si>
  <si>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</si>
  <si>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</si>
  <si>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Grundschulung</t>
  </si>
  <si>
    <t>Kum. Umsätze</t>
  </si>
  <si>
    <t>Kum. Kosten</t>
  </si>
  <si>
    <t>Geplante vorsteuerabzugsfähige
Investitionen (netto)</t>
  </si>
  <si>
    <t>Aufwände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</si>
  <si>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</si>
  <si>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</si>
  <si>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</si>
  <si>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</si>
  <si>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</si>
  <si>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</si>
  <si>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</si>
  <si>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Vertrieb</t>
  </si>
  <si>
    <t>Versicherung Auto (Haftpflicht + Kasko) (3. Jahr)</t>
  </si>
  <si>
    <t>Beginn</t>
  </si>
  <si>
    <t>Blattschutz-Passwort: bwl</t>
  </si>
  <si>
    <t>Brutto-Umsatzrentabilität (EBT/Umsatz)</t>
  </si>
  <si>
    <t>Expertenschulung</t>
  </si>
  <si>
    <t>Umsätze (netto)</t>
  </si>
  <si>
    <t>Kosten (netto)</t>
  </si>
  <si>
    <t>Kum. Umsätze (netto)</t>
  </si>
  <si>
    <t>Kum. Kosten (netto)</t>
  </si>
  <si>
    <t>Mail: braeuer_chrissi@gmx.net
Mobil: +43 (0)699 181 19 053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</si>
</sst>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#,##0\ &quot;€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5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4" fontId="0" fillId="0" borderId="288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289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293" xfId="0" applyNumberFormat="1" applyFont="1" applyBorder="1" applyAlignment="1">
      <alignment vertical="center"/>
    </xf>
    <xf numFmtId="164" fontId="6" fillId="0" borderId="296" xfId="0" applyNumberFormat="1" applyFont="1" applyBorder="1" applyAlignment="1">
      <alignment vertical="center"/>
    </xf>
    <xf numFmtId="0" fontId="6" fillId="0" borderId="297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298" xfId="0" applyFont="1" applyBorder="1" applyAlignment="1">
      <alignment horizontal="center" vertical="center"/>
    </xf>
    <xf numFmtId="0" fontId="0" fillId="0" borderId="291" xfId="0" applyBorder="1" applyAlignment="1">
      <alignment vertical="center"/>
    </xf>
    <xf numFmtId="0" fontId="0" fillId="0" borderId="299" xfId="0" applyBorder="1" applyAlignment="1">
      <alignment vertical="center"/>
    </xf>
    <xf numFmtId="0" fontId="0" fillId="0" borderId="294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00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horizontal="center" vertical="center"/>
    </xf>
    <xf numFmtId="0" fontId="0" fillId="0" borderId="133" xfId="0" applyFill="1" applyBorder="1" applyAlignment="1" applyProtection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0" fillId="7" borderId="172" xfId="0" applyNumberFormat="1" applyFill="1" applyBorder="1" applyAlignment="1" applyProtection="1">
      <alignment horizontal="center" vertical="center"/>
      <protection locked="0"/>
    </xf>
    <xf numFmtId="164" fontId="0" fillId="7" borderId="25" xfId="0" applyNumberFormat="1" applyFill="1" applyBorder="1" applyAlignment="1" applyProtection="1">
      <alignment horizontal="center" vertical="center"/>
      <protection locked="0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68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center" vertical="center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0" fillId="3" borderId="164" xfId="0" applyFill="1" applyBorder="1" applyAlignment="1" applyProtection="1">
      <alignment horizontal="left" vertical="center"/>
      <protection locked="0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290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291" xfId="0" applyFont="1" applyBorder="1" applyAlignment="1">
      <alignment horizontal="right" vertical="center"/>
    </xf>
    <xf numFmtId="0" fontId="6" fillId="0" borderId="292" xfId="0" applyFont="1" applyBorder="1" applyAlignment="1">
      <alignment horizontal="right" vertical="center"/>
    </xf>
    <xf numFmtId="0" fontId="6" fillId="0" borderId="294" xfId="0" applyFont="1" applyBorder="1" applyAlignment="1">
      <alignment horizontal="right" vertical="center"/>
    </xf>
    <xf numFmtId="0" fontId="6" fillId="0" borderId="295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522613.6333333333</c:v>
                </c:pt>
                <c:pt idx="2">
                  <c:v>1784782.803358095</c:v>
                </c:pt>
                <c:pt idx="3">
                  <c:v>4378730.3524893718</c:v>
                </c:pt>
                <c:pt idx="4">
                  <c:v>12871598.75108505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616079.24918567983</c:v>
                </c:pt>
                <c:pt idx="2">
                  <c:v>1569972.4076801776</c:v>
                </c:pt>
                <c:pt idx="3">
                  <c:v>3196074.5876893331</c:v>
                </c:pt>
                <c:pt idx="4">
                  <c:v>6841600.7457557023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,\ &quot; Mio. 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10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 (netto)'!$A$6</c:f>
              <c:strCache>
                <c:ptCount val="1"/>
                <c:pt idx="0">
                  <c:v>Kum. Umsätze (netto)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441333.6333333333</c:v>
                </c:pt>
                <c:pt idx="2">
                  <c:v>1498162.803358095</c:v>
                </c:pt>
                <c:pt idx="3">
                  <c:v>3663950.3524893718</c:v>
                </c:pt>
                <c:pt idx="4">
                  <c:v>10744898.75108505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D-46D0-B6C3-53C33885DA86}"/>
            </c:ext>
          </c:extLst>
        </c:ser>
        <c:ser>
          <c:idx val="1"/>
          <c:order val="1"/>
          <c:tx>
            <c:strRef>
              <c:f>'Break-Even-Point (netto)'!$A$7</c:f>
              <c:strCache>
                <c:ptCount val="1"/>
                <c:pt idx="0">
                  <c:v>Kum. Kosten (netto)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576079.24918567983</c:v>
                </c:pt>
                <c:pt idx="2">
                  <c:v>1348179.0743468443</c:v>
                </c:pt>
                <c:pt idx="3">
                  <c:v>2580174.5876893331</c:v>
                </c:pt>
                <c:pt idx="4">
                  <c:v>4977740.7457557023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6D-46D0-B6C3-53C33885D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  <c:max val="11000000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,\ &quot; Mio. 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10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Aufwände'!$B$4:$B$18,'Aufteilung Aufwände'!$B$21:$B$23)</c:f>
              <c:numCache>
                <c:formatCode>#,##0.00\ "€"</c:formatCode>
                <c:ptCount val="18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40800</c:v>
                </c:pt>
                <c:pt idx="7">
                  <c:v>7056</c:v>
                </c:pt>
                <c:pt idx="8">
                  <c:v>8600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3966.8075942539822</c:v>
                </c:pt>
                <c:pt idx="16">
                  <c:v>0</c:v>
                </c:pt>
                <c:pt idx="17">
                  <c:v>500.00000000000006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Aufwände'!$C$4:$C$18,'Aufteilung Aufwände'!$C$21:$C$23)</c:f>
              <c:numCache>
                <c:formatCode>#,##0.00\ "€"</c:formatCode>
                <c:ptCount val="18"/>
                <c:pt idx="0">
                  <c:v>481456.5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11500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1484.2169030720329</c:v>
                </c:pt>
                <c:pt idx="16">
                  <c:v>0</c:v>
                </c:pt>
                <c:pt idx="17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Aufwände'!$D$4:$D$18,'Aufteilung Aufwände'!$D$21:$D$23)</c:f>
              <c:numCache>
                <c:formatCode>#,##0.00\ "€"</c:formatCode>
                <c:ptCount val="18"/>
                <c:pt idx="0">
                  <c:v>747916.11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14000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280420.29508439638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Aufwände'!$E$4:$E$18,'Aufteilung Aufwände'!$E$21:$E$23)</c:f>
              <c:numCache>
                <c:formatCode>#,##0.00\ "€"</c:formatCode>
                <c:ptCount val="18"/>
                <c:pt idx="0">
                  <c:v>785041.91549999989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14000</c:v>
                </c:pt>
                <c:pt idx="6">
                  <c:v>40800</c:v>
                </c:pt>
                <c:pt idx="7">
                  <c:v>7056</c:v>
                </c:pt>
                <c:pt idx="8">
                  <c:v>6600</c:v>
                </c:pt>
                <c:pt idx="9">
                  <c:v>40000</c:v>
                </c:pt>
                <c:pt idx="10">
                  <c:v>2751.1082580924999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1468865.1343082767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3543138-88A3-4EA8-906E-F95D7EF0A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G7" sqref="G7"/>
    </sheetView>
  </sheetViews>
  <sheetFormatPr baseColWidth="10" defaultRowHeight="15" x14ac:dyDescent="0.25"/>
  <cols>
    <col min="1" max="2" width="14.28515625" style="169" customWidth="1"/>
    <col min="3" max="3" width="25.7109375" style="169" bestFit="1" customWidth="1"/>
    <col min="4" max="4" width="34.28515625" style="169" customWidth="1"/>
    <col min="5" max="16384" width="11.42578125" style="169"/>
  </cols>
  <sheetData>
    <row r="1" spans="1:6" ht="27" thickBot="1" x14ac:dyDescent="0.45">
      <c r="A1" s="715" t="s">
        <v>5</v>
      </c>
      <c r="B1" s="716"/>
      <c r="C1" s="716"/>
      <c r="D1" s="717"/>
      <c r="F1" s="169" t="s">
        <v>273</v>
      </c>
    </row>
    <row r="2" spans="1:6" ht="7.5" customHeight="1" thickBot="1" x14ac:dyDescent="0.3"/>
    <row r="3" spans="1:6" ht="16.5" thickBot="1" x14ac:dyDescent="0.3">
      <c r="A3" s="718" t="s">
        <v>0</v>
      </c>
      <c r="B3" s="719"/>
      <c r="C3" s="719"/>
      <c r="D3" s="720"/>
    </row>
    <row r="4" spans="1:6" ht="7.5" customHeight="1" x14ac:dyDescent="0.25">
      <c r="A4" s="517"/>
      <c r="B4" s="518"/>
      <c r="C4" s="518"/>
      <c r="D4" s="519"/>
    </row>
    <row r="5" spans="1:6" ht="18.75" customHeight="1" thickBot="1" x14ac:dyDescent="0.3">
      <c r="A5" s="712" t="s">
        <v>10</v>
      </c>
      <c r="B5" s="713"/>
      <c r="C5" s="520" t="s">
        <v>12</v>
      </c>
      <c r="D5" s="521" t="s">
        <v>13</v>
      </c>
    </row>
    <row r="6" spans="1:6" ht="30.75" thickTop="1" x14ac:dyDescent="0.25">
      <c r="A6" s="710" t="s">
        <v>1</v>
      </c>
      <c r="B6" s="711"/>
      <c r="C6" s="82" t="s">
        <v>35</v>
      </c>
      <c r="D6" s="83" t="s">
        <v>234</v>
      </c>
    </row>
    <row r="7" spans="1:6" ht="30" x14ac:dyDescent="0.25">
      <c r="A7" s="721" t="s">
        <v>2</v>
      </c>
      <c r="B7" s="722"/>
      <c r="C7" s="84" t="s">
        <v>36</v>
      </c>
      <c r="D7" s="85" t="s">
        <v>280</v>
      </c>
    </row>
    <row r="8" spans="1:6" ht="30" x14ac:dyDescent="0.25">
      <c r="A8" s="721" t="s">
        <v>3</v>
      </c>
      <c r="B8" s="722"/>
      <c r="C8" s="84" t="s">
        <v>37</v>
      </c>
      <c r="D8" s="85" t="s">
        <v>235</v>
      </c>
    </row>
    <row r="9" spans="1:6" ht="30" x14ac:dyDescent="0.25">
      <c r="A9" s="726" t="s">
        <v>4</v>
      </c>
      <c r="B9" s="727"/>
      <c r="C9" s="86" t="s">
        <v>38</v>
      </c>
      <c r="D9" s="87" t="s">
        <v>15</v>
      </c>
    </row>
    <row r="10" spans="1:6" ht="7.5" customHeight="1" thickBot="1" x14ac:dyDescent="0.3">
      <c r="A10" s="211"/>
      <c r="B10" s="212"/>
      <c r="C10" s="212"/>
      <c r="D10" s="522"/>
    </row>
    <row r="11" spans="1:6" ht="7.5" customHeight="1" thickBot="1" x14ac:dyDescent="0.3">
      <c r="A11" s="523"/>
      <c r="B11" s="523"/>
      <c r="C11" s="523"/>
      <c r="D11" s="523"/>
    </row>
    <row r="12" spans="1:6" ht="16.5" thickBot="1" x14ac:dyDescent="0.3">
      <c r="A12" s="718" t="s">
        <v>14</v>
      </c>
      <c r="B12" s="719"/>
      <c r="C12" s="719"/>
      <c r="D12" s="720"/>
    </row>
    <row r="13" spans="1:6" ht="7.5" customHeight="1" x14ac:dyDescent="0.25">
      <c r="A13" s="524"/>
      <c r="B13" s="525"/>
      <c r="C13" s="525"/>
      <c r="D13" s="526"/>
    </row>
    <row r="14" spans="1:6" ht="18.75" customHeight="1" x14ac:dyDescent="0.25">
      <c r="A14" s="527" t="s">
        <v>11</v>
      </c>
      <c r="B14" s="725" t="s">
        <v>6</v>
      </c>
      <c r="C14" s="725"/>
      <c r="D14" s="88"/>
    </row>
    <row r="15" spans="1:6" ht="37.5" customHeight="1" x14ac:dyDescent="0.25">
      <c r="A15" s="528" t="s">
        <v>16</v>
      </c>
      <c r="B15" s="724" t="s">
        <v>8</v>
      </c>
      <c r="C15" s="724"/>
      <c r="D15" s="89"/>
    </row>
    <row r="16" spans="1:6" ht="20.25" customHeight="1" x14ac:dyDescent="0.25">
      <c r="A16" s="528" t="s">
        <v>9</v>
      </c>
      <c r="B16" s="723" t="s">
        <v>7</v>
      </c>
      <c r="C16" s="723"/>
      <c r="D16" s="90"/>
    </row>
    <row r="17" spans="1:4" x14ac:dyDescent="0.25">
      <c r="A17" s="529" t="s">
        <v>17</v>
      </c>
      <c r="B17" s="714">
        <v>43282</v>
      </c>
      <c r="C17" s="714"/>
      <c r="D17" s="91"/>
    </row>
    <row r="18" spans="1:4" ht="8.25" customHeight="1" thickBot="1" x14ac:dyDescent="0.3">
      <c r="A18" s="211"/>
      <c r="B18" s="212"/>
      <c r="C18" s="212"/>
      <c r="D18" s="522"/>
    </row>
    <row r="21" spans="1:4" ht="15.75" thickBot="1" x14ac:dyDescent="0.3"/>
    <row r="22" spans="1:4" ht="15.75" thickBot="1" x14ac:dyDescent="0.3">
      <c r="B22" s="618" t="s">
        <v>251</v>
      </c>
      <c r="C22" s="619"/>
    </row>
    <row r="23" spans="1:4" ht="15.75" thickBot="1" x14ac:dyDescent="0.3">
      <c r="B23" s="517"/>
      <c r="C23" s="519"/>
    </row>
    <row r="24" spans="1:4" ht="15.75" thickTop="1" x14ac:dyDescent="0.25">
      <c r="B24" s="606"/>
      <c r="C24" s="607" t="s">
        <v>236</v>
      </c>
    </row>
    <row r="25" spans="1:4" ht="15.75" thickBot="1" x14ac:dyDescent="0.3">
      <c r="B25" s="608"/>
      <c r="C25" s="609" t="s">
        <v>237</v>
      </c>
    </row>
    <row r="26" spans="1:4" ht="16.5" thickTop="1" thickBot="1" x14ac:dyDescent="0.3">
      <c r="B26" s="517"/>
      <c r="C26" s="519"/>
    </row>
    <row r="27" spans="1:4" ht="15.75" thickTop="1" x14ac:dyDescent="0.25">
      <c r="B27" s="610"/>
      <c r="C27" s="607" t="s">
        <v>238</v>
      </c>
    </row>
    <row r="28" spans="1:4" ht="15.75" thickBot="1" x14ac:dyDescent="0.3">
      <c r="B28" s="611"/>
      <c r="C28" s="609" t="s">
        <v>239</v>
      </c>
    </row>
    <row r="29" spans="1:4" ht="16.5" thickTop="1" thickBot="1" x14ac:dyDescent="0.3">
      <c r="B29" s="517"/>
      <c r="C29" s="519"/>
    </row>
    <row r="30" spans="1:4" ht="15.75" thickTop="1" x14ac:dyDescent="0.25">
      <c r="B30" s="612"/>
      <c r="C30" s="607" t="s">
        <v>240</v>
      </c>
    </row>
    <row r="31" spans="1:4" x14ac:dyDescent="0.25">
      <c r="B31" s="613"/>
      <c r="C31" s="614" t="s">
        <v>241</v>
      </c>
    </row>
    <row r="32" spans="1:4" ht="15.75" thickBot="1" x14ac:dyDescent="0.3">
      <c r="B32" s="615"/>
      <c r="C32" s="609" t="s">
        <v>242</v>
      </c>
    </row>
    <row r="33" spans="1:7" ht="16.5" thickTop="1" thickBot="1" x14ac:dyDescent="0.3">
      <c r="B33" s="517"/>
      <c r="C33" s="519"/>
    </row>
    <row r="34" spans="1:7" ht="16.5" thickTop="1" thickBot="1" x14ac:dyDescent="0.3">
      <c r="B34" s="616"/>
      <c r="C34" s="617" t="s">
        <v>246</v>
      </c>
    </row>
    <row r="35" spans="1:7" ht="16.5" thickTop="1" thickBot="1" x14ac:dyDescent="0.3">
      <c r="B35" s="211"/>
      <c r="C35" s="522"/>
    </row>
    <row r="40" spans="1:7" x14ac:dyDescent="0.25">
      <c r="A40" s="707" t="s">
        <v>39</v>
      </c>
      <c r="B40" s="708"/>
      <c r="C40" s="708"/>
      <c r="D40" s="709"/>
    </row>
    <row r="41" spans="1:7" ht="30" customHeight="1" x14ac:dyDescent="0.25">
      <c r="A41" s="701" t="s">
        <v>40</v>
      </c>
      <c r="B41" s="702"/>
      <c r="C41" s="702"/>
      <c r="D41" s="703"/>
      <c r="G41" s="530"/>
    </row>
    <row r="42" spans="1:7" ht="7.5" customHeight="1" x14ac:dyDescent="0.25">
      <c r="A42" s="531"/>
      <c r="B42" s="532"/>
      <c r="C42" s="532"/>
      <c r="D42" s="533"/>
    </row>
    <row r="43" spans="1:7" ht="30" customHeight="1" x14ac:dyDescent="0.25">
      <c r="A43" s="704" t="s">
        <v>41</v>
      </c>
      <c r="B43" s="705"/>
      <c r="C43" s="705"/>
      <c r="D43" s="706"/>
    </row>
    <row r="44" spans="1:7" x14ac:dyDescent="0.25">
      <c r="A44" s="534"/>
      <c r="B44" s="534"/>
      <c r="C44" s="534"/>
      <c r="D44" s="534"/>
    </row>
  </sheetData>
  <sheetProtection algorithmName="SHA-512" hashValue="Avy/hfxsWfgsLHm0aRAnvIkjrSbQoO6XwNHVbhHtPg4DmOM6lvl1Jm7IwcHJKc7FHeOPD/Tu8GIbd+tDyaTFIQ==" saltValue="T74L3ITf9tIDjINxfSUOrw==" spinCount="100000" sheet="1" objects="1" scenario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8"/>
  <sheetViews>
    <sheetView showGridLines="0" view="pageBreakPreview" zoomScaleNormal="100" zoomScaleSheetLayoutView="100" workbookViewId="0">
      <pane xSplit="5" ySplit="1" topLeftCell="R26" activePane="bottomRight" state="frozen"/>
      <selection pane="topRight" activeCell="F1" sqref="F1"/>
      <selection pane="bottomLeft" activeCell="A2" sqref="A2"/>
      <selection pane="bottomRight" activeCell="A14" sqref="A14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47" t="s">
        <v>18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8"/>
      <c r="Y1" s="749"/>
    </row>
    <row r="2" spans="1:25" ht="7.5" customHeight="1" thickBot="1" x14ac:dyDescent="0.3"/>
    <row r="3" spans="1:25" x14ac:dyDescent="0.25">
      <c r="A3" s="734" t="s">
        <v>261</v>
      </c>
      <c r="B3" s="744" t="s">
        <v>19</v>
      </c>
      <c r="C3" s="744" t="s">
        <v>31</v>
      </c>
      <c r="D3" s="744" t="s">
        <v>243</v>
      </c>
      <c r="E3" s="742" t="s">
        <v>244</v>
      </c>
      <c r="F3" s="746" t="s">
        <v>20</v>
      </c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30" t="s">
        <v>20</v>
      </c>
      <c r="S3" s="728" t="s">
        <v>25</v>
      </c>
      <c r="T3" s="729"/>
      <c r="U3" s="729"/>
      <c r="V3" s="729"/>
      <c r="W3" s="730" t="s">
        <v>25</v>
      </c>
      <c r="X3" s="730" t="s">
        <v>26</v>
      </c>
      <c r="Y3" s="732" t="s">
        <v>27</v>
      </c>
    </row>
    <row r="4" spans="1:25" s="5" customFormat="1" ht="15" customHeight="1" thickBot="1" x14ac:dyDescent="0.3">
      <c r="A4" s="735"/>
      <c r="B4" s="745"/>
      <c r="C4" s="745"/>
      <c r="D4" s="745"/>
      <c r="E4" s="743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31"/>
      <c r="S4" s="4" t="s">
        <v>21</v>
      </c>
      <c r="T4" s="2" t="s">
        <v>22</v>
      </c>
      <c r="U4" s="2" t="s">
        <v>23</v>
      </c>
      <c r="V4" s="3" t="s">
        <v>24</v>
      </c>
      <c r="W4" s="731"/>
      <c r="X4" s="731"/>
      <c r="Y4" s="733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4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78" t="str">
        <f t="shared" si="0"/>
        <v/>
      </c>
      <c r="R5" s="288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4" t="str">
        <f>IF(AND($E5&gt;21,$E5&lt;=24),$B5,"")</f>
        <v/>
      </c>
      <c r="W5" s="288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4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3" t="str">
        <f t="shared" si="0"/>
        <v/>
      </c>
      <c r="R6" s="289">
        <f t="shared" ref="R6:R14" si="2">SUM(F6:Q6)</f>
        <v>3000</v>
      </c>
      <c r="S6" s="75" t="str">
        <f t="shared" ref="S6:S14" si="3">IF(AND($E6&gt;12,$E6&lt;=15),$B6,"")</f>
        <v/>
      </c>
      <c r="T6" s="76" t="str">
        <f t="shared" ref="T6:T14" si="4">IF(AND($E6&gt;15,$E6&lt;=18),$B6,"")</f>
        <v/>
      </c>
      <c r="U6" s="76" t="str">
        <f t="shared" ref="U6:U14" si="5">IF(AND($E6&gt;18,$E6&lt;=21),$B6,"")</f>
        <v/>
      </c>
      <c r="V6" s="296" t="str">
        <f t="shared" ref="V6:V14" si="6">IF(AND($E6&gt;21,$E6&lt;=24),$B6,"")</f>
        <v/>
      </c>
      <c r="W6" s="289">
        <f t="shared" ref="W6:W14" si="7">SUM(S6:V6)</f>
        <v>0</v>
      </c>
      <c r="X6" s="12">
        <f t="shared" ref="X6:X14" si="8">IF(AND($E6&gt;24,$E6&lt;=36),$B6,0)</f>
        <v>0</v>
      </c>
      <c r="Y6" s="13">
        <f t="shared" ref="Y6:Y14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3" t="str">
        <f t="shared" si="0"/>
        <v/>
      </c>
      <c r="R7" s="289">
        <f t="shared" ref="R7:R12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6" t="str">
        <f t="shared" si="6"/>
        <v/>
      </c>
      <c r="W7" s="289">
        <f t="shared" ref="W7:W12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3" t="str">
        <f t="shared" si="0"/>
        <v/>
      </c>
      <c r="R8" s="289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6" t="str">
        <f t="shared" si="6"/>
        <v/>
      </c>
      <c r="W8" s="289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3" t="str">
        <f t="shared" si="0"/>
        <v/>
      </c>
      <c r="R9" s="289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6" t="str">
        <f t="shared" si="6"/>
        <v/>
      </c>
      <c r="W9" s="289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8000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3" t="str">
        <f t="shared" si="0"/>
        <v/>
      </c>
      <c r="R10" s="289">
        <f t="shared" ref="R10" si="12">SUM(F10:Q10)</f>
        <v>0</v>
      </c>
      <c r="S10" s="75">
        <f t="shared" si="3"/>
        <v>8000</v>
      </c>
      <c r="T10" s="76" t="str">
        <f t="shared" si="4"/>
        <v/>
      </c>
      <c r="U10" s="76" t="str">
        <f t="shared" si="5"/>
        <v/>
      </c>
      <c r="V10" s="296" t="str">
        <f t="shared" si="6"/>
        <v/>
      </c>
      <c r="W10" s="289">
        <f t="shared" ref="W10:W11" si="13">SUM(S10:V10)</f>
        <v>8000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97" t="s">
        <v>62</v>
      </c>
      <c r="B11" s="106">
        <v>2000</v>
      </c>
      <c r="C11" s="95">
        <v>4</v>
      </c>
      <c r="D11" s="95">
        <v>19</v>
      </c>
      <c r="E11" s="96">
        <v>19</v>
      </c>
      <c r="F11" s="10" t="str">
        <f t="shared" si="1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3" t="str">
        <f t="shared" si="0"/>
        <v/>
      </c>
      <c r="R11" s="289">
        <f t="shared" ref="R11" si="14">SUM(F11:Q11)</f>
        <v>0</v>
      </c>
      <c r="S11" s="75" t="str">
        <f t="shared" si="3"/>
        <v/>
      </c>
      <c r="T11" s="76" t="str">
        <f t="shared" si="4"/>
        <v/>
      </c>
      <c r="U11" s="76">
        <f t="shared" si="5"/>
        <v>2000</v>
      </c>
      <c r="V11" s="296" t="str">
        <f t="shared" si="6"/>
        <v/>
      </c>
      <c r="W11" s="289">
        <f t="shared" si="13"/>
        <v>2000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2" t="s">
        <v>63</v>
      </c>
      <c r="B12" s="106">
        <v>10000</v>
      </c>
      <c r="C12" s="95">
        <v>4</v>
      </c>
      <c r="D12" s="95">
        <v>2</v>
      </c>
      <c r="E12" s="96">
        <v>3</v>
      </c>
      <c r="F12" s="10" t="str">
        <f t="shared" si="1"/>
        <v/>
      </c>
      <c r="G12" s="11" t="str">
        <f t="shared" si="0"/>
        <v/>
      </c>
      <c r="H12" s="11">
        <f t="shared" si="0"/>
        <v>10000</v>
      </c>
      <c r="I12" s="11" t="str">
        <f t="shared" si="0"/>
        <v/>
      </c>
      <c r="J12" s="11" t="str">
        <f t="shared" si="0"/>
        <v/>
      </c>
      <c r="K12" s="11" t="str">
        <f t="shared" si="0"/>
        <v/>
      </c>
      <c r="L12" s="11" t="str">
        <f t="shared" si="0"/>
        <v/>
      </c>
      <c r="M12" s="11" t="str">
        <f t="shared" si="0"/>
        <v/>
      </c>
      <c r="N12" s="11" t="str">
        <f t="shared" si="0"/>
        <v/>
      </c>
      <c r="O12" s="11" t="str">
        <f t="shared" si="0"/>
        <v/>
      </c>
      <c r="P12" s="11" t="str">
        <f t="shared" si="0"/>
        <v/>
      </c>
      <c r="Q12" s="183" t="str">
        <f t="shared" si="0"/>
        <v/>
      </c>
      <c r="R12" s="289">
        <f t="shared" si="10"/>
        <v>10000</v>
      </c>
      <c r="S12" s="75" t="str">
        <f t="shared" si="3"/>
        <v/>
      </c>
      <c r="T12" s="76" t="str">
        <f t="shared" si="4"/>
        <v/>
      </c>
      <c r="U12" s="76" t="str">
        <f t="shared" si="5"/>
        <v/>
      </c>
      <c r="V12" s="296" t="str">
        <f t="shared" si="6"/>
        <v/>
      </c>
      <c r="W12" s="289">
        <f t="shared" si="11"/>
        <v>0</v>
      </c>
      <c r="X12" s="12">
        <f t="shared" si="8"/>
        <v>0</v>
      </c>
      <c r="Y12" s="13">
        <f t="shared" si="9"/>
        <v>0</v>
      </c>
    </row>
    <row r="13" spans="1:25" ht="18.75" customHeight="1" outlineLevel="2" x14ac:dyDescent="0.25">
      <c r="A13" s="23" t="s">
        <v>66</v>
      </c>
      <c r="B13" s="107">
        <v>10000</v>
      </c>
      <c r="C13" s="99">
        <v>5</v>
      </c>
      <c r="D13" s="99">
        <v>5</v>
      </c>
      <c r="E13" s="100">
        <v>6</v>
      </c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>
        <f t="shared" si="0"/>
        <v>10000</v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43" t="str">
        <f t="shared" si="0"/>
        <v/>
      </c>
      <c r="R13" s="343">
        <f t="shared" ref="R13" si="15">SUM(F13:Q13)</f>
        <v>10000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0" t="str">
        <f t="shared" si="6"/>
        <v/>
      </c>
      <c r="W13" s="343">
        <f t="shared" ref="W13" si="16">SUM(S13:V13)</f>
        <v>0</v>
      </c>
      <c r="X13" s="16">
        <f t="shared" si="8"/>
        <v>0</v>
      </c>
      <c r="Y13" s="17">
        <f t="shared" si="9"/>
        <v>0</v>
      </c>
    </row>
    <row r="14" spans="1:25" ht="18.75" customHeight="1" outlineLevel="2" thickBot="1" x14ac:dyDescent="0.3">
      <c r="A14" s="23" t="s">
        <v>66</v>
      </c>
      <c r="B14" s="107">
        <v>10000</v>
      </c>
      <c r="C14" s="99">
        <v>5</v>
      </c>
      <c r="D14" s="99">
        <v>13</v>
      </c>
      <c r="E14" s="100">
        <v>13</v>
      </c>
      <c r="F14" s="14" t="str">
        <f t="shared" si="1"/>
        <v/>
      </c>
      <c r="G14" s="15" t="str">
        <f t="shared" si="0"/>
        <v/>
      </c>
      <c r="H14" s="15" t="str">
        <f t="shared" si="0"/>
        <v/>
      </c>
      <c r="I14" s="15" t="str">
        <f t="shared" si="0"/>
        <v/>
      </c>
      <c r="J14" s="15" t="str">
        <f t="shared" si="0"/>
        <v/>
      </c>
      <c r="K14" s="15" t="str">
        <f t="shared" si="0"/>
        <v/>
      </c>
      <c r="L14" s="15" t="str">
        <f t="shared" si="0"/>
        <v/>
      </c>
      <c r="M14" s="15" t="str">
        <f t="shared" si="0"/>
        <v/>
      </c>
      <c r="N14" s="15" t="str">
        <f t="shared" si="0"/>
        <v/>
      </c>
      <c r="O14" s="15" t="str">
        <f t="shared" si="0"/>
        <v/>
      </c>
      <c r="P14" s="15" t="str">
        <f t="shared" si="0"/>
        <v/>
      </c>
      <c r="Q14" s="643" t="str">
        <f t="shared" si="0"/>
        <v/>
      </c>
      <c r="R14" s="343">
        <f t="shared" si="2"/>
        <v>0</v>
      </c>
      <c r="S14" s="79">
        <f t="shared" si="3"/>
        <v>10000</v>
      </c>
      <c r="T14" s="80" t="str">
        <f t="shared" si="4"/>
        <v/>
      </c>
      <c r="U14" s="80" t="str">
        <f t="shared" si="5"/>
        <v/>
      </c>
      <c r="V14" s="380" t="str">
        <f t="shared" si="6"/>
        <v/>
      </c>
      <c r="W14" s="343">
        <f t="shared" si="7"/>
        <v>10000</v>
      </c>
      <c r="X14" s="16">
        <f t="shared" si="8"/>
        <v>0</v>
      </c>
      <c r="Y14" s="17">
        <f t="shared" si="9"/>
        <v>0</v>
      </c>
    </row>
    <row r="15" spans="1:25" ht="7.5" customHeight="1" outlineLevel="2" thickTop="1" thickBot="1" x14ac:dyDescent="0.3">
      <c r="A15" s="24"/>
      <c r="B15" s="25"/>
      <c r="C15" s="25"/>
      <c r="D15" s="25"/>
      <c r="E15" s="26"/>
      <c r="F15" s="27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R15" s="33"/>
      <c r="S15" s="31"/>
      <c r="T15" s="28"/>
      <c r="U15" s="28"/>
      <c r="V15" s="29"/>
      <c r="W15" s="33"/>
      <c r="X15" s="33"/>
      <c r="Y15" s="34"/>
    </row>
    <row r="16" spans="1:25" ht="18.75" customHeight="1" outlineLevel="1" thickBot="1" x14ac:dyDescent="0.3">
      <c r="A16" s="484" t="s">
        <v>28</v>
      </c>
      <c r="B16" s="536">
        <f>SUM(B5:B15)</f>
        <v>98000</v>
      </c>
      <c r="C16" s="40"/>
      <c r="D16" s="41"/>
      <c r="E16" s="42"/>
      <c r="F16" s="442">
        <f t="shared" ref="F16:Y16" si="17">SUM(F5:F15)</f>
        <v>58000</v>
      </c>
      <c r="G16" s="539">
        <f t="shared" si="17"/>
        <v>0</v>
      </c>
      <c r="H16" s="539">
        <f t="shared" si="17"/>
        <v>10000</v>
      </c>
      <c r="I16" s="539">
        <f t="shared" si="17"/>
        <v>0</v>
      </c>
      <c r="J16" s="539">
        <f t="shared" si="17"/>
        <v>0</v>
      </c>
      <c r="K16" s="539">
        <f t="shared" si="17"/>
        <v>10000</v>
      </c>
      <c r="L16" s="539">
        <f t="shared" si="17"/>
        <v>0</v>
      </c>
      <c r="M16" s="539">
        <f t="shared" si="17"/>
        <v>0</v>
      </c>
      <c r="N16" s="539">
        <f t="shared" si="17"/>
        <v>0</v>
      </c>
      <c r="O16" s="539">
        <f t="shared" si="17"/>
        <v>0</v>
      </c>
      <c r="P16" s="539">
        <f t="shared" si="17"/>
        <v>0</v>
      </c>
      <c r="Q16" s="536">
        <f t="shared" si="17"/>
        <v>0</v>
      </c>
      <c r="R16" s="541">
        <f t="shared" si="17"/>
        <v>78000</v>
      </c>
      <c r="S16" s="444">
        <f t="shared" si="17"/>
        <v>18000</v>
      </c>
      <c r="T16" s="539">
        <f t="shared" si="17"/>
        <v>0</v>
      </c>
      <c r="U16" s="539">
        <f t="shared" si="17"/>
        <v>2000</v>
      </c>
      <c r="V16" s="536">
        <f t="shared" si="17"/>
        <v>0</v>
      </c>
      <c r="W16" s="541">
        <f t="shared" si="17"/>
        <v>20000</v>
      </c>
      <c r="X16" s="541">
        <f t="shared" si="17"/>
        <v>0</v>
      </c>
      <c r="Y16" s="496">
        <f t="shared" si="17"/>
        <v>0</v>
      </c>
    </row>
    <row r="17" spans="1:25" ht="7.5" customHeight="1" outlineLevel="1" thickBot="1" x14ac:dyDescent="0.3">
      <c r="A17" s="736"/>
      <c r="B17" s="737"/>
      <c r="C17" s="737"/>
      <c r="D17" s="737"/>
      <c r="E17" s="737"/>
      <c r="F17" s="737"/>
      <c r="G17" s="737"/>
      <c r="H17" s="737"/>
      <c r="I17" s="737"/>
      <c r="J17" s="737"/>
      <c r="K17" s="737"/>
      <c r="L17" s="737"/>
      <c r="M17" s="737"/>
      <c r="N17" s="737"/>
      <c r="O17" s="737"/>
      <c r="P17" s="737"/>
      <c r="Q17" s="737"/>
      <c r="R17" s="737"/>
      <c r="S17" s="737"/>
      <c r="T17" s="737"/>
      <c r="U17" s="737"/>
      <c r="V17" s="737"/>
      <c r="W17" s="737"/>
      <c r="X17" s="737"/>
      <c r="Y17" s="738"/>
    </row>
    <row r="18" spans="1:25" ht="18.75" customHeight="1" outlineLevel="1" thickBot="1" x14ac:dyDescent="0.3">
      <c r="A18" s="620" t="s">
        <v>29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5"/>
    </row>
    <row r="19" spans="1:25" ht="18.75" customHeight="1" outlineLevel="2" thickTop="1" x14ac:dyDescent="0.25">
      <c r="A19" s="21" t="s">
        <v>141</v>
      </c>
      <c r="B19" s="549">
        <v>20000</v>
      </c>
      <c r="C19" s="550">
        <v>20</v>
      </c>
      <c r="D19" s="550">
        <v>1</v>
      </c>
      <c r="E19" s="551">
        <v>10</v>
      </c>
      <c r="F19" s="552" t="str">
        <f>IF($E19=F$4,$B19,"")</f>
        <v/>
      </c>
      <c r="G19" s="553" t="str">
        <f t="shared" ref="G19:Q20" si="18">IF($E19=G$4,$B19,"")</f>
        <v/>
      </c>
      <c r="H19" s="553" t="str">
        <f t="shared" si="18"/>
        <v/>
      </c>
      <c r="I19" s="553" t="str">
        <f t="shared" si="18"/>
        <v/>
      </c>
      <c r="J19" s="553" t="str">
        <f t="shared" si="18"/>
        <v/>
      </c>
      <c r="K19" s="553" t="str">
        <f t="shared" si="18"/>
        <v/>
      </c>
      <c r="L19" s="553" t="str">
        <f t="shared" si="18"/>
        <v/>
      </c>
      <c r="M19" s="553" t="str">
        <f t="shared" si="18"/>
        <v/>
      </c>
      <c r="N19" s="553" t="str">
        <f t="shared" si="18"/>
        <v/>
      </c>
      <c r="O19" s="553">
        <f t="shared" si="18"/>
        <v>20000</v>
      </c>
      <c r="P19" s="553" t="str">
        <f t="shared" si="18"/>
        <v/>
      </c>
      <c r="Q19" s="647" t="str">
        <f t="shared" si="18"/>
        <v/>
      </c>
      <c r="R19" s="649">
        <f>SUM(F19:Q19)</f>
        <v>20000</v>
      </c>
      <c r="S19" s="500" t="str">
        <f>IF(AND($E19&gt;12,$E19&lt;=15),$B19,"")</f>
        <v/>
      </c>
      <c r="T19" s="554" t="str">
        <f>IF(AND($E19&gt;15,$E19&lt;=18),$B19,"")</f>
        <v/>
      </c>
      <c r="U19" s="554" t="str">
        <f>IF(AND($E19&gt;18,$E19&lt;=21),$B19,"")</f>
        <v/>
      </c>
      <c r="V19" s="645" t="str">
        <f>IF(AND($E19&gt;21,$E19&lt;=24),$B19,"")</f>
        <v/>
      </c>
      <c r="W19" s="649">
        <f>SUM(S19:V19)</f>
        <v>0</v>
      </c>
      <c r="X19" s="555">
        <f>IF(AND($E19&gt;24,$E19&lt;=36),$B19,0)</f>
        <v>0</v>
      </c>
      <c r="Y19" s="233">
        <f>IF(AND($E19&gt;36,$E19&lt;=48),$B19,)</f>
        <v>0</v>
      </c>
    </row>
    <row r="20" spans="1:25" ht="18.75" customHeight="1" outlineLevel="2" thickBot="1" x14ac:dyDescent="0.3">
      <c r="A20" s="125"/>
      <c r="B20" s="137"/>
      <c r="C20" s="628"/>
      <c r="D20" s="628"/>
      <c r="E20" s="581"/>
      <c r="F20" s="126" t="str">
        <f>IF($E20=F$4,$B20,"")</f>
        <v/>
      </c>
      <c r="G20" s="127" t="str">
        <f t="shared" si="18"/>
        <v/>
      </c>
      <c r="H20" s="127" t="str">
        <f t="shared" si="18"/>
        <v/>
      </c>
      <c r="I20" s="127" t="str">
        <f t="shared" si="18"/>
        <v/>
      </c>
      <c r="J20" s="127" t="str">
        <f t="shared" si="18"/>
        <v/>
      </c>
      <c r="K20" s="127" t="str">
        <f t="shared" si="18"/>
        <v/>
      </c>
      <c r="L20" s="127" t="str">
        <f t="shared" si="18"/>
        <v/>
      </c>
      <c r="M20" s="127" t="str">
        <f t="shared" si="18"/>
        <v/>
      </c>
      <c r="N20" s="127" t="str">
        <f t="shared" si="18"/>
        <v/>
      </c>
      <c r="O20" s="127" t="str">
        <f t="shared" si="18"/>
        <v/>
      </c>
      <c r="P20" s="127" t="str">
        <f t="shared" si="18"/>
        <v/>
      </c>
      <c r="Q20" s="157" t="str">
        <f t="shared" si="18"/>
        <v/>
      </c>
      <c r="R20" s="344">
        <f>SUM(F20:Q20)</f>
        <v>0</v>
      </c>
      <c r="S20" s="129" t="str">
        <f>IF(AND($E20&gt;12,$E20&lt;=15),$B20,"")</f>
        <v/>
      </c>
      <c r="T20" s="130" t="str">
        <f>IF(AND($E20&gt;15,$E20&lt;=18),$B20,"")</f>
        <v/>
      </c>
      <c r="U20" s="130" t="str">
        <f>IF(AND($E20&gt;18,$E20&lt;=21),$B20,"")</f>
        <v/>
      </c>
      <c r="V20" s="646" t="str">
        <f>IF(AND($E20&gt;21,$E20&lt;=24),$B20,"")</f>
        <v/>
      </c>
      <c r="W20" s="344">
        <f>SUM(S20:V20)</f>
        <v>0</v>
      </c>
      <c r="X20" s="132">
        <f>IF(AND($E20&gt;24,$E20&lt;=36),$B20,0)</f>
        <v>0</v>
      </c>
      <c r="Y20" s="133">
        <f>IF(AND($E20&gt;36,$E20&lt;=48),$B20,0)</f>
        <v>0</v>
      </c>
    </row>
    <row r="21" spans="1:25" ht="7.5" customHeight="1" outlineLevel="2" thickTop="1" thickBot="1" x14ac:dyDescent="0.3">
      <c r="A21" s="24"/>
      <c r="B21" s="25"/>
      <c r="C21" s="25"/>
      <c r="D21" s="25"/>
      <c r="E21" s="26"/>
      <c r="F21" s="27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9"/>
      <c r="R21" s="33"/>
      <c r="S21" s="31"/>
      <c r="T21" s="28"/>
      <c r="U21" s="28"/>
      <c r="V21" s="29"/>
      <c r="W21" s="33"/>
      <c r="X21" s="33"/>
      <c r="Y21" s="34"/>
    </row>
    <row r="22" spans="1:25" ht="18.75" customHeight="1" outlineLevel="1" thickBot="1" x14ac:dyDescent="0.3">
      <c r="A22" s="484" t="s">
        <v>28</v>
      </c>
      <c r="B22" s="536">
        <f>SUM(B19:B21)</f>
        <v>20000</v>
      </c>
      <c r="C22" s="40"/>
      <c r="D22" s="41"/>
      <c r="E22" s="42"/>
      <c r="F22" s="442">
        <f t="shared" ref="F22:Y22" si="19">SUM(F19:F21)</f>
        <v>0</v>
      </c>
      <c r="G22" s="539">
        <f t="shared" si="19"/>
        <v>0</v>
      </c>
      <c r="H22" s="539">
        <f t="shared" si="19"/>
        <v>0</v>
      </c>
      <c r="I22" s="539">
        <f t="shared" si="19"/>
        <v>0</v>
      </c>
      <c r="J22" s="539">
        <f t="shared" si="19"/>
        <v>0</v>
      </c>
      <c r="K22" s="539">
        <f t="shared" si="19"/>
        <v>0</v>
      </c>
      <c r="L22" s="539">
        <f t="shared" si="19"/>
        <v>0</v>
      </c>
      <c r="M22" s="539">
        <f t="shared" si="19"/>
        <v>0</v>
      </c>
      <c r="N22" s="539">
        <f t="shared" si="19"/>
        <v>0</v>
      </c>
      <c r="O22" s="539">
        <f t="shared" si="19"/>
        <v>20000</v>
      </c>
      <c r="P22" s="539">
        <f t="shared" si="19"/>
        <v>0</v>
      </c>
      <c r="Q22" s="536">
        <f t="shared" si="19"/>
        <v>0</v>
      </c>
      <c r="R22" s="541">
        <f t="shared" si="19"/>
        <v>20000</v>
      </c>
      <c r="S22" s="444">
        <f t="shared" si="19"/>
        <v>0</v>
      </c>
      <c r="T22" s="539">
        <f t="shared" si="19"/>
        <v>0</v>
      </c>
      <c r="U22" s="539">
        <f t="shared" si="19"/>
        <v>0</v>
      </c>
      <c r="V22" s="536">
        <f t="shared" si="19"/>
        <v>0</v>
      </c>
      <c r="W22" s="541">
        <f t="shared" si="19"/>
        <v>0</v>
      </c>
      <c r="X22" s="541">
        <f t="shared" si="19"/>
        <v>0</v>
      </c>
      <c r="Y22" s="496">
        <f t="shared" si="19"/>
        <v>0</v>
      </c>
    </row>
    <row r="23" spans="1:25" ht="7.5" customHeight="1" outlineLevel="1" thickBot="1" x14ac:dyDescent="0.3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5"/>
    </row>
    <row r="24" spans="1:25" s="47" customFormat="1" ht="18.75" customHeight="1" thickBot="1" x14ac:dyDescent="0.3">
      <c r="A24" s="542" t="s">
        <v>32</v>
      </c>
      <c r="B24" s="543">
        <f>B22+B16</f>
        <v>118000</v>
      </c>
      <c r="C24" s="50"/>
      <c r="D24" s="50"/>
      <c r="E24" s="124"/>
      <c r="F24" s="544">
        <f t="shared" ref="F24:Y24" si="20">F22+F16</f>
        <v>58000</v>
      </c>
      <c r="G24" s="545">
        <f t="shared" si="20"/>
        <v>0</v>
      </c>
      <c r="H24" s="545">
        <f t="shared" si="20"/>
        <v>10000</v>
      </c>
      <c r="I24" s="545">
        <f t="shared" si="20"/>
        <v>0</v>
      </c>
      <c r="J24" s="545">
        <f t="shared" si="20"/>
        <v>0</v>
      </c>
      <c r="K24" s="545">
        <f t="shared" si="20"/>
        <v>10000</v>
      </c>
      <c r="L24" s="545">
        <f t="shared" si="20"/>
        <v>0</v>
      </c>
      <c r="M24" s="545">
        <f t="shared" si="20"/>
        <v>0</v>
      </c>
      <c r="N24" s="545">
        <f t="shared" si="20"/>
        <v>0</v>
      </c>
      <c r="O24" s="545">
        <f t="shared" si="20"/>
        <v>20000</v>
      </c>
      <c r="P24" s="545">
        <f t="shared" si="20"/>
        <v>0</v>
      </c>
      <c r="Q24" s="603">
        <f t="shared" si="20"/>
        <v>0</v>
      </c>
      <c r="R24" s="331">
        <f t="shared" si="20"/>
        <v>98000</v>
      </c>
      <c r="S24" s="450">
        <f t="shared" si="20"/>
        <v>18000</v>
      </c>
      <c r="T24" s="545">
        <f t="shared" si="20"/>
        <v>0</v>
      </c>
      <c r="U24" s="545">
        <f t="shared" si="20"/>
        <v>2000</v>
      </c>
      <c r="V24" s="603">
        <f t="shared" si="20"/>
        <v>0</v>
      </c>
      <c r="W24" s="331">
        <f t="shared" si="20"/>
        <v>20000</v>
      </c>
      <c r="X24" s="331">
        <f t="shared" si="20"/>
        <v>0</v>
      </c>
      <c r="Y24" s="332">
        <f t="shared" si="20"/>
        <v>0</v>
      </c>
    </row>
    <row r="25" spans="1:25" ht="7.5" customHeight="1" thickBot="1" x14ac:dyDescent="0.3">
      <c r="A25" s="739"/>
      <c r="B25" s="740"/>
      <c r="C25" s="740"/>
      <c r="D25" s="740"/>
      <c r="E25" s="740"/>
      <c r="F25" s="740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  <c r="U25" s="740"/>
      <c r="V25" s="740"/>
      <c r="W25" s="740"/>
      <c r="X25" s="740"/>
      <c r="Y25" s="741"/>
    </row>
    <row r="26" spans="1:25" ht="15" customHeight="1" x14ac:dyDescent="0.25">
      <c r="A26" s="734" t="s">
        <v>249</v>
      </c>
      <c r="B26" s="744" t="s">
        <v>19</v>
      </c>
      <c r="C26" s="744" t="s">
        <v>31</v>
      </c>
      <c r="D26" s="744" t="s">
        <v>243</v>
      </c>
      <c r="E26" s="742" t="s">
        <v>244</v>
      </c>
      <c r="F26" s="746" t="s">
        <v>20</v>
      </c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30" t="s">
        <v>20</v>
      </c>
      <c r="S26" s="728" t="s">
        <v>25</v>
      </c>
      <c r="T26" s="729"/>
      <c r="U26" s="729"/>
      <c r="V26" s="729"/>
      <c r="W26" s="730" t="s">
        <v>25</v>
      </c>
      <c r="X26" s="730" t="s">
        <v>26</v>
      </c>
      <c r="Y26" s="732" t="s">
        <v>27</v>
      </c>
    </row>
    <row r="27" spans="1:25" ht="15" customHeight="1" thickBot="1" x14ac:dyDescent="0.3">
      <c r="A27" s="735"/>
      <c r="B27" s="745"/>
      <c r="C27" s="745"/>
      <c r="D27" s="745"/>
      <c r="E27" s="743"/>
      <c r="F27" s="1">
        <v>1</v>
      </c>
      <c r="G27" s="2">
        <v>2</v>
      </c>
      <c r="H27" s="2">
        <v>3</v>
      </c>
      <c r="I27" s="2">
        <v>4</v>
      </c>
      <c r="J27" s="2">
        <v>5</v>
      </c>
      <c r="K27" s="2">
        <v>6</v>
      </c>
      <c r="L27" s="2">
        <v>7</v>
      </c>
      <c r="M27" s="2">
        <v>8</v>
      </c>
      <c r="N27" s="2">
        <v>9</v>
      </c>
      <c r="O27" s="2">
        <v>10</v>
      </c>
      <c r="P27" s="2">
        <v>11</v>
      </c>
      <c r="Q27" s="3">
        <v>12</v>
      </c>
      <c r="R27" s="731"/>
      <c r="S27" s="4" t="s">
        <v>21</v>
      </c>
      <c r="T27" s="2" t="s">
        <v>22</v>
      </c>
      <c r="U27" s="2" t="s">
        <v>23</v>
      </c>
      <c r="V27" s="3" t="s">
        <v>24</v>
      </c>
      <c r="W27" s="731"/>
      <c r="X27" s="731"/>
      <c r="Y27" s="733"/>
    </row>
    <row r="28" spans="1:25" ht="18.75" customHeight="1" outlineLevel="1" thickTop="1" x14ac:dyDescent="0.25">
      <c r="A28" s="21" t="s">
        <v>95</v>
      </c>
      <c r="B28" s="549">
        <v>35000</v>
      </c>
      <c r="C28" s="550">
        <v>4</v>
      </c>
      <c r="D28" s="550">
        <v>2</v>
      </c>
      <c r="E28" s="551">
        <v>3</v>
      </c>
      <c r="F28" s="552" t="str">
        <f t="shared" ref="F28:Q34" si="21">IF($E28=F$27,$B28,"")</f>
        <v/>
      </c>
      <c r="G28" s="553" t="str">
        <f t="shared" si="21"/>
        <v/>
      </c>
      <c r="H28" s="553">
        <f t="shared" si="21"/>
        <v>35000</v>
      </c>
      <c r="I28" s="553" t="str">
        <f t="shared" si="21"/>
        <v/>
      </c>
      <c r="J28" s="553" t="str">
        <f t="shared" si="21"/>
        <v/>
      </c>
      <c r="K28" s="553" t="str">
        <f t="shared" si="21"/>
        <v/>
      </c>
      <c r="L28" s="553" t="str">
        <f t="shared" si="21"/>
        <v/>
      </c>
      <c r="M28" s="553" t="str">
        <f t="shared" si="21"/>
        <v/>
      </c>
      <c r="N28" s="553" t="str">
        <f t="shared" si="21"/>
        <v/>
      </c>
      <c r="O28" s="553" t="str">
        <f t="shared" si="21"/>
        <v/>
      </c>
      <c r="P28" s="553" t="str">
        <f t="shared" si="21"/>
        <v/>
      </c>
      <c r="Q28" s="647" t="str">
        <f t="shared" si="21"/>
        <v/>
      </c>
      <c r="R28" s="649">
        <f>SUM(F28:Q28)</f>
        <v>35000</v>
      </c>
      <c r="S28" s="500" t="str">
        <f>IF(AND($E28&gt;12,$E28&lt;=15),$B28,"")</f>
        <v/>
      </c>
      <c r="T28" s="554" t="str">
        <f>IF(AND($E28&gt;15,$E28&lt;=18),$B28,"")</f>
        <v/>
      </c>
      <c r="U28" s="554" t="str">
        <f>IF(AND($E28&gt;18,$E28&lt;=21),$B28,"")</f>
        <v/>
      </c>
      <c r="V28" s="645" t="str">
        <f>IF(AND($E28&gt;21,$E28&lt;=24),$B28,"")</f>
        <v/>
      </c>
      <c r="W28" s="649">
        <f>SUM(S28:V28)</f>
        <v>0</v>
      </c>
      <c r="X28" s="555">
        <f>IF(AND($E28&gt;24,$E28&lt;=36),$B28,0)</f>
        <v>0</v>
      </c>
      <c r="Y28" s="233">
        <f>IF(AND($E28&gt;36,$E28&lt;=48),$B28,0)</f>
        <v>0</v>
      </c>
    </row>
    <row r="29" spans="1:25" ht="18.75" customHeight="1" outlineLevel="1" x14ac:dyDescent="0.25">
      <c r="A29" s="22" t="s">
        <v>95</v>
      </c>
      <c r="B29" s="94">
        <v>35000</v>
      </c>
      <c r="C29" s="95">
        <v>4</v>
      </c>
      <c r="D29" s="95">
        <v>13</v>
      </c>
      <c r="E29" s="96">
        <v>14</v>
      </c>
      <c r="F29" s="10" t="str">
        <f t="shared" si="21"/>
        <v/>
      </c>
      <c r="G29" s="11" t="str">
        <f t="shared" si="21"/>
        <v/>
      </c>
      <c r="H29" s="11" t="str">
        <f t="shared" si="21"/>
        <v/>
      </c>
      <c r="I29" s="11" t="str">
        <f t="shared" si="21"/>
        <v/>
      </c>
      <c r="J29" s="11" t="str">
        <f t="shared" si="21"/>
        <v/>
      </c>
      <c r="K29" s="11" t="str">
        <f t="shared" si="21"/>
        <v/>
      </c>
      <c r="L29" s="11" t="str">
        <f t="shared" si="21"/>
        <v/>
      </c>
      <c r="M29" s="11" t="str">
        <f t="shared" si="21"/>
        <v/>
      </c>
      <c r="N29" s="11" t="str">
        <f t="shared" si="21"/>
        <v/>
      </c>
      <c r="O29" s="11" t="str">
        <f t="shared" si="21"/>
        <v/>
      </c>
      <c r="P29" s="11" t="str">
        <f t="shared" si="21"/>
        <v/>
      </c>
      <c r="Q29" s="183" t="str">
        <f t="shared" si="21"/>
        <v/>
      </c>
      <c r="R29" s="289">
        <f t="shared" ref="R29:R34" si="22">SUM(F29:Q29)</f>
        <v>0</v>
      </c>
      <c r="S29" s="75">
        <f t="shared" ref="S29:S34" si="23">IF(AND($E29&gt;12,$E29&lt;=15),$B29,"")</f>
        <v>35000</v>
      </c>
      <c r="T29" s="76" t="str">
        <f t="shared" ref="T29:T34" si="24">IF(AND($E29&gt;15,$E29&lt;=18),$B29,"")</f>
        <v/>
      </c>
      <c r="U29" s="76" t="str">
        <f t="shared" ref="U29:U34" si="25">IF(AND($E29&gt;18,$E29&lt;=21),$B29,"")</f>
        <v/>
      </c>
      <c r="V29" s="296" t="str">
        <f t="shared" ref="V29:V34" si="26">IF(AND($E29&gt;21,$E29&lt;=24),$B29,"")</f>
        <v/>
      </c>
      <c r="W29" s="289">
        <f t="shared" ref="W29:W34" si="27">SUM(S29:V29)</f>
        <v>35000</v>
      </c>
      <c r="X29" s="12">
        <f t="shared" ref="X29:X34" si="28">IF(AND($E29&gt;24,$E29&lt;=36),$B29,0)</f>
        <v>0</v>
      </c>
      <c r="Y29" s="13">
        <f t="shared" ref="Y29:Y34" si="29">IF(AND($E29&gt;36,$E29&lt;=48),$B29,0)</f>
        <v>0</v>
      </c>
    </row>
    <row r="30" spans="1:25" ht="18.75" customHeight="1" outlineLevel="1" x14ac:dyDescent="0.25">
      <c r="A30" s="22" t="s">
        <v>95</v>
      </c>
      <c r="B30" s="94">
        <v>35000</v>
      </c>
      <c r="C30" s="95">
        <v>4</v>
      </c>
      <c r="D30" s="95">
        <v>19</v>
      </c>
      <c r="E30" s="96">
        <v>20</v>
      </c>
      <c r="F30" s="10" t="str">
        <f t="shared" si="21"/>
        <v/>
      </c>
      <c r="G30" s="11" t="str">
        <f t="shared" si="21"/>
        <v/>
      </c>
      <c r="H30" s="11" t="str">
        <f t="shared" si="21"/>
        <v/>
      </c>
      <c r="I30" s="11" t="str">
        <f t="shared" si="21"/>
        <v/>
      </c>
      <c r="J30" s="11" t="str">
        <f t="shared" si="21"/>
        <v/>
      </c>
      <c r="K30" s="11" t="str">
        <f t="shared" si="21"/>
        <v/>
      </c>
      <c r="L30" s="11" t="str">
        <f t="shared" si="21"/>
        <v/>
      </c>
      <c r="M30" s="11" t="str">
        <f t="shared" si="21"/>
        <v/>
      </c>
      <c r="N30" s="11" t="str">
        <f t="shared" si="21"/>
        <v/>
      </c>
      <c r="O30" s="11" t="str">
        <f t="shared" si="21"/>
        <v/>
      </c>
      <c r="P30" s="11" t="str">
        <f t="shared" si="21"/>
        <v/>
      </c>
      <c r="Q30" s="183" t="str">
        <f t="shared" si="21"/>
        <v/>
      </c>
      <c r="R30" s="289">
        <f t="shared" si="22"/>
        <v>0</v>
      </c>
      <c r="S30" s="75" t="str">
        <f t="shared" si="23"/>
        <v/>
      </c>
      <c r="T30" s="76" t="str">
        <f t="shared" si="24"/>
        <v/>
      </c>
      <c r="U30" s="76">
        <f t="shared" si="25"/>
        <v>35000</v>
      </c>
      <c r="V30" s="296" t="str">
        <f t="shared" si="26"/>
        <v/>
      </c>
      <c r="W30" s="289">
        <f t="shared" si="27"/>
        <v>35000</v>
      </c>
      <c r="X30" s="12">
        <f t="shared" si="28"/>
        <v>0</v>
      </c>
      <c r="Y30" s="13">
        <f t="shared" si="29"/>
        <v>0</v>
      </c>
    </row>
    <row r="31" spans="1:25" ht="18.75" customHeight="1" outlineLevel="1" x14ac:dyDescent="0.25">
      <c r="A31" s="22" t="s">
        <v>95</v>
      </c>
      <c r="B31" s="94">
        <v>35000</v>
      </c>
      <c r="C31" s="95">
        <v>4</v>
      </c>
      <c r="D31" s="95">
        <v>25</v>
      </c>
      <c r="E31" s="96">
        <v>26</v>
      </c>
      <c r="F31" s="10" t="str">
        <f t="shared" si="21"/>
        <v/>
      </c>
      <c r="G31" s="11" t="str">
        <f t="shared" si="21"/>
        <v/>
      </c>
      <c r="H31" s="11" t="str">
        <f t="shared" si="21"/>
        <v/>
      </c>
      <c r="I31" s="11" t="str">
        <f t="shared" si="21"/>
        <v/>
      </c>
      <c r="J31" s="11" t="str">
        <f t="shared" si="21"/>
        <v/>
      </c>
      <c r="K31" s="11" t="str">
        <f t="shared" si="21"/>
        <v/>
      </c>
      <c r="L31" s="11" t="str">
        <f t="shared" si="21"/>
        <v/>
      </c>
      <c r="M31" s="11" t="str">
        <f t="shared" si="21"/>
        <v/>
      </c>
      <c r="N31" s="11" t="str">
        <f t="shared" si="21"/>
        <v/>
      </c>
      <c r="O31" s="11" t="str">
        <f t="shared" si="21"/>
        <v/>
      </c>
      <c r="P31" s="11" t="str">
        <f t="shared" si="21"/>
        <v/>
      </c>
      <c r="Q31" s="183" t="str">
        <f t="shared" si="21"/>
        <v/>
      </c>
      <c r="R31" s="289">
        <f t="shared" si="22"/>
        <v>0</v>
      </c>
      <c r="S31" s="75" t="str">
        <f t="shared" si="23"/>
        <v/>
      </c>
      <c r="T31" s="76" t="str">
        <f t="shared" si="24"/>
        <v/>
      </c>
      <c r="U31" s="76" t="str">
        <f t="shared" si="25"/>
        <v/>
      </c>
      <c r="V31" s="296" t="str">
        <f t="shared" si="26"/>
        <v/>
      </c>
      <c r="W31" s="289">
        <f t="shared" si="27"/>
        <v>0</v>
      </c>
      <c r="X31" s="12">
        <f t="shared" si="28"/>
        <v>35000</v>
      </c>
      <c r="Y31" s="13">
        <f t="shared" si="29"/>
        <v>0</v>
      </c>
    </row>
    <row r="32" spans="1:25" ht="18.75" customHeight="1" outlineLevel="1" x14ac:dyDescent="0.25">
      <c r="A32" s="22" t="s">
        <v>96</v>
      </c>
      <c r="B32" s="94">
        <v>25000</v>
      </c>
      <c r="C32" s="95">
        <v>4</v>
      </c>
      <c r="D32" s="95">
        <v>13</v>
      </c>
      <c r="E32" s="96">
        <v>14</v>
      </c>
      <c r="F32" s="10" t="str">
        <f t="shared" si="21"/>
        <v/>
      </c>
      <c r="G32" s="11" t="str">
        <f t="shared" si="21"/>
        <v/>
      </c>
      <c r="H32" s="11" t="str">
        <f t="shared" si="21"/>
        <v/>
      </c>
      <c r="I32" s="11" t="str">
        <f t="shared" si="21"/>
        <v/>
      </c>
      <c r="J32" s="11" t="str">
        <f t="shared" si="21"/>
        <v/>
      </c>
      <c r="K32" s="11" t="str">
        <f t="shared" si="21"/>
        <v/>
      </c>
      <c r="L32" s="11" t="str">
        <f t="shared" si="21"/>
        <v/>
      </c>
      <c r="M32" s="11" t="str">
        <f t="shared" si="21"/>
        <v/>
      </c>
      <c r="N32" s="11" t="str">
        <f t="shared" si="21"/>
        <v/>
      </c>
      <c r="O32" s="11" t="str">
        <f t="shared" si="21"/>
        <v/>
      </c>
      <c r="P32" s="11" t="str">
        <f t="shared" si="21"/>
        <v/>
      </c>
      <c r="Q32" s="183" t="str">
        <f t="shared" si="21"/>
        <v/>
      </c>
      <c r="R32" s="289">
        <f t="shared" si="22"/>
        <v>0</v>
      </c>
      <c r="S32" s="75">
        <f t="shared" si="23"/>
        <v>25000</v>
      </c>
      <c r="T32" s="76" t="str">
        <f t="shared" si="24"/>
        <v/>
      </c>
      <c r="U32" s="76" t="str">
        <f t="shared" si="25"/>
        <v/>
      </c>
      <c r="V32" s="296" t="str">
        <f t="shared" si="26"/>
        <v/>
      </c>
      <c r="W32" s="289">
        <f t="shared" si="27"/>
        <v>25000</v>
      </c>
      <c r="X32" s="12">
        <f t="shared" si="28"/>
        <v>0</v>
      </c>
      <c r="Y32" s="13">
        <f t="shared" si="29"/>
        <v>0</v>
      </c>
    </row>
    <row r="33" spans="1:25" ht="18.75" customHeight="1" outlineLevel="1" x14ac:dyDescent="0.25">
      <c r="A33" s="23" t="s">
        <v>96</v>
      </c>
      <c r="B33" s="98">
        <v>25000</v>
      </c>
      <c r="C33" s="99">
        <v>4</v>
      </c>
      <c r="D33" s="99">
        <v>19</v>
      </c>
      <c r="E33" s="100">
        <v>20</v>
      </c>
      <c r="F33" s="14" t="str">
        <f t="shared" si="21"/>
        <v/>
      </c>
      <c r="G33" s="15" t="str">
        <f t="shared" si="21"/>
        <v/>
      </c>
      <c r="H33" s="15" t="str">
        <f t="shared" si="21"/>
        <v/>
      </c>
      <c r="I33" s="15" t="str">
        <f t="shared" si="21"/>
        <v/>
      </c>
      <c r="J33" s="15" t="str">
        <f t="shared" si="21"/>
        <v/>
      </c>
      <c r="K33" s="15" t="str">
        <f t="shared" si="21"/>
        <v/>
      </c>
      <c r="L33" s="15" t="str">
        <f t="shared" si="21"/>
        <v/>
      </c>
      <c r="M33" s="15" t="str">
        <f t="shared" si="21"/>
        <v/>
      </c>
      <c r="N33" s="15" t="str">
        <f t="shared" si="21"/>
        <v/>
      </c>
      <c r="O33" s="15" t="str">
        <f t="shared" si="21"/>
        <v/>
      </c>
      <c r="P33" s="15" t="str">
        <f t="shared" si="21"/>
        <v/>
      </c>
      <c r="Q33" s="643" t="str">
        <f t="shared" si="21"/>
        <v/>
      </c>
      <c r="R33" s="343">
        <f t="shared" si="22"/>
        <v>0</v>
      </c>
      <c r="S33" s="79" t="str">
        <f t="shared" si="23"/>
        <v/>
      </c>
      <c r="T33" s="80" t="str">
        <f t="shared" si="24"/>
        <v/>
      </c>
      <c r="U33" s="80">
        <f t="shared" si="25"/>
        <v>25000</v>
      </c>
      <c r="V33" s="380" t="str">
        <f t="shared" si="26"/>
        <v/>
      </c>
      <c r="W33" s="343">
        <f t="shared" si="27"/>
        <v>25000</v>
      </c>
      <c r="X33" s="16">
        <f t="shared" si="28"/>
        <v>0</v>
      </c>
      <c r="Y33" s="17">
        <f t="shared" si="29"/>
        <v>0</v>
      </c>
    </row>
    <row r="34" spans="1:25" ht="18.75" customHeight="1" outlineLevel="1" thickBot="1" x14ac:dyDescent="0.3">
      <c r="A34" s="125" t="s">
        <v>96</v>
      </c>
      <c r="B34" s="137">
        <v>25000</v>
      </c>
      <c r="C34" s="628">
        <v>4</v>
      </c>
      <c r="D34" s="628">
        <v>25</v>
      </c>
      <c r="E34" s="581">
        <v>26</v>
      </c>
      <c r="F34" s="126" t="str">
        <f t="shared" si="21"/>
        <v/>
      </c>
      <c r="G34" s="127" t="str">
        <f t="shared" si="21"/>
        <v/>
      </c>
      <c r="H34" s="127" t="str">
        <f t="shared" si="21"/>
        <v/>
      </c>
      <c r="I34" s="127" t="str">
        <f t="shared" si="21"/>
        <v/>
      </c>
      <c r="J34" s="127" t="str">
        <f t="shared" si="21"/>
        <v/>
      </c>
      <c r="K34" s="127" t="str">
        <f t="shared" si="21"/>
        <v/>
      </c>
      <c r="L34" s="127" t="str">
        <f t="shared" si="21"/>
        <v/>
      </c>
      <c r="M34" s="127" t="str">
        <f t="shared" si="21"/>
        <v/>
      </c>
      <c r="N34" s="127" t="str">
        <f t="shared" si="21"/>
        <v/>
      </c>
      <c r="O34" s="127" t="str">
        <f t="shared" si="21"/>
        <v/>
      </c>
      <c r="P34" s="127" t="str">
        <f t="shared" si="21"/>
        <v/>
      </c>
      <c r="Q34" s="157" t="str">
        <f t="shared" si="21"/>
        <v/>
      </c>
      <c r="R34" s="344">
        <f t="shared" si="22"/>
        <v>0</v>
      </c>
      <c r="S34" s="129" t="str">
        <f t="shared" si="23"/>
        <v/>
      </c>
      <c r="T34" s="130" t="str">
        <f t="shared" si="24"/>
        <v/>
      </c>
      <c r="U34" s="130" t="str">
        <f t="shared" si="25"/>
        <v/>
      </c>
      <c r="V34" s="646" t="str">
        <f t="shared" si="26"/>
        <v/>
      </c>
      <c r="W34" s="344">
        <f t="shared" si="27"/>
        <v>0</v>
      </c>
      <c r="X34" s="132">
        <f t="shared" si="28"/>
        <v>25000</v>
      </c>
      <c r="Y34" s="133">
        <f t="shared" si="29"/>
        <v>0</v>
      </c>
    </row>
    <row r="35" spans="1:25" ht="7.5" customHeight="1" outlineLevel="1" thickTop="1" thickBot="1" x14ac:dyDescent="0.3">
      <c r="A35" s="24"/>
      <c r="B35" s="25"/>
      <c r="C35" s="25"/>
      <c r="D35" s="25"/>
      <c r="E35" s="26"/>
      <c r="F35" s="27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9"/>
      <c r="R35" s="33"/>
      <c r="S35" s="31"/>
      <c r="T35" s="28"/>
      <c r="U35" s="28"/>
      <c r="V35" s="29"/>
      <c r="W35" s="33"/>
      <c r="X35" s="33"/>
      <c r="Y35" s="34"/>
    </row>
    <row r="36" spans="1:25" ht="18.75" customHeight="1" thickBot="1" x14ac:dyDescent="0.3">
      <c r="A36" s="35" t="s">
        <v>33</v>
      </c>
      <c r="B36" s="36">
        <f>SUM(B28:B35)</f>
        <v>215000</v>
      </c>
      <c r="C36" s="62"/>
      <c r="D36" s="63"/>
      <c r="E36" s="64"/>
      <c r="F36" s="546">
        <f t="shared" ref="F36:Y36" si="30">SUM(F28:F35)</f>
        <v>0</v>
      </c>
      <c r="G36" s="547">
        <f t="shared" si="30"/>
        <v>0</v>
      </c>
      <c r="H36" s="547">
        <f t="shared" si="30"/>
        <v>35000</v>
      </c>
      <c r="I36" s="547">
        <f t="shared" si="30"/>
        <v>0</v>
      </c>
      <c r="J36" s="547">
        <f t="shared" si="30"/>
        <v>0</v>
      </c>
      <c r="K36" s="547">
        <f t="shared" si="30"/>
        <v>0</v>
      </c>
      <c r="L36" s="547">
        <f t="shared" si="30"/>
        <v>0</v>
      </c>
      <c r="M36" s="547">
        <f t="shared" si="30"/>
        <v>0</v>
      </c>
      <c r="N36" s="547">
        <f t="shared" si="30"/>
        <v>0</v>
      </c>
      <c r="O36" s="547">
        <f t="shared" si="30"/>
        <v>0</v>
      </c>
      <c r="P36" s="547">
        <f t="shared" si="30"/>
        <v>0</v>
      </c>
      <c r="Q36" s="36">
        <f t="shared" si="30"/>
        <v>0</v>
      </c>
      <c r="R36" s="37">
        <f t="shared" si="30"/>
        <v>35000</v>
      </c>
      <c r="S36" s="548">
        <f t="shared" si="30"/>
        <v>60000</v>
      </c>
      <c r="T36" s="547">
        <f t="shared" si="30"/>
        <v>0</v>
      </c>
      <c r="U36" s="547">
        <f t="shared" si="30"/>
        <v>60000</v>
      </c>
      <c r="V36" s="36">
        <f t="shared" si="30"/>
        <v>0</v>
      </c>
      <c r="W36" s="37">
        <f t="shared" si="30"/>
        <v>120000</v>
      </c>
      <c r="X36" s="37">
        <f t="shared" si="30"/>
        <v>60000</v>
      </c>
      <c r="Y36" s="38">
        <f t="shared" si="30"/>
        <v>0</v>
      </c>
    </row>
    <row r="37" spans="1:25" ht="7.5" customHeight="1" thickBot="1" x14ac:dyDescent="0.3">
      <c r="A37" s="736"/>
      <c r="B37" s="737"/>
      <c r="C37" s="737"/>
      <c r="D37" s="737"/>
      <c r="E37" s="737"/>
      <c r="F37" s="737"/>
      <c r="G37" s="737"/>
      <c r="H37" s="737"/>
      <c r="I37" s="737"/>
      <c r="J37" s="737"/>
      <c r="K37" s="737"/>
      <c r="L37" s="737"/>
      <c r="M37" s="737"/>
      <c r="N37" s="737"/>
      <c r="O37" s="737"/>
      <c r="P37" s="737"/>
      <c r="Q37" s="737"/>
      <c r="R37" s="737"/>
      <c r="S37" s="737"/>
      <c r="T37" s="737"/>
      <c r="U37" s="737"/>
      <c r="V37" s="737"/>
      <c r="W37" s="737"/>
      <c r="X37" s="737"/>
      <c r="Y37" s="738"/>
    </row>
    <row r="38" spans="1:25" ht="22.5" customHeight="1" thickBot="1" x14ac:dyDescent="0.3">
      <c r="A38" s="636" t="s">
        <v>34</v>
      </c>
      <c r="B38" s="60">
        <f>B36+B24</f>
        <v>333000</v>
      </c>
      <c r="C38" s="61"/>
      <c r="D38" s="61"/>
      <c r="E38" s="134"/>
      <c r="F38" s="54">
        <f t="shared" ref="F38:Y38" si="31">F36+F24</f>
        <v>58000</v>
      </c>
      <c r="G38" s="55">
        <f t="shared" si="31"/>
        <v>0</v>
      </c>
      <c r="H38" s="55">
        <f t="shared" si="31"/>
        <v>45000</v>
      </c>
      <c r="I38" s="55">
        <f t="shared" si="31"/>
        <v>0</v>
      </c>
      <c r="J38" s="55">
        <f t="shared" si="31"/>
        <v>0</v>
      </c>
      <c r="K38" s="55">
        <f t="shared" si="31"/>
        <v>10000</v>
      </c>
      <c r="L38" s="55">
        <f t="shared" si="31"/>
        <v>0</v>
      </c>
      <c r="M38" s="55">
        <f t="shared" si="31"/>
        <v>0</v>
      </c>
      <c r="N38" s="55">
        <f t="shared" si="31"/>
        <v>0</v>
      </c>
      <c r="O38" s="55">
        <f t="shared" si="31"/>
        <v>20000</v>
      </c>
      <c r="P38" s="55">
        <f t="shared" si="31"/>
        <v>0</v>
      </c>
      <c r="Q38" s="648">
        <f t="shared" si="31"/>
        <v>0</v>
      </c>
      <c r="R38" s="58">
        <f t="shared" si="31"/>
        <v>133000</v>
      </c>
      <c r="S38" s="57">
        <f t="shared" si="31"/>
        <v>78000</v>
      </c>
      <c r="T38" s="55">
        <f t="shared" si="31"/>
        <v>0</v>
      </c>
      <c r="U38" s="55">
        <f t="shared" si="31"/>
        <v>62000</v>
      </c>
      <c r="V38" s="648">
        <f t="shared" si="31"/>
        <v>0</v>
      </c>
      <c r="W38" s="58">
        <f t="shared" si="31"/>
        <v>140000</v>
      </c>
      <c r="X38" s="58">
        <f t="shared" si="31"/>
        <v>60000</v>
      </c>
      <c r="Y38" s="59">
        <f t="shared" si="31"/>
        <v>0</v>
      </c>
    </row>
  </sheetData>
  <sheetProtection algorithmName="SHA-512" hashValue="SfO0wyZD2wJvbun4kol9dNrWbtg8/qIoKxMF/3W/XVoroRSiEzSl3A17jn2Rr/Sn4m+7Ov1ScZVHrMQHv/Bokg==" saltValue="EtO12WKSfnKm85IdZMmLPw==" spinCount="100000" sheet="1" objects="1" scenarios="1"/>
  <mergeCells count="26">
    <mergeCell ref="A1:Y1"/>
    <mergeCell ref="R3:R4"/>
    <mergeCell ref="W3:W4"/>
    <mergeCell ref="S3:V3"/>
    <mergeCell ref="F3:Q3"/>
    <mergeCell ref="A17:Y17"/>
    <mergeCell ref="A25:Y25"/>
    <mergeCell ref="A37:Y37"/>
    <mergeCell ref="X3:X4"/>
    <mergeCell ref="Y3:Y4"/>
    <mergeCell ref="A3:A4"/>
    <mergeCell ref="E3:E4"/>
    <mergeCell ref="D3:D4"/>
    <mergeCell ref="C3:C4"/>
    <mergeCell ref="B3:B4"/>
    <mergeCell ref="B26:B27"/>
    <mergeCell ref="C26:C27"/>
    <mergeCell ref="D26:D27"/>
    <mergeCell ref="E26:E27"/>
    <mergeCell ref="F26:Q26"/>
    <mergeCell ref="R26:R27"/>
    <mergeCell ref="S26:V26"/>
    <mergeCell ref="W26:W27"/>
    <mergeCell ref="X26:X27"/>
    <mergeCell ref="Y26:Y27"/>
    <mergeCell ref="A26:A27"/>
  </mergeCells>
  <dataValidations count="1">
    <dataValidation type="whole" allowBlank="1" showInputMessage="1" showErrorMessage="1" sqref="D19:E21 D5:E15 D28:E35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9"/>
  <sheetViews>
    <sheetView showGridLines="0" view="pageBreakPreview" zoomScaleNormal="100" zoomScaleSheetLayoutView="100" workbookViewId="0">
      <pane xSplit="4" ySplit="1" topLeftCell="Q11" activePane="bottomRight" state="frozen"/>
      <selection pane="topRight" activeCell="E1" sqref="E1"/>
      <selection pane="bottomLeft" activeCell="A2" sqref="A2"/>
      <selection pane="bottomRight" activeCell="D18" sqref="D18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47" t="s">
        <v>42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9"/>
    </row>
    <row r="2" spans="1:24" ht="15.75" thickBot="1" x14ac:dyDescent="0.3"/>
    <row r="3" spans="1:24" x14ac:dyDescent="0.25">
      <c r="A3" s="556" t="s">
        <v>94</v>
      </c>
      <c r="B3" s="574">
        <v>30</v>
      </c>
    </row>
    <row r="4" spans="1:24" x14ac:dyDescent="0.25">
      <c r="A4" s="557" t="s">
        <v>92</v>
      </c>
      <c r="B4" s="147">
        <v>0.34</v>
      </c>
    </row>
    <row r="5" spans="1:24" ht="15.75" thickBot="1" x14ac:dyDescent="0.3">
      <c r="A5" s="558" t="s">
        <v>88</v>
      </c>
      <c r="B5" s="148">
        <v>0.05</v>
      </c>
    </row>
    <row r="6" spans="1:24" ht="22.5" customHeight="1" thickBot="1" x14ac:dyDescent="0.3">
      <c r="A6" s="559" t="s">
        <v>89</v>
      </c>
      <c r="B6" s="771" t="s">
        <v>53</v>
      </c>
      <c r="C6" s="772"/>
      <c r="D6" s="758" t="s">
        <v>245</v>
      </c>
      <c r="E6" s="729" t="s">
        <v>20</v>
      </c>
      <c r="F6" s="729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30" t="s">
        <v>20</v>
      </c>
      <c r="R6" s="728" t="s">
        <v>25</v>
      </c>
      <c r="S6" s="729"/>
      <c r="T6" s="729"/>
      <c r="U6" s="729"/>
      <c r="V6" s="730" t="s">
        <v>25</v>
      </c>
      <c r="W6" s="730" t="s">
        <v>26</v>
      </c>
      <c r="X6" s="732" t="s">
        <v>27</v>
      </c>
    </row>
    <row r="7" spans="1:24" ht="18.75" customHeight="1" thickBot="1" x14ac:dyDescent="0.3">
      <c r="A7" s="560" t="s">
        <v>51</v>
      </c>
      <c r="B7" s="773"/>
      <c r="C7" s="773"/>
      <c r="D7" s="759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31"/>
      <c r="R7" s="4" t="s">
        <v>21</v>
      </c>
      <c r="S7" s="2" t="s">
        <v>22</v>
      </c>
      <c r="T7" s="2" t="s">
        <v>23</v>
      </c>
      <c r="U7" s="3" t="s">
        <v>24</v>
      </c>
      <c r="V7" s="731"/>
      <c r="W7" s="731"/>
      <c r="X7" s="733"/>
    </row>
    <row r="8" spans="1:24" ht="18.75" customHeight="1" thickTop="1" x14ac:dyDescent="0.25">
      <c r="A8" s="92" t="s">
        <v>1</v>
      </c>
      <c r="B8" s="774">
        <v>2000</v>
      </c>
      <c r="C8" s="774"/>
      <c r="D8" s="575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78">
        <f t="shared" si="0"/>
        <v>2000</v>
      </c>
      <c r="Q8" s="8">
        <f>SUM(E8:P8)</f>
        <v>24000</v>
      </c>
      <c r="R8" s="305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78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56">
        <v>2000</v>
      </c>
      <c r="C9" s="756"/>
      <c r="D9" s="576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3">
        <f t="shared" si="0"/>
        <v>2000</v>
      </c>
      <c r="Q9" s="12">
        <f t="shared" ref="Q9:Q11" si="6">SUM(E9:P9)</f>
        <v>24000</v>
      </c>
      <c r="R9" s="306">
        <f t="shared" si="1"/>
        <v>6300</v>
      </c>
      <c r="S9" s="11">
        <f t="shared" si="2"/>
        <v>6300</v>
      </c>
      <c r="T9" s="11">
        <f t="shared" si="3"/>
        <v>6300</v>
      </c>
      <c r="U9" s="183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56">
        <v>2000</v>
      </c>
      <c r="C10" s="756"/>
      <c r="D10" s="576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3">
        <f t="shared" si="0"/>
        <v>2000</v>
      </c>
      <c r="Q10" s="12">
        <f t="shared" si="6"/>
        <v>24000</v>
      </c>
      <c r="R10" s="306">
        <f t="shared" si="1"/>
        <v>6300</v>
      </c>
      <c r="S10" s="11">
        <f t="shared" si="2"/>
        <v>6300</v>
      </c>
      <c r="T10" s="11">
        <f t="shared" si="3"/>
        <v>6300</v>
      </c>
      <c r="U10" s="183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7" t="s">
        <v>4</v>
      </c>
      <c r="B11" s="762">
        <v>2000</v>
      </c>
      <c r="C11" s="762"/>
      <c r="D11" s="578">
        <v>1</v>
      </c>
      <c r="E11" s="126">
        <f t="shared" si="5"/>
        <v>2000</v>
      </c>
      <c r="F11" s="127">
        <f t="shared" si="0"/>
        <v>2000</v>
      </c>
      <c r="G11" s="127">
        <f t="shared" si="0"/>
        <v>2000</v>
      </c>
      <c r="H11" s="127">
        <f t="shared" si="0"/>
        <v>2000</v>
      </c>
      <c r="I11" s="127">
        <f t="shared" si="0"/>
        <v>2000</v>
      </c>
      <c r="J11" s="127">
        <f t="shared" si="0"/>
        <v>2000</v>
      </c>
      <c r="K11" s="127">
        <f t="shared" si="0"/>
        <v>2000</v>
      </c>
      <c r="L11" s="127">
        <f t="shared" si="0"/>
        <v>2000</v>
      </c>
      <c r="M11" s="127">
        <f t="shared" si="0"/>
        <v>2000</v>
      </c>
      <c r="N11" s="127">
        <f t="shared" si="0"/>
        <v>2000</v>
      </c>
      <c r="O11" s="127">
        <f t="shared" si="0"/>
        <v>2000</v>
      </c>
      <c r="P11" s="157">
        <f t="shared" si="0"/>
        <v>2000</v>
      </c>
      <c r="Q11" s="132">
        <f t="shared" si="6"/>
        <v>24000</v>
      </c>
      <c r="R11" s="158">
        <f t="shared" si="1"/>
        <v>6300</v>
      </c>
      <c r="S11" s="127">
        <f t="shared" si="2"/>
        <v>6300</v>
      </c>
      <c r="T11" s="127">
        <f t="shared" si="3"/>
        <v>6300</v>
      </c>
      <c r="U11" s="157">
        <f t="shared" si="4"/>
        <v>6300</v>
      </c>
      <c r="V11" s="132">
        <f t="shared" si="7"/>
        <v>25200</v>
      </c>
      <c r="W11" s="132">
        <f t="shared" si="8"/>
        <v>26460</v>
      </c>
      <c r="X11" s="133">
        <f t="shared" si="9"/>
        <v>27783.000000000004</v>
      </c>
    </row>
    <row r="12" spans="1:24" ht="7.5" customHeight="1" thickTop="1" thickBot="1" x14ac:dyDescent="0.3">
      <c r="A12" s="579"/>
      <c r="B12" s="757"/>
      <c r="C12" s="757"/>
      <c r="D12" s="580"/>
      <c r="E12" s="338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39"/>
      <c r="Q12" s="325"/>
      <c r="R12" s="326"/>
      <c r="S12" s="323"/>
      <c r="T12" s="323"/>
      <c r="U12" s="341"/>
      <c r="V12" s="325"/>
      <c r="W12" s="325"/>
      <c r="X12" s="327"/>
    </row>
    <row r="13" spans="1:24" ht="18.75" customHeight="1" thickBot="1" x14ac:dyDescent="0.3">
      <c r="A13" s="625" t="s">
        <v>90</v>
      </c>
      <c r="B13" s="754">
        <f>SUM(Q13,V13,W13,X13)/48</f>
        <v>8620.25</v>
      </c>
      <c r="C13" s="755"/>
      <c r="D13" s="624"/>
      <c r="E13" s="597">
        <f>SUM(E8:E12)</f>
        <v>8000</v>
      </c>
      <c r="F13" s="539">
        <f t="shared" ref="F13:X13" si="10">SUM(F8:F12)</f>
        <v>8000</v>
      </c>
      <c r="G13" s="539">
        <f t="shared" si="10"/>
        <v>8000</v>
      </c>
      <c r="H13" s="539">
        <f t="shared" si="10"/>
        <v>8000</v>
      </c>
      <c r="I13" s="539">
        <f t="shared" si="10"/>
        <v>8000</v>
      </c>
      <c r="J13" s="539">
        <f t="shared" si="10"/>
        <v>8000</v>
      </c>
      <c r="K13" s="539">
        <f t="shared" si="10"/>
        <v>8000</v>
      </c>
      <c r="L13" s="539">
        <f t="shared" si="10"/>
        <v>8000</v>
      </c>
      <c r="M13" s="539">
        <f t="shared" si="10"/>
        <v>8000</v>
      </c>
      <c r="N13" s="539">
        <f t="shared" si="10"/>
        <v>8000</v>
      </c>
      <c r="O13" s="539">
        <f t="shared" si="10"/>
        <v>8000</v>
      </c>
      <c r="P13" s="536">
        <f t="shared" si="10"/>
        <v>8000</v>
      </c>
      <c r="Q13" s="541">
        <f t="shared" si="10"/>
        <v>96000</v>
      </c>
      <c r="R13" s="444">
        <f t="shared" si="10"/>
        <v>25200</v>
      </c>
      <c r="S13" s="539">
        <f t="shared" si="10"/>
        <v>25200</v>
      </c>
      <c r="T13" s="539">
        <f t="shared" si="10"/>
        <v>25200</v>
      </c>
      <c r="U13" s="536">
        <f t="shared" si="10"/>
        <v>25200</v>
      </c>
      <c r="V13" s="541">
        <f t="shared" si="10"/>
        <v>100800</v>
      </c>
      <c r="W13" s="541">
        <f t="shared" si="10"/>
        <v>105840</v>
      </c>
      <c r="X13" s="496">
        <f t="shared" si="10"/>
        <v>111132.00000000001</v>
      </c>
    </row>
    <row r="14" spans="1:24" ht="7.5" customHeight="1" thickBot="1" x14ac:dyDescent="0.3">
      <c r="A14" s="750"/>
      <c r="B14" s="751"/>
      <c r="C14" s="751"/>
      <c r="D14" s="751"/>
      <c r="E14" s="751"/>
      <c r="F14" s="751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  <c r="U14" s="751"/>
      <c r="V14" s="751"/>
      <c r="W14" s="751"/>
      <c r="X14" s="752"/>
    </row>
    <row r="15" spans="1:24" ht="18.75" customHeight="1" thickBot="1" x14ac:dyDescent="0.3">
      <c r="A15" s="561" t="s">
        <v>52</v>
      </c>
      <c r="B15" s="321"/>
      <c r="C15" s="321"/>
      <c r="D15" s="562"/>
    </row>
    <row r="16" spans="1:24" ht="15.75" thickTop="1" x14ac:dyDescent="0.25">
      <c r="A16" s="92" t="s">
        <v>64</v>
      </c>
      <c r="B16" s="774">
        <v>1700</v>
      </c>
      <c r="C16" s="774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78">
        <f t="shared" si="11"/>
        <v>1700</v>
      </c>
      <c r="Q16" s="8">
        <f>SUM(E16:P16)</f>
        <v>18700</v>
      </c>
      <c r="R16" s="305">
        <f t="shared" ref="R16:R26" si="12">IF($D16="","",IF(AND($D16&lt;=15,$D16&gt;12),(15-$D16+1)*$B16*(1+$B$5)^1,IF(AND($D16&lt;=15,$D16&lt;=12),3*$B16*(1+$B$5)^1,"")))</f>
        <v>5355</v>
      </c>
      <c r="S16" s="7">
        <f t="shared" ref="S16:S26" si="13">IF($D16="","",IF(AND($D16&lt;=18,$D16&gt;15),(18-$D16+1)*$B16*(1+$B$5)^1,IF(AND($D16&lt;=18,$D16&lt;=15),3*$B16*(1+$B$5)^1,"")))</f>
        <v>5355</v>
      </c>
      <c r="T16" s="7">
        <f t="shared" ref="T16:T26" si="14">IF($D16="","",IF(AND($D16&lt;=21,$D16&gt;18),(21-$D16+1)*$B16*(1+$B$5)^1,IF(AND($D16&lt;=21,$D16&lt;=18),3*$B16*(1+$B$5)^1,"")))</f>
        <v>5355</v>
      </c>
      <c r="U16" s="178">
        <f t="shared" ref="U16:U26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56">
        <v>2700</v>
      </c>
      <c r="C17" s="756"/>
      <c r="D17" s="96">
        <v>3</v>
      </c>
      <c r="E17" s="10" t="str">
        <f t="shared" ref="E17:P26" si="16">IF($D17="","",IF($D17&lt;=E$7,$B17,""))</f>
        <v/>
      </c>
      <c r="F17" s="11" t="str">
        <f t="shared" ref="F17:P17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3">
        <f t="shared" si="17"/>
        <v>2700</v>
      </c>
      <c r="Q17" s="12">
        <f t="shared" ref="Q17:Q26" si="18">SUM(E17:P17)</f>
        <v>27000</v>
      </c>
      <c r="R17" s="306">
        <f t="shared" si="12"/>
        <v>8505</v>
      </c>
      <c r="S17" s="11">
        <f t="shared" si="13"/>
        <v>8505</v>
      </c>
      <c r="T17" s="11">
        <f t="shared" si="14"/>
        <v>8505</v>
      </c>
      <c r="U17" s="183">
        <f t="shared" si="15"/>
        <v>8505</v>
      </c>
      <c r="V17" s="12">
        <f t="shared" ref="V17:V26" si="19">SUM(R17:U17)</f>
        <v>34020</v>
      </c>
      <c r="W17" s="12">
        <f t="shared" ref="W17:W26" si="20">IF($D17="","",IF(AND($D17&lt;=36,$D17&gt;24),(36-$D17+1)*$B17*(1+$B$5)^2,IF(AND($D17&lt;=36,$D17&lt;=24),(36-24)*$B17*(1+$B$5)^2,"")))</f>
        <v>35721</v>
      </c>
      <c r="X17" s="13">
        <f t="shared" ref="X17:X26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73</v>
      </c>
      <c r="B18" s="760">
        <v>2700</v>
      </c>
      <c r="C18" s="761"/>
      <c r="D18" s="100">
        <v>13</v>
      </c>
      <c r="E18" s="14" t="str">
        <f t="shared" si="16"/>
        <v/>
      </c>
      <c r="F18" s="15" t="str">
        <f t="shared" si="16"/>
        <v/>
      </c>
      <c r="G18" s="15" t="str">
        <f t="shared" si="16"/>
        <v/>
      </c>
      <c r="H18" s="15" t="str">
        <f t="shared" si="16"/>
        <v/>
      </c>
      <c r="I18" s="15" t="str">
        <f t="shared" si="16"/>
        <v/>
      </c>
      <c r="J18" s="15" t="str">
        <f t="shared" si="16"/>
        <v/>
      </c>
      <c r="K18" s="15" t="str">
        <f t="shared" si="16"/>
        <v/>
      </c>
      <c r="L18" s="15" t="str">
        <f t="shared" si="16"/>
        <v/>
      </c>
      <c r="M18" s="15" t="str">
        <f t="shared" si="16"/>
        <v/>
      </c>
      <c r="N18" s="15" t="str">
        <f t="shared" si="16"/>
        <v/>
      </c>
      <c r="O18" s="15" t="str">
        <f t="shared" si="16"/>
        <v/>
      </c>
      <c r="P18" s="643" t="str">
        <f t="shared" si="16"/>
        <v/>
      </c>
      <c r="Q18" s="16">
        <f t="shared" si="18"/>
        <v>0</v>
      </c>
      <c r="R18" s="563">
        <f t="shared" si="12"/>
        <v>8505</v>
      </c>
      <c r="S18" s="15">
        <f t="shared" si="13"/>
        <v>8505</v>
      </c>
      <c r="T18" s="15">
        <f t="shared" si="14"/>
        <v>8505</v>
      </c>
      <c r="U18" s="643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x14ac:dyDescent="0.25">
      <c r="A19" s="97" t="s">
        <v>73</v>
      </c>
      <c r="B19" s="760">
        <v>2700</v>
      </c>
      <c r="C19" s="761"/>
      <c r="D19" s="100">
        <v>25</v>
      </c>
      <c r="E19" s="14" t="str">
        <f t="shared" si="16"/>
        <v/>
      </c>
      <c r="F19" s="15" t="str">
        <f t="shared" si="16"/>
        <v/>
      </c>
      <c r="G19" s="15" t="str">
        <f t="shared" si="16"/>
        <v/>
      </c>
      <c r="H19" s="15" t="str">
        <f t="shared" si="16"/>
        <v/>
      </c>
      <c r="I19" s="15" t="str">
        <f t="shared" si="16"/>
        <v/>
      </c>
      <c r="J19" s="15" t="str">
        <f t="shared" si="16"/>
        <v/>
      </c>
      <c r="K19" s="15" t="str">
        <f t="shared" si="16"/>
        <v/>
      </c>
      <c r="L19" s="15" t="str">
        <f t="shared" si="16"/>
        <v/>
      </c>
      <c r="M19" s="15" t="str">
        <f t="shared" si="16"/>
        <v/>
      </c>
      <c r="N19" s="15" t="str">
        <f t="shared" si="16"/>
        <v/>
      </c>
      <c r="O19" s="15" t="str">
        <f t="shared" si="16"/>
        <v/>
      </c>
      <c r="P19" s="643" t="str">
        <f t="shared" si="16"/>
        <v/>
      </c>
      <c r="Q19" s="16">
        <f t="shared" si="18"/>
        <v>0</v>
      </c>
      <c r="R19" s="563" t="str">
        <f t="shared" si="12"/>
        <v/>
      </c>
      <c r="S19" s="15" t="str">
        <f t="shared" si="13"/>
        <v/>
      </c>
      <c r="T19" s="15" t="str">
        <f t="shared" si="14"/>
        <v/>
      </c>
      <c r="U19" s="643" t="str">
        <f t="shared" si="15"/>
        <v/>
      </c>
      <c r="V19" s="16">
        <f t="shared" si="19"/>
        <v>0</v>
      </c>
      <c r="W19" s="16">
        <f t="shared" si="20"/>
        <v>35721</v>
      </c>
      <c r="X19" s="17">
        <f t="shared" si="21"/>
        <v>37507.050000000003</v>
      </c>
    </row>
    <row r="20" spans="1:26" x14ac:dyDescent="0.25">
      <c r="A20" s="97" t="s">
        <v>74</v>
      </c>
      <c r="B20" s="756">
        <v>2700</v>
      </c>
      <c r="C20" s="756"/>
      <c r="D20" s="100">
        <v>4</v>
      </c>
      <c r="E20" s="14" t="str">
        <f t="shared" si="16"/>
        <v/>
      </c>
      <c r="F20" s="15" t="str">
        <f t="shared" si="16"/>
        <v/>
      </c>
      <c r="G20" s="15" t="str">
        <f t="shared" si="16"/>
        <v/>
      </c>
      <c r="H20" s="15">
        <f t="shared" si="16"/>
        <v>2700</v>
      </c>
      <c r="I20" s="15">
        <f t="shared" si="16"/>
        <v>2700</v>
      </c>
      <c r="J20" s="15">
        <f t="shared" si="16"/>
        <v>2700</v>
      </c>
      <c r="K20" s="15">
        <f t="shared" si="16"/>
        <v>2700</v>
      </c>
      <c r="L20" s="15">
        <f t="shared" si="16"/>
        <v>2700</v>
      </c>
      <c r="M20" s="15">
        <f t="shared" si="16"/>
        <v>2700</v>
      </c>
      <c r="N20" s="15">
        <f t="shared" si="16"/>
        <v>2700</v>
      </c>
      <c r="O20" s="15">
        <f t="shared" si="16"/>
        <v>2700</v>
      </c>
      <c r="P20" s="643">
        <f t="shared" si="16"/>
        <v>2700</v>
      </c>
      <c r="Q20" s="16">
        <f t="shared" si="18"/>
        <v>24300</v>
      </c>
      <c r="R20" s="563">
        <f t="shared" si="12"/>
        <v>8505</v>
      </c>
      <c r="S20" s="15">
        <f t="shared" si="13"/>
        <v>8505</v>
      </c>
      <c r="T20" s="15">
        <f t="shared" si="14"/>
        <v>8505</v>
      </c>
      <c r="U20" s="643">
        <f t="shared" si="15"/>
        <v>8505</v>
      </c>
      <c r="V20" s="16">
        <f t="shared" si="19"/>
        <v>34020</v>
      </c>
      <c r="W20" s="16">
        <f t="shared" si="20"/>
        <v>35721</v>
      </c>
      <c r="X20" s="17">
        <f t="shared" si="21"/>
        <v>37507.050000000003</v>
      </c>
    </row>
    <row r="21" spans="1:26" x14ac:dyDescent="0.25">
      <c r="A21" s="97" t="s">
        <v>74</v>
      </c>
      <c r="B21" s="760">
        <v>2700</v>
      </c>
      <c r="C21" s="761"/>
      <c r="D21" s="100">
        <v>13</v>
      </c>
      <c r="E21" s="14" t="str">
        <f t="shared" si="16"/>
        <v/>
      </c>
      <c r="F21" s="15" t="str">
        <f t="shared" si="16"/>
        <v/>
      </c>
      <c r="G21" s="15" t="str">
        <f t="shared" si="16"/>
        <v/>
      </c>
      <c r="H21" s="15" t="str">
        <f t="shared" si="16"/>
        <v/>
      </c>
      <c r="I21" s="15" t="str">
        <f t="shared" si="16"/>
        <v/>
      </c>
      <c r="J21" s="15" t="str">
        <f t="shared" si="16"/>
        <v/>
      </c>
      <c r="K21" s="15" t="str">
        <f t="shared" si="16"/>
        <v/>
      </c>
      <c r="L21" s="15" t="str">
        <f t="shared" si="16"/>
        <v/>
      </c>
      <c r="M21" s="15" t="str">
        <f t="shared" si="16"/>
        <v/>
      </c>
      <c r="N21" s="15" t="str">
        <f t="shared" si="16"/>
        <v/>
      </c>
      <c r="O21" s="15" t="str">
        <f t="shared" si="16"/>
        <v/>
      </c>
      <c r="P21" s="643" t="str">
        <f t="shared" si="16"/>
        <v/>
      </c>
      <c r="Q21" s="16">
        <f t="shared" si="18"/>
        <v>0</v>
      </c>
      <c r="R21" s="563">
        <f t="shared" si="12"/>
        <v>8505</v>
      </c>
      <c r="S21" s="15">
        <f t="shared" si="13"/>
        <v>8505</v>
      </c>
      <c r="T21" s="15">
        <f t="shared" si="14"/>
        <v>8505</v>
      </c>
      <c r="U21" s="643">
        <f t="shared" si="15"/>
        <v>8505</v>
      </c>
      <c r="V21" s="16">
        <f t="shared" si="19"/>
        <v>34020</v>
      </c>
      <c r="W21" s="16">
        <f t="shared" si="20"/>
        <v>35721</v>
      </c>
      <c r="X21" s="17">
        <f t="shared" si="21"/>
        <v>37507.050000000003</v>
      </c>
    </row>
    <row r="22" spans="1:26" x14ac:dyDescent="0.25">
      <c r="A22" s="97" t="s">
        <v>74</v>
      </c>
      <c r="B22" s="760">
        <v>2700</v>
      </c>
      <c r="C22" s="761"/>
      <c r="D22" s="100">
        <v>25</v>
      </c>
      <c r="E22" s="14" t="str">
        <f t="shared" si="16"/>
        <v/>
      </c>
      <c r="F22" s="15" t="str">
        <f t="shared" si="16"/>
        <v/>
      </c>
      <c r="G22" s="15" t="str">
        <f t="shared" si="16"/>
        <v/>
      </c>
      <c r="H22" s="15" t="str">
        <f t="shared" si="16"/>
        <v/>
      </c>
      <c r="I22" s="15" t="str">
        <f t="shared" si="16"/>
        <v/>
      </c>
      <c r="J22" s="15" t="str">
        <f t="shared" si="16"/>
        <v/>
      </c>
      <c r="K22" s="15" t="str">
        <f t="shared" si="16"/>
        <v/>
      </c>
      <c r="L22" s="15" t="str">
        <f t="shared" si="16"/>
        <v/>
      </c>
      <c r="M22" s="15" t="str">
        <f t="shared" si="16"/>
        <v/>
      </c>
      <c r="N22" s="15" t="str">
        <f t="shared" si="16"/>
        <v/>
      </c>
      <c r="O22" s="15" t="str">
        <f t="shared" si="16"/>
        <v/>
      </c>
      <c r="P22" s="643" t="str">
        <f t="shared" si="16"/>
        <v/>
      </c>
      <c r="Q22" s="16">
        <f t="shared" si="18"/>
        <v>0</v>
      </c>
      <c r="R22" s="563" t="str">
        <f t="shared" si="12"/>
        <v/>
      </c>
      <c r="S22" s="15" t="str">
        <f t="shared" si="13"/>
        <v/>
      </c>
      <c r="T22" s="15" t="str">
        <f t="shared" si="14"/>
        <v/>
      </c>
      <c r="U22" s="643" t="str">
        <f t="shared" si="15"/>
        <v/>
      </c>
      <c r="V22" s="16">
        <f t="shared" si="19"/>
        <v>0</v>
      </c>
      <c r="W22" s="16">
        <f t="shared" si="20"/>
        <v>35721</v>
      </c>
      <c r="X22" s="17">
        <f t="shared" si="21"/>
        <v>37507.050000000003</v>
      </c>
    </row>
    <row r="23" spans="1:26" x14ac:dyDescent="0.25">
      <c r="A23" s="97" t="s">
        <v>91</v>
      </c>
      <c r="B23" s="760">
        <v>2500</v>
      </c>
      <c r="C23" s="761"/>
      <c r="D23" s="100">
        <v>13</v>
      </c>
      <c r="E23" s="14" t="str">
        <f t="shared" si="16"/>
        <v/>
      </c>
      <c r="F23" s="15" t="str">
        <f t="shared" si="16"/>
        <v/>
      </c>
      <c r="G23" s="15" t="str">
        <f t="shared" si="16"/>
        <v/>
      </c>
      <c r="H23" s="15" t="str">
        <f t="shared" si="16"/>
        <v/>
      </c>
      <c r="I23" s="15" t="str">
        <f t="shared" si="16"/>
        <v/>
      </c>
      <c r="J23" s="15" t="str">
        <f t="shared" si="16"/>
        <v/>
      </c>
      <c r="K23" s="15" t="str">
        <f t="shared" si="16"/>
        <v/>
      </c>
      <c r="L23" s="15" t="str">
        <f t="shared" si="16"/>
        <v/>
      </c>
      <c r="M23" s="15" t="str">
        <f t="shared" si="16"/>
        <v/>
      </c>
      <c r="N23" s="15" t="str">
        <f t="shared" si="16"/>
        <v/>
      </c>
      <c r="O23" s="15" t="str">
        <f t="shared" si="16"/>
        <v/>
      </c>
      <c r="P23" s="643" t="str">
        <f t="shared" si="16"/>
        <v/>
      </c>
      <c r="Q23" s="16">
        <f t="shared" si="18"/>
        <v>0</v>
      </c>
      <c r="R23" s="563">
        <f t="shared" si="12"/>
        <v>7875</v>
      </c>
      <c r="S23" s="15">
        <f t="shared" si="13"/>
        <v>7875</v>
      </c>
      <c r="T23" s="15">
        <f t="shared" si="14"/>
        <v>7875</v>
      </c>
      <c r="U23" s="643">
        <f t="shared" si="15"/>
        <v>7875</v>
      </c>
      <c r="V23" s="16">
        <f t="shared" si="19"/>
        <v>31500</v>
      </c>
      <c r="W23" s="16">
        <f t="shared" si="20"/>
        <v>33075</v>
      </c>
      <c r="X23" s="17">
        <f t="shared" si="21"/>
        <v>34728.750000000007</v>
      </c>
    </row>
    <row r="24" spans="1:26" x14ac:dyDescent="0.25">
      <c r="A24" s="97" t="s">
        <v>91</v>
      </c>
      <c r="B24" s="760">
        <v>2500</v>
      </c>
      <c r="C24" s="761"/>
      <c r="D24" s="100">
        <v>19</v>
      </c>
      <c r="E24" s="14" t="str">
        <f t="shared" si="16"/>
        <v/>
      </c>
      <c r="F24" s="15" t="str">
        <f t="shared" si="16"/>
        <v/>
      </c>
      <c r="G24" s="15" t="str">
        <f t="shared" si="16"/>
        <v/>
      </c>
      <c r="H24" s="15" t="str">
        <f t="shared" si="16"/>
        <v/>
      </c>
      <c r="I24" s="15" t="str">
        <f t="shared" si="16"/>
        <v/>
      </c>
      <c r="J24" s="15" t="str">
        <f t="shared" si="16"/>
        <v/>
      </c>
      <c r="K24" s="15" t="str">
        <f t="shared" si="16"/>
        <v/>
      </c>
      <c r="L24" s="15" t="str">
        <f t="shared" si="16"/>
        <v/>
      </c>
      <c r="M24" s="15" t="str">
        <f t="shared" si="16"/>
        <v/>
      </c>
      <c r="N24" s="15" t="str">
        <f t="shared" si="16"/>
        <v/>
      </c>
      <c r="O24" s="15" t="str">
        <f t="shared" si="16"/>
        <v/>
      </c>
      <c r="P24" s="643" t="str">
        <f t="shared" si="16"/>
        <v/>
      </c>
      <c r="Q24" s="16">
        <f t="shared" si="18"/>
        <v>0</v>
      </c>
      <c r="R24" s="563" t="str">
        <f t="shared" si="12"/>
        <v/>
      </c>
      <c r="S24" s="15" t="str">
        <f t="shared" si="13"/>
        <v/>
      </c>
      <c r="T24" s="15">
        <f t="shared" si="14"/>
        <v>7875</v>
      </c>
      <c r="U24" s="643">
        <f t="shared" si="15"/>
        <v>7875</v>
      </c>
      <c r="V24" s="16">
        <f t="shared" si="19"/>
        <v>15750</v>
      </c>
      <c r="W24" s="16">
        <f t="shared" si="20"/>
        <v>33075</v>
      </c>
      <c r="X24" s="17">
        <f t="shared" si="21"/>
        <v>34728.750000000007</v>
      </c>
    </row>
    <row r="25" spans="1:26" x14ac:dyDescent="0.25">
      <c r="A25" s="97" t="s">
        <v>91</v>
      </c>
      <c r="B25" s="760">
        <v>2500</v>
      </c>
      <c r="C25" s="761"/>
      <c r="D25" s="100">
        <v>25</v>
      </c>
      <c r="E25" s="14" t="str">
        <f t="shared" si="16"/>
        <v/>
      </c>
      <c r="F25" s="15" t="str">
        <f t="shared" si="16"/>
        <v/>
      </c>
      <c r="G25" s="15" t="str">
        <f t="shared" si="16"/>
        <v/>
      </c>
      <c r="H25" s="15" t="str">
        <f t="shared" si="16"/>
        <v/>
      </c>
      <c r="I25" s="15" t="str">
        <f t="shared" si="16"/>
        <v/>
      </c>
      <c r="J25" s="15" t="str">
        <f t="shared" si="16"/>
        <v/>
      </c>
      <c r="K25" s="15" t="str">
        <f t="shared" si="16"/>
        <v/>
      </c>
      <c r="L25" s="15" t="str">
        <f t="shared" si="16"/>
        <v/>
      </c>
      <c r="M25" s="15" t="str">
        <f t="shared" si="16"/>
        <v/>
      </c>
      <c r="N25" s="15" t="str">
        <f t="shared" si="16"/>
        <v/>
      </c>
      <c r="O25" s="15" t="str">
        <f t="shared" si="16"/>
        <v/>
      </c>
      <c r="P25" s="643" t="str">
        <f t="shared" si="16"/>
        <v/>
      </c>
      <c r="Q25" s="16">
        <f t="shared" si="18"/>
        <v>0</v>
      </c>
      <c r="R25" s="563" t="str">
        <f t="shared" si="12"/>
        <v/>
      </c>
      <c r="S25" s="15" t="str">
        <f t="shared" si="13"/>
        <v/>
      </c>
      <c r="T25" s="15" t="str">
        <f t="shared" si="14"/>
        <v/>
      </c>
      <c r="U25" s="643" t="str">
        <f t="shared" si="15"/>
        <v/>
      </c>
      <c r="V25" s="16">
        <f t="shared" si="19"/>
        <v>0</v>
      </c>
      <c r="W25" s="16">
        <f t="shared" si="20"/>
        <v>33075</v>
      </c>
      <c r="X25" s="17">
        <f t="shared" si="21"/>
        <v>34728.750000000007</v>
      </c>
    </row>
    <row r="26" spans="1:26" ht="15.75" thickBot="1" x14ac:dyDescent="0.3">
      <c r="A26" s="577" t="s">
        <v>270</v>
      </c>
      <c r="B26" s="762">
        <v>2500</v>
      </c>
      <c r="C26" s="762"/>
      <c r="D26" s="581">
        <v>25</v>
      </c>
      <c r="E26" s="126" t="str">
        <f t="shared" si="16"/>
        <v/>
      </c>
      <c r="F26" s="127" t="str">
        <f t="shared" si="16"/>
        <v/>
      </c>
      <c r="G26" s="127" t="str">
        <f t="shared" si="16"/>
        <v/>
      </c>
      <c r="H26" s="127" t="str">
        <f t="shared" si="16"/>
        <v/>
      </c>
      <c r="I26" s="127" t="str">
        <f t="shared" si="16"/>
        <v/>
      </c>
      <c r="J26" s="127" t="str">
        <f t="shared" si="16"/>
        <v/>
      </c>
      <c r="K26" s="127" t="str">
        <f t="shared" si="16"/>
        <v/>
      </c>
      <c r="L26" s="127" t="str">
        <f t="shared" si="16"/>
        <v/>
      </c>
      <c r="M26" s="127" t="str">
        <f t="shared" si="16"/>
        <v/>
      </c>
      <c r="N26" s="127" t="str">
        <f t="shared" si="16"/>
        <v/>
      </c>
      <c r="O26" s="127" t="str">
        <f t="shared" si="16"/>
        <v/>
      </c>
      <c r="P26" s="157" t="str">
        <f t="shared" si="16"/>
        <v/>
      </c>
      <c r="Q26" s="132">
        <f t="shared" si="18"/>
        <v>0</v>
      </c>
      <c r="R26" s="158" t="str">
        <f t="shared" si="12"/>
        <v/>
      </c>
      <c r="S26" s="127" t="str">
        <f t="shared" si="13"/>
        <v/>
      </c>
      <c r="T26" s="127" t="str">
        <f t="shared" si="14"/>
        <v/>
      </c>
      <c r="U26" s="157" t="str">
        <f t="shared" si="15"/>
        <v/>
      </c>
      <c r="V26" s="132">
        <f t="shared" si="19"/>
        <v>0</v>
      </c>
      <c r="W26" s="132">
        <f t="shared" si="20"/>
        <v>33075</v>
      </c>
      <c r="X26" s="133">
        <f t="shared" si="21"/>
        <v>34728.750000000007</v>
      </c>
    </row>
    <row r="27" spans="1:26" ht="7.5" customHeight="1" thickTop="1" thickBot="1" x14ac:dyDescent="0.3">
      <c r="A27" s="579"/>
      <c r="B27" s="753"/>
      <c r="C27" s="753"/>
      <c r="D27" s="582"/>
      <c r="E27" s="338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339"/>
      <c r="Q27" s="325"/>
      <c r="R27" s="326"/>
      <c r="S27" s="323"/>
      <c r="T27" s="323"/>
      <c r="U27" s="341"/>
      <c r="V27" s="325"/>
      <c r="W27" s="325"/>
      <c r="X27" s="327"/>
    </row>
    <row r="28" spans="1:26" ht="18.75" customHeight="1" thickBot="1" x14ac:dyDescent="0.3">
      <c r="A28" s="625" t="s">
        <v>90</v>
      </c>
      <c r="B28" s="754">
        <f>SUM(Q28,V28,W28,X28)/48</f>
        <v>21488.330208333333</v>
      </c>
      <c r="C28" s="755"/>
      <c r="D28" s="624"/>
      <c r="E28" s="598">
        <f t="shared" ref="E28:X28" si="22">SUM(E16:E27)</f>
        <v>0</v>
      </c>
      <c r="F28" s="599">
        <f t="shared" si="22"/>
        <v>1700</v>
      </c>
      <c r="G28" s="599">
        <f t="shared" si="22"/>
        <v>4400</v>
      </c>
      <c r="H28" s="599">
        <f t="shared" si="22"/>
        <v>7100</v>
      </c>
      <c r="I28" s="599">
        <f t="shared" si="22"/>
        <v>7100</v>
      </c>
      <c r="J28" s="599">
        <f t="shared" si="22"/>
        <v>7100</v>
      </c>
      <c r="K28" s="599">
        <f t="shared" si="22"/>
        <v>7100</v>
      </c>
      <c r="L28" s="599">
        <f t="shared" si="22"/>
        <v>7100</v>
      </c>
      <c r="M28" s="599">
        <f t="shared" si="22"/>
        <v>7100</v>
      </c>
      <c r="N28" s="599">
        <f t="shared" si="22"/>
        <v>7100</v>
      </c>
      <c r="O28" s="599">
        <f t="shared" si="22"/>
        <v>7100</v>
      </c>
      <c r="P28" s="600">
        <f t="shared" si="22"/>
        <v>7100</v>
      </c>
      <c r="Q28" s="541">
        <f t="shared" si="22"/>
        <v>70000</v>
      </c>
      <c r="R28" s="601">
        <f t="shared" si="22"/>
        <v>47250</v>
      </c>
      <c r="S28" s="599">
        <f t="shared" si="22"/>
        <v>47250</v>
      </c>
      <c r="T28" s="599">
        <f t="shared" si="22"/>
        <v>55125</v>
      </c>
      <c r="U28" s="600">
        <f t="shared" si="22"/>
        <v>55125</v>
      </c>
      <c r="V28" s="541">
        <f t="shared" si="22"/>
        <v>204750</v>
      </c>
      <c r="W28" s="626">
        <f t="shared" si="22"/>
        <v>369117</v>
      </c>
      <c r="X28" s="602">
        <f t="shared" si="22"/>
        <v>387572.85</v>
      </c>
    </row>
    <row r="29" spans="1:26" ht="7.5" customHeight="1" thickBot="1" x14ac:dyDescent="0.3">
      <c r="A29" s="750"/>
      <c r="B29" s="751"/>
      <c r="C29" s="751"/>
      <c r="D29" s="751"/>
      <c r="E29" s="751"/>
      <c r="F29" s="751"/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  <c r="U29" s="751"/>
      <c r="V29" s="751"/>
      <c r="W29" s="751"/>
      <c r="X29" s="752"/>
    </row>
    <row r="30" spans="1:26" ht="18.75" customHeight="1" thickBot="1" x14ac:dyDescent="0.3">
      <c r="A30" s="564" t="s">
        <v>90</v>
      </c>
      <c r="B30" s="763">
        <f>SUM(Q30,V30,W30,X30)/48</f>
        <v>30108.580208333336</v>
      </c>
      <c r="C30" s="764"/>
      <c r="D30" s="627"/>
      <c r="E30" s="544">
        <f t="shared" ref="E30:X30" si="23">SUM(E13+E28)</f>
        <v>8000</v>
      </c>
      <c r="F30" s="545">
        <f t="shared" si="23"/>
        <v>9700</v>
      </c>
      <c r="G30" s="545">
        <f t="shared" si="23"/>
        <v>12400</v>
      </c>
      <c r="H30" s="545">
        <f t="shared" si="23"/>
        <v>15100</v>
      </c>
      <c r="I30" s="545">
        <f t="shared" si="23"/>
        <v>15100</v>
      </c>
      <c r="J30" s="545">
        <f t="shared" si="23"/>
        <v>15100</v>
      </c>
      <c r="K30" s="545">
        <f t="shared" si="23"/>
        <v>15100</v>
      </c>
      <c r="L30" s="545">
        <f t="shared" si="23"/>
        <v>15100</v>
      </c>
      <c r="M30" s="545">
        <f t="shared" si="23"/>
        <v>15100</v>
      </c>
      <c r="N30" s="545">
        <f t="shared" si="23"/>
        <v>15100</v>
      </c>
      <c r="O30" s="545">
        <f t="shared" si="23"/>
        <v>15100</v>
      </c>
      <c r="P30" s="603">
        <f t="shared" si="23"/>
        <v>15100</v>
      </c>
      <c r="Q30" s="331">
        <f t="shared" si="23"/>
        <v>166000</v>
      </c>
      <c r="R30" s="450">
        <f t="shared" si="23"/>
        <v>72450</v>
      </c>
      <c r="S30" s="545">
        <f t="shared" si="23"/>
        <v>72450</v>
      </c>
      <c r="T30" s="545">
        <f t="shared" si="23"/>
        <v>80325</v>
      </c>
      <c r="U30" s="603">
        <f t="shared" si="23"/>
        <v>80325</v>
      </c>
      <c r="V30" s="331">
        <f t="shared" si="23"/>
        <v>305550</v>
      </c>
      <c r="W30" s="331">
        <f t="shared" si="23"/>
        <v>474957</v>
      </c>
      <c r="X30" s="332">
        <f t="shared" si="23"/>
        <v>498704.85</v>
      </c>
    </row>
    <row r="31" spans="1:26" ht="15.75" thickBot="1" x14ac:dyDescent="0.3">
      <c r="B31" s="565"/>
      <c r="C31" s="566"/>
    </row>
    <row r="32" spans="1:26" ht="15" customHeight="1" x14ac:dyDescent="0.25">
      <c r="A32" s="767" t="s">
        <v>113</v>
      </c>
      <c r="B32" s="765" t="s">
        <v>114</v>
      </c>
      <c r="C32" s="765" t="s">
        <v>44</v>
      </c>
      <c r="D32" s="769" t="s">
        <v>244</v>
      </c>
      <c r="E32" s="746" t="s">
        <v>20</v>
      </c>
      <c r="F32" s="729"/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30" t="s">
        <v>20</v>
      </c>
      <c r="R32" s="728" t="s">
        <v>25</v>
      </c>
      <c r="S32" s="729"/>
      <c r="T32" s="729"/>
      <c r="U32" s="729"/>
      <c r="V32" s="730" t="s">
        <v>25</v>
      </c>
      <c r="W32" s="730" t="s">
        <v>26</v>
      </c>
      <c r="X32" s="732" t="s">
        <v>27</v>
      </c>
      <c r="Z32" s="775" t="s">
        <v>49</v>
      </c>
    </row>
    <row r="33" spans="1:26" ht="15.75" thickBot="1" x14ac:dyDescent="0.3">
      <c r="A33" s="768"/>
      <c r="B33" s="766"/>
      <c r="C33" s="766"/>
      <c r="D33" s="770"/>
      <c r="E33" s="1">
        <v>1</v>
      </c>
      <c r="F33" s="2">
        <v>2</v>
      </c>
      <c r="G33" s="2">
        <v>3</v>
      </c>
      <c r="H33" s="2">
        <v>4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v>11</v>
      </c>
      <c r="P33" s="3">
        <v>12</v>
      </c>
      <c r="Q33" s="731"/>
      <c r="R33" s="4" t="s">
        <v>21</v>
      </c>
      <c r="S33" s="2" t="s">
        <v>22</v>
      </c>
      <c r="T33" s="2" t="s">
        <v>23</v>
      </c>
      <c r="U33" s="3" t="s">
        <v>24</v>
      </c>
      <c r="V33" s="731"/>
      <c r="W33" s="731"/>
      <c r="X33" s="733"/>
      <c r="Z33" s="776"/>
    </row>
    <row r="34" spans="1:26" ht="18.75" customHeight="1" thickTop="1" x14ac:dyDescent="0.25">
      <c r="A34" s="117" t="s">
        <v>54</v>
      </c>
      <c r="B34" s="72">
        <f>Z34</f>
        <v>40345.497479166661</v>
      </c>
      <c r="C34" s="112" t="s">
        <v>45</v>
      </c>
      <c r="D34" s="113" t="s">
        <v>48</v>
      </c>
      <c r="E34" s="6">
        <f>E30*(1+$B$4)</f>
        <v>10720</v>
      </c>
      <c r="F34" s="7">
        <f t="shared" ref="F34:X34" si="24">F30*(1+$B$4)</f>
        <v>12998</v>
      </c>
      <c r="G34" s="7">
        <f t="shared" si="24"/>
        <v>16616</v>
      </c>
      <c r="H34" s="7">
        <f t="shared" si="24"/>
        <v>20234</v>
      </c>
      <c r="I34" s="7">
        <f t="shared" si="24"/>
        <v>20234</v>
      </c>
      <c r="J34" s="7">
        <f t="shared" si="24"/>
        <v>20234</v>
      </c>
      <c r="K34" s="7">
        <f t="shared" si="24"/>
        <v>20234</v>
      </c>
      <c r="L34" s="7">
        <f t="shared" si="24"/>
        <v>20234</v>
      </c>
      <c r="M34" s="7">
        <f t="shared" si="24"/>
        <v>20234</v>
      </c>
      <c r="N34" s="7">
        <f t="shared" si="24"/>
        <v>20234</v>
      </c>
      <c r="O34" s="7">
        <f t="shared" si="24"/>
        <v>20234</v>
      </c>
      <c r="P34" s="178">
        <f t="shared" si="24"/>
        <v>20234</v>
      </c>
      <c r="Q34" s="8">
        <f>SUM(E34:P34)</f>
        <v>222440</v>
      </c>
      <c r="R34" s="305">
        <f t="shared" si="24"/>
        <v>97083</v>
      </c>
      <c r="S34" s="305">
        <f t="shared" si="24"/>
        <v>97083</v>
      </c>
      <c r="T34" s="305">
        <f t="shared" si="24"/>
        <v>107635.5</v>
      </c>
      <c r="U34" s="262">
        <f t="shared" si="24"/>
        <v>107635.5</v>
      </c>
      <c r="V34" s="8">
        <f>SUM(R34:U34)</f>
        <v>409437</v>
      </c>
      <c r="W34" s="8">
        <f t="shared" si="24"/>
        <v>636442.38</v>
      </c>
      <c r="X34" s="9">
        <f t="shared" si="24"/>
        <v>668264.49899999995</v>
      </c>
      <c r="Z34" s="567">
        <f>((Q34+V34+W34+X34)/4)/12</f>
        <v>40345.497479166661</v>
      </c>
    </row>
    <row r="35" spans="1:26" ht="18.75" customHeight="1" x14ac:dyDescent="0.25">
      <c r="A35" s="118" t="s">
        <v>55</v>
      </c>
      <c r="B35" s="76">
        <f>Z35</f>
        <v>6724.2495798611117</v>
      </c>
      <c r="C35" s="114" t="s">
        <v>46</v>
      </c>
      <c r="D35" s="96">
        <v>5</v>
      </c>
      <c r="E35" s="10">
        <f>($Q$34/12)*IF($D35=IF(MOD(E$33,6)=0,6,MOD(E$33,6)),1,0)</f>
        <v>0</v>
      </c>
      <c r="F35" s="11">
        <f t="shared" ref="F35:P35" si="25">($Q$34/12)*IF($D35=IF(MOD(F$33,6)=0,6,MOD(F$33,6)),1,0)</f>
        <v>0</v>
      </c>
      <c r="G35" s="11">
        <f t="shared" si="25"/>
        <v>0</v>
      </c>
      <c r="H35" s="11">
        <f t="shared" si="25"/>
        <v>0</v>
      </c>
      <c r="I35" s="11">
        <f t="shared" si="25"/>
        <v>18536.666666666668</v>
      </c>
      <c r="J35" s="11">
        <f t="shared" si="25"/>
        <v>0</v>
      </c>
      <c r="K35" s="11">
        <f t="shared" si="25"/>
        <v>0</v>
      </c>
      <c r="L35" s="11">
        <f t="shared" si="25"/>
        <v>0</v>
      </c>
      <c r="M35" s="11">
        <f t="shared" si="25"/>
        <v>0</v>
      </c>
      <c r="N35" s="11">
        <f t="shared" si="25"/>
        <v>0</v>
      </c>
      <c r="O35" s="11">
        <f t="shared" si="25"/>
        <v>18536.666666666668</v>
      </c>
      <c r="P35" s="183">
        <f t="shared" si="25"/>
        <v>0</v>
      </c>
      <c r="Q35" s="12">
        <f t="shared" ref="Q35" si="26">SUM(E35:P35)</f>
        <v>37073.333333333336</v>
      </c>
      <c r="R35" s="306" t="str">
        <f>IF(AND($D35&gt;=1,$D35&lt;=3),$V$34/12,"")</f>
        <v/>
      </c>
      <c r="S35" s="11">
        <f>IF(AND($D35&gt;=4,$D35&lt;=6),$V$34/12,"")</f>
        <v>34119.75</v>
      </c>
      <c r="T35" s="11" t="str">
        <f>IF(AND($D35&gt;=1,$D35&lt;=3),$V$34/12,"")</f>
        <v/>
      </c>
      <c r="U35" s="183">
        <f>IF(AND($D35&gt;=4,$D35&lt;=6),$V$34/12,"")</f>
        <v>34119.75</v>
      </c>
      <c r="V35" s="12">
        <f t="shared" ref="V35:V36" si="27">SUM(R35:U35)</f>
        <v>68239.5</v>
      </c>
      <c r="W35" s="12">
        <f>W34/12*2</f>
        <v>106073.73</v>
      </c>
      <c r="X35" s="13">
        <f>X34/12*2</f>
        <v>111377.41649999999</v>
      </c>
      <c r="Z35" s="568">
        <f>((Q35+V35+W35+X35)/4)/12</f>
        <v>6724.2495798611117</v>
      </c>
    </row>
    <row r="36" spans="1:26" ht="18.75" customHeight="1" thickBot="1" x14ac:dyDescent="0.3">
      <c r="A36" s="121" t="s">
        <v>93</v>
      </c>
      <c r="B36" s="110">
        <f>Z36</f>
        <v>352.5</v>
      </c>
      <c r="C36" s="122" t="s">
        <v>45</v>
      </c>
      <c r="D36" s="123" t="s">
        <v>48</v>
      </c>
      <c r="E36" s="14">
        <f t="shared" ref="E36:P36" si="28">COUNT(E$8:E$12,E$16:E$27)*$B$3</f>
        <v>120</v>
      </c>
      <c r="F36" s="15">
        <f t="shared" si="28"/>
        <v>150</v>
      </c>
      <c r="G36" s="15">
        <f t="shared" si="28"/>
        <v>180</v>
      </c>
      <c r="H36" s="15">
        <f t="shared" si="28"/>
        <v>210</v>
      </c>
      <c r="I36" s="15">
        <f t="shared" si="28"/>
        <v>210</v>
      </c>
      <c r="J36" s="15">
        <f t="shared" si="28"/>
        <v>210</v>
      </c>
      <c r="K36" s="15">
        <f t="shared" si="28"/>
        <v>210</v>
      </c>
      <c r="L36" s="15">
        <f t="shared" si="28"/>
        <v>210</v>
      </c>
      <c r="M36" s="15">
        <f t="shared" si="28"/>
        <v>210</v>
      </c>
      <c r="N36" s="15">
        <f t="shared" si="28"/>
        <v>210</v>
      </c>
      <c r="O36" s="15">
        <f t="shared" si="28"/>
        <v>210</v>
      </c>
      <c r="P36" s="643">
        <f t="shared" si="28"/>
        <v>210</v>
      </c>
      <c r="Q36" s="16">
        <f t="shared" ref="Q36" si="29">SUM(E36:P36)</f>
        <v>2340</v>
      </c>
      <c r="R36" s="563">
        <f>(COUNT(R$8:R$12,R$16:R$27)*3)*$B$3</f>
        <v>900</v>
      </c>
      <c r="S36" s="15">
        <f>(COUNT(S$8:S$12,S$16:S$27)*3)*$B$3</f>
        <v>900</v>
      </c>
      <c r="T36" s="15">
        <f>(COUNT(T$8:T$12,T$16:T$27)*3)*$B$3</f>
        <v>990</v>
      </c>
      <c r="U36" s="643">
        <f>(COUNT(U$8:U$12,U$16:U$27)*3)*$B$3</f>
        <v>990</v>
      </c>
      <c r="V36" s="16">
        <f t="shared" si="27"/>
        <v>3780</v>
      </c>
      <c r="W36" s="16">
        <f>(COUNT(W$8:W$12,W$16:W$27)*12)*$B$3</f>
        <v>5400</v>
      </c>
      <c r="X36" s="17">
        <f>(COUNT(X$8:X$12,X$16:X$27)*12)*$B$3</f>
        <v>5400</v>
      </c>
      <c r="Z36" s="568">
        <f>((Q36+V36+W36+X36)/4)/12</f>
        <v>352.5</v>
      </c>
    </row>
    <row r="37" spans="1:26" ht="7.5" customHeight="1" thickTop="1" thickBot="1" x14ac:dyDescent="0.3">
      <c r="A37" s="119"/>
      <c r="B37" s="120"/>
      <c r="C37" s="115"/>
      <c r="D37" s="116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69"/>
    </row>
    <row r="38" spans="1:26" s="621" customFormat="1" ht="18.75" customHeight="1" thickBot="1" x14ac:dyDescent="0.3">
      <c r="A38" s="570" t="s">
        <v>56</v>
      </c>
      <c r="B38" s="571">
        <f>Z38</f>
        <v>47422.247059027774</v>
      </c>
      <c r="D38" s="622"/>
      <c r="E38" s="623">
        <f>SUM(E34:E37)</f>
        <v>10840</v>
      </c>
      <c r="F38" s="547">
        <f t="shared" ref="F38:X38" si="30">SUM(F34:F37)</f>
        <v>13148</v>
      </c>
      <c r="G38" s="547">
        <f t="shared" si="30"/>
        <v>16796</v>
      </c>
      <c r="H38" s="547">
        <f t="shared" si="30"/>
        <v>20444</v>
      </c>
      <c r="I38" s="547">
        <f t="shared" si="30"/>
        <v>38980.666666666672</v>
      </c>
      <c r="J38" s="547">
        <f t="shared" si="30"/>
        <v>20444</v>
      </c>
      <c r="K38" s="547">
        <f t="shared" si="30"/>
        <v>20444</v>
      </c>
      <c r="L38" s="547">
        <f t="shared" si="30"/>
        <v>20444</v>
      </c>
      <c r="M38" s="547">
        <f t="shared" si="30"/>
        <v>20444</v>
      </c>
      <c r="N38" s="547">
        <f t="shared" si="30"/>
        <v>20444</v>
      </c>
      <c r="O38" s="547">
        <f t="shared" si="30"/>
        <v>38980.666666666672</v>
      </c>
      <c r="P38" s="36">
        <f t="shared" si="30"/>
        <v>20444</v>
      </c>
      <c r="Q38" s="37">
        <f t="shared" si="30"/>
        <v>261853.33333333334</v>
      </c>
      <c r="R38" s="546">
        <f t="shared" si="30"/>
        <v>97983</v>
      </c>
      <c r="S38" s="547">
        <f t="shared" si="30"/>
        <v>132102.75</v>
      </c>
      <c r="T38" s="547">
        <f t="shared" si="30"/>
        <v>108625.5</v>
      </c>
      <c r="U38" s="36">
        <f t="shared" si="30"/>
        <v>142745.25</v>
      </c>
      <c r="V38" s="37">
        <f t="shared" si="30"/>
        <v>481456.5</v>
      </c>
      <c r="W38" s="37">
        <f t="shared" si="30"/>
        <v>747916.11</v>
      </c>
      <c r="X38" s="38">
        <f t="shared" si="30"/>
        <v>785041.91549999989</v>
      </c>
      <c r="Z38" s="572">
        <f>SUM(Z34:Z37)</f>
        <v>47422.247059027774</v>
      </c>
    </row>
    <row r="39" spans="1:26" ht="15.75" thickBot="1" x14ac:dyDescent="0.3">
      <c r="B39" s="565"/>
      <c r="C39" s="566"/>
    </row>
    <row r="40" spans="1:26" ht="15" customHeight="1" x14ac:dyDescent="0.25">
      <c r="A40" s="767" t="s">
        <v>43</v>
      </c>
      <c r="B40" s="765" t="s">
        <v>19</v>
      </c>
      <c r="C40" s="765" t="s">
        <v>44</v>
      </c>
      <c r="D40" s="769" t="s">
        <v>244</v>
      </c>
      <c r="E40" s="746" t="s">
        <v>20</v>
      </c>
      <c r="F40" s="729"/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30" t="s">
        <v>20</v>
      </c>
      <c r="R40" s="728" t="s">
        <v>25</v>
      </c>
      <c r="S40" s="729"/>
      <c r="T40" s="729"/>
      <c r="U40" s="729"/>
      <c r="V40" s="730" t="s">
        <v>25</v>
      </c>
      <c r="W40" s="730" t="s">
        <v>26</v>
      </c>
      <c r="X40" s="732" t="s">
        <v>27</v>
      </c>
      <c r="Z40" s="775" t="s">
        <v>49</v>
      </c>
    </row>
    <row r="41" spans="1:26" ht="15.75" thickBot="1" x14ac:dyDescent="0.3">
      <c r="A41" s="768"/>
      <c r="B41" s="766"/>
      <c r="C41" s="766"/>
      <c r="D41" s="770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31"/>
      <c r="R41" s="4" t="s">
        <v>21</v>
      </c>
      <c r="S41" s="2" t="s">
        <v>22</v>
      </c>
      <c r="T41" s="2" t="s">
        <v>23</v>
      </c>
      <c r="U41" s="3" t="s">
        <v>24</v>
      </c>
      <c r="V41" s="731"/>
      <c r="W41" s="731"/>
      <c r="X41" s="733"/>
      <c r="Z41" s="776"/>
    </row>
    <row r="42" spans="1:26" ht="18.75" customHeight="1" thickTop="1" x14ac:dyDescent="0.25">
      <c r="A42" s="92"/>
      <c r="B42" s="18"/>
      <c r="C42" s="19"/>
      <c r="D42" s="20"/>
      <c r="E42" s="6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7">
        <f t="shared" ref="F42:P43" si="31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7">
        <f t="shared" si="31"/>
        <v>0</v>
      </c>
      <c r="H42" s="7">
        <f t="shared" si="31"/>
        <v>0</v>
      </c>
      <c r="I42" s="7">
        <f t="shared" si="31"/>
        <v>0</v>
      </c>
      <c r="J42" s="7">
        <f t="shared" si="31"/>
        <v>0</v>
      </c>
      <c r="K42" s="7">
        <f t="shared" si="31"/>
        <v>0</v>
      </c>
      <c r="L42" s="7">
        <f t="shared" si="31"/>
        <v>0</v>
      </c>
      <c r="M42" s="7">
        <f t="shared" si="31"/>
        <v>0</v>
      </c>
      <c r="N42" s="7">
        <f t="shared" si="31"/>
        <v>0</v>
      </c>
      <c r="O42" s="7">
        <f t="shared" si="31"/>
        <v>0</v>
      </c>
      <c r="P42" s="178">
        <f t="shared" si="31"/>
        <v>0</v>
      </c>
      <c r="Q42" s="8">
        <f>SUM(E42:P42)</f>
        <v>0</v>
      </c>
      <c r="R42" s="305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78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7">
        <f>((Q42+V42+W42+X42)/4)/12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32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5">
        <f t="shared" si="31"/>
        <v>0</v>
      </c>
      <c r="G43" s="15">
        <f t="shared" si="31"/>
        <v>0</v>
      </c>
      <c r="H43" s="15">
        <f t="shared" si="31"/>
        <v>0</v>
      </c>
      <c r="I43" s="15">
        <f t="shared" si="31"/>
        <v>0</v>
      </c>
      <c r="J43" s="15">
        <f t="shared" si="31"/>
        <v>0</v>
      </c>
      <c r="K43" s="15">
        <f t="shared" si="31"/>
        <v>0</v>
      </c>
      <c r="L43" s="15">
        <f t="shared" si="31"/>
        <v>0</v>
      </c>
      <c r="M43" s="15">
        <f t="shared" si="31"/>
        <v>0</v>
      </c>
      <c r="N43" s="15">
        <f t="shared" si="31"/>
        <v>0</v>
      </c>
      <c r="O43" s="15">
        <f t="shared" si="31"/>
        <v>0</v>
      </c>
      <c r="P43" s="643">
        <f t="shared" si="31"/>
        <v>0</v>
      </c>
      <c r="Q43" s="16">
        <f t="shared" ref="Q43" si="33">SUM(E43:P43)</f>
        <v>0</v>
      </c>
      <c r="R43" s="563">
        <f t="shared" ref="R43" si="34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35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36">IF(AND($C43="j",$D43&gt;=7,$D43&lt;=9),$B43,IF(AND($C43="h",$D43&gt;=1,$D43&lt;=3),$B43,IF(AND($C43="q",$D43&gt;=1,$D43&lt;=3),$B43,IF($C43="z",IF($D43=1,2*$B43,$B43),IF($C43="m",3*$B43,0)))))</f>
        <v>0</v>
      </c>
      <c r="U43" s="643">
        <f t="shared" ref="U43" si="37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38">SUM(R43:U43)</f>
        <v>0</v>
      </c>
      <c r="W43" s="16">
        <f t="shared" ref="W43:X43" si="39">IF($C43="j",$B43,IF($C43="h",2*$B43,IF($C43="q",4*$B43,IF($C43="z",6*$B43,12*$B43))))</f>
        <v>0</v>
      </c>
      <c r="X43" s="17">
        <f t="shared" si="39"/>
        <v>0</v>
      </c>
      <c r="Z43" s="573">
        <f>((Q43+V43+W43+X43)/4)/12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69"/>
    </row>
    <row r="45" spans="1:26" s="621" customFormat="1" ht="18.75" customHeight="1" thickBot="1" x14ac:dyDescent="0.3">
      <c r="A45" s="570" t="s">
        <v>50</v>
      </c>
      <c r="B45" s="571">
        <f>Z45</f>
        <v>0</v>
      </c>
      <c r="D45" s="622"/>
      <c r="E45" s="623">
        <f>SUM(E42:E44)</f>
        <v>0</v>
      </c>
      <c r="F45" s="547">
        <f t="shared" ref="F45:X45" si="40">SUM(F42:F44)</f>
        <v>0</v>
      </c>
      <c r="G45" s="547">
        <f t="shared" si="40"/>
        <v>0</v>
      </c>
      <c r="H45" s="547">
        <f t="shared" si="40"/>
        <v>0</v>
      </c>
      <c r="I45" s="547">
        <f t="shared" si="40"/>
        <v>0</v>
      </c>
      <c r="J45" s="547">
        <f t="shared" si="40"/>
        <v>0</v>
      </c>
      <c r="K45" s="547">
        <f t="shared" si="40"/>
        <v>0</v>
      </c>
      <c r="L45" s="547">
        <f t="shared" si="40"/>
        <v>0</v>
      </c>
      <c r="M45" s="547">
        <f t="shared" si="40"/>
        <v>0</v>
      </c>
      <c r="N45" s="547">
        <f t="shared" si="40"/>
        <v>0</v>
      </c>
      <c r="O45" s="547">
        <f t="shared" si="40"/>
        <v>0</v>
      </c>
      <c r="P45" s="36">
        <f t="shared" si="40"/>
        <v>0</v>
      </c>
      <c r="Q45" s="37">
        <f t="shared" si="40"/>
        <v>0</v>
      </c>
      <c r="R45" s="546">
        <f t="shared" si="40"/>
        <v>0</v>
      </c>
      <c r="S45" s="547">
        <f t="shared" si="40"/>
        <v>0</v>
      </c>
      <c r="T45" s="547">
        <f t="shared" si="40"/>
        <v>0</v>
      </c>
      <c r="U45" s="36">
        <f t="shared" si="40"/>
        <v>0</v>
      </c>
      <c r="V45" s="37">
        <f t="shared" si="40"/>
        <v>0</v>
      </c>
      <c r="W45" s="37">
        <f t="shared" si="40"/>
        <v>0</v>
      </c>
      <c r="X45" s="38">
        <f t="shared" si="40"/>
        <v>0</v>
      </c>
      <c r="Z45" s="572">
        <f>SUM(Z42:Z43)</f>
        <v>0</v>
      </c>
    </row>
    <row r="46" spans="1:26" ht="15.75" thickBot="1" x14ac:dyDescent="0.3"/>
    <row r="47" spans="1:26" ht="15" customHeight="1" x14ac:dyDescent="0.25">
      <c r="A47" s="767" t="s">
        <v>57</v>
      </c>
      <c r="B47" s="765" t="s">
        <v>19</v>
      </c>
      <c r="C47" s="765" t="s">
        <v>44</v>
      </c>
      <c r="D47" s="769" t="s">
        <v>244</v>
      </c>
      <c r="E47" s="746" t="s">
        <v>20</v>
      </c>
      <c r="F47" s="729"/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30" t="s">
        <v>20</v>
      </c>
      <c r="R47" s="728" t="s">
        <v>25</v>
      </c>
      <c r="S47" s="729"/>
      <c r="T47" s="729"/>
      <c r="U47" s="729"/>
      <c r="V47" s="730" t="s">
        <v>25</v>
      </c>
      <c r="W47" s="730" t="s">
        <v>26</v>
      </c>
      <c r="X47" s="732" t="s">
        <v>27</v>
      </c>
      <c r="Z47" s="775" t="s">
        <v>49</v>
      </c>
    </row>
    <row r="48" spans="1:26" ht="15.75" thickBot="1" x14ac:dyDescent="0.3">
      <c r="A48" s="768"/>
      <c r="B48" s="766"/>
      <c r="C48" s="766"/>
      <c r="D48" s="770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31"/>
      <c r="R48" s="4" t="s">
        <v>21</v>
      </c>
      <c r="S48" s="2" t="s">
        <v>22</v>
      </c>
      <c r="T48" s="2" t="s">
        <v>23</v>
      </c>
      <c r="U48" s="3" t="s">
        <v>24</v>
      </c>
      <c r="V48" s="731"/>
      <c r="W48" s="731"/>
      <c r="X48" s="733"/>
      <c r="Z48" s="776"/>
    </row>
    <row r="49" spans="1:26" ht="18.75" customHeight="1" thickTop="1" x14ac:dyDescent="0.25">
      <c r="A49" s="92"/>
      <c r="B49" s="18"/>
      <c r="C49" s="19"/>
      <c r="D49" s="20"/>
      <c r="E49" s="6">
        <f>IF(AND($C49="j",$D49=E$41),$B49,IF($C49="h",$B49*IF($D49=IF(MOD(E$41,6)=0,6,MOD(E$41,6)),1,0),IF($C49="q",$B49*IF($D49=IF(MOD(E$41,3)=0,3,MOD(E$41,3)),1,0),IF($C49="z",$B49*IF($D49=IF(MOD(E$41,2)=0,2,MOD(E$41,2)),1,0),IF($C49="m",$B49,0)))))</f>
        <v>0</v>
      </c>
      <c r="F49" s="7">
        <f t="shared" ref="F49:P50" si="41">IF(AND($C49="j",$D49=F$41),$B49,IF($C49="h",$B49*IF($D49=IF(MOD(F$41,6)=0,6,MOD(F$41,6)),1,0),IF($C49="q",$B49*IF($D49=IF(MOD(F$41,3)=0,3,MOD(F$41,3)),1,0),IF($C49="z",$B49*IF($D49=IF(MOD(F$41,2)=0,2,MOD(F$41,2)),1,0),IF($C49="m",$B49,0)))))</f>
        <v>0</v>
      </c>
      <c r="G49" s="7">
        <f t="shared" si="41"/>
        <v>0</v>
      </c>
      <c r="H49" s="7">
        <f t="shared" si="41"/>
        <v>0</v>
      </c>
      <c r="I49" s="7">
        <f t="shared" si="41"/>
        <v>0</v>
      </c>
      <c r="J49" s="7">
        <f t="shared" si="41"/>
        <v>0</v>
      </c>
      <c r="K49" s="7">
        <f t="shared" si="41"/>
        <v>0</v>
      </c>
      <c r="L49" s="7">
        <f t="shared" si="41"/>
        <v>0</v>
      </c>
      <c r="M49" s="7">
        <f t="shared" si="41"/>
        <v>0</v>
      </c>
      <c r="N49" s="7">
        <f t="shared" si="41"/>
        <v>0</v>
      </c>
      <c r="O49" s="7">
        <f t="shared" si="41"/>
        <v>0</v>
      </c>
      <c r="P49" s="178">
        <f t="shared" si="41"/>
        <v>0</v>
      </c>
      <c r="Q49" s="8">
        <f>SUM(E49:P49)</f>
        <v>0</v>
      </c>
      <c r="R49" s="305">
        <f>IF(AND($C49="j",$D49&gt;=1,$D49&lt;=3),$B49,IF(AND($C49="h",$D49&gt;=1,$D49&lt;=3),$B49,IF(AND($C49="q",$D49&gt;=1,$D49&lt;=3),$B49,IF($C49="z",IF($D49=1,2*$B49,$B49),IF($C49="m",3*$B49,0)))))</f>
        <v>0</v>
      </c>
      <c r="S49" s="7">
        <f>IF(AND($C49="j",$D49&gt;=4,$D49&lt;=6),$B49,IF(AND($C49="h",$D49&gt;=4,$D49&lt;=6),$B49,IF(AND($C49="q",$D49&gt;=1,$D49&lt;=3),$B49,IF($C49="z",IF($D49=2,2*$B49,$B49),IF($C49="m",3*$B49,0)))))</f>
        <v>0</v>
      </c>
      <c r="T49" s="7">
        <f>IF(AND($C49="j",$D49&gt;=7,$D49&lt;=9),$B49,IF(AND($C49="h",$D49&gt;=1,$D49&lt;=3),$B49,IF(AND($C49="q",$D49&gt;=1,$D49&lt;=3),$B49,IF($C49="z",IF($D49=1,2*$B49,$B49),IF($C49="m",3*$B49,0)))))</f>
        <v>0</v>
      </c>
      <c r="U49" s="178">
        <f>IF(AND($C49="j",$D49&gt;=10,$D49&lt;=12),$B49,IF(AND($C49="h",$D49&gt;=4,$D49&lt;=6),$B49,IF(AND($C49="q",$D49&gt;=1,$D49&lt;=3),$B49,IF($C49="z",IF($D49=2,2*$B49,$B49),IF($C49="m",3*$B49,0)))))</f>
        <v>0</v>
      </c>
      <c r="V49" s="8">
        <f>SUM(R49:U49)</f>
        <v>0</v>
      </c>
      <c r="W49" s="8">
        <f>IF($C49="j",$B49,IF($C49="h",2*$B49,IF($C49="q",4*$B49,IF($C49="z",6*$B49,12*$B49))))</f>
        <v>0</v>
      </c>
      <c r="X49" s="9">
        <f>IF($C49="j",$B49,IF($C49="h",2*$B49,IF($C49="q",4*$B49,IF($C49="z",6*$B49,12*$B49))))</f>
        <v>0</v>
      </c>
      <c r="Z49" s="567">
        <f>((Q49+V49+W49+X49)/4)/12</f>
        <v>0</v>
      </c>
    </row>
    <row r="50" spans="1:26" ht="18.75" customHeight="1" thickBot="1" x14ac:dyDescent="0.3">
      <c r="A50" s="97"/>
      <c r="B50" s="98"/>
      <c r="C50" s="99"/>
      <c r="D50" s="100"/>
      <c r="E50" s="14">
        <f t="shared" ref="E50" si="42">IF(AND($C50="j",$D50=E$41),$B50,IF($C50="h",$B50*IF($D50=IF(MOD(E$41,6)=0,6,MOD(E$41,6)),1,0),IF($C50="q",$B50*IF($D50=IF(MOD(E$41,3)=0,3,MOD(E$41,3)),1,0),IF($C50="z",$B50*IF($D50=IF(MOD(E$41,2)=0,2,MOD(E$41,2)),1,0),IF($C50="m",$B50,0)))))</f>
        <v>0</v>
      </c>
      <c r="F50" s="15">
        <f t="shared" si="41"/>
        <v>0</v>
      </c>
      <c r="G50" s="15">
        <f t="shared" si="41"/>
        <v>0</v>
      </c>
      <c r="H50" s="15">
        <f t="shared" si="41"/>
        <v>0</v>
      </c>
      <c r="I50" s="15">
        <f t="shared" si="41"/>
        <v>0</v>
      </c>
      <c r="J50" s="15">
        <f t="shared" si="41"/>
        <v>0</v>
      </c>
      <c r="K50" s="15">
        <f t="shared" si="41"/>
        <v>0</v>
      </c>
      <c r="L50" s="15">
        <f t="shared" si="41"/>
        <v>0</v>
      </c>
      <c r="M50" s="15">
        <f t="shared" si="41"/>
        <v>0</v>
      </c>
      <c r="N50" s="15">
        <f t="shared" si="41"/>
        <v>0</v>
      </c>
      <c r="O50" s="15">
        <f t="shared" si="41"/>
        <v>0</v>
      </c>
      <c r="P50" s="643">
        <f t="shared" si="41"/>
        <v>0</v>
      </c>
      <c r="Q50" s="16">
        <f t="shared" ref="Q50" si="43">SUM(E50:P50)</f>
        <v>0</v>
      </c>
      <c r="R50" s="563">
        <f t="shared" ref="R50" si="44">IF(AND($C50="j",$D50&gt;=1,$D50&lt;=3),$B50,IF(AND($C50="h",$D50&gt;=1,$D50&lt;=3),$B50,IF(AND($C50="q",$D50&gt;=1,$D50&lt;=3),$B50,IF($C50="z",IF($D50=1,2*$B50,$B50),IF($C50="m",3*$B50,0)))))</f>
        <v>0</v>
      </c>
      <c r="S50" s="15">
        <f t="shared" ref="S50" si="45">IF(AND($C50="j",$D50&gt;=4,$D50&lt;=6),$B50,IF(AND($C50="h",$D50&gt;=4,$D50&lt;=6),$B50,IF(AND($C50="q",$D50&gt;=1,$D50&lt;=3),$B50,IF($C50="z",IF($D50=2,2*$B50,$B50),IF($C50="m",3*$B50,0)))))</f>
        <v>0</v>
      </c>
      <c r="T50" s="15">
        <f t="shared" ref="T50" si="46">IF(AND($C50="j",$D50&gt;=7,$D50&lt;=9),$B50,IF(AND($C50="h",$D50&gt;=1,$D50&lt;=3),$B50,IF(AND($C50="q",$D50&gt;=1,$D50&lt;=3),$B50,IF($C50="z",IF($D50=1,2*$B50,$B50),IF($C50="m",3*$B50,0)))))</f>
        <v>0</v>
      </c>
      <c r="U50" s="643">
        <f t="shared" ref="U50" si="47">IF(AND($C50="j",$D50&gt;=10,$D50&lt;=12),$B50,IF(AND($C50="h",$D50&gt;=4,$D50&lt;=6),$B50,IF(AND($C50="q",$D50&gt;=1,$D50&lt;=3),$B50,IF($C50="z",IF($D50=2,2*$B50,$B50),IF($C50="m",3*$B50,0)))))</f>
        <v>0</v>
      </c>
      <c r="V50" s="16">
        <f t="shared" ref="V50" si="48">SUM(R50:U50)</f>
        <v>0</v>
      </c>
      <c r="W50" s="16">
        <f t="shared" ref="W50:X50" si="49">IF($C50="j",$B50,IF($C50="h",2*$B50,IF($C50="q",4*$B50,IF($C50="z",6*$B50,12*$B50))))</f>
        <v>0</v>
      </c>
      <c r="X50" s="17">
        <f t="shared" si="49"/>
        <v>0</v>
      </c>
      <c r="Z50" s="573">
        <f>((Q50+V50+W50+X50)/4)/12</f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69"/>
    </row>
    <row r="52" spans="1:26" s="621" customFormat="1" ht="18.75" customHeight="1" thickBot="1" x14ac:dyDescent="0.3">
      <c r="A52" s="570" t="s">
        <v>50</v>
      </c>
      <c r="B52" s="571">
        <f>Z52</f>
        <v>0</v>
      </c>
      <c r="D52" s="622"/>
      <c r="E52" s="623">
        <f>SUM(E49:E51)</f>
        <v>0</v>
      </c>
      <c r="F52" s="547">
        <f t="shared" ref="F52:X52" si="50">SUM(F49:F50)</f>
        <v>0</v>
      </c>
      <c r="G52" s="547">
        <f t="shared" si="50"/>
        <v>0</v>
      </c>
      <c r="H52" s="547">
        <f t="shared" si="50"/>
        <v>0</v>
      </c>
      <c r="I52" s="547">
        <f t="shared" si="50"/>
        <v>0</v>
      </c>
      <c r="J52" s="547">
        <f t="shared" si="50"/>
        <v>0</v>
      </c>
      <c r="K52" s="547">
        <f t="shared" si="50"/>
        <v>0</v>
      </c>
      <c r="L52" s="547">
        <f t="shared" si="50"/>
        <v>0</v>
      </c>
      <c r="M52" s="547">
        <f t="shared" si="50"/>
        <v>0</v>
      </c>
      <c r="N52" s="547">
        <f t="shared" si="50"/>
        <v>0</v>
      </c>
      <c r="O52" s="547">
        <f t="shared" si="50"/>
        <v>0</v>
      </c>
      <c r="P52" s="36">
        <f t="shared" si="50"/>
        <v>0</v>
      </c>
      <c r="Q52" s="37">
        <f t="shared" si="50"/>
        <v>0</v>
      </c>
      <c r="R52" s="546">
        <f t="shared" si="50"/>
        <v>0</v>
      </c>
      <c r="S52" s="547">
        <f t="shared" si="50"/>
        <v>0</v>
      </c>
      <c r="T52" s="547">
        <f t="shared" si="50"/>
        <v>0</v>
      </c>
      <c r="U52" s="36">
        <f t="shared" si="50"/>
        <v>0</v>
      </c>
      <c r="V52" s="37">
        <f t="shared" si="50"/>
        <v>0</v>
      </c>
      <c r="W52" s="37">
        <f t="shared" si="50"/>
        <v>0</v>
      </c>
      <c r="X52" s="38">
        <f t="shared" si="50"/>
        <v>0</v>
      </c>
      <c r="Z52" s="572">
        <f>SUM(Z49:Z50)</f>
        <v>0</v>
      </c>
    </row>
    <row r="53" spans="1:26" ht="15.75" thickBot="1" x14ac:dyDescent="0.3"/>
    <row r="54" spans="1:26" ht="15" customHeight="1" x14ac:dyDescent="0.25">
      <c r="A54" s="767" t="s">
        <v>58</v>
      </c>
      <c r="B54" s="765" t="s">
        <v>19</v>
      </c>
      <c r="C54" s="765" t="s">
        <v>44</v>
      </c>
      <c r="D54" s="769" t="s">
        <v>244</v>
      </c>
      <c r="E54" s="746" t="s">
        <v>20</v>
      </c>
      <c r="F54" s="729"/>
      <c r="G54" s="729"/>
      <c r="H54" s="729"/>
      <c r="I54" s="729"/>
      <c r="J54" s="729"/>
      <c r="K54" s="729"/>
      <c r="L54" s="729"/>
      <c r="M54" s="729"/>
      <c r="N54" s="729"/>
      <c r="O54" s="729"/>
      <c r="P54" s="729"/>
      <c r="Q54" s="730" t="s">
        <v>20</v>
      </c>
      <c r="R54" s="728" t="s">
        <v>25</v>
      </c>
      <c r="S54" s="729"/>
      <c r="T54" s="729"/>
      <c r="U54" s="729"/>
      <c r="V54" s="730" t="s">
        <v>25</v>
      </c>
      <c r="W54" s="730" t="s">
        <v>26</v>
      </c>
      <c r="X54" s="732" t="s">
        <v>27</v>
      </c>
      <c r="Z54" s="775" t="s">
        <v>49</v>
      </c>
    </row>
    <row r="55" spans="1:26" ht="15.75" thickBot="1" x14ac:dyDescent="0.3">
      <c r="A55" s="768"/>
      <c r="B55" s="766"/>
      <c r="C55" s="766"/>
      <c r="D55" s="770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31"/>
      <c r="R55" s="4" t="s">
        <v>21</v>
      </c>
      <c r="S55" s="2" t="s">
        <v>22</v>
      </c>
      <c r="T55" s="2" t="s">
        <v>23</v>
      </c>
      <c r="U55" s="3" t="s">
        <v>24</v>
      </c>
      <c r="V55" s="731"/>
      <c r="W55" s="731"/>
      <c r="X55" s="733"/>
      <c r="Z55" s="776"/>
    </row>
    <row r="56" spans="1:26" ht="18.75" customHeight="1" thickTop="1" x14ac:dyDescent="0.25">
      <c r="A56" s="92" t="s">
        <v>67</v>
      </c>
      <c r="B56" s="18">
        <v>1026</v>
      </c>
      <c r="C56" s="19" t="s">
        <v>45</v>
      </c>
      <c r="D56" s="20" t="s">
        <v>48</v>
      </c>
      <c r="E56" s="6">
        <f>IF(AND($C56="j",$D56=E$41),$B56,IF($C56="h",$B56*IF($D56=IF(MOD(E$41,6)=0,6,MOD(E$41,6)),1,0),IF($C56="q",$B56*IF($D56=IF(MOD(E$41,3)=0,3,MOD(E$41,3)),1,0),IF($C56="z",$B56*IF($D56=IF(MOD(E$41,2)=0,2,MOD(E$41,2)),1,0),IF($C56="m",$B56,0)))))</f>
        <v>1026</v>
      </c>
      <c r="F56" s="7">
        <f t="shared" ref="F56:P59" si="51">IF(AND($C56="j",$D56=F$41),$B56,IF($C56="h",$B56*IF($D56=IF(MOD(F$41,6)=0,6,MOD(F$41,6)),1,0),IF($C56="q",$B56*IF($D56=IF(MOD(F$41,3)=0,3,MOD(F$41,3)),1,0),IF($C56="z",$B56*IF($D56=IF(MOD(F$41,2)=0,2,MOD(F$41,2)),1,0),IF($C56="m",$B56,0)))))</f>
        <v>1026</v>
      </c>
      <c r="G56" s="7">
        <f t="shared" si="51"/>
        <v>1026</v>
      </c>
      <c r="H56" s="7">
        <f t="shared" si="51"/>
        <v>1026</v>
      </c>
      <c r="I56" s="7">
        <f t="shared" si="51"/>
        <v>1026</v>
      </c>
      <c r="J56" s="7">
        <f t="shared" si="51"/>
        <v>1026</v>
      </c>
      <c r="K56" s="7">
        <f t="shared" si="51"/>
        <v>1026</v>
      </c>
      <c r="L56" s="7">
        <f t="shared" si="51"/>
        <v>1026</v>
      </c>
      <c r="M56" s="7">
        <f t="shared" si="51"/>
        <v>1026</v>
      </c>
      <c r="N56" s="7">
        <f t="shared" si="51"/>
        <v>1026</v>
      </c>
      <c r="O56" s="7">
        <f t="shared" si="51"/>
        <v>1026</v>
      </c>
      <c r="P56" s="178">
        <f t="shared" si="51"/>
        <v>1026</v>
      </c>
      <c r="Q56" s="8">
        <f>SUM(E56:P56)</f>
        <v>12312</v>
      </c>
      <c r="R56" s="305">
        <f>IF(AND($C56="j",$D56&gt;=1,$D56&lt;=3),$B56,IF(AND($C56="h",$D56&gt;=1,$D56&lt;=3),$B56,IF(AND($C56="q",$D56&gt;=1,$D56&lt;=3),$B56,IF($C56="z",IF($D56=1,2*$B56,$B56),IF($C56="m",3*$B56,0)))))</f>
        <v>3078</v>
      </c>
      <c r="S56" s="7">
        <f>IF(AND($C56="j",$D56&gt;=4,$D56&lt;=6),$B56,IF(AND($C56="h",$D56&gt;=4,$D56&lt;=6),$B56,IF(AND($C56="q",$D56&gt;=1,$D56&lt;=3),$B56,IF($C56="z",IF($D56=2,2*$B56,$B56),IF($C56="m",3*$B56,0)))))</f>
        <v>3078</v>
      </c>
      <c r="T56" s="7">
        <f>IF(AND($C56="j",$D56&gt;=7,$D56&lt;=9),$B56,IF(AND($C56="h",$D56&gt;=1,$D56&lt;=3),$B56,IF(AND($C56="q",$D56&gt;=1,$D56&lt;=3),$B56,IF($C56="z",IF($D56=1,2*$B56,$B56),IF($C56="m",3*$B56,0)))))</f>
        <v>3078</v>
      </c>
      <c r="U56" s="178">
        <f>IF(AND($C56="j",$D56&gt;=10,$D56&lt;=12),$B56,IF(AND($C56="h",$D56&gt;=4,$D56&lt;=6),$B56,IF(AND($C56="q",$D56&gt;=1,$D56&lt;=3),$B56,IF($C56="z",IF($D56=2,2*$B56,$B56),IF($C56="m",3*$B56,0)))))</f>
        <v>3078</v>
      </c>
      <c r="V56" s="8">
        <f>SUM(R56:U56)</f>
        <v>12312</v>
      </c>
      <c r="W56" s="8">
        <f>IF($C56="j",$B56,IF($C56="h",2*$B56,IF($C56="q",4*$B56,IF($C56="z",6*$B56,12*$B56))))</f>
        <v>12312</v>
      </c>
      <c r="X56" s="9">
        <f>IF($C56="j",$B56,IF($C56="h",2*$B56,IF($C56="q",4*$B56,IF($C56="z",6*$B56,12*$B56))))</f>
        <v>12312</v>
      </c>
      <c r="Z56" s="567">
        <f>((Q56+V56+W56+X56)/4)/12</f>
        <v>1026</v>
      </c>
    </row>
    <row r="57" spans="1:26" ht="18.75" customHeight="1" x14ac:dyDescent="0.25">
      <c r="A57" s="93" t="s">
        <v>68</v>
      </c>
      <c r="B57" s="94">
        <v>45</v>
      </c>
      <c r="C57" s="95" t="s">
        <v>45</v>
      </c>
      <c r="D57" s="96" t="s">
        <v>48</v>
      </c>
      <c r="E57" s="10">
        <f t="shared" ref="E57:E59" si="52">IF(AND($C57="j",$D57=E$41),$B57,IF($C57="h",$B57*IF($D57=IF(MOD(E$41,6)=0,6,MOD(E$41,6)),1,0),IF($C57="q",$B57*IF($D57=IF(MOD(E$41,3)=0,3,MOD(E$41,3)),1,0),IF($C57="z",$B57*IF($D57=IF(MOD(E$41,2)=0,2,MOD(E$41,2)),1,0),IF($C57="m",$B57,0)))))</f>
        <v>45</v>
      </c>
      <c r="F57" s="11">
        <f t="shared" si="51"/>
        <v>45</v>
      </c>
      <c r="G57" s="11">
        <f t="shared" si="51"/>
        <v>45</v>
      </c>
      <c r="H57" s="11">
        <f t="shared" si="51"/>
        <v>45</v>
      </c>
      <c r="I57" s="11">
        <f t="shared" si="51"/>
        <v>45</v>
      </c>
      <c r="J57" s="11">
        <f t="shared" si="51"/>
        <v>45</v>
      </c>
      <c r="K57" s="11">
        <f t="shared" si="51"/>
        <v>45</v>
      </c>
      <c r="L57" s="11">
        <f t="shared" si="51"/>
        <v>45</v>
      </c>
      <c r="M57" s="11">
        <f t="shared" si="51"/>
        <v>45</v>
      </c>
      <c r="N57" s="11">
        <f t="shared" si="51"/>
        <v>45</v>
      </c>
      <c r="O57" s="11">
        <f t="shared" si="51"/>
        <v>45</v>
      </c>
      <c r="P57" s="183">
        <f t="shared" si="51"/>
        <v>45</v>
      </c>
      <c r="Q57" s="12">
        <f t="shared" ref="Q57:Q59" si="53">SUM(E57:P57)</f>
        <v>540</v>
      </c>
      <c r="R57" s="306">
        <f t="shared" ref="R57:R59" si="54">IF(AND($C57="j",$D57&gt;=1,$D57&lt;=3),$B57,IF(AND($C57="h",$D57&gt;=1,$D57&lt;=3),$B57,IF(AND($C57="q",$D57&gt;=1,$D57&lt;=3),$B57,IF($C57="z",IF($D57=1,2*$B57,$B57),IF($C57="m",3*$B57,0)))))</f>
        <v>135</v>
      </c>
      <c r="S57" s="11">
        <f t="shared" ref="S57:S59" si="55">IF(AND($C57="j",$D57&gt;=4,$D57&lt;=6),$B57,IF(AND($C57="h",$D57&gt;=4,$D57&lt;=6),$B57,IF(AND($C57="q",$D57&gt;=1,$D57&lt;=3),$B57,IF($C57="z",IF($D57=2,2*$B57,$B57),IF($C57="m",3*$B57,0)))))</f>
        <v>135</v>
      </c>
      <c r="T57" s="11">
        <f t="shared" ref="T57:T59" si="56">IF(AND($C57="j",$D57&gt;=7,$D57&lt;=9),$B57,IF(AND($C57="h",$D57&gt;=1,$D57&lt;=3),$B57,IF(AND($C57="q",$D57&gt;=1,$D57&lt;=3),$B57,IF($C57="z",IF($D57=1,2*$B57,$B57),IF($C57="m",3*$B57,0)))))</f>
        <v>135</v>
      </c>
      <c r="U57" s="183">
        <f t="shared" ref="U57:U59" si="57">IF(AND($C57="j",$D57&gt;=10,$D57&lt;=12),$B57,IF(AND($C57="h",$D57&gt;=4,$D57&lt;=6),$B57,IF(AND($C57="q",$D57&gt;=1,$D57&lt;=3),$B57,IF($C57="z",IF($D57=2,2*$B57,$B57),IF($C57="m",3*$B57,0)))))</f>
        <v>135</v>
      </c>
      <c r="V57" s="12">
        <f t="shared" ref="V57:V59" si="58">SUM(R57:U57)</f>
        <v>540</v>
      </c>
      <c r="W57" s="12">
        <f t="shared" ref="W57:X59" si="59">IF($C57="j",$B57,IF($C57="h",2*$B57,IF($C57="q",4*$B57,IF($C57="z",6*$B57,12*$B57))))</f>
        <v>540</v>
      </c>
      <c r="X57" s="13">
        <f t="shared" si="59"/>
        <v>540</v>
      </c>
      <c r="Z57" s="568">
        <f t="shared" ref="Z57:Z59" si="60">((Q57+V57+W57+X57)/4)/12</f>
        <v>45</v>
      </c>
    </row>
    <row r="58" spans="1:26" ht="18.75" customHeight="1" x14ac:dyDescent="0.25">
      <c r="A58" s="93" t="s">
        <v>115</v>
      </c>
      <c r="B58" s="94">
        <v>200</v>
      </c>
      <c r="C58" s="95" t="s">
        <v>45</v>
      </c>
      <c r="D58" s="96" t="s">
        <v>48</v>
      </c>
      <c r="E58" s="10">
        <f t="shared" si="52"/>
        <v>200</v>
      </c>
      <c r="F58" s="11">
        <f t="shared" si="51"/>
        <v>200</v>
      </c>
      <c r="G58" s="11">
        <f t="shared" si="51"/>
        <v>200</v>
      </c>
      <c r="H58" s="11">
        <f t="shared" si="51"/>
        <v>200</v>
      </c>
      <c r="I58" s="11">
        <f t="shared" si="51"/>
        <v>200</v>
      </c>
      <c r="J58" s="11">
        <f t="shared" si="51"/>
        <v>200</v>
      </c>
      <c r="K58" s="11">
        <f t="shared" si="51"/>
        <v>200</v>
      </c>
      <c r="L58" s="11">
        <f t="shared" si="51"/>
        <v>200</v>
      </c>
      <c r="M58" s="11">
        <f t="shared" si="51"/>
        <v>200</v>
      </c>
      <c r="N58" s="11">
        <f t="shared" si="51"/>
        <v>200</v>
      </c>
      <c r="O58" s="11">
        <f t="shared" si="51"/>
        <v>200</v>
      </c>
      <c r="P58" s="183">
        <f t="shared" si="51"/>
        <v>200</v>
      </c>
      <c r="Q58" s="12">
        <f t="shared" si="53"/>
        <v>2400</v>
      </c>
      <c r="R58" s="306">
        <f t="shared" si="54"/>
        <v>600</v>
      </c>
      <c r="S58" s="11">
        <f t="shared" si="55"/>
        <v>600</v>
      </c>
      <c r="T58" s="11">
        <f t="shared" si="56"/>
        <v>600</v>
      </c>
      <c r="U58" s="183">
        <f t="shared" si="57"/>
        <v>600</v>
      </c>
      <c r="V58" s="12">
        <f t="shared" si="58"/>
        <v>2400</v>
      </c>
      <c r="W58" s="12">
        <f t="shared" si="59"/>
        <v>2400</v>
      </c>
      <c r="X58" s="13">
        <f t="shared" si="59"/>
        <v>2400</v>
      </c>
      <c r="Z58" s="568">
        <f t="shared" si="60"/>
        <v>200</v>
      </c>
    </row>
    <row r="59" spans="1:26" ht="18.75" customHeight="1" thickBot="1" x14ac:dyDescent="0.3">
      <c r="A59" s="97"/>
      <c r="B59" s="98"/>
      <c r="C59" s="99"/>
      <c r="D59" s="100"/>
      <c r="E59" s="14">
        <f t="shared" si="52"/>
        <v>0</v>
      </c>
      <c r="F59" s="15">
        <f t="shared" si="51"/>
        <v>0</v>
      </c>
      <c r="G59" s="15">
        <f t="shared" si="51"/>
        <v>0</v>
      </c>
      <c r="H59" s="15">
        <f t="shared" si="51"/>
        <v>0</v>
      </c>
      <c r="I59" s="15">
        <f t="shared" si="51"/>
        <v>0</v>
      </c>
      <c r="J59" s="15">
        <f t="shared" si="51"/>
        <v>0</v>
      </c>
      <c r="K59" s="15">
        <f t="shared" si="51"/>
        <v>0</v>
      </c>
      <c r="L59" s="15">
        <f t="shared" si="51"/>
        <v>0</v>
      </c>
      <c r="M59" s="15">
        <f t="shared" si="51"/>
        <v>0</v>
      </c>
      <c r="N59" s="15">
        <f t="shared" si="51"/>
        <v>0</v>
      </c>
      <c r="O59" s="15">
        <f t="shared" si="51"/>
        <v>0</v>
      </c>
      <c r="P59" s="643">
        <f t="shared" si="51"/>
        <v>0</v>
      </c>
      <c r="Q59" s="16">
        <f t="shared" si="53"/>
        <v>0</v>
      </c>
      <c r="R59" s="563">
        <f t="shared" si="54"/>
        <v>0</v>
      </c>
      <c r="S59" s="15">
        <f t="shared" si="55"/>
        <v>0</v>
      </c>
      <c r="T59" s="15">
        <f t="shared" si="56"/>
        <v>0</v>
      </c>
      <c r="U59" s="643">
        <f t="shared" si="57"/>
        <v>0</v>
      </c>
      <c r="V59" s="16">
        <f t="shared" si="58"/>
        <v>0</v>
      </c>
      <c r="W59" s="16">
        <f t="shared" si="59"/>
        <v>0</v>
      </c>
      <c r="X59" s="17">
        <f t="shared" si="59"/>
        <v>0</v>
      </c>
      <c r="Z59" s="573">
        <f t="shared" si="60"/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69"/>
    </row>
    <row r="61" spans="1:26" s="621" customFormat="1" ht="18.75" customHeight="1" thickBot="1" x14ac:dyDescent="0.3">
      <c r="A61" s="570" t="s">
        <v>50</v>
      </c>
      <c r="B61" s="571">
        <f>Z61</f>
        <v>1271</v>
      </c>
      <c r="D61" s="622"/>
      <c r="E61" s="623">
        <f>SUM(E56:E60)</f>
        <v>1271</v>
      </c>
      <c r="F61" s="547">
        <f t="shared" ref="F61:X61" si="61">SUM(F56:F60)</f>
        <v>1271</v>
      </c>
      <c r="G61" s="547">
        <f t="shared" si="61"/>
        <v>1271</v>
      </c>
      <c r="H61" s="547">
        <f t="shared" si="61"/>
        <v>1271</v>
      </c>
      <c r="I61" s="547">
        <f t="shared" si="61"/>
        <v>1271</v>
      </c>
      <c r="J61" s="547">
        <f t="shared" si="61"/>
        <v>1271</v>
      </c>
      <c r="K61" s="547">
        <f t="shared" si="61"/>
        <v>1271</v>
      </c>
      <c r="L61" s="547">
        <f t="shared" si="61"/>
        <v>1271</v>
      </c>
      <c r="M61" s="547">
        <f t="shared" si="61"/>
        <v>1271</v>
      </c>
      <c r="N61" s="547">
        <f t="shared" si="61"/>
        <v>1271</v>
      </c>
      <c r="O61" s="547">
        <f t="shared" si="61"/>
        <v>1271</v>
      </c>
      <c r="P61" s="36">
        <f t="shared" si="61"/>
        <v>1271</v>
      </c>
      <c r="Q61" s="37">
        <f t="shared" si="61"/>
        <v>15252</v>
      </c>
      <c r="R61" s="546">
        <f t="shared" si="61"/>
        <v>3813</v>
      </c>
      <c r="S61" s="547">
        <f t="shared" si="61"/>
        <v>3813</v>
      </c>
      <c r="T61" s="547">
        <f t="shared" si="61"/>
        <v>3813</v>
      </c>
      <c r="U61" s="36">
        <f t="shared" si="61"/>
        <v>3813</v>
      </c>
      <c r="V61" s="37">
        <f t="shared" si="61"/>
        <v>15252</v>
      </c>
      <c r="W61" s="37">
        <f t="shared" si="61"/>
        <v>15252</v>
      </c>
      <c r="X61" s="38">
        <f t="shared" si="61"/>
        <v>15252</v>
      </c>
      <c r="Z61" s="572">
        <f>SUM(Z56:Z60)</f>
        <v>1271</v>
      </c>
    </row>
    <row r="62" spans="1:26" ht="15.75" thickBot="1" x14ac:dyDescent="0.3"/>
    <row r="63" spans="1:26" ht="15" customHeight="1" x14ac:dyDescent="0.25">
      <c r="A63" s="767" t="s">
        <v>69</v>
      </c>
      <c r="B63" s="765" t="s">
        <v>19</v>
      </c>
      <c r="C63" s="765" t="s">
        <v>44</v>
      </c>
      <c r="D63" s="769" t="s">
        <v>244</v>
      </c>
      <c r="E63" s="746" t="s">
        <v>20</v>
      </c>
      <c r="F63" s="729"/>
      <c r="G63" s="729"/>
      <c r="H63" s="729"/>
      <c r="I63" s="729"/>
      <c r="J63" s="729"/>
      <c r="K63" s="729"/>
      <c r="L63" s="729"/>
      <c r="M63" s="729"/>
      <c r="N63" s="729"/>
      <c r="O63" s="729"/>
      <c r="P63" s="729"/>
      <c r="Q63" s="730" t="s">
        <v>20</v>
      </c>
      <c r="R63" s="728" t="s">
        <v>25</v>
      </c>
      <c r="S63" s="729"/>
      <c r="T63" s="729"/>
      <c r="U63" s="729"/>
      <c r="V63" s="730" t="s">
        <v>25</v>
      </c>
      <c r="W63" s="730" t="s">
        <v>26</v>
      </c>
      <c r="X63" s="732" t="s">
        <v>27</v>
      </c>
      <c r="Z63" s="775" t="s">
        <v>49</v>
      </c>
    </row>
    <row r="64" spans="1:26" ht="15.75" thickBot="1" x14ac:dyDescent="0.3">
      <c r="A64" s="768"/>
      <c r="B64" s="766"/>
      <c r="C64" s="766"/>
      <c r="D64" s="770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31"/>
      <c r="R64" s="4" t="s">
        <v>21</v>
      </c>
      <c r="S64" s="2" t="s">
        <v>22</v>
      </c>
      <c r="T64" s="2" t="s">
        <v>23</v>
      </c>
      <c r="U64" s="3" t="s">
        <v>24</v>
      </c>
      <c r="V64" s="731"/>
      <c r="W64" s="731"/>
      <c r="X64" s="733"/>
      <c r="Z64" s="776"/>
    </row>
    <row r="65" spans="1:26" ht="18.75" customHeight="1" thickTop="1" x14ac:dyDescent="0.25">
      <c r="A65" s="92" t="s">
        <v>116</v>
      </c>
      <c r="B65" s="18">
        <v>2000</v>
      </c>
      <c r="C65" s="19" t="s">
        <v>47</v>
      </c>
      <c r="D65" s="20">
        <v>12</v>
      </c>
      <c r="E65" s="6">
        <f>IF(AND($C65="j",$D65=E$41),$B65,IF($C65="h",$B65*IF($D65=IF(MOD(E$41,6)=0,6,MOD(E$41,6)),1,0),IF($C65="q",$B65*IF($D65=IF(MOD(E$41,3)=0,3,MOD(E$41,3)),1,0),IF($C65="z",$B65*IF($D65=IF(MOD(E$41,2)=0,2,MOD(E$41,2)),1,0),IF($C65="m",$B65,0)))))</f>
        <v>0</v>
      </c>
      <c r="F65" s="7">
        <f t="shared" ref="F65:P66" si="62">IF(AND($C65="j",$D65=F$41),$B65,IF($C65="h",$B65*IF($D65=IF(MOD(F$41,6)=0,6,MOD(F$41,6)),1,0),IF($C65="q",$B65*IF($D65=IF(MOD(F$41,3)=0,3,MOD(F$41,3)),1,0),IF($C65="z",$B65*IF($D65=IF(MOD(F$41,2)=0,2,MOD(F$41,2)),1,0),IF($C65="m",$B65,0)))))</f>
        <v>0</v>
      </c>
      <c r="G65" s="7">
        <f t="shared" si="62"/>
        <v>0</v>
      </c>
      <c r="H65" s="7">
        <f t="shared" si="62"/>
        <v>0</v>
      </c>
      <c r="I65" s="7">
        <f t="shared" si="62"/>
        <v>0</v>
      </c>
      <c r="J65" s="7">
        <f t="shared" si="62"/>
        <v>0</v>
      </c>
      <c r="K65" s="7">
        <f t="shared" si="62"/>
        <v>0</v>
      </c>
      <c r="L65" s="7">
        <f t="shared" si="62"/>
        <v>0</v>
      </c>
      <c r="M65" s="7">
        <f t="shared" si="62"/>
        <v>0</v>
      </c>
      <c r="N65" s="7">
        <f t="shared" si="62"/>
        <v>0</v>
      </c>
      <c r="O65" s="7">
        <f t="shared" si="62"/>
        <v>0</v>
      </c>
      <c r="P65" s="178">
        <f t="shared" si="62"/>
        <v>2000</v>
      </c>
      <c r="Q65" s="8">
        <f>SUM(E65:P65)</f>
        <v>2000</v>
      </c>
      <c r="R65" s="305">
        <f>IF(AND($C65="j",$D65&gt;=1,$D65&lt;=3),$B65,IF(AND($C65="h",$D65&gt;=1,$D65&lt;=3),$B65,IF(AND($C65="q",$D65&gt;=1,$D65&lt;=3),$B65,IF($C65="z",IF($D65=1,2*$B65,$B65),IF($C65="m",3*$B65,0)))))</f>
        <v>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78">
        <f>IF(AND($C65="j",$D65&gt;=10,$D65&lt;=12),$B65,IF(AND($C65="h",$D65&gt;=4,$D65&lt;=6),$B65,IF(AND($C65="q",$D65&gt;=1,$D65&lt;=3),$B65,IF($C65="z",IF($D65=2,2*$B65,$B65),IF($C65="m",3*$B65,0)))))</f>
        <v>2000</v>
      </c>
      <c r="V65" s="8">
        <f>SUM(R65:U65)</f>
        <v>2000</v>
      </c>
      <c r="W65" s="8">
        <f>IF($C65="j",$B65,IF($C65="h",2*$B65,IF($C65="q",4*$B65,IF($C65="z",6*$B65,12*$B65))))</f>
        <v>2000</v>
      </c>
      <c r="X65" s="9">
        <f>IF($C65="j",$B65,IF($C65="h",2*$B65,IF($C65="q",4*$B65,IF($C65="z",6*$B65,12*$B65))))</f>
        <v>2000</v>
      </c>
      <c r="Z65" s="567">
        <f>((Q65+V65+W65+X65)/4)/12</f>
        <v>166.66666666666666</v>
      </c>
    </row>
    <row r="66" spans="1:26" ht="18.75" customHeight="1" thickBot="1" x14ac:dyDescent="0.3">
      <c r="A66" s="97"/>
      <c r="B66" s="98"/>
      <c r="C66" s="99"/>
      <c r="D66" s="100"/>
      <c r="E66" s="14">
        <f t="shared" ref="E66" si="63">IF(AND($C66="j",$D66=E$41),$B66,IF($C66="h",$B66*IF($D66=IF(MOD(E$41,6)=0,6,MOD(E$41,6)),1,0),IF($C66="q",$B66*IF($D66=IF(MOD(E$41,3)=0,3,MOD(E$41,3)),1,0),IF($C66="z",$B66*IF($D66=IF(MOD(E$41,2)=0,2,MOD(E$41,2)),1,0),IF($C66="m",$B66,0)))))</f>
        <v>0</v>
      </c>
      <c r="F66" s="15">
        <f t="shared" si="62"/>
        <v>0</v>
      </c>
      <c r="G66" s="15">
        <f t="shared" si="62"/>
        <v>0</v>
      </c>
      <c r="H66" s="15">
        <f t="shared" si="62"/>
        <v>0</v>
      </c>
      <c r="I66" s="15">
        <f t="shared" si="62"/>
        <v>0</v>
      </c>
      <c r="J66" s="15">
        <f t="shared" si="62"/>
        <v>0</v>
      </c>
      <c r="K66" s="15">
        <f t="shared" si="62"/>
        <v>0</v>
      </c>
      <c r="L66" s="15">
        <f t="shared" si="62"/>
        <v>0</v>
      </c>
      <c r="M66" s="15">
        <f t="shared" si="62"/>
        <v>0</v>
      </c>
      <c r="N66" s="15">
        <f t="shared" si="62"/>
        <v>0</v>
      </c>
      <c r="O66" s="15">
        <f t="shared" si="62"/>
        <v>0</v>
      </c>
      <c r="P66" s="643">
        <f t="shared" si="62"/>
        <v>0</v>
      </c>
      <c r="Q66" s="16">
        <f t="shared" ref="Q66" si="64">SUM(E66:P66)</f>
        <v>0</v>
      </c>
      <c r="R66" s="563">
        <f t="shared" ref="R66" si="65">IF(AND($C66="j",$D66&gt;=1,$D66&lt;=3),$B66,IF(AND($C66="h",$D66&gt;=1,$D66&lt;=3),$B66,IF(AND($C66="q",$D66&gt;=1,$D66&lt;=3),$B66,IF($C66="z",IF($D66=1,2*$B66,$B66),IF($C66="m",3*$B66,0)))))</f>
        <v>0</v>
      </c>
      <c r="S66" s="15">
        <f t="shared" ref="S66" si="66">IF(AND($C66="j",$D66&gt;=4,$D66&lt;=6),$B66,IF(AND($C66="h",$D66&gt;=4,$D66&lt;=6),$B66,IF(AND($C66="q",$D66&gt;=1,$D66&lt;=3),$B66,IF($C66="z",IF($D66=2,2*$B66,$B66),IF($C66="m",3*$B66,0)))))</f>
        <v>0</v>
      </c>
      <c r="T66" s="15">
        <f t="shared" ref="T66" si="67">IF(AND($C66="j",$D66&gt;=7,$D66&lt;=9),$B66,IF(AND($C66="h",$D66&gt;=1,$D66&lt;=3),$B66,IF(AND($C66="q",$D66&gt;=1,$D66&lt;=3),$B66,IF($C66="z",IF($D66=1,2*$B66,$B66),IF($C66="m",3*$B66,0)))))</f>
        <v>0</v>
      </c>
      <c r="U66" s="643">
        <f t="shared" ref="U66" si="68">IF(AND($C66="j",$D66&gt;=10,$D66&lt;=12),$B66,IF(AND($C66="h",$D66&gt;=4,$D66&lt;=6),$B66,IF(AND($C66="q",$D66&gt;=1,$D66&lt;=3),$B66,IF($C66="z",IF($D66=2,2*$B66,$B66),IF($C66="m",3*$B66,0)))))</f>
        <v>0</v>
      </c>
      <c r="V66" s="16">
        <f t="shared" ref="V66" si="69">SUM(R66:U66)</f>
        <v>0</v>
      </c>
      <c r="W66" s="16">
        <f t="shared" ref="W66:X66" si="70">IF($C66="j",$B66,IF($C66="h",2*$B66,IF($C66="q",4*$B66,IF($C66="z",6*$B66,12*$B66))))</f>
        <v>0</v>
      </c>
      <c r="X66" s="17">
        <f t="shared" si="70"/>
        <v>0</v>
      </c>
      <c r="Z66" s="573">
        <f>((Q66+V66+W66+X66)/4)/12</f>
        <v>0</v>
      </c>
    </row>
    <row r="67" spans="1:26" ht="7.5" customHeight="1" thickTop="1" thickBot="1" x14ac:dyDescent="0.3">
      <c r="A67" s="101"/>
      <c r="B67" s="102"/>
      <c r="C67" s="103"/>
      <c r="D67" s="104"/>
      <c r="E67" s="27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3"/>
      <c r="R67" s="31"/>
      <c r="S67" s="28"/>
      <c r="T67" s="28"/>
      <c r="U67" s="29"/>
      <c r="V67" s="33"/>
      <c r="W67" s="33"/>
      <c r="X67" s="34"/>
      <c r="Z67" s="569"/>
    </row>
    <row r="68" spans="1:26" s="621" customFormat="1" ht="18.75" customHeight="1" thickBot="1" x14ac:dyDescent="0.3">
      <c r="A68" s="570" t="s">
        <v>50</v>
      </c>
      <c r="B68" s="571">
        <f>Z68</f>
        <v>166.66666666666666</v>
      </c>
      <c r="D68" s="622"/>
      <c r="E68" s="623">
        <f>SUM(E65:E67)</f>
        <v>0</v>
      </c>
      <c r="F68" s="547">
        <f t="shared" ref="F68:X68" si="71">SUM(F65:F67)</f>
        <v>0</v>
      </c>
      <c r="G68" s="547">
        <f t="shared" si="71"/>
        <v>0</v>
      </c>
      <c r="H68" s="547">
        <f t="shared" si="71"/>
        <v>0</v>
      </c>
      <c r="I68" s="547">
        <f t="shared" si="71"/>
        <v>0</v>
      </c>
      <c r="J68" s="547">
        <f t="shared" si="71"/>
        <v>0</v>
      </c>
      <c r="K68" s="547">
        <f t="shared" si="71"/>
        <v>0</v>
      </c>
      <c r="L68" s="547">
        <f t="shared" si="71"/>
        <v>0</v>
      </c>
      <c r="M68" s="547">
        <f t="shared" si="71"/>
        <v>0</v>
      </c>
      <c r="N68" s="547">
        <f t="shared" si="71"/>
        <v>0</v>
      </c>
      <c r="O68" s="547">
        <f t="shared" si="71"/>
        <v>0</v>
      </c>
      <c r="P68" s="36">
        <f t="shared" si="71"/>
        <v>2000</v>
      </c>
      <c r="Q68" s="37">
        <f t="shared" si="71"/>
        <v>2000</v>
      </c>
      <c r="R68" s="546">
        <f t="shared" si="71"/>
        <v>0</v>
      </c>
      <c r="S68" s="547">
        <f t="shared" si="71"/>
        <v>0</v>
      </c>
      <c r="T68" s="547">
        <f t="shared" si="71"/>
        <v>0</v>
      </c>
      <c r="U68" s="36">
        <f t="shared" si="71"/>
        <v>2000</v>
      </c>
      <c r="V68" s="37">
        <f t="shared" si="71"/>
        <v>2000</v>
      </c>
      <c r="W68" s="37">
        <f t="shared" si="71"/>
        <v>2000</v>
      </c>
      <c r="X68" s="38">
        <f t="shared" si="71"/>
        <v>2000</v>
      </c>
      <c r="Z68" s="572">
        <f>SUM(Z65:Z66)</f>
        <v>166.66666666666666</v>
      </c>
    </row>
    <row r="69" spans="1:26" ht="15.75" thickBot="1" x14ac:dyDescent="0.3"/>
    <row r="70" spans="1:26" ht="15" customHeight="1" x14ac:dyDescent="0.25">
      <c r="A70" s="767" t="s">
        <v>70</v>
      </c>
      <c r="B70" s="765" t="s">
        <v>71</v>
      </c>
      <c r="C70" s="765" t="s">
        <v>44</v>
      </c>
      <c r="D70" s="769" t="s">
        <v>244</v>
      </c>
      <c r="E70" s="746" t="s">
        <v>20</v>
      </c>
      <c r="F70" s="729"/>
      <c r="G70" s="729"/>
      <c r="H70" s="729"/>
      <c r="I70" s="729"/>
      <c r="J70" s="729"/>
      <c r="K70" s="729"/>
      <c r="L70" s="729"/>
      <c r="M70" s="729"/>
      <c r="N70" s="729"/>
      <c r="O70" s="729"/>
      <c r="P70" s="729"/>
      <c r="Q70" s="730" t="s">
        <v>20</v>
      </c>
      <c r="R70" s="728" t="s">
        <v>25</v>
      </c>
      <c r="S70" s="729"/>
      <c r="T70" s="729"/>
      <c r="U70" s="729"/>
      <c r="V70" s="730" t="s">
        <v>25</v>
      </c>
      <c r="W70" s="730" t="s">
        <v>26</v>
      </c>
      <c r="X70" s="732" t="s">
        <v>27</v>
      </c>
      <c r="Z70" s="775" t="s">
        <v>49</v>
      </c>
    </row>
    <row r="71" spans="1:26" ht="15.75" thickBot="1" x14ac:dyDescent="0.3">
      <c r="A71" s="768"/>
      <c r="B71" s="766"/>
      <c r="C71" s="766"/>
      <c r="D71" s="770"/>
      <c r="E71" s="1">
        <v>1</v>
      </c>
      <c r="F71" s="2">
        <v>2</v>
      </c>
      <c r="G71" s="2">
        <v>3</v>
      </c>
      <c r="H71" s="2">
        <v>4</v>
      </c>
      <c r="I71" s="2">
        <v>5</v>
      </c>
      <c r="J71" s="2">
        <v>6</v>
      </c>
      <c r="K71" s="2">
        <v>7</v>
      </c>
      <c r="L71" s="2">
        <v>8</v>
      </c>
      <c r="M71" s="2">
        <v>9</v>
      </c>
      <c r="N71" s="2">
        <v>10</v>
      </c>
      <c r="O71" s="2">
        <v>11</v>
      </c>
      <c r="P71" s="3">
        <v>12</v>
      </c>
      <c r="Q71" s="731"/>
      <c r="R71" s="4" t="s">
        <v>21</v>
      </c>
      <c r="S71" s="2" t="s">
        <v>22</v>
      </c>
      <c r="T71" s="2" t="s">
        <v>23</v>
      </c>
      <c r="U71" s="3" t="s">
        <v>24</v>
      </c>
      <c r="V71" s="731"/>
      <c r="W71" s="731"/>
      <c r="X71" s="733"/>
      <c r="Z71" s="776"/>
    </row>
    <row r="72" spans="1:26" ht="18.75" customHeight="1" thickTop="1" x14ac:dyDescent="0.25">
      <c r="A72" s="92" t="s">
        <v>266</v>
      </c>
      <c r="B72" s="18">
        <v>1500</v>
      </c>
      <c r="C72" s="19" t="s">
        <v>47</v>
      </c>
      <c r="D72" s="20">
        <v>1</v>
      </c>
      <c r="E72" s="6">
        <f t="shared" ref="E72:P76" si="72">IF(AND($C72="j",$D72=E$41),$B72,IF($C72="h",$B72*IF($D72=IF(MOD(E$41,6)=0,6,MOD(E$41,6)),1,0),IF($C72="q",$B72*IF($D72=IF(MOD(E$41,3)=0,3,MOD(E$41,3)),1,0),IF($C72="z",$B72*IF($D72=IF(MOD(E$41,2)=0,2,MOD(E$41,2)),1,0),IF($C72="m",$B72,0)))))</f>
        <v>1500</v>
      </c>
      <c r="F72" s="7">
        <f t="shared" si="72"/>
        <v>0</v>
      </c>
      <c r="G72" s="7">
        <f t="shared" si="72"/>
        <v>0</v>
      </c>
      <c r="H72" s="7">
        <f t="shared" si="72"/>
        <v>0</v>
      </c>
      <c r="I72" s="7">
        <f t="shared" si="72"/>
        <v>0</v>
      </c>
      <c r="J72" s="7">
        <f t="shared" si="72"/>
        <v>0</v>
      </c>
      <c r="K72" s="7">
        <f t="shared" si="72"/>
        <v>0</v>
      </c>
      <c r="L72" s="7">
        <f t="shared" si="72"/>
        <v>0</v>
      </c>
      <c r="M72" s="7">
        <f t="shared" si="72"/>
        <v>0</v>
      </c>
      <c r="N72" s="7">
        <f t="shared" si="72"/>
        <v>0</v>
      </c>
      <c r="O72" s="7">
        <f t="shared" si="72"/>
        <v>0</v>
      </c>
      <c r="P72" s="178">
        <f t="shared" si="72"/>
        <v>0</v>
      </c>
      <c r="Q72" s="8">
        <f>SUM(E72:P72)</f>
        <v>1500</v>
      </c>
      <c r="R72" s="305">
        <f>IF(AND($C72="j",$D72&gt;=1,$D72&lt;=3),$B72,IF(AND($C72="h",$D72&gt;=1,$D72&lt;=3),$B72,IF(AND($C72="q",$D72&gt;=1,$D72&lt;=3),$B72,IF($C72="z",IF($D72=1,2*$B72,$B72),IF($C72="m",3*$B72,0)))))</f>
        <v>1500</v>
      </c>
      <c r="S72" s="7">
        <f>IF(AND($C72="j",$D72&gt;=4,$D72&lt;=6),$B72,IF(AND($C72="h",$D72&gt;=4,$D72&lt;=6),$B72,IF(AND($C72="q",$D72&gt;=1,$D72&lt;=3),$B72,IF($C72="z",IF($D72=2,2*$B72,$B72),IF($C72="m",3*$B72,0)))))</f>
        <v>0</v>
      </c>
      <c r="T72" s="7">
        <f>IF(AND($C72="j",$D72&gt;=7,$D72&lt;=9),$B72,IF(AND($C72="h",$D72&gt;=1,$D72&lt;=3),$B72,IF(AND($C72="q",$D72&gt;=1,$D72&lt;=3),$B72,IF($C72="z",IF($D72=1,2*$B72,$B72),IF($C72="m",3*$B72,0)))))</f>
        <v>0</v>
      </c>
      <c r="U72" s="178">
        <f>IF(AND($C72="j",$D72&gt;=10,$D72&lt;=12),$B72,IF(AND($C72="h",$D72&gt;=4,$D72&lt;=6),$B72,IF(AND($C72="q",$D72&gt;=1,$D72&lt;=3),$B72,IF($C72="z",IF($D72=2,2*$B72,$B72),IF($C72="m",3*$B72,0)))))</f>
        <v>0</v>
      </c>
      <c r="V72" s="8">
        <f>SUM(R72:U72)</f>
        <v>1500</v>
      </c>
      <c r="W72" s="8">
        <f>IF($C72="j",$B72,IF($C72="h",2*$B72,IF($C72="q",4*$B72,IF($C72="z",6*$B72,12*$B72))))</f>
        <v>1500</v>
      </c>
      <c r="X72" s="9">
        <f>IF($C72="j",$B72,IF($C72="h",2*$B72,IF($C72="q",4*$B72,IF($C72="z",6*$B72,12*$B72))))</f>
        <v>1500</v>
      </c>
      <c r="Z72" s="567">
        <f>((Q72+V72+W72+X72)/4)/12</f>
        <v>125</v>
      </c>
    </row>
    <row r="73" spans="1:26" ht="18.75" customHeight="1" x14ac:dyDescent="0.25">
      <c r="A73" s="661" t="s">
        <v>267</v>
      </c>
      <c r="B73" s="662">
        <v>4000</v>
      </c>
      <c r="C73" s="663" t="s">
        <v>47</v>
      </c>
      <c r="D73" s="664">
        <v>1</v>
      </c>
      <c r="E73" s="333">
        <v>0</v>
      </c>
      <c r="F73" s="334">
        <f t="shared" si="72"/>
        <v>0</v>
      </c>
      <c r="G73" s="334">
        <f t="shared" si="72"/>
        <v>0</v>
      </c>
      <c r="H73" s="334">
        <f t="shared" si="72"/>
        <v>0</v>
      </c>
      <c r="I73" s="334">
        <f t="shared" si="72"/>
        <v>0</v>
      </c>
      <c r="J73" s="334">
        <f t="shared" si="72"/>
        <v>0</v>
      </c>
      <c r="K73" s="334">
        <f t="shared" si="72"/>
        <v>0</v>
      </c>
      <c r="L73" s="334">
        <f t="shared" si="72"/>
        <v>0</v>
      </c>
      <c r="M73" s="334">
        <f t="shared" si="72"/>
        <v>0</v>
      </c>
      <c r="N73" s="334">
        <f t="shared" si="72"/>
        <v>0</v>
      </c>
      <c r="O73" s="334">
        <f t="shared" si="72"/>
        <v>0</v>
      </c>
      <c r="P73" s="335">
        <f t="shared" si="72"/>
        <v>0</v>
      </c>
      <c r="Q73" s="329">
        <f>SUM(E73:P73)</f>
        <v>0</v>
      </c>
      <c r="R73" s="665">
        <f>IF(AND($C73="j",$D73&gt;=1,$D73&lt;=3),$B73,IF(AND($C73="h",$D73&gt;=1,$D73&lt;=3),$B73,IF(AND($C73="q",$D73&gt;=1,$D73&lt;=3),$B73,IF($C73="z",IF($D73=1,2*$B73,$B73),IF($C73="m",3*$B73,0)))))</f>
        <v>4000</v>
      </c>
      <c r="S73" s="334">
        <f>IF(AND($C73="j",$D73&gt;=4,$D73&lt;=6),$B73,IF(AND($C73="h",$D73&gt;=4,$D73&lt;=6),$B73,IF(AND($C73="q",$D73&gt;=1,$D73&lt;=3),$B73,IF($C73="z",IF($D73=2,2*$B73,$B73),IF($C73="m",3*$B73,0)))))</f>
        <v>0</v>
      </c>
      <c r="T73" s="334">
        <f>IF(AND($C73="j",$D73&gt;=7,$D73&lt;=9),$B73,IF(AND($C73="h",$D73&gt;=1,$D73&lt;=3),$B73,IF(AND($C73="q",$D73&gt;=1,$D73&lt;=3),$B73,IF($C73="z",IF($D73=1,2*$B73,$B73),IF($C73="m",3*$B73,0)))))</f>
        <v>0</v>
      </c>
      <c r="U73" s="335">
        <f>IF(AND($C73="j",$D73&gt;=10,$D73&lt;=12),$B73,IF(AND($C73="h",$D73&gt;=4,$D73&lt;=6),$B73,IF(AND($C73="q",$D73&gt;=1,$D73&lt;=3),$B73,IF($C73="z",IF($D73=2,2*$B73,$B73),IF($C73="m",3*$B73,0)))))</f>
        <v>0</v>
      </c>
      <c r="V73" s="329">
        <f>SUM(R73:U73)</f>
        <v>4000</v>
      </c>
      <c r="W73" s="329">
        <f>IF($C73="j",$B73,IF($C73="h",2*$B73,IF($C73="q",4*$B73,IF($C73="z",6*$B73,12*$B73))))</f>
        <v>4000</v>
      </c>
      <c r="X73" s="243">
        <f>IF($C73="j",$B73,IF($C73="h",2*$B73,IF($C73="q",4*$B73,IF($C73="z",6*$B73,12*$B73))))</f>
        <v>4000</v>
      </c>
      <c r="Z73" s="568">
        <f t="shared" ref="Z73:Z76" si="73">((Q73+V73+W73+X73)/4)/12</f>
        <v>250</v>
      </c>
    </row>
    <row r="74" spans="1:26" ht="18.75" customHeight="1" x14ac:dyDescent="0.25">
      <c r="A74" s="93" t="s">
        <v>271</v>
      </c>
      <c r="B74" s="94">
        <v>2500</v>
      </c>
      <c r="C74" s="95" t="s">
        <v>47</v>
      </c>
      <c r="D74" s="96">
        <v>1</v>
      </c>
      <c r="E74" s="10">
        <v>0</v>
      </c>
      <c r="F74" s="11">
        <f t="shared" si="72"/>
        <v>0</v>
      </c>
      <c r="G74" s="11">
        <f t="shared" si="72"/>
        <v>0</v>
      </c>
      <c r="H74" s="11">
        <f t="shared" si="72"/>
        <v>0</v>
      </c>
      <c r="I74" s="11">
        <f t="shared" si="72"/>
        <v>0</v>
      </c>
      <c r="J74" s="11">
        <f t="shared" si="72"/>
        <v>0</v>
      </c>
      <c r="K74" s="11">
        <f t="shared" si="72"/>
        <v>0</v>
      </c>
      <c r="L74" s="11">
        <f t="shared" si="72"/>
        <v>0</v>
      </c>
      <c r="M74" s="11">
        <f t="shared" si="72"/>
        <v>0</v>
      </c>
      <c r="N74" s="11">
        <f t="shared" si="72"/>
        <v>0</v>
      </c>
      <c r="O74" s="11">
        <f t="shared" si="72"/>
        <v>0</v>
      </c>
      <c r="P74" s="183">
        <f t="shared" si="72"/>
        <v>0</v>
      </c>
      <c r="Q74" s="12">
        <f t="shared" ref="Q74" si="74">SUM(E74:P74)</f>
        <v>0</v>
      </c>
      <c r="R74" s="306">
        <v>0</v>
      </c>
      <c r="S74" s="11">
        <f t="shared" ref="S74:S76" si="75">IF(AND($C74="j",$D74&gt;=4,$D74&lt;=6),$B74,IF(AND($C74="h",$D74&gt;=4,$D74&lt;=6),$B74,IF(AND($C74="q",$D74&gt;=1,$D74&lt;=3),$B74,IF($C74="z",IF($D74=2,2*$B74,$B74),IF($C74="m",3*$B74,0)))))</f>
        <v>0</v>
      </c>
      <c r="T74" s="11">
        <f t="shared" ref="T74:T76" si="76">IF(AND($C74="j",$D74&gt;=7,$D74&lt;=9),$B74,IF(AND($C74="h",$D74&gt;=1,$D74&lt;=3),$B74,IF(AND($C74="q",$D74&gt;=1,$D74&lt;=3),$B74,IF($C74="z",IF($D74=1,2*$B74,$B74),IF($C74="m",3*$B74,0)))))</f>
        <v>0</v>
      </c>
      <c r="U74" s="183">
        <f t="shared" ref="U74:U76" si="77">IF(AND($C74="j",$D74&gt;=10,$D74&lt;=12),$B74,IF(AND($C74="h",$D74&gt;=4,$D74&lt;=6),$B74,IF(AND($C74="q",$D74&gt;=1,$D74&lt;=3),$B74,IF($C74="z",IF($D74=2,2*$B74,$B74),IF($C74="m",3*$B74,0)))))</f>
        <v>0</v>
      </c>
      <c r="V74" s="12">
        <f t="shared" ref="V74" si="78">SUM(R74:U74)</f>
        <v>0</v>
      </c>
      <c r="W74" s="12">
        <f t="shared" ref="W74:X76" si="79">IF($C74="j",$B74,IF($C74="h",2*$B74,IF($C74="q",4*$B74,IF($C74="z",6*$B74,12*$B74))))</f>
        <v>2500</v>
      </c>
      <c r="X74" s="13">
        <f t="shared" si="79"/>
        <v>2500</v>
      </c>
      <c r="Z74" s="568">
        <f t="shared" ref="Z74" si="80">((Q74+V74+W74+X74)/4)/12</f>
        <v>104.16666666666667</v>
      </c>
    </row>
    <row r="75" spans="1:26" ht="18.75" customHeight="1" x14ac:dyDescent="0.25">
      <c r="A75" s="93" t="s">
        <v>79</v>
      </c>
      <c r="B75" s="94">
        <v>500</v>
      </c>
      <c r="C75" s="95" t="s">
        <v>45</v>
      </c>
      <c r="D75" s="96" t="s">
        <v>48</v>
      </c>
      <c r="E75" s="10">
        <f t="shared" si="72"/>
        <v>500</v>
      </c>
      <c r="F75" s="11">
        <f t="shared" si="72"/>
        <v>500</v>
      </c>
      <c r="G75" s="11">
        <f t="shared" si="72"/>
        <v>500</v>
      </c>
      <c r="H75" s="11">
        <f t="shared" si="72"/>
        <v>500</v>
      </c>
      <c r="I75" s="11">
        <f t="shared" si="72"/>
        <v>500</v>
      </c>
      <c r="J75" s="11">
        <f t="shared" si="72"/>
        <v>500</v>
      </c>
      <c r="K75" s="11">
        <f t="shared" si="72"/>
        <v>500</v>
      </c>
      <c r="L75" s="11">
        <f t="shared" si="72"/>
        <v>500</v>
      </c>
      <c r="M75" s="11">
        <f t="shared" si="72"/>
        <v>500</v>
      </c>
      <c r="N75" s="11">
        <f t="shared" si="72"/>
        <v>500</v>
      </c>
      <c r="O75" s="11">
        <f t="shared" si="72"/>
        <v>500</v>
      </c>
      <c r="P75" s="183">
        <f t="shared" si="72"/>
        <v>500</v>
      </c>
      <c r="Q75" s="12">
        <f t="shared" ref="Q75:Q76" si="81">SUM(E75:P75)</f>
        <v>6000</v>
      </c>
      <c r="R75" s="306">
        <f t="shared" ref="R75:R76" si="82">IF(AND($C75="j",$D75&gt;=1,$D75&lt;=3),$B75,IF(AND($C75="h",$D75&gt;=1,$D75&lt;=3),$B75,IF(AND($C75="q",$D75&gt;=1,$D75&lt;=3),$B75,IF($C75="z",IF($D75=1,2*$B75,$B75),IF($C75="m",3*$B75,0)))))</f>
        <v>1500</v>
      </c>
      <c r="S75" s="11">
        <f t="shared" si="75"/>
        <v>1500</v>
      </c>
      <c r="T75" s="11">
        <f t="shared" si="76"/>
        <v>1500</v>
      </c>
      <c r="U75" s="183">
        <f t="shared" si="77"/>
        <v>1500</v>
      </c>
      <c r="V75" s="12">
        <f t="shared" ref="V75:V76" si="83">SUM(R75:U75)</f>
        <v>6000</v>
      </c>
      <c r="W75" s="12">
        <f t="shared" si="79"/>
        <v>6000</v>
      </c>
      <c r="X75" s="13">
        <f t="shared" si="79"/>
        <v>6000</v>
      </c>
      <c r="Z75" s="568">
        <f t="shared" si="73"/>
        <v>500</v>
      </c>
    </row>
    <row r="76" spans="1:26" ht="18.75" customHeight="1" thickBot="1" x14ac:dyDescent="0.3">
      <c r="A76" s="97"/>
      <c r="B76" s="98"/>
      <c r="C76" s="99"/>
      <c r="D76" s="100"/>
      <c r="E76" s="14">
        <f t="shared" si="72"/>
        <v>0</v>
      </c>
      <c r="F76" s="15">
        <f t="shared" si="72"/>
        <v>0</v>
      </c>
      <c r="G76" s="15">
        <f t="shared" si="72"/>
        <v>0</v>
      </c>
      <c r="H76" s="15">
        <f t="shared" si="72"/>
        <v>0</v>
      </c>
      <c r="I76" s="15">
        <f t="shared" si="72"/>
        <v>0</v>
      </c>
      <c r="J76" s="15">
        <f t="shared" si="72"/>
        <v>0</v>
      </c>
      <c r="K76" s="15">
        <f t="shared" si="72"/>
        <v>0</v>
      </c>
      <c r="L76" s="15">
        <f t="shared" si="72"/>
        <v>0</v>
      </c>
      <c r="M76" s="15">
        <f t="shared" si="72"/>
        <v>0</v>
      </c>
      <c r="N76" s="15">
        <f t="shared" si="72"/>
        <v>0</v>
      </c>
      <c r="O76" s="15">
        <f t="shared" si="72"/>
        <v>0</v>
      </c>
      <c r="P76" s="643">
        <f t="shared" si="72"/>
        <v>0</v>
      </c>
      <c r="Q76" s="16">
        <f t="shared" si="81"/>
        <v>0</v>
      </c>
      <c r="R76" s="563">
        <f t="shared" si="82"/>
        <v>0</v>
      </c>
      <c r="S76" s="15">
        <f t="shared" si="75"/>
        <v>0</v>
      </c>
      <c r="T76" s="15">
        <f t="shared" si="76"/>
        <v>0</v>
      </c>
      <c r="U76" s="643">
        <f t="shared" si="77"/>
        <v>0</v>
      </c>
      <c r="V76" s="16">
        <f t="shared" si="83"/>
        <v>0</v>
      </c>
      <c r="W76" s="16">
        <f t="shared" si="79"/>
        <v>0</v>
      </c>
      <c r="X76" s="17">
        <f t="shared" si="79"/>
        <v>0</v>
      </c>
      <c r="Z76" s="573">
        <f t="shared" si="73"/>
        <v>0</v>
      </c>
    </row>
    <row r="77" spans="1:26" ht="7.5" customHeight="1" thickTop="1" thickBot="1" x14ac:dyDescent="0.3">
      <c r="A77" s="101"/>
      <c r="B77" s="102"/>
      <c r="C77" s="103"/>
      <c r="D77" s="104"/>
      <c r="E77" s="27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3"/>
      <c r="R77" s="31"/>
      <c r="S77" s="28"/>
      <c r="T77" s="28"/>
      <c r="U77" s="29"/>
      <c r="V77" s="33"/>
      <c r="W77" s="33"/>
      <c r="X77" s="34"/>
      <c r="Z77" s="569"/>
    </row>
    <row r="78" spans="1:26" s="621" customFormat="1" ht="18.75" customHeight="1" thickBot="1" x14ac:dyDescent="0.3">
      <c r="A78" s="570" t="s">
        <v>50</v>
      </c>
      <c r="B78" s="571">
        <f>Z78</f>
        <v>979.16666666666674</v>
      </c>
      <c r="D78" s="622"/>
      <c r="E78" s="623">
        <f t="shared" ref="E78:X78" si="84">SUM(E72:E77)</f>
        <v>2000</v>
      </c>
      <c r="F78" s="547">
        <f t="shared" si="84"/>
        <v>500</v>
      </c>
      <c r="G78" s="547">
        <f t="shared" si="84"/>
        <v>500</v>
      </c>
      <c r="H78" s="547">
        <f t="shared" si="84"/>
        <v>500</v>
      </c>
      <c r="I78" s="547">
        <f t="shared" si="84"/>
        <v>500</v>
      </c>
      <c r="J78" s="547">
        <f t="shared" si="84"/>
        <v>500</v>
      </c>
      <c r="K78" s="547">
        <f t="shared" si="84"/>
        <v>500</v>
      </c>
      <c r="L78" s="547">
        <f t="shared" si="84"/>
        <v>500</v>
      </c>
      <c r="M78" s="547">
        <f t="shared" si="84"/>
        <v>500</v>
      </c>
      <c r="N78" s="547">
        <f t="shared" si="84"/>
        <v>500</v>
      </c>
      <c r="O78" s="547">
        <f t="shared" si="84"/>
        <v>500</v>
      </c>
      <c r="P78" s="36">
        <f t="shared" si="84"/>
        <v>500</v>
      </c>
      <c r="Q78" s="37">
        <f t="shared" si="84"/>
        <v>7500</v>
      </c>
      <c r="R78" s="546">
        <f t="shared" si="84"/>
        <v>7000</v>
      </c>
      <c r="S78" s="547">
        <f t="shared" si="84"/>
        <v>1500</v>
      </c>
      <c r="T78" s="547">
        <f t="shared" si="84"/>
        <v>1500</v>
      </c>
      <c r="U78" s="36">
        <f t="shared" si="84"/>
        <v>1500</v>
      </c>
      <c r="V78" s="37">
        <f t="shared" si="84"/>
        <v>11500</v>
      </c>
      <c r="W78" s="37">
        <f t="shared" si="84"/>
        <v>14000</v>
      </c>
      <c r="X78" s="38">
        <f t="shared" si="84"/>
        <v>14000</v>
      </c>
      <c r="Z78" s="572">
        <f>SUM(Z72:Z76)</f>
        <v>979.16666666666674</v>
      </c>
    </row>
    <row r="79" spans="1:26" ht="15.75" thickBot="1" x14ac:dyDescent="0.3"/>
    <row r="80" spans="1:26" ht="15" customHeight="1" x14ac:dyDescent="0.25">
      <c r="A80" s="767" t="s">
        <v>72</v>
      </c>
      <c r="B80" s="765" t="s">
        <v>19</v>
      </c>
      <c r="C80" s="765" t="s">
        <v>44</v>
      </c>
      <c r="D80" s="769" t="s">
        <v>244</v>
      </c>
      <c r="E80" s="746" t="s">
        <v>20</v>
      </c>
      <c r="F80" s="729"/>
      <c r="G80" s="729"/>
      <c r="H80" s="729"/>
      <c r="I80" s="729"/>
      <c r="J80" s="729"/>
      <c r="K80" s="729"/>
      <c r="L80" s="729"/>
      <c r="M80" s="729"/>
      <c r="N80" s="729"/>
      <c r="O80" s="729"/>
      <c r="P80" s="729"/>
      <c r="Q80" s="730" t="s">
        <v>20</v>
      </c>
      <c r="R80" s="728" t="s">
        <v>25</v>
      </c>
      <c r="S80" s="729"/>
      <c r="T80" s="729"/>
      <c r="U80" s="729"/>
      <c r="V80" s="730" t="s">
        <v>25</v>
      </c>
      <c r="W80" s="730" t="s">
        <v>26</v>
      </c>
      <c r="X80" s="732" t="s">
        <v>27</v>
      </c>
      <c r="Z80" s="775" t="s">
        <v>49</v>
      </c>
    </row>
    <row r="81" spans="1:26" ht="15.75" thickBot="1" x14ac:dyDescent="0.3">
      <c r="A81" s="768"/>
      <c r="B81" s="766"/>
      <c r="C81" s="766"/>
      <c r="D81" s="770"/>
      <c r="E81" s="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1"/>
      <c r="R81" s="4" t="s">
        <v>21</v>
      </c>
      <c r="S81" s="2" t="s">
        <v>22</v>
      </c>
      <c r="T81" s="2" t="s">
        <v>23</v>
      </c>
      <c r="U81" s="3" t="s">
        <v>24</v>
      </c>
      <c r="V81" s="731"/>
      <c r="W81" s="731"/>
      <c r="X81" s="733"/>
      <c r="Z81" s="776"/>
    </row>
    <row r="82" spans="1:26" ht="18.75" customHeight="1" thickTop="1" x14ac:dyDescent="0.25">
      <c r="A82" s="92" t="s">
        <v>133</v>
      </c>
      <c r="B82" s="18">
        <v>3000</v>
      </c>
      <c r="C82" s="19" t="s">
        <v>45</v>
      </c>
      <c r="D82" s="20" t="s">
        <v>48</v>
      </c>
      <c r="E82" s="6">
        <f t="shared" ref="E82:P84" si="85">IF(AND($C82="j",$D82=E$41),$B82,IF($C82="h",$B82*IF($D82=IF(MOD(E$41,6)=0,6,MOD(E$41,6)),1,0),IF($C82="q",$B82*IF($D82=IF(MOD(E$41,3)=0,3,MOD(E$41,3)),1,0),IF($C82="z",$B82*IF($D82=IF(MOD(E$41,2)=0,2,MOD(E$41,2)),1,0),IF($C82="m",$B82,0)))))</f>
        <v>3000</v>
      </c>
      <c r="F82" s="7">
        <f t="shared" si="85"/>
        <v>3000</v>
      </c>
      <c r="G82" s="7">
        <f t="shared" si="85"/>
        <v>3000</v>
      </c>
      <c r="H82" s="7">
        <f t="shared" si="85"/>
        <v>3000</v>
      </c>
      <c r="I82" s="7">
        <f t="shared" si="85"/>
        <v>3000</v>
      </c>
      <c r="J82" s="7">
        <f t="shared" si="85"/>
        <v>3000</v>
      </c>
      <c r="K82" s="7">
        <f t="shared" si="85"/>
        <v>3000</v>
      </c>
      <c r="L82" s="7">
        <f t="shared" si="85"/>
        <v>3000</v>
      </c>
      <c r="M82" s="7">
        <f t="shared" si="85"/>
        <v>3000</v>
      </c>
      <c r="N82" s="7">
        <f t="shared" si="85"/>
        <v>3000</v>
      </c>
      <c r="O82" s="7">
        <f t="shared" si="85"/>
        <v>3000</v>
      </c>
      <c r="P82" s="178">
        <f t="shared" si="85"/>
        <v>3000</v>
      </c>
      <c r="Q82" s="8">
        <f>SUM(E82:P82)</f>
        <v>36000</v>
      </c>
      <c r="R82" s="305">
        <f>IF(AND($C82="j",$D82&gt;=1,$D82&lt;=3),$B82,IF(AND($C82="h",$D82&gt;=1,$D82&lt;=3),$B82,IF(AND($C82="q",$D82&gt;=1,$D82&lt;=3),$B82,IF($C82="z",IF($D82=1,2*$B82,$B82),IF($C82="m",3*$B82,0)))))</f>
        <v>9000</v>
      </c>
      <c r="S82" s="7">
        <f>IF(AND($C82="j",$D82&gt;=4,$D82&lt;=6),$B82,IF(AND($C82="h",$D82&gt;=4,$D82&lt;=6),$B82,IF(AND($C82="q",$D82&gt;=1,$D82&lt;=3),$B82,IF($C82="z",IF($D82=2,2*$B82,$B82),IF($C82="m",3*$B82,0)))))</f>
        <v>9000</v>
      </c>
      <c r="T82" s="7">
        <f>IF(AND($C82="j",$D82&gt;=7,$D82&lt;=9),$B82,IF(AND($C82="h",$D82&gt;=1,$D82&lt;=3),$B82,IF(AND($C82="q",$D82&gt;=1,$D82&lt;=3),$B82,IF($C82="z",IF($D82=1,2*$B82,$B82),IF($C82="m",3*$B82,0)))))</f>
        <v>9000</v>
      </c>
      <c r="U82" s="178">
        <f>IF(AND($C82="j",$D82&gt;=10,$D82&lt;=12),$B82,IF(AND($C82="h",$D82&gt;=4,$D82&lt;=6),$B82,IF(AND($C82="q",$D82&gt;=1,$D82&lt;=3),$B82,IF($C82="z",IF($D82=2,2*$B82,$B82),IF($C82="m",3*$B82,0)))))</f>
        <v>9000</v>
      </c>
      <c r="V82" s="8">
        <f>SUM(R82:U82)</f>
        <v>36000</v>
      </c>
      <c r="W82" s="8">
        <f>IF($C82="j",$B82,IF($C82="h",2*$B82,IF($C82="q",4*$B82,IF($C82="z",6*$B82,12*$B82))))</f>
        <v>36000</v>
      </c>
      <c r="X82" s="9">
        <f>IF($C82="j",$B82,IF($C82="h",2*$B82,IF($C82="q",4*$B82,IF($C82="z",6*$B82,12*$B82))))</f>
        <v>36000</v>
      </c>
      <c r="Z82" s="567">
        <f>((Q82+V82+W82+X82)/4)/12</f>
        <v>3000</v>
      </c>
    </row>
    <row r="83" spans="1:26" ht="18.75" customHeight="1" x14ac:dyDescent="0.25">
      <c r="A83" s="93" t="s">
        <v>116</v>
      </c>
      <c r="B83" s="94">
        <v>400</v>
      </c>
      <c r="C83" s="95" t="s">
        <v>45</v>
      </c>
      <c r="D83" s="96" t="s">
        <v>48</v>
      </c>
      <c r="E83" s="10">
        <f t="shared" si="85"/>
        <v>400</v>
      </c>
      <c r="F83" s="11">
        <f t="shared" si="85"/>
        <v>400</v>
      </c>
      <c r="G83" s="11">
        <f t="shared" si="85"/>
        <v>400</v>
      </c>
      <c r="H83" s="11">
        <f t="shared" si="85"/>
        <v>400</v>
      </c>
      <c r="I83" s="11">
        <f t="shared" si="85"/>
        <v>400</v>
      </c>
      <c r="J83" s="11">
        <f t="shared" si="85"/>
        <v>400</v>
      </c>
      <c r="K83" s="11">
        <f t="shared" si="85"/>
        <v>400</v>
      </c>
      <c r="L83" s="11">
        <f t="shared" si="85"/>
        <v>400</v>
      </c>
      <c r="M83" s="11">
        <f t="shared" si="85"/>
        <v>400</v>
      </c>
      <c r="N83" s="11">
        <f t="shared" si="85"/>
        <v>400</v>
      </c>
      <c r="O83" s="11">
        <f t="shared" si="85"/>
        <v>400</v>
      </c>
      <c r="P83" s="183">
        <f t="shared" si="85"/>
        <v>400</v>
      </c>
      <c r="Q83" s="12">
        <f t="shared" ref="Q83:Q84" si="86">SUM(E83:P83)</f>
        <v>4800</v>
      </c>
      <c r="R83" s="306">
        <f t="shared" ref="R83:R84" si="87">IF(AND($C83="j",$D83&gt;=1,$D83&lt;=3),$B83,IF(AND($C83="h",$D83&gt;=1,$D83&lt;=3),$B83,IF(AND($C83="q",$D83&gt;=1,$D83&lt;=3),$B83,IF($C83="z",IF($D83=1,2*$B83,$B83),IF($C83="m",3*$B83,0)))))</f>
        <v>1200</v>
      </c>
      <c r="S83" s="11">
        <f t="shared" ref="S83:S84" si="88">IF(AND($C83="j",$D83&gt;=4,$D83&lt;=6),$B83,IF(AND($C83="h",$D83&gt;=4,$D83&lt;=6),$B83,IF(AND($C83="q",$D83&gt;=1,$D83&lt;=3),$B83,IF($C83="z",IF($D83=2,2*$B83,$B83),IF($C83="m",3*$B83,0)))))</f>
        <v>1200</v>
      </c>
      <c r="T83" s="11">
        <f t="shared" ref="T83:T84" si="89">IF(AND($C83="j",$D83&gt;=7,$D83&lt;=9),$B83,IF(AND($C83="h",$D83&gt;=1,$D83&lt;=3),$B83,IF(AND($C83="q",$D83&gt;=1,$D83&lt;=3),$B83,IF($C83="z",IF($D83=1,2*$B83,$B83),IF($C83="m",3*$B83,0)))))</f>
        <v>1200</v>
      </c>
      <c r="U83" s="183">
        <f t="shared" ref="U83:U84" si="90">IF(AND($C83="j",$D83&gt;=10,$D83&lt;=12),$B83,IF(AND($C83="h",$D83&gt;=4,$D83&lt;=6),$B83,IF(AND($C83="q",$D83&gt;=1,$D83&lt;=3),$B83,IF($C83="z",IF($D83=2,2*$B83,$B83),IF($C83="m",3*$B83,0)))))</f>
        <v>1200</v>
      </c>
      <c r="V83" s="12">
        <f t="shared" ref="V83:V84" si="91">SUM(R83:U83)</f>
        <v>4800</v>
      </c>
      <c r="W83" s="12">
        <f t="shared" ref="W83:X84" si="92">IF($C83="j",$B83,IF($C83="h",2*$B83,IF($C83="q",4*$B83,IF($C83="z",6*$B83,12*$B83))))</f>
        <v>4800</v>
      </c>
      <c r="X83" s="13">
        <f t="shared" si="92"/>
        <v>4800</v>
      </c>
      <c r="Z83" s="568">
        <f t="shared" ref="Z83:Z84" si="93">((Q83+V83+W83+X83)/4)/12</f>
        <v>400</v>
      </c>
    </row>
    <row r="84" spans="1:26" ht="18.75" customHeight="1" thickBot="1" x14ac:dyDescent="0.3">
      <c r="A84" s="97"/>
      <c r="B84" s="98"/>
      <c r="C84" s="99"/>
      <c r="D84" s="100"/>
      <c r="E84" s="14">
        <f t="shared" si="85"/>
        <v>0</v>
      </c>
      <c r="F84" s="15">
        <f t="shared" si="85"/>
        <v>0</v>
      </c>
      <c r="G84" s="15">
        <f t="shared" si="85"/>
        <v>0</v>
      </c>
      <c r="H84" s="15">
        <f t="shared" si="85"/>
        <v>0</v>
      </c>
      <c r="I84" s="15">
        <f t="shared" si="85"/>
        <v>0</v>
      </c>
      <c r="J84" s="15">
        <f t="shared" si="85"/>
        <v>0</v>
      </c>
      <c r="K84" s="15">
        <f t="shared" si="85"/>
        <v>0</v>
      </c>
      <c r="L84" s="15">
        <f t="shared" si="85"/>
        <v>0</v>
      </c>
      <c r="M84" s="15">
        <f t="shared" si="85"/>
        <v>0</v>
      </c>
      <c r="N84" s="15">
        <f t="shared" si="85"/>
        <v>0</v>
      </c>
      <c r="O84" s="15">
        <f t="shared" si="85"/>
        <v>0</v>
      </c>
      <c r="P84" s="643">
        <f t="shared" si="85"/>
        <v>0</v>
      </c>
      <c r="Q84" s="16">
        <f t="shared" si="86"/>
        <v>0</v>
      </c>
      <c r="R84" s="563">
        <f t="shared" si="87"/>
        <v>0</v>
      </c>
      <c r="S84" s="15">
        <f t="shared" si="88"/>
        <v>0</v>
      </c>
      <c r="T84" s="15">
        <f t="shared" si="89"/>
        <v>0</v>
      </c>
      <c r="U84" s="643">
        <f t="shared" si="90"/>
        <v>0</v>
      </c>
      <c r="V84" s="16">
        <f t="shared" si="91"/>
        <v>0</v>
      </c>
      <c r="W84" s="16">
        <f t="shared" si="92"/>
        <v>0</v>
      </c>
      <c r="X84" s="17">
        <f t="shared" si="92"/>
        <v>0</v>
      </c>
      <c r="Z84" s="573">
        <f t="shared" si="93"/>
        <v>0</v>
      </c>
    </row>
    <row r="85" spans="1:26" ht="7.5" customHeight="1" thickTop="1" thickBot="1" x14ac:dyDescent="0.3">
      <c r="A85" s="101"/>
      <c r="B85" s="102"/>
      <c r="C85" s="103"/>
      <c r="D85" s="104"/>
      <c r="E85" s="27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3"/>
      <c r="R85" s="31"/>
      <c r="S85" s="28"/>
      <c r="T85" s="28"/>
      <c r="U85" s="29"/>
      <c r="V85" s="33"/>
      <c r="W85" s="33"/>
      <c r="X85" s="34"/>
      <c r="Z85" s="569"/>
    </row>
    <row r="86" spans="1:26" s="621" customFormat="1" ht="18.75" customHeight="1" thickBot="1" x14ac:dyDescent="0.3">
      <c r="A86" s="570" t="s">
        <v>50</v>
      </c>
      <c r="B86" s="571">
        <f>Z86</f>
        <v>3400</v>
      </c>
      <c r="D86" s="622"/>
      <c r="E86" s="623">
        <f t="shared" ref="E86:X86" si="94">SUM(E82:E85)</f>
        <v>3400</v>
      </c>
      <c r="F86" s="547">
        <f t="shared" si="94"/>
        <v>3400</v>
      </c>
      <c r="G86" s="547">
        <f t="shared" si="94"/>
        <v>3400</v>
      </c>
      <c r="H86" s="547">
        <f t="shared" si="94"/>
        <v>3400</v>
      </c>
      <c r="I86" s="547">
        <f t="shared" si="94"/>
        <v>3400</v>
      </c>
      <c r="J86" s="547">
        <f t="shared" si="94"/>
        <v>3400</v>
      </c>
      <c r="K86" s="547">
        <f t="shared" si="94"/>
        <v>3400</v>
      </c>
      <c r="L86" s="547">
        <f t="shared" si="94"/>
        <v>3400</v>
      </c>
      <c r="M86" s="547">
        <f t="shared" si="94"/>
        <v>3400</v>
      </c>
      <c r="N86" s="547">
        <f t="shared" si="94"/>
        <v>3400</v>
      </c>
      <c r="O86" s="547">
        <f t="shared" si="94"/>
        <v>3400</v>
      </c>
      <c r="P86" s="36">
        <f t="shared" si="94"/>
        <v>3400</v>
      </c>
      <c r="Q86" s="37">
        <f t="shared" si="94"/>
        <v>40800</v>
      </c>
      <c r="R86" s="546">
        <f t="shared" si="94"/>
        <v>10200</v>
      </c>
      <c r="S86" s="547">
        <f t="shared" si="94"/>
        <v>10200</v>
      </c>
      <c r="T86" s="547">
        <f t="shared" si="94"/>
        <v>10200</v>
      </c>
      <c r="U86" s="36">
        <f t="shared" si="94"/>
        <v>10200</v>
      </c>
      <c r="V86" s="37">
        <f t="shared" si="94"/>
        <v>40800</v>
      </c>
      <c r="W86" s="37">
        <f t="shared" si="94"/>
        <v>40800</v>
      </c>
      <c r="X86" s="38">
        <f t="shared" si="94"/>
        <v>40800</v>
      </c>
      <c r="Z86" s="572">
        <f>SUM(Z82:Z84)</f>
        <v>3400</v>
      </c>
    </row>
    <row r="87" spans="1:26" ht="15.75" thickBot="1" x14ac:dyDescent="0.3"/>
    <row r="88" spans="1:26" ht="15" customHeight="1" x14ac:dyDescent="0.25">
      <c r="A88" s="767" t="s">
        <v>75</v>
      </c>
      <c r="B88" s="765" t="s">
        <v>19</v>
      </c>
      <c r="C88" s="765" t="s">
        <v>44</v>
      </c>
      <c r="D88" s="769" t="s">
        <v>244</v>
      </c>
      <c r="E88" s="746" t="s">
        <v>20</v>
      </c>
      <c r="F88" s="729"/>
      <c r="G88" s="729"/>
      <c r="H88" s="729"/>
      <c r="I88" s="729"/>
      <c r="J88" s="729"/>
      <c r="K88" s="729"/>
      <c r="L88" s="729"/>
      <c r="M88" s="729"/>
      <c r="N88" s="729"/>
      <c r="O88" s="729"/>
      <c r="P88" s="729"/>
      <c r="Q88" s="730" t="s">
        <v>20</v>
      </c>
      <c r="R88" s="728" t="s">
        <v>25</v>
      </c>
      <c r="S88" s="729"/>
      <c r="T88" s="729"/>
      <c r="U88" s="729"/>
      <c r="V88" s="730" t="s">
        <v>25</v>
      </c>
      <c r="W88" s="730" t="s">
        <v>26</v>
      </c>
      <c r="X88" s="732" t="s">
        <v>27</v>
      </c>
      <c r="Z88" s="775" t="s">
        <v>49</v>
      </c>
    </row>
    <row r="89" spans="1:26" ht="15.75" thickBot="1" x14ac:dyDescent="0.3">
      <c r="A89" s="768"/>
      <c r="B89" s="766"/>
      <c r="C89" s="766"/>
      <c r="D89" s="770"/>
      <c r="E89" s="1">
        <v>1</v>
      </c>
      <c r="F89" s="2">
        <v>2</v>
      </c>
      <c r="G89" s="2">
        <v>3</v>
      </c>
      <c r="H89" s="2">
        <v>4</v>
      </c>
      <c r="I89" s="2">
        <v>5</v>
      </c>
      <c r="J89" s="2">
        <v>6</v>
      </c>
      <c r="K89" s="2">
        <v>7</v>
      </c>
      <c r="L89" s="2">
        <v>8</v>
      </c>
      <c r="M89" s="2">
        <v>9</v>
      </c>
      <c r="N89" s="2">
        <v>10</v>
      </c>
      <c r="O89" s="2">
        <v>11</v>
      </c>
      <c r="P89" s="3">
        <v>12</v>
      </c>
      <c r="Q89" s="731"/>
      <c r="R89" s="4" t="s">
        <v>21</v>
      </c>
      <c r="S89" s="2" t="s">
        <v>22</v>
      </c>
      <c r="T89" s="2" t="s">
        <v>23</v>
      </c>
      <c r="U89" s="3" t="s">
        <v>24</v>
      </c>
      <c r="V89" s="731"/>
      <c r="W89" s="731"/>
      <c r="X89" s="733"/>
      <c r="Z89" s="776"/>
    </row>
    <row r="90" spans="1:26" ht="18.75" customHeight="1" thickTop="1" x14ac:dyDescent="0.25">
      <c r="A90" s="92" t="s">
        <v>76</v>
      </c>
      <c r="B90" s="18">
        <v>88</v>
      </c>
      <c r="C90" s="19" t="s">
        <v>45</v>
      </c>
      <c r="D90" s="20" t="s">
        <v>48</v>
      </c>
      <c r="E90" s="6">
        <f t="shared" ref="E90:P92" si="95">IF(AND($C90="j",$D90=E$41),$B90,IF($C90="h",$B90*IF($D90=IF(MOD(E$41,6)=0,6,MOD(E$41,6)),1,0),IF($C90="q",$B90*IF($D90=IF(MOD(E$41,3)=0,3,MOD(E$41,3)),1,0),IF($C90="z",$B90*IF($D90=IF(MOD(E$41,2)=0,2,MOD(E$41,2)),1,0),IF($C90="m",$B90,0)))))</f>
        <v>88</v>
      </c>
      <c r="F90" s="7">
        <f t="shared" si="95"/>
        <v>88</v>
      </c>
      <c r="G90" s="7">
        <f t="shared" si="95"/>
        <v>88</v>
      </c>
      <c r="H90" s="7">
        <f t="shared" si="95"/>
        <v>88</v>
      </c>
      <c r="I90" s="7">
        <f t="shared" si="95"/>
        <v>88</v>
      </c>
      <c r="J90" s="7">
        <f t="shared" si="95"/>
        <v>88</v>
      </c>
      <c r="K90" s="7">
        <f t="shared" si="95"/>
        <v>88</v>
      </c>
      <c r="L90" s="7">
        <f t="shared" si="95"/>
        <v>88</v>
      </c>
      <c r="M90" s="7">
        <f t="shared" si="95"/>
        <v>88</v>
      </c>
      <c r="N90" s="7">
        <f t="shared" si="95"/>
        <v>88</v>
      </c>
      <c r="O90" s="7">
        <f t="shared" si="95"/>
        <v>88</v>
      </c>
      <c r="P90" s="178">
        <f t="shared" si="95"/>
        <v>88</v>
      </c>
      <c r="Q90" s="8">
        <f>SUM(E90:P90)</f>
        <v>1056</v>
      </c>
      <c r="R90" s="305">
        <f>IF(AND($C90="j",$D90&gt;=1,$D90&lt;=3),$B90,IF(AND($C90="h",$D90&gt;=1,$D90&lt;=3),$B90,IF(AND($C90="q",$D90&gt;=1,$D90&lt;=3),$B90,IF($C90="z",IF($D90=1,2*$B90,$B90),IF($C90="m",3*$B90,0)))))</f>
        <v>264</v>
      </c>
      <c r="S90" s="7">
        <f>IF(AND($C90="j",$D90&gt;=4,$D90&lt;=6),$B90,IF(AND($C90="h",$D90&gt;=4,$D90&lt;=6),$B90,IF(AND($C90="q",$D90&gt;=1,$D90&lt;=3),$B90,IF($C90="z",IF($D90=2,2*$B90,$B90),IF($C90="m",3*$B90,0)))))</f>
        <v>264</v>
      </c>
      <c r="T90" s="7">
        <f>IF(AND($C90="j",$D90&gt;=7,$D90&lt;=9),$B90,IF(AND($C90="h",$D90&gt;=1,$D90&lt;=3),$B90,IF(AND($C90="q",$D90&gt;=1,$D90&lt;=3),$B90,IF($C90="z",IF($D90=1,2*$B90,$B90),IF($C90="m",3*$B90,0)))))</f>
        <v>264</v>
      </c>
      <c r="U90" s="178">
        <f>IF(AND($C90="j",$D90&gt;=10,$D90&lt;=12),$B90,IF(AND($C90="h",$D90&gt;=4,$D90&lt;=6),$B90,IF(AND($C90="q",$D90&gt;=1,$D90&lt;=3),$B90,IF($C90="z",IF($D90=2,2*$B90,$B90),IF($C90="m",3*$B90,0)))))</f>
        <v>264</v>
      </c>
      <c r="V90" s="8">
        <f>SUM(R90:U90)</f>
        <v>1056</v>
      </c>
      <c r="W90" s="8">
        <f>IF($C90="j",$B90,IF($C90="h",2*$B90,IF($C90="q",4*$B90,IF($C90="z",6*$B90,12*$B90))))</f>
        <v>1056</v>
      </c>
      <c r="X90" s="9">
        <f>IF($C90="j",$B90,IF($C90="h",2*$B90,IF($C90="q",4*$B90,IF($C90="z",6*$B90,12*$B90))))</f>
        <v>1056</v>
      </c>
      <c r="Z90" s="567">
        <f>((Q90+V90+W90+X90)/4)/12</f>
        <v>88</v>
      </c>
    </row>
    <row r="91" spans="1:26" ht="18.75" customHeight="1" x14ac:dyDescent="0.25">
      <c r="A91" s="93" t="s">
        <v>77</v>
      </c>
      <c r="B91" s="94">
        <v>500</v>
      </c>
      <c r="C91" s="95" t="s">
        <v>45</v>
      </c>
      <c r="D91" s="96" t="s">
        <v>48</v>
      </c>
      <c r="E91" s="10">
        <f t="shared" si="95"/>
        <v>500</v>
      </c>
      <c r="F91" s="11">
        <f t="shared" si="95"/>
        <v>500</v>
      </c>
      <c r="G91" s="11">
        <f t="shared" si="95"/>
        <v>500</v>
      </c>
      <c r="H91" s="11">
        <f t="shared" si="95"/>
        <v>500</v>
      </c>
      <c r="I91" s="11">
        <f t="shared" si="95"/>
        <v>500</v>
      </c>
      <c r="J91" s="11">
        <f t="shared" si="95"/>
        <v>500</v>
      </c>
      <c r="K91" s="11">
        <f t="shared" si="95"/>
        <v>500</v>
      </c>
      <c r="L91" s="11">
        <f t="shared" si="95"/>
        <v>500</v>
      </c>
      <c r="M91" s="11">
        <f t="shared" si="95"/>
        <v>500</v>
      </c>
      <c r="N91" s="11">
        <f t="shared" si="95"/>
        <v>500</v>
      </c>
      <c r="O91" s="11">
        <f t="shared" si="95"/>
        <v>500</v>
      </c>
      <c r="P91" s="183">
        <f t="shared" si="95"/>
        <v>500</v>
      </c>
      <c r="Q91" s="12">
        <f t="shared" ref="Q91:Q92" si="96">SUM(E91:P91)</f>
        <v>6000</v>
      </c>
      <c r="R91" s="306">
        <f t="shared" ref="R91:R92" si="97">IF(AND($C91="j",$D91&gt;=1,$D91&lt;=3),$B91,IF(AND($C91="h",$D91&gt;=1,$D91&lt;=3),$B91,IF(AND($C91="q",$D91&gt;=1,$D91&lt;=3),$B91,IF($C91="z",IF($D91=1,2*$B91,$B91),IF($C91="m",3*$B91,0)))))</f>
        <v>1500</v>
      </c>
      <c r="S91" s="11">
        <f t="shared" ref="S91:S92" si="98">IF(AND($C91="j",$D91&gt;=4,$D91&lt;=6),$B91,IF(AND($C91="h",$D91&gt;=4,$D91&lt;=6),$B91,IF(AND($C91="q",$D91&gt;=1,$D91&lt;=3),$B91,IF($C91="z",IF($D91=2,2*$B91,$B91),IF($C91="m",3*$B91,0)))))</f>
        <v>1500</v>
      </c>
      <c r="T91" s="11">
        <f t="shared" ref="T91:T92" si="99">IF(AND($C91="j",$D91&gt;=7,$D91&lt;=9),$B91,IF(AND($C91="h",$D91&gt;=1,$D91&lt;=3),$B91,IF(AND($C91="q",$D91&gt;=1,$D91&lt;=3),$B91,IF($C91="z",IF($D91=1,2*$B91,$B91),IF($C91="m",3*$B91,0)))))</f>
        <v>1500</v>
      </c>
      <c r="U91" s="183">
        <f t="shared" ref="U91:U92" si="100">IF(AND($C91="j",$D91&gt;=10,$D91&lt;=12),$B91,IF(AND($C91="h",$D91&gt;=4,$D91&lt;=6),$B91,IF(AND($C91="q",$D91&gt;=1,$D91&lt;=3),$B91,IF($C91="z",IF($D91=2,2*$B91,$B91),IF($C91="m",3*$B91,0)))))</f>
        <v>1500</v>
      </c>
      <c r="V91" s="12">
        <f t="shared" ref="V91:V92" si="101">SUM(R91:U91)</f>
        <v>6000</v>
      </c>
      <c r="W91" s="12">
        <f t="shared" ref="W91:X92" si="102">IF($C91="j",$B91,IF($C91="h",2*$B91,IF($C91="q",4*$B91,IF($C91="z",6*$B91,12*$B91))))</f>
        <v>6000</v>
      </c>
      <c r="X91" s="13">
        <f t="shared" si="102"/>
        <v>6000</v>
      </c>
      <c r="Z91" s="568">
        <f t="shared" ref="Z91:Z92" si="103">((Q91+V91+W91+X91)/4)/12</f>
        <v>500</v>
      </c>
    </row>
    <row r="92" spans="1:26" ht="18.75" customHeight="1" thickBot="1" x14ac:dyDescent="0.3">
      <c r="A92" s="97"/>
      <c r="B92" s="98"/>
      <c r="C92" s="99"/>
      <c r="D92" s="100"/>
      <c r="E92" s="14">
        <f t="shared" si="95"/>
        <v>0</v>
      </c>
      <c r="F92" s="15">
        <f t="shared" si="95"/>
        <v>0</v>
      </c>
      <c r="G92" s="15">
        <f t="shared" si="95"/>
        <v>0</v>
      </c>
      <c r="H92" s="15">
        <f t="shared" si="95"/>
        <v>0</v>
      </c>
      <c r="I92" s="15">
        <f t="shared" si="95"/>
        <v>0</v>
      </c>
      <c r="J92" s="15">
        <f t="shared" si="95"/>
        <v>0</v>
      </c>
      <c r="K92" s="15">
        <f t="shared" si="95"/>
        <v>0</v>
      </c>
      <c r="L92" s="15">
        <f t="shared" si="95"/>
        <v>0</v>
      </c>
      <c r="M92" s="15">
        <f t="shared" si="95"/>
        <v>0</v>
      </c>
      <c r="N92" s="15">
        <f t="shared" si="95"/>
        <v>0</v>
      </c>
      <c r="O92" s="15">
        <f t="shared" si="95"/>
        <v>0</v>
      </c>
      <c r="P92" s="643">
        <f t="shared" si="95"/>
        <v>0</v>
      </c>
      <c r="Q92" s="16">
        <f t="shared" si="96"/>
        <v>0</v>
      </c>
      <c r="R92" s="563">
        <f t="shared" si="97"/>
        <v>0</v>
      </c>
      <c r="S92" s="15">
        <f t="shared" si="98"/>
        <v>0</v>
      </c>
      <c r="T92" s="15">
        <f t="shared" si="99"/>
        <v>0</v>
      </c>
      <c r="U92" s="643">
        <f t="shared" si="100"/>
        <v>0</v>
      </c>
      <c r="V92" s="16">
        <f t="shared" si="101"/>
        <v>0</v>
      </c>
      <c r="W92" s="16">
        <f t="shared" si="102"/>
        <v>0</v>
      </c>
      <c r="X92" s="17">
        <f t="shared" si="102"/>
        <v>0</v>
      </c>
      <c r="Z92" s="573">
        <f t="shared" si="103"/>
        <v>0</v>
      </c>
    </row>
    <row r="93" spans="1:26" ht="7.5" customHeight="1" thickTop="1" thickBot="1" x14ac:dyDescent="0.3">
      <c r="A93" s="101"/>
      <c r="B93" s="102"/>
      <c r="C93" s="103"/>
      <c r="D93" s="104"/>
      <c r="E93" s="27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9"/>
      <c r="Q93" s="33"/>
      <c r="R93" s="31"/>
      <c r="S93" s="28"/>
      <c r="T93" s="28"/>
      <c r="U93" s="29"/>
      <c r="V93" s="33"/>
      <c r="W93" s="33"/>
      <c r="X93" s="34"/>
      <c r="Z93" s="569"/>
    </row>
    <row r="94" spans="1:26" s="621" customFormat="1" ht="18.75" customHeight="1" thickBot="1" x14ac:dyDescent="0.3">
      <c r="A94" s="570" t="s">
        <v>50</v>
      </c>
      <c r="B94" s="571">
        <f>Z94</f>
        <v>588</v>
      </c>
      <c r="D94" s="622"/>
      <c r="E94" s="623">
        <f t="shared" ref="E94:X94" si="104">SUM(E90:E93)</f>
        <v>588</v>
      </c>
      <c r="F94" s="547">
        <f t="shared" si="104"/>
        <v>588</v>
      </c>
      <c r="G94" s="547">
        <f t="shared" si="104"/>
        <v>588</v>
      </c>
      <c r="H94" s="547">
        <f t="shared" si="104"/>
        <v>588</v>
      </c>
      <c r="I94" s="547">
        <f t="shared" si="104"/>
        <v>588</v>
      </c>
      <c r="J94" s="547">
        <f t="shared" si="104"/>
        <v>588</v>
      </c>
      <c r="K94" s="547">
        <f t="shared" si="104"/>
        <v>588</v>
      </c>
      <c r="L94" s="547">
        <f t="shared" si="104"/>
        <v>588</v>
      </c>
      <c r="M94" s="547">
        <f t="shared" si="104"/>
        <v>588</v>
      </c>
      <c r="N94" s="547">
        <f t="shared" si="104"/>
        <v>588</v>
      </c>
      <c r="O94" s="547">
        <f t="shared" si="104"/>
        <v>588</v>
      </c>
      <c r="P94" s="36">
        <f t="shared" si="104"/>
        <v>588</v>
      </c>
      <c r="Q94" s="37">
        <f t="shared" si="104"/>
        <v>7056</v>
      </c>
      <c r="R94" s="546">
        <f t="shared" si="104"/>
        <v>1764</v>
      </c>
      <c r="S94" s="547">
        <f t="shared" si="104"/>
        <v>1764</v>
      </c>
      <c r="T94" s="547">
        <f t="shared" si="104"/>
        <v>1764</v>
      </c>
      <c r="U94" s="36">
        <f t="shared" si="104"/>
        <v>1764</v>
      </c>
      <c r="V94" s="37">
        <f t="shared" si="104"/>
        <v>7056</v>
      </c>
      <c r="W94" s="37">
        <f t="shared" si="104"/>
        <v>7056</v>
      </c>
      <c r="X94" s="38">
        <f t="shared" si="104"/>
        <v>7056</v>
      </c>
      <c r="Z94" s="572">
        <f>SUM(Z90:Z92)</f>
        <v>588</v>
      </c>
    </row>
    <row r="95" spans="1:26" ht="15.75" thickBot="1" x14ac:dyDescent="0.3">
      <c r="V95" s="650"/>
    </row>
    <row r="96" spans="1:26" ht="15" customHeight="1" x14ac:dyDescent="0.25">
      <c r="A96" s="767" t="s">
        <v>78</v>
      </c>
      <c r="B96" s="765" t="s">
        <v>19</v>
      </c>
      <c r="C96" s="765" t="s">
        <v>44</v>
      </c>
      <c r="D96" s="769" t="s">
        <v>244</v>
      </c>
      <c r="E96" s="746" t="s">
        <v>20</v>
      </c>
      <c r="F96" s="729"/>
      <c r="G96" s="729"/>
      <c r="H96" s="729"/>
      <c r="I96" s="729"/>
      <c r="J96" s="729"/>
      <c r="K96" s="729"/>
      <c r="L96" s="729"/>
      <c r="M96" s="729"/>
      <c r="N96" s="729"/>
      <c r="O96" s="729"/>
      <c r="P96" s="729"/>
      <c r="Q96" s="730" t="s">
        <v>20</v>
      </c>
      <c r="R96" s="728" t="s">
        <v>25</v>
      </c>
      <c r="S96" s="729"/>
      <c r="T96" s="729"/>
      <c r="U96" s="729"/>
      <c r="V96" s="730" t="s">
        <v>25</v>
      </c>
      <c r="W96" s="730" t="s">
        <v>26</v>
      </c>
      <c r="X96" s="732" t="s">
        <v>27</v>
      </c>
      <c r="Z96" s="775" t="s">
        <v>49</v>
      </c>
    </row>
    <row r="97" spans="1:26" ht="15.75" thickBot="1" x14ac:dyDescent="0.3">
      <c r="A97" s="768"/>
      <c r="B97" s="766"/>
      <c r="C97" s="766"/>
      <c r="D97" s="770"/>
      <c r="E97" s="1">
        <v>1</v>
      </c>
      <c r="F97" s="2">
        <v>2</v>
      </c>
      <c r="G97" s="2">
        <v>3</v>
      </c>
      <c r="H97" s="2">
        <v>4</v>
      </c>
      <c r="I97" s="2">
        <v>5</v>
      </c>
      <c r="J97" s="2">
        <v>6</v>
      </c>
      <c r="K97" s="2">
        <v>7</v>
      </c>
      <c r="L97" s="2">
        <v>8</v>
      </c>
      <c r="M97" s="2">
        <v>9</v>
      </c>
      <c r="N97" s="2">
        <v>10</v>
      </c>
      <c r="O97" s="2">
        <v>11</v>
      </c>
      <c r="P97" s="3">
        <v>12</v>
      </c>
      <c r="Q97" s="731"/>
      <c r="R97" s="4" t="s">
        <v>21</v>
      </c>
      <c r="S97" s="2" t="s">
        <v>22</v>
      </c>
      <c r="T97" s="2" t="s">
        <v>23</v>
      </c>
      <c r="U97" s="3" t="s">
        <v>24</v>
      </c>
      <c r="V97" s="731"/>
      <c r="W97" s="731"/>
      <c r="X97" s="733"/>
      <c r="Z97" s="776"/>
    </row>
    <row r="98" spans="1:26" ht="18.75" customHeight="1" thickTop="1" x14ac:dyDescent="0.25">
      <c r="A98" s="117" t="s">
        <v>86</v>
      </c>
      <c r="B98" s="18">
        <v>2000</v>
      </c>
      <c r="C98" s="112" t="s">
        <v>47</v>
      </c>
      <c r="D98" s="113">
        <v>3</v>
      </c>
      <c r="E98" s="6">
        <f>IF(AND($C98="j",$D98=E$41),$B98,IF($C98="h",$B98*IF($D98=IF(MOD(E$41,6)=0,6,MOD(E$41,6)),1,0),IF($C98="q",$B98*IF($D98=IF(MOD(E$41,3)=0,3,MOD(E$41,3)),1,0),IF($C98="z",$B98*IF($D98=IF(MOD(E$41,2)=0,2,MOD(E$41,2)),1,0),IF($C98="m",$B98,0)))))</f>
        <v>0</v>
      </c>
      <c r="F98" s="7">
        <f t="shared" ref="F98:P101" si="105">IF(AND($C98="j",$D98=F$41),$B98,IF($C98="h",$B98*IF($D98=IF(MOD(F$41,6)=0,6,MOD(F$41,6)),1,0),IF($C98="q",$B98*IF($D98=IF(MOD(F$41,3)=0,3,MOD(F$41,3)),1,0),IF($C98="z",$B98*IF($D98=IF(MOD(F$41,2)=0,2,MOD(F$41,2)),1,0),IF($C98="m",$B98,0)))))</f>
        <v>0</v>
      </c>
      <c r="G98" s="7">
        <f t="shared" si="105"/>
        <v>2000</v>
      </c>
      <c r="H98" s="7">
        <f t="shared" si="105"/>
        <v>0</v>
      </c>
      <c r="I98" s="7">
        <f t="shared" si="105"/>
        <v>0</v>
      </c>
      <c r="J98" s="7">
        <f t="shared" si="105"/>
        <v>0</v>
      </c>
      <c r="K98" s="7">
        <f t="shared" si="105"/>
        <v>0</v>
      </c>
      <c r="L98" s="7">
        <f t="shared" si="105"/>
        <v>0</v>
      </c>
      <c r="M98" s="7">
        <f t="shared" si="105"/>
        <v>0</v>
      </c>
      <c r="N98" s="7">
        <f t="shared" si="105"/>
        <v>0</v>
      </c>
      <c r="O98" s="7">
        <f t="shared" si="105"/>
        <v>0</v>
      </c>
      <c r="P98" s="178">
        <f t="shared" si="105"/>
        <v>0</v>
      </c>
      <c r="Q98" s="8">
        <f>SUM(E98:P98)</f>
        <v>2000</v>
      </c>
      <c r="R98" s="305">
        <v>0</v>
      </c>
      <c r="S98" s="7">
        <v>0</v>
      </c>
      <c r="T98" s="7">
        <v>0</v>
      </c>
      <c r="U98" s="178">
        <v>0</v>
      </c>
      <c r="V98" s="8">
        <f>SUM(R98:U98)</f>
        <v>0</v>
      </c>
      <c r="W98" s="8">
        <v>0</v>
      </c>
      <c r="X98" s="9">
        <v>0</v>
      </c>
      <c r="Z98" s="567">
        <f>((Q98+V98+W98+X98)/4)/12</f>
        <v>41.666666666666664</v>
      </c>
    </row>
    <row r="99" spans="1:26" ht="18.75" customHeight="1" x14ac:dyDescent="0.25">
      <c r="A99" s="93" t="s">
        <v>87</v>
      </c>
      <c r="B99" s="94">
        <v>3000</v>
      </c>
      <c r="C99" s="95" t="s">
        <v>47</v>
      </c>
      <c r="D99" s="96">
        <v>10</v>
      </c>
      <c r="E99" s="10">
        <f t="shared" ref="E99:P101" si="106">IF(AND($C99="j",$D99=E$41),$B99,IF($C99="h",$B99*IF($D99=IF(MOD(E$41,6)=0,6,MOD(E$41,6)),1,0),IF($C99="q",$B99*IF($D99=IF(MOD(E$41,3)=0,3,MOD(E$41,3)),1,0),IF($C99="z",$B99*IF($D99=IF(MOD(E$41,2)=0,2,MOD(E$41,2)),1,0),IF($C99="m",$B99,0)))))</f>
        <v>0</v>
      </c>
      <c r="F99" s="11">
        <f t="shared" si="105"/>
        <v>0</v>
      </c>
      <c r="G99" s="11">
        <f t="shared" si="105"/>
        <v>0</v>
      </c>
      <c r="H99" s="11">
        <f t="shared" si="105"/>
        <v>0</v>
      </c>
      <c r="I99" s="11">
        <f t="shared" si="105"/>
        <v>0</v>
      </c>
      <c r="J99" s="11">
        <f t="shared" si="105"/>
        <v>0</v>
      </c>
      <c r="K99" s="11">
        <f t="shared" si="105"/>
        <v>0</v>
      </c>
      <c r="L99" s="11">
        <f t="shared" si="105"/>
        <v>0</v>
      </c>
      <c r="M99" s="11">
        <f t="shared" si="105"/>
        <v>0</v>
      </c>
      <c r="N99" s="11">
        <f t="shared" si="105"/>
        <v>3000</v>
      </c>
      <c r="O99" s="11">
        <f t="shared" si="105"/>
        <v>0</v>
      </c>
      <c r="P99" s="183">
        <f t="shared" si="105"/>
        <v>0</v>
      </c>
      <c r="Q99" s="12">
        <f t="shared" ref="Q99:Q101" si="107">SUM(E99:P99)</f>
        <v>3000</v>
      </c>
      <c r="R99" s="306">
        <f t="shared" ref="R99:R101" si="108">IF(AND($C99="j",$D99&gt;=1,$D99&lt;=3),$B99,IF(AND($C99="h",$D99&gt;=1,$D99&lt;=3),$B99,IF(AND($C99="q",$D99&gt;=1,$D99&lt;=3),$B99,IF($C99="z",IF($D99=1,2*$B99,$B99),IF($C99="m",3*$B99,0)))))</f>
        <v>0</v>
      </c>
      <c r="S99" s="11">
        <f t="shared" ref="S99:S101" si="109">IF(AND($C99="j",$D99&gt;=4,$D99&lt;=6),$B99,IF(AND($C99="h",$D99&gt;=4,$D99&lt;=6),$B99,IF(AND($C99="q",$D99&gt;=1,$D99&lt;=3),$B99,IF($C99="z",IF($D99=2,2*$B99,$B99),IF($C99="m",3*$B99,0)))))</f>
        <v>0</v>
      </c>
      <c r="T99" s="11">
        <f t="shared" ref="T99:T101" si="110">IF(AND($C99="j",$D99&gt;=7,$D99&lt;=9),$B99,IF(AND($C99="h",$D99&gt;=1,$D99&lt;=3),$B99,IF(AND($C99="q",$D99&gt;=1,$D99&lt;=3),$B99,IF($C99="z",IF($D99=1,2*$B99,$B99),IF($C99="m",3*$B99,0)))))</f>
        <v>0</v>
      </c>
      <c r="U99" s="183">
        <f t="shared" ref="U99:U101" si="111">IF(AND($C99="j",$D99&gt;=10,$D99&lt;=12),$B99,IF(AND($C99="h",$D99&gt;=4,$D99&lt;=6),$B99,IF(AND($C99="q",$D99&gt;=1,$D99&lt;=3),$B99,IF($C99="z",IF($D99=2,2*$B99,$B99),IF($C99="m",3*$B99,0)))))</f>
        <v>3000</v>
      </c>
      <c r="V99" s="12">
        <f t="shared" ref="V99:V101" si="112">SUM(R99:U99)</f>
        <v>3000</v>
      </c>
      <c r="W99" s="12">
        <f t="shared" ref="W99:X101" si="113">IF($C99="j",$B99,IF($C99="h",2*$B99,IF($C99="q",4*$B99,IF($C99="z",6*$B99,12*$B99))))</f>
        <v>3000</v>
      </c>
      <c r="X99" s="13">
        <f t="shared" si="113"/>
        <v>3000</v>
      </c>
      <c r="Z99" s="568">
        <f t="shared" ref="Z99:Z101" si="114">((Q99+V99+W99+X99)/4)/12</f>
        <v>250</v>
      </c>
    </row>
    <row r="100" spans="1:26" ht="18.75" customHeight="1" x14ac:dyDescent="0.25">
      <c r="A100" s="97" t="s">
        <v>93</v>
      </c>
      <c r="B100" s="98">
        <v>300</v>
      </c>
      <c r="C100" s="99" t="s">
        <v>45</v>
      </c>
      <c r="D100" s="100" t="s">
        <v>48</v>
      </c>
      <c r="E100" s="10">
        <f t="shared" si="106"/>
        <v>300</v>
      </c>
      <c r="F100" s="15">
        <f t="shared" si="106"/>
        <v>300</v>
      </c>
      <c r="G100" s="15">
        <f t="shared" si="106"/>
        <v>300</v>
      </c>
      <c r="H100" s="15">
        <f t="shared" si="106"/>
        <v>300</v>
      </c>
      <c r="I100" s="15">
        <f t="shared" si="106"/>
        <v>300</v>
      </c>
      <c r="J100" s="15">
        <f t="shared" si="106"/>
        <v>300</v>
      </c>
      <c r="K100" s="15">
        <f t="shared" si="106"/>
        <v>300</v>
      </c>
      <c r="L100" s="15">
        <f t="shared" si="106"/>
        <v>300</v>
      </c>
      <c r="M100" s="15">
        <f t="shared" si="106"/>
        <v>300</v>
      </c>
      <c r="N100" s="15">
        <f t="shared" si="106"/>
        <v>300</v>
      </c>
      <c r="O100" s="15">
        <f t="shared" si="106"/>
        <v>300</v>
      </c>
      <c r="P100" s="643">
        <f t="shared" si="106"/>
        <v>300</v>
      </c>
      <c r="Q100" s="12">
        <f t="shared" si="107"/>
        <v>3600</v>
      </c>
      <c r="R100" s="306">
        <f t="shared" si="108"/>
        <v>900</v>
      </c>
      <c r="S100" s="11">
        <f t="shared" si="109"/>
        <v>900</v>
      </c>
      <c r="T100" s="11">
        <f t="shared" si="110"/>
        <v>900</v>
      </c>
      <c r="U100" s="183">
        <f t="shared" si="111"/>
        <v>900</v>
      </c>
      <c r="V100" s="12">
        <f t="shared" si="112"/>
        <v>3600</v>
      </c>
      <c r="W100" s="12">
        <f t="shared" si="113"/>
        <v>3600</v>
      </c>
      <c r="X100" s="13">
        <f t="shared" si="113"/>
        <v>3600</v>
      </c>
      <c r="Z100" s="568">
        <f t="shared" si="114"/>
        <v>300</v>
      </c>
    </row>
    <row r="101" spans="1:26" ht="18.75" customHeight="1" thickBot="1" x14ac:dyDescent="0.3">
      <c r="A101" s="97"/>
      <c r="B101" s="98"/>
      <c r="C101" s="99"/>
      <c r="D101" s="100"/>
      <c r="E101" s="14">
        <f t="shared" si="106"/>
        <v>0</v>
      </c>
      <c r="F101" s="15">
        <f t="shared" si="105"/>
        <v>0</v>
      </c>
      <c r="G101" s="15">
        <f t="shared" si="105"/>
        <v>0</v>
      </c>
      <c r="H101" s="15">
        <f t="shared" si="105"/>
        <v>0</v>
      </c>
      <c r="I101" s="15">
        <f t="shared" si="105"/>
        <v>0</v>
      </c>
      <c r="J101" s="15">
        <f t="shared" si="105"/>
        <v>0</v>
      </c>
      <c r="K101" s="15">
        <f t="shared" si="105"/>
        <v>0</v>
      </c>
      <c r="L101" s="15">
        <f t="shared" si="105"/>
        <v>0</v>
      </c>
      <c r="M101" s="15">
        <f t="shared" si="105"/>
        <v>0</v>
      </c>
      <c r="N101" s="15">
        <f t="shared" si="105"/>
        <v>0</v>
      </c>
      <c r="O101" s="15">
        <f t="shared" si="105"/>
        <v>0</v>
      </c>
      <c r="P101" s="643">
        <f t="shared" si="105"/>
        <v>0</v>
      </c>
      <c r="Q101" s="16">
        <f t="shared" si="107"/>
        <v>0</v>
      </c>
      <c r="R101" s="563">
        <f t="shared" si="108"/>
        <v>0</v>
      </c>
      <c r="S101" s="15">
        <f t="shared" si="109"/>
        <v>0</v>
      </c>
      <c r="T101" s="15">
        <f t="shared" si="110"/>
        <v>0</v>
      </c>
      <c r="U101" s="643">
        <f t="shared" si="111"/>
        <v>0</v>
      </c>
      <c r="V101" s="16">
        <f t="shared" si="112"/>
        <v>0</v>
      </c>
      <c r="W101" s="16">
        <f t="shared" si="113"/>
        <v>0</v>
      </c>
      <c r="X101" s="17">
        <f t="shared" si="113"/>
        <v>0</v>
      </c>
      <c r="Z101" s="573">
        <f t="shared" si="114"/>
        <v>0</v>
      </c>
    </row>
    <row r="102" spans="1:26" ht="7.5" customHeight="1" thickTop="1" thickBot="1" x14ac:dyDescent="0.3">
      <c r="A102" s="101"/>
      <c r="B102" s="102"/>
      <c r="C102" s="103"/>
      <c r="D102" s="104"/>
      <c r="E102" s="27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3"/>
      <c r="R102" s="31"/>
      <c r="S102" s="28"/>
      <c r="T102" s="28"/>
      <c r="U102" s="29"/>
      <c r="V102" s="33"/>
      <c r="W102" s="33"/>
      <c r="X102" s="34"/>
      <c r="Z102" s="569"/>
    </row>
    <row r="103" spans="1:26" s="621" customFormat="1" ht="18.75" customHeight="1" thickBot="1" x14ac:dyDescent="0.3">
      <c r="A103" s="570" t="s">
        <v>50</v>
      </c>
      <c r="B103" s="571">
        <f>Z103</f>
        <v>591.66666666666674</v>
      </c>
      <c r="D103" s="622"/>
      <c r="E103" s="623">
        <f>SUM(E98:E102)</f>
        <v>300</v>
      </c>
      <c r="F103" s="547">
        <f t="shared" ref="F103:X103" si="115">SUM(F98:F102)</f>
        <v>300</v>
      </c>
      <c r="G103" s="547">
        <f t="shared" si="115"/>
        <v>2300</v>
      </c>
      <c r="H103" s="547">
        <f t="shared" si="115"/>
        <v>300</v>
      </c>
      <c r="I103" s="547">
        <f t="shared" si="115"/>
        <v>300</v>
      </c>
      <c r="J103" s="547">
        <f t="shared" si="115"/>
        <v>300</v>
      </c>
      <c r="K103" s="547">
        <f t="shared" si="115"/>
        <v>300</v>
      </c>
      <c r="L103" s="547">
        <f t="shared" si="115"/>
        <v>300</v>
      </c>
      <c r="M103" s="547">
        <f t="shared" si="115"/>
        <v>300</v>
      </c>
      <c r="N103" s="547">
        <f t="shared" si="115"/>
        <v>3300</v>
      </c>
      <c r="O103" s="547">
        <f t="shared" si="115"/>
        <v>300</v>
      </c>
      <c r="P103" s="36">
        <f t="shared" si="115"/>
        <v>300</v>
      </c>
      <c r="Q103" s="37">
        <f t="shared" si="115"/>
        <v>8600</v>
      </c>
      <c r="R103" s="546">
        <f t="shared" si="115"/>
        <v>900</v>
      </c>
      <c r="S103" s="547">
        <f t="shared" si="115"/>
        <v>900</v>
      </c>
      <c r="T103" s="547">
        <f t="shared" si="115"/>
        <v>900</v>
      </c>
      <c r="U103" s="36">
        <f t="shared" si="115"/>
        <v>3900</v>
      </c>
      <c r="V103" s="37">
        <f t="shared" si="115"/>
        <v>6600</v>
      </c>
      <c r="W103" s="37">
        <f t="shared" si="115"/>
        <v>6600</v>
      </c>
      <c r="X103" s="38">
        <f t="shared" si="115"/>
        <v>6600</v>
      </c>
      <c r="Z103" s="572">
        <f>SUM(Z98:Z101)</f>
        <v>591.66666666666674</v>
      </c>
    </row>
    <row r="104" spans="1:26" ht="15.75" thickBot="1" x14ac:dyDescent="0.3"/>
    <row r="105" spans="1:26" ht="15" customHeight="1" x14ac:dyDescent="0.25">
      <c r="A105" s="767" t="s">
        <v>80</v>
      </c>
      <c r="B105" s="765" t="s">
        <v>19</v>
      </c>
      <c r="C105" s="765" t="s">
        <v>44</v>
      </c>
      <c r="D105" s="769" t="s">
        <v>244</v>
      </c>
      <c r="E105" s="746" t="s">
        <v>20</v>
      </c>
      <c r="F105" s="729"/>
      <c r="G105" s="729"/>
      <c r="H105" s="729"/>
      <c r="I105" s="729"/>
      <c r="J105" s="729"/>
      <c r="K105" s="729"/>
      <c r="L105" s="729"/>
      <c r="M105" s="729"/>
      <c r="N105" s="729"/>
      <c r="O105" s="729"/>
      <c r="P105" s="729"/>
      <c r="Q105" s="730" t="s">
        <v>20</v>
      </c>
      <c r="R105" s="728" t="s">
        <v>25</v>
      </c>
      <c r="S105" s="729"/>
      <c r="T105" s="729"/>
      <c r="U105" s="729"/>
      <c r="V105" s="730" t="s">
        <v>25</v>
      </c>
      <c r="W105" s="730" t="s">
        <v>26</v>
      </c>
      <c r="X105" s="732" t="s">
        <v>27</v>
      </c>
      <c r="Z105" s="775" t="s">
        <v>49</v>
      </c>
    </row>
    <row r="106" spans="1:26" ht="15.75" thickBot="1" x14ac:dyDescent="0.3">
      <c r="A106" s="768"/>
      <c r="B106" s="766"/>
      <c r="C106" s="766"/>
      <c r="D106" s="770"/>
      <c r="E106" s="1">
        <v>1</v>
      </c>
      <c r="F106" s="2">
        <v>2</v>
      </c>
      <c r="G106" s="2">
        <v>3</v>
      </c>
      <c r="H106" s="2">
        <v>4</v>
      </c>
      <c r="I106" s="2">
        <v>5</v>
      </c>
      <c r="J106" s="2">
        <v>6</v>
      </c>
      <c r="K106" s="2">
        <v>7</v>
      </c>
      <c r="L106" s="2">
        <v>8</v>
      </c>
      <c r="M106" s="2">
        <v>9</v>
      </c>
      <c r="N106" s="2">
        <v>10</v>
      </c>
      <c r="O106" s="2">
        <v>11</v>
      </c>
      <c r="P106" s="3">
        <v>12</v>
      </c>
      <c r="Q106" s="731"/>
      <c r="R106" s="4" t="s">
        <v>21</v>
      </c>
      <c r="S106" s="2" t="s">
        <v>22</v>
      </c>
      <c r="T106" s="2" t="s">
        <v>23</v>
      </c>
      <c r="U106" s="3" t="s">
        <v>24</v>
      </c>
      <c r="V106" s="731"/>
      <c r="W106" s="731"/>
      <c r="X106" s="733"/>
      <c r="Z106" s="776"/>
    </row>
    <row r="107" spans="1:26" ht="18.75" customHeight="1" thickTop="1" x14ac:dyDescent="0.25">
      <c r="A107" s="92" t="s">
        <v>264</v>
      </c>
      <c r="B107" s="18">
        <v>30000</v>
      </c>
      <c r="C107" s="19" t="s">
        <v>47</v>
      </c>
      <c r="D107" s="20">
        <v>12</v>
      </c>
      <c r="E107" s="6">
        <f t="shared" ref="E107:P109" si="116">IF(AND($C107="j",$D107=E$41),$B107,IF($C107="h",$B107*IF($D107=IF(MOD(E$41,6)=0,6,MOD(E$41,6)),1,0),IF($C107="q",$B107*IF($D107=IF(MOD(E$41,3)=0,3,MOD(E$41,3)),1,0),IF($C107="z",$B107*IF($D107=IF(MOD(E$41,2)=0,2,MOD(E$41,2)),1,0),IF($C107="m",$B107,0)))))</f>
        <v>0</v>
      </c>
      <c r="F107" s="7">
        <f t="shared" si="116"/>
        <v>0</v>
      </c>
      <c r="G107" s="7">
        <f t="shared" si="116"/>
        <v>0</v>
      </c>
      <c r="H107" s="7">
        <f t="shared" si="116"/>
        <v>0</v>
      </c>
      <c r="I107" s="7">
        <f t="shared" si="116"/>
        <v>0</v>
      </c>
      <c r="J107" s="7">
        <f t="shared" si="116"/>
        <v>0</v>
      </c>
      <c r="K107" s="7">
        <f t="shared" si="116"/>
        <v>0</v>
      </c>
      <c r="L107" s="7">
        <f t="shared" si="116"/>
        <v>0</v>
      </c>
      <c r="M107" s="7">
        <f t="shared" si="116"/>
        <v>0</v>
      </c>
      <c r="N107" s="7">
        <f t="shared" si="116"/>
        <v>0</v>
      </c>
      <c r="O107" s="7">
        <f t="shared" si="116"/>
        <v>0</v>
      </c>
      <c r="P107" s="178">
        <f t="shared" si="116"/>
        <v>30000</v>
      </c>
      <c r="Q107" s="8">
        <f>SUM(E107:P107)</f>
        <v>30000</v>
      </c>
      <c r="R107" s="305">
        <f>IF(AND($C107="j",$D107&gt;=1,$D107&lt;=3),$B107,IF(AND($C107="h",$D107&gt;=1,$D107&lt;=3),$B107,IF(AND($C107="q",$D107&gt;=1,$D107&lt;=3),$B107,IF($C107="z",IF($D107=1,2*$B107,$B107),IF($C107="m",3*$B107,0)))))</f>
        <v>0</v>
      </c>
      <c r="S107" s="7">
        <f>IF(AND($C107="j",$D107&gt;=4,$D107&lt;=6),$B107,IF(AND($C107="h",$D107&gt;=4,$D107&lt;=6),$B107,IF(AND($C107="q",$D107&gt;=1,$D107&lt;=3),$B107,IF($C107="z",IF($D107=2,2*$B107,$B107),IF($C107="m",3*$B107,0)))))</f>
        <v>0</v>
      </c>
      <c r="T107" s="7">
        <f>IF(AND($C107="j",$D107&gt;=7,$D107&lt;=9),$B107,IF(AND($C107="h",$D107&gt;=1,$D107&lt;=3),$B107,IF(AND($C107="q",$D107&gt;=1,$D107&lt;=3),$B107,IF($C107="z",IF($D107=1,2*$B107,$B107),IF($C107="m",3*$B107,0)))))</f>
        <v>0</v>
      </c>
      <c r="U107" s="178">
        <f>IF(AND($C107="j",$D107&gt;=10,$D107&lt;=12),$B107,IF(AND($C107="h",$D107&gt;=4,$D107&lt;=6),$B107,IF(AND($C107="q",$D107&gt;=1,$D107&lt;=3),$B107,IF($C107="z",IF($D107=2,2*$B107,$B107),IF($C107="m",3*$B107,0)))))</f>
        <v>30000</v>
      </c>
      <c r="V107" s="8">
        <f>SUM(R107:U107)</f>
        <v>30000</v>
      </c>
      <c r="W107" s="8">
        <f>IF($C107="j",$B107,IF($C107="h",2*$B107,IF($C107="q",4*$B107,IF($C107="z",6*$B107,12*$B107))))</f>
        <v>30000</v>
      </c>
      <c r="X107" s="9">
        <f>IF($C107="j",$B107,IF($C107="h",2*$B107,IF($C107="q",4*$B107,IF($C107="z",6*$B107,12*$B107))))</f>
        <v>30000</v>
      </c>
      <c r="Z107" s="567">
        <f>((Q107+V107+W107+X107)/4)/12</f>
        <v>2500</v>
      </c>
    </row>
    <row r="108" spans="1:26" ht="18.75" customHeight="1" x14ac:dyDescent="0.25">
      <c r="A108" s="579" t="s">
        <v>265</v>
      </c>
      <c r="B108" s="108">
        <v>10000</v>
      </c>
      <c r="C108" s="655" t="s">
        <v>47</v>
      </c>
      <c r="D108" s="656">
        <v>12</v>
      </c>
      <c r="E108" s="657">
        <f t="shared" si="116"/>
        <v>0</v>
      </c>
      <c r="F108" s="109">
        <f t="shared" si="116"/>
        <v>0</v>
      </c>
      <c r="G108" s="109">
        <f t="shared" si="116"/>
        <v>0</v>
      </c>
      <c r="H108" s="109">
        <f t="shared" si="116"/>
        <v>0</v>
      </c>
      <c r="I108" s="109">
        <f t="shared" si="116"/>
        <v>0</v>
      </c>
      <c r="J108" s="109">
        <f t="shared" si="116"/>
        <v>0</v>
      </c>
      <c r="K108" s="109">
        <f t="shared" si="116"/>
        <v>0</v>
      </c>
      <c r="L108" s="109">
        <f t="shared" si="116"/>
        <v>0</v>
      </c>
      <c r="M108" s="109">
        <f t="shared" si="116"/>
        <v>0</v>
      </c>
      <c r="N108" s="109">
        <f t="shared" si="116"/>
        <v>0</v>
      </c>
      <c r="O108" s="109">
        <f t="shared" si="116"/>
        <v>0</v>
      </c>
      <c r="P108" s="339">
        <f t="shared" si="116"/>
        <v>10000</v>
      </c>
      <c r="Q108" s="658">
        <f>SUM(E108:P108)</f>
        <v>10000</v>
      </c>
      <c r="R108" s="659">
        <f>IF(AND($C108="j",$D108&gt;=1,$D108&lt;=3),$B108,IF(AND($C108="h",$D108&gt;=1,$D108&lt;=3),$B108,IF(AND($C108="q",$D108&gt;=1,$D108&lt;=3),$B108,IF($C108="z",IF($D108=1,2*$B108,$B108),IF($C108="m",3*$B108,0)))))</f>
        <v>0</v>
      </c>
      <c r="S108" s="109">
        <f>IF(AND($C108="j",$D108&gt;=4,$D108&lt;=6),$B108,IF(AND($C108="h",$D108&gt;=4,$D108&lt;=6),$B108,IF(AND($C108="q",$D108&gt;=1,$D108&lt;=3),$B108,IF($C108="z",IF($D108=2,2*$B108,$B108),IF($C108="m",3*$B108,0)))))</f>
        <v>0</v>
      </c>
      <c r="T108" s="109">
        <f>IF(AND($C108="j",$D108&gt;=7,$D108&lt;=9),$B108,IF(AND($C108="h",$D108&gt;=1,$D108&lt;=3),$B108,IF(AND($C108="q",$D108&gt;=1,$D108&lt;=3),$B108,IF($C108="z",IF($D108=1,2*$B108,$B108),IF($C108="m",3*$B108,0)))))</f>
        <v>0</v>
      </c>
      <c r="U108" s="339">
        <f>IF(AND($C108="j",$D108&gt;=10,$D108&lt;=12),$B108,IF(AND($C108="h",$D108&gt;=4,$D108&lt;=6),$B108,IF(AND($C108="q",$D108&gt;=1,$D108&lt;=3),$B108,IF($C108="z",IF($D108=2,2*$B108,$B108),IF($C108="m",3*$B108,0)))))</f>
        <v>10000</v>
      </c>
      <c r="V108" s="658">
        <f>SUM(R108:U108)</f>
        <v>10000</v>
      </c>
      <c r="W108" s="658">
        <f>IF($C108="j",$B108,IF($C108="h",2*$B108,IF($C108="q",4*$B108,IF($C108="z",6*$B108,12*$B108))))</f>
        <v>10000</v>
      </c>
      <c r="X108" s="660">
        <f>IF($C108="j",$B108,IF($C108="h",2*$B108,IF($C108="q",4*$B108,IF($C108="z",6*$B108,12*$B108))))</f>
        <v>10000</v>
      </c>
      <c r="Z108" s="568">
        <f t="shared" ref="Z108:Z109" si="117">((Q108+V108+W108+X108)/4)/12</f>
        <v>833.33333333333337</v>
      </c>
    </row>
    <row r="109" spans="1:26" ht="18.75" customHeight="1" thickBot="1" x14ac:dyDescent="0.3">
      <c r="A109" s="97"/>
      <c r="B109" s="98"/>
      <c r="C109" s="99"/>
      <c r="D109" s="100"/>
      <c r="E109" s="14">
        <f t="shared" si="116"/>
        <v>0</v>
      </c>
      <c r="F109" s="15">
        <f t="shared" si="116"/>
        <v>0</v>
      </c>
      <c r="G109" s="15">
        <f t="shared" si="116"/>
        <v>0</v>
      </c>
      <c r="H109" s="15">
        <f t="shared" si="116"/>
        <v>0</v>
      </c>
      <c r="I109" s="15">
        <f t="shared" si="116"/>
        <v>0</v>
      </c>
      <c r="J109" s="15">
        <f t="shared" si="116"/>
        <v>0</v>
      </c>
      <c r="K109" s="15">
        <f t="shared" si="116"/>
        <v>0</v>
      </c>
      <c r="L109" s="15">
        <f t="shared" si="116"/>
        <v>0</v>
      </c>
      <c r="M109" s="15">
        <f t="shared" si="116"/>
        <v>0</v>
      </c>
      <c r="N109" s="15">
        <f t="shared" si="116"/>
        <v>0</v>
      </c>
      <c r="O109" s="15">
        <f t="shared" si="116"/>
        <v>0</v>
      </c>
      <c r="P109" s="643">
        <f t="shared" si="116"/>
        <v>0</v>
      </c>
      <c r="Q109" s="16">
        <f t="shared" ref="Q109" si="118">SUM(E109:P109)</f>
        <v>0</v>
      </c>
      <c r="R109" s="563">
        <f t="shared" ref="R109" si="119">IF(AND($C109="j",$D109&gt;=1,$D109&lt;=3),$B109,IF(AND($C109="h",$D109&gt;=1,$D109&lt;=3),$B109,IF(AND($C109="q",$D109&gt;=1,$D109&lt;=3),$B109,IF($C109="z",IF($D109=1,2*$B109,$B109),IF($C109="m",3*$B109,0)))))</f>
        <v>0</v>
      </c>
      <c r="S109" s="15">
        <f t="shared" ref="S109" si="120">IF(AND($C109="j",$D109&gt;=4,$D109&lt;=6),$B109,IF(AND($C109="h",$D109&gt;=4,$D109&lt;=6),$B109,IF(AND($C109="q",$D109&gt;=1,$D109&lt;=3),$B109,IF($C109="z",IF($D109=2,2*$B109,$B109),IF($C109="m",3*$B109,0)))))</f>
        <v>0</v>
      </c>
      <c r="T109" s="15">
        <f t="shared" ref="T109" si="121">IF(AND($C109="j",$D109&gt;=7,$D109&lt;=9),$B109,IF(AND($C109="h",$D109&gt;=1,$D109&lt;=3),$B109,IF(AND($C109="q",$D109&gt;=1,$D109&lt;=3),$B109,IF($C109="z",IF($D109=1,2*$B109,$B109),IF($C109="m",3*$B109,0)))))</f>
        <v>0</v>
      </c>
      <c r="U109" s="643">
        <f t="shared" ref="U109" si="122">IF(AND($C109="j",$D109&gt;=10,$D109&lt;=12),$B109,IF(AND($C109="h",$D109&gt;=4,$D109&lt;=6),$B109,IF(AND($C109="q",$D109&gt;=1,$D109&lt;=3),$B109,IF($C109="z",IF($D109=2,2*$B109,$B109),IF($C109="m",3*$B109,0)))))</f>
        <v>0</v>
      </c>
      <c r="V109" s="16">
        <f t="shared" ref="V109" si="123">SUM(R109:U109)</f>
        <v>0</v>
      </c>
      <c r="W109" s="16">
        <f t="shared" ref="W109:X109" si="124">IF($C109="j",$B109,IF($C109="h",2*$B109,IF($C109="q",4*$B109,IF($C109="z",6*$B109,12*$B109))))</f>
        <v>0</v>
      </c>
      <c r="X109" s="17">
        <f t="shared" si="124"/>
        <v>0</v>
      </c>
      <c r="Z109" s="573">
        <f t="shared" si="117"/>
        <v>0</v>
      </c>
    </row>
    <row r="110" spans="1:26" ht="7.5" customHeight="1" thickTop="1" thickBot="1" x14ac:dyDescent="0.3">
      <c r="A110" s="101"/>
      <c r="B110" s="102"/>
      <c r="C110" s="103"/>
      <c r="D110" s="104"/>
      <c r="E110" s="27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9"/>
      <c r="Q110" s="33"/>
      <c r="R110" s="31"/>
      <c r="S110" s="28"/>
      <c r="T110" s="28"/>
      <c r="U110" s="29"/>
      <c r="V110" s="33"/>
      <c r="W110" s="33"/>
      <c r="X110" s="34"/>
      <c r="Z110" s="569"/>
    </row>
    <row r="111" spans="1:26" s="621" customFormat="1" ht="18.75" customHeight="1" thickBot="1" x14ac:dyDescent="0.3">
      <c r="A111" s="570" t="s">
        <v>50</v>
      </c>
      <c r="B111" s="571">
        <f>Z111</f>
        <v>3333.3333333333335</v>
      </c>
      <c r="D111" s="622"/>
      <c r="E111" s="623">
        <f t="shared" ref="E111:X111" si="125">SUM(E107:E110)</f>
        <v>0</v>
      </c>
      <c r="F111" s="547">
        <f t="shared" si="125"/>
        <v>0</v>
      </c>
      <c r="G111" s="547">
        <f t="shared" si="125"/>
        <v>0</v>
      </c>
      <c r="H111" s="547">
        <f t="shared" si="125"/>
        <v>0</v>
      </c>
      <c r="I111" s="547">
        <f t="shared" si="125"/>
        <v>0</v>
      </c>
      <c r="J111" s="547">
        <f t="shared" si="125"/>
        <v>0</v>
      </c>
      <c r="K111" s="547">
        <f t="shared" si="125"/>
        <v>0</v>
      </c>
      <c r="L111" s="547">
        <f t="shared" si="125"/>
        <v>0</v>
      </c>
      <c r="M111" s="547">
        <f t="shared" si="125"/>
        <v>0</v>
      </c>
      <c r="N111" s="547">
        <f t="shared" si="125"/>
        <v>0</v>
      </c>
      <c r="O111" s="547">
        <f t="shared" si="125"/>
        <v>0</v>
      </c>
      <c r="P111" s="36">
        <f t="shared" si="125"/>
        <v>40000</v>
      </c>
      <c r="Q111" s="37">
        <f t="shared" si="125"/>
        <v>40000</v>
      </c>
      <c r="R111" s="546">
        <f t="shared" si="125"/>
        <v>0</v>
      </c>
      <c r="S111" s="547">
        <f t="shared" si="125"/>
        <v>0</v>
      </c>
      <c r="T111" s="547">
        <f t="shared" si="125"/>
        <v>0</v>
      </c>
      <c r="U111" s="36">
        <f t="shared" si="125"/>
        <v>40000</v>
      </c>
      <c r="V111" s="37">
        <f t="shared" si="125"/>
        <v>40000</v>
      </c>
      <c r="W111" s="37">
        <f t="shared" si="125"/>
        <v>40000</v>
      </c>
      <c r="X111" s="38">
        <f t="shared" si="125"/>
        <v>40000</v>
      </c>
      <c r="Z111" s="572">
        <f>SUM(Z107:Z109)</f>
        <v>3333.3333333333335</v>
      </c>
    </row>
    <row r="112" spans="1:26" ht="15.75" thickBot="1" x14ac:dyDescent="0.3"/>
    <row r="113" spans="1:26" ht="15" customHeight="1" x14ac:dyDescent="0.25">
      <c r="A113" s="767" t="s">
        <v>81</v>
      </c>
      <c r="B113" s="765" t="s">
        <v>19</v>
      </c>
      <c r="C113" s="765" t="s">
        <v>44</v>
      </c>
      <c r="D113" s="769" t="s">
        <v>244</v>
      </c>
      <c r="E113" s="746" t="s">
        <v>20</v>
      </c>
      <c r="F113" s="729"/>
      <c r="G113" s="729"/>
      <c r="H113" s="729"/>
      <c r="I113" s="729"/>
      <c r="J113" s="729"/>
      <c r="K113" s="729"/>
      <c r="L113" s="729"/>
      <c r="M113" s="729"/>
      <c r="N113" s="729"/>
      <c r="O113" s="729"/>
      <c r="P113" s="729"/>
      <c r="Q113" s="730" t="s">
        <v>20</v>
      </c>
      <c r="R113" s="728" t="s">
        <v>25</v>
      </c>
      <c r="S113" s="729"/>
      <c r="T113" s="729"/>
      <c r="U113" s="729"/>
      <c r="V113" s="730" t="s">
        <v>25</v>
      </c>
      <c r="W113" s="730" t="s">
        <v>26</v>
      </c>
      <c r="X113" s="732" t="s">
        <v>27</v>
      </c>
      <c r="Z113" s="775" t="s">
        <v>49</v>
      </c>
    </row>
    <row r="114" spans="1:26" ht="15.75" thickBot="1" x14ac:dyDescent="0.3">
      <c r="A114" s="768"/>
      <c r="B114" s="766"/>
      <c r="C114" s="766"/>
      <c r="D114" s="770"/>
      <c r="E114" s="1">
        <v>1</v>
      </c>
      <c r="F114" s="2">
        <v>2</v>
      </c>
      <c r="G114" s="2">
        <v>3</v>
      </c>
      <c r="H114" s="2">
        <v>4</v>
      </c>
      <c r="I114" s="2">
        <v>5</v>
      </c>
      <c r="J114" s="2">
        <v>6</v>
      </c>
      <c r="K114" s="2">
        <v>7</v>
      </c>
      <c r="L114" s="2">
        <v>8</v>
      </c>
      <c r="M114" s="2">
        <v>9</v>
      </c>
      <c r="N114" s="2">
        <v>10</v>
      </c>
      <c r="O114" s="2">
        <v>11</v>
      </c>
      <c r="P114" s="3">
        <v>12</v>
      </c>
      <c r="Q114" s="731"/>
      <c r="R114" s="4" t="s">
        <v>21</v>
      </c>
      <c r="S114" s="2" t="s">
        <v>22</v>
      </c>
      <c r="T114" s="2" t="s">
        <v>23</v>
      </c>
      <c r="U114" s="3" t="s">
        <v>24</v>
      </c>
      <c r="V114" s="731"/>
      <c r="W114" s="731"/>
      <c r="X114" s="733"/>
      <c r="Z114" s="776"/>
    </row>
    <row r="115" spans="1:26" ht="18.75" customHeight="1" thickTop="1" x14ac:dyDescent="0.25">
      <c r="A115" s="92" t="s">
        <v>118</v>
      </c>
      <c r="B115" s="18">
        <v>200</v>
      </c>
      <c r="C115" s="19" t="s">
        <v>121</v>
      </c>
      <c r="D115" s="20">
        <v>2</v>
      </c>
      <c r="E115" s="6">
        <f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7">
        <f t="shared" ref="F115:P118" si="126">IF(AND($C115="j",$D115=F$41),$B115,IF($C115="h",$B115*IF($D115=IF(MOD(F$41,6)=0,6,MOD(F$41,6)),1,0),IF($C115="q",$B115*IF($D115=IF(MOD(F$41,3)=0,3,MOD(F$41,3)),1,0),IF($C115="z",$B115*IF($D115=IF(MOD(F$41,2)=0,2,MOD(F$41,2)),1,0),IF($C115="m",$B115,0)))))</f>
        <v>200</v>
      </c>
      <c r="G115" s="7">
        <f t="shared" si="126"/>
        <v>0</v>
      </c>
      <c r="H115" s="7">
        <f t="shared" si="126"/>
        <v>0</v>
      </c>
      <c r="I115" s="7">
        <f t="shared" si="126"/>
        <v>200</v>
      </c>
      <c r="J115" s="7">
        <f t="shared" si="126"/>
        <v>0</v>
      </c>
      <c r="K115" s="7">
        <f t="shared" si="126"/>
        <v>0</v>
      </c>
      <c r="L115" s="7">
        <f t="shared" si="126"/>
        <v>200</v>
      </c>
      <c r="M115" s="7">
        <f t="shared" si="126"/>
        <v>0</v>
      </c>
      <c r="N115" s="7">
        <f t="shared" si="126"/>
        <v>0</v>
      </c>
      <c r="O115" s="7">
        <f t="shared" si="126"/>
        <v>200</v>
      </c>
      <c r="P115" s="178">
        <f t="shared" si="126"/>
        <v>0</v>
      </c>
      <c r="Q115" s="8">
        <f>SUM(E115:P115)</f>
        <v>800</v>
      </c>
      <c r="R115" s="305">
        <f>IF(AND($C115="j",$D115&gt;=1,$D115&lt;=3),$B115,IF(AND($C115="h",$D115&gt;=1,$D115&lt;=3),$B115,IF(AND($C115="q",$D115&gt;=1,$D115&lt;=3),$B115,IF($C115="z",IF($D115=1,2*$B115,$B115),IF($C115="m",3*$B115,0)))))</f>
        <v>200</v>
      </c>
      <c r="S115" s="7">
        <f>IF(AND($C115="j",$D115&gt;=4,$D115&lt;=6),$B115,IF(AND($C115="h",$D115&gt;=4,$D115&lt;=6),$B115,IF(AND($C115="q",$D115&gt;=1,$D115&lt;=3),$B115,IF($C115="z",IF($D115=2,2*$B115,$B115),IF($C115="m",3*$B115,0)))))</f>
        <v>200</v>
      </c>
      <c r="T115" s="7">
        <f>IF(AND($C115="j",$D115&gt;=7,$D115&lt;=9),$B115,IF(AND($C115="h",$D115&gt;=1,$D115&lt;=3),$B115,IF(AND($C115="q",$D115&gt;=1,$D115&lt;=3),$B115,IF($C115="z",IF($D115=1,2*$B115,$B115),IF($C115="m",3*$B115,0)))))</f>
        <v>200</v>
      </c>
      <c r="U115" s="178">
        <f>IF(AND($C115="j",$D115&gt;=10,$D115&lt;=12),$B115,IF(AND($C115="h",$D115&gt;=4,$D115&lt;=6),$B115,IF(AND($C115="q",$D115&gt;=1,$D115&lt;=3),$B115,IF($C115="z",IF($D115=2,2*$B115,$B115),IF($C115="m",3*$B115,0)))))</f>
        <v>200</v>
      </c>
      <c r="V115" s="8">
        <f>SUM(R115:U115)</f>
        <v>800</v>
      </c>
      <c r="W115" s="8">
        <f>IF($C115="j",$B115,IF($C115="h",2*$B115,IF($C115="q",4*$B115,IF($C115="z",6*$B115,12*$B115))))</f>
        <v>800</v>
      </c>
      <c r="X115" s="9">
        <f>IF($C115="j",$B115,IF($C115="h",2*$B115,IF($C115="q",4*$B115,IF($C115="z",6*$B115,12*$B115))))</f>
        <v>800</v>
      </c>
      <c r="Z115" s="567">
        <f>((Q115+V115+W115+X115)/4)/12</f>
        <v>66.666666666666671</v>
      </c>
    </row>
    <row r="116" spans="1:26" ht="18.75" customHeight="1" x14ac:dyDescent="0.25">
      <c r="A116" s="93" t="s">
        <v>119</v>
      </c>
      <c r="B116" s="94">
        <f>B34*0.36%</f>
        <v>145.24379092499998</v>
      </c>
      <c r="C116" s="95" t="s">
        <v>45</v>
      </c>
      <c r="D116" s="96" t="s">
        <v>48</v>
      </c>
      <c r="E116" s="10">
        <f t="shared" ref="E116:E118" si="127">IF(AND($C116="j",$D116=E$41),$B116,IF($C116="h",$B116*IF($D116=IF(MOD(E$41,6)=0,6,MOD(E$41,6)),1,0),IF($C116="q",$B116*IF($D116=IF(MOD(E$41,3)=0,3,MOD(E$41,3)),1,0),IF($C116="z",$B116*IF($D116=IF(MOD(E$41,2)=0,2,MOD(E$41,2)),1,0),IF($C116="m",$B116,0)))))</f>
        <v>145.24379092499998</v>
      </c>
      <c r="F116" s="11">
        <f t="shared" si="126"/>
        <v>145.24379092499998</v>
      </c>
      <c r="G116" s="11">
        <f t="shared" si="126"/>
        <v>145.24379092499998</v>
      </c>
      <c r="H116" s="11">
        <f t="shared" si="126"/>
        <v>145.24379092499998</v>
      </c>
      <c r="I116" s="11">
        <f t="shared" si="126"/>
        <v>145.24379092499998</v>
      </c>
      <c r="J116" s="11">
        <f t="shared" si="126"/>
        <v>145.24379092499998</v>
      </c>
      <c r="K116" s="11">
        <f t="shared" si="126"/>
        <v>145.24379092499998</v>
      </c>
      <c r="L116" s="11">
        <f t="shared" si="126"/>
        <v>145.24379092499998</v>
      </c>
      <c r="M116" s="11">
        <f t="shared" si="126"/>
        <v>145.24379092499998</v>
      </c>
      <c r="N116" s="11">
        <f t="shared" si="126"/>
        <v>145.24379092499998</v>
      </c>
      <c r="O116" s="11">
        <f t="shared" si="126"/>
        <v>145.24379092499998</v>
      </c>
      <c r="P116" s="183">
        <f t="shared" si="126"/>
        <v>145.24379092499998</v>
      </c>
      <c r="Q116" s="12">
        <f t="shared" ref="Q116:Q118" si="128">SUM(E116:P116)</f>
        <v>1742.9254910999998</v>
      </c>
      <c r="R116" s="306">
        <f t="shared" ref="R116:R118" si="129">IF(AND($C116="j",$D116&gt;=1,$D116&lt;=3),$B116,IF(AND($C116="h",$D116&gt;=1,$D116&lt;=3),$B116,IF(AND($C116="q",$D116&gt;=1,$D116&lt;=3),$B116,IF($C116="z",IF($D116=1,2*$B116,$B116),IF($C116="m",3*$B116,0)))))</f>
        <v>435.73137277499995</v>
      </c>
      <c r="S116" s="11">
        <f t="shared" ref="S116:S118" si="130">IF(AND($C116="j",$D116&gt;=4,$D116&lt;=6),$B116,IF(AND($C116="h",$D116&gt;=4,$D116&lt;=6),$B116,IF(AND($C116="q",$D116&gt;=1,$D116&lt;=3),$B116,IF($C116="z",IF($D116=2,2*$B116,$B116),IF($C116="m",3*$B116,0)))))</f>
        <v>435.73137277499995</v>
      </c>
      <c r="T116" s="11">
        <f t="shared" ref="T116:T118" si="131">IF(AND($C116="j",$D116&gt;=7,$D116&lt;=9),$B116,IF(AND($C116="h",$D116&gt;=1,$D116&lt;=3),$B116,IF(AND($C116="q",$D116&gt;=1,$D116&lt;=3),$B116,IF($C116="z",IF($D116=1,2*$B116,$B116),IF($C116="m",3*$B116,0)))))</f>
        <v>435.73137277499995</v>
      </c>
      <c r="U116" s="183">
        <f t="shared" ref="U116:U118" si="132">IF(AND($C116="j",$D116&gt;=10,$D116&lt;=12),$B116,IF(AND($C116="h",$D116&gt;=4,$D116&lt;=6),$B116,IF(AND($C116="q",$D116&gt;=1,$D116&lt;=3),$B116,IF($C116="z",IF($D116=2,2*$B116,$B116),IF($C116="m",3*$B116,0)))))</f>
        <v>435.73137277499995</v>
      </c>
      <c r="V116" s="12">
        <f t="shared" ref="V116:V118" si="133">SUM(R116:U116)</f>
        <v>1742.9254910999998</v>
      </c>
      <c r="W116" s="12">
        <f t="shared" ref="W116:X118" si="134">IF($C116="j",$B116,IF($C116="h",2*$B116,IF($C116="q",4*$B116,IF($C116="z",6*$B116,12*$B116))))</f>
        <v>1742.9254910999998</v>
      </c>
      <c r="X116" s="13">
        <f t="shared" si="134"/>
        <v>1742.9254910999998</v>
      </c>
      <c r="Z116" s="568">
        <f t="shared" ref="Z116:Z118" si="135">((Q116+V116+W116+X116)/4)/12</f>
        <v>145.24379092499998</v>
      </c>
    </row>
    <row r="117" spans="1:26" ht="18.75" customHeight="1" x14ac:dyDescent="0.25">
      <c r="A117" s="93" t="s">
        <v>120</v>
      </c>
      <c r="B117" s="94">
        <f>B34*0.043%</f>
        <v>17.348563916041662</v>
      </c>
      <c r="C117" s="95" t="s">
        <v>45</v>
      </c>
      <c r="D117" s="96" t="s">
        <v>48</v>
      </c>
      <c r="E117" s="10">
        <f t="shared" si="127"/>
        <v>17.348563916041662</v>
      </c>
      <c r="F117" s="11">
        <f t="shared" si="126"/>
        <v>17.348563916041662</v>
      </c>
      <c r="G117" s="11">
        <f t="shared" si="126"/>
        <v>17.348563916041662</v>
      </c>
      <c r="H117" s="11">
        <f t="shared" si="126"/>
        <v>17.348563916041662</v>
      </c>
      <c r="I117" s="11">
        <f t="shared" si="126"/>
        <v>17.348563916041662</v>
      </c>
      <c r="J117" s="11">
        <f t="shared" si="126"/>
        <v>17.348563916041662</v>
      </c>
      <c r="K117" s="11">
        <f t="shared" si="126"/>
        <v>17.348563916041662</v>
      </c>
      <c r="L117" s="11">
        <f t="shared" si="126"/>
        <v>17.348563916041662</v>
      </c>
      <c r="M117" s="11">
        <f t="shared" si="126"/>
        <v>17.348563916041662</v>
      </c>
      <c r="N117" s="11">
        <f t="shared" si="126"/>
        <v>17.348563916041662</v>
      </c>
      <c r="O117" s="11">
        <f t="shared" si="126"/>
        <v>17.348563916041662</v>
      </c>
      <c r="P117" s="183">
        <f t="shared" si="126"/>
        <v>17.348563916041662</v>
      </c>
      <c r="Q117" s="12">
        <f t="shared" si="128"/>
        <v>208.18276699249989</v>
      </c>
      <c r="R117" s="306">
        <f t="shared" si="129"/>
        <v>52.045691748124987</v>
      </c>
      <c r="S117" s="11">
        <f t="shared" si="130"/>
        <v>52.045691748124987</v>
      </c>
      <c r="T117" s="11">
        <f t="shared" si="131"/>
        <v>52.045691748124987</v>
      </c>
      <c r="U117" s="183">
        <f t="shared" si="132"/>
        <v>52.045691748124987</v>
      </c>
      <c r="V117" s="12">
        <f t="shared" si="133"/>
        <v>208.18276699249995</v>
      </c>
      <c r="W117" s="12">
        <f t="shared" si="134"/>
        <v>208.18276699249995</v>
      </c>
      <c r="X117" s="13">
        <f t="shared" si="134"/>
        <v>208.18276699249995</v>
      </c>
      <c r="Z117" s="568">
        <f t="shared" si="135"/>
        <v>17.348563916041662</v>
      </c>
    </row>
    <row r="118" spans="1:26" ht="18.75" customHeight="1" thickBot="1" x14ac:dyDescent="0.3">
      <c r="A118" s="97"/>
      <c r="B118" s="98"/>
      <c r="C118" s="99"/>
      <c r="D118" s="100"/>
      <c r="E118" s="14">
        <f t="shared" si="127"/>
        <v>0</v>
      </c>
      <c r="F118" s="15">
        <f t="shared" si="126"/>
        <v>0</v>
      </c>
      <c r="G118" s="15">
        <f t="shared" si="126"/>
        <v>0</v>
      </c>
      <c r="H118" s="15">
        <f t="shared" si="126"/>
        <v>0</v>
      </c>
      <c r="I118" s="15">
        <f t="shared" si="126"/>
        <v>0</v>
      </c>
      <c r="J118" s="15">
        <f t="shared" si="126"/>
        <v>0</v>
      </c>
      <c r="K118" s="15">
        <f t="shared" si="126"/>
        <v>0</v>
      </c>
      <c r="L118" s="15">
        <f t="shared" si="126"/>
        <v>0</v>
      </c>
      <c r="M118" s="15">
        <f t="shared" si="126"/>
        <v>0</v>
      </c>
      <c r="N118" s="15">
        <f t="shared" si="126"/>
        <v>0</v>
      </c>
      <c r="O118" s="15">
        <f t="shared" si="126"/>
        <v>0</v>
      </c>
      <c r="P118" s="643">
        <f t="shared" si="126"/>
        <v>0</v>
      </c>
      <c r="Q118" s="16">
        <f t="shared" si="128"/>
        <v>0</v>
      </c>
      <c r="R118" s="563">
        <f t="shared" si="129"/>
        <v>0</v>
      </c>
      <c r="S118" s="15">
        <f t="shared" si="130"/>
        <v>0</v>
      </c>
      <c r="T118" s="15">
        <f t="shared" si="131"/>
        <v>0</v>
      </c>
      <c r="U118" s="643">
        <f t="shared" si="132"/>
        <v>0</v>
      </c>
      <c r="V118" s="16">
        <f t="shared" si="133"/>
        <v>0</v>
      </c>
      <c r="W118" s="16">
        <f t="shared" si="134"/>
        <v>0</v>
      </c>
      <c r="X118" s="17">
        <f t="shared" si="134"/>
        <v>0</v>
      </c>
      <c r="Z118" s="573">
        <f t="shared" si="135"/>
        <v>0</v>
      </c>
    </row>
    <row r="119" spans="1:26" ht="7.5" customHeight="1" thickTop="1" thickBot="1" x14ac:dyDescent="0.3">
      <c r="A119" s="101"/>
      <c r="B119" s="102"/>
      <c r="C119" s="103"/>
      <c r="D119" s="104"/>
      <c r="E119" s="27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9"/>
      <c r="Q119" s="33"/>
      <c r="R119" s="31"/>
      <c r="S119" s="28"/>
      <c r="T119" s="28"/>
      <c r="U119" s="29"/>
      <c r="V119" s="33"/>
      <c r="W119" s="33"/>
      <c r="X119" s="34"/>
      <c r="Z119" s="569"/>
    </row>
    <row r="120" spans="1:26" s="621" customFormat="1" ht="18.75" customHeight="1" thickBot="1" x14ac:dyDescent="0.3">
      <c r="A120" s="570" t="s">
        <v>50</v>
      </c>
      <c r="B120" s="571">
        <f>Z120</f>
        <v>229.25902150770833</v>
      </c>
      <c r="D120" s="622"/>
      <c r="E120" s="623">
        <f>SUM(E115:E119)</f>
        <v>162.59235484104164</v>
      </c>
      <c r="F120" s="547">
        <f t="shared" ref="F120:X120" si="136">SUM(F115:F119)</f>
        <v>362.59235484104164</v>
      </c>
      <c r="G120" s="547">
        <f t="shared" si="136"/>
        <v>162.59235484104164</v>
      </c>
      <c r="H120" s="547">
        <f t="shared" si="136"/>
        <v>162.59235484104164</v>
      </c>
      <c r="I120" s="547">
        <f t="shared" si="136"/>
        <v>362.59235484104164</v>
      </c>
      <c r="J120" s="547">
        <f t="shared" si="136"/>
        <v>162.59235484104164</v>
      </c>
      <c r="K120" s="547">
        <f t="shared" si="136"/>
        <v>162.59235484104164</v>
      </c>
      <c r="L120" s="547">
        <f t="shared" si="136"/>
        <v>362.59235484104164</v>
      </c>
      <c r="M120" s="547">
        <f t="shared" si="136"/>
        <v>162.59235484104164</v>
      </c>
      <c r="N120" s="547">
        <f t="shared" si="136"/>
        <v>162.59235484104164</v>
      </c>
      <c r="O120" s="547">
        <f t="shared" si="136"/>
        <v>362.59235484104164</v>
      </c>
      <c r="P120" s="36">
        <f t="shared" si="136"/>
        <v>162.59235484104164</v>
      </c>
      <c r="Q120" s="37">
        <f t="shared" si="136"/>
        <v>2751.1082580924999</v>
      </c>
      <c r="R120" s="546">
        <f t="shared" si="136"/>
        <v>687.77706452312498</v>
      </c>
      <c r="S120" s="547">
        <f t="shared" si="136"/>
        <v>687.77706452312498</v>
      </c>
      <c r="T120" s="547">
        <f t="shared" si="136"/>
        <v>687.77706452312498</v>
      </c>
      <c r="U120" s="36">
        <f t="shared" si="136"/>
        <v>687.77706452312498</v>
      </c>
      <c r="V120" s="37">
        <f t="shared" si="136"/>
        <v>2751.1082580924999</v>
      </c>
      <c r="W120" s="37">
        <f t="shared" si="136"/>
        <v>2751.1082580924999</v>
      </c>
      <c r="X120" s="38">
        <f t="shared" si="136"/>
        <v>2751.1082580924999</v>
      </c>
      <c r="Z120" s="572">
        <f>SUM(Z115:Z118)</f>
        <v>229.25902150770833</v>
      </c>
    </row>
    <row r="121" spans="1:26" ht="15.75" thickBot="1" x14ac:dyDescent="0.3"/>
    <row r="122" spans="1:26" ht="15" customHeight="1" x14ac:dyDescent="0.25">
      <c r="A122" s="767" t="s">
        <v>82</v>
      </c>
      <c r="B122" s="765" t="s">
        <v>19</v>
      </c>
      <c r="C122" s="765" t="s">
        <v>44</v>
      </c>
      <c r="D122" s="769" t="s">
        <v>244</v>
      </c>
      <c r="E122" s="746" t="s">
        <v>20</v>
      </c>
      <c r="F122" s="729"/>
      <c r="G122" s="729"/>
      <c r="H122" s="729"/>
      <c r="I122" s="729"/>
      <c r="J122" s="729"/>
      <c r="K122" s="729"/>
      <c r="L122" s="729"/>
      <c r="M122" s="729"/>
      <c r="N122" s="729"/>
      <c r="O122" s="729"/>
      <c r="P122" s="729"/>
      <c r="Q122" s="730" t="s">
        <v>20</v>
      </c>
      <c r="R122" s="728" t="s">
        <v>25</v>
      </c>
      <c r="S122" s="729"/>
      <c r="T122" s="729"/>
      <c r="U122" s="729"/>
      <c r="V122" s="730" t="s">
        <v>25</v>
      </c>
      <c r="W122" s="730" t="s">
        <v>26</v>
      </c>
      <c r="X122" s="732" t="s">
        <v>27</v>
      </c>
      <c r="Z122" s="775" t="s">
        <v>49</v>
      </c>
    </row>
    <row r="123" spans="1:26" ht="15.75" thickBot="1" x14ac:dyDescent="0.3">
      <c r="A123" s="768"/>
      <c r="B123" s="766"/>
      <c r="C123" s="766"/>
      <c r="D123" s="770"/>
      <c r="E123" s="1">
        <v>1</v>
      </c>
      <c r="F123" s="2">
        <v>2</v>
      </c>
      <c r="G123" s="2">
        <v>3</v>
      </c>
      <c r="H123" s="2">
        <v>4</v>
      </c>
      <c r="I123" s="2">
        <v>5</v>
      </c>
      <c r="J123" s="2">
        <v>6</v>
      </c>
      <c r="K123" s="2">
        <v>7</v>
      </c>
      <c r="L123" s="2">
        <v>8</v>
      </c>
      <c r="M123" s="2">
        <v>9</v>
      </c>
      <c r="N123" s="2">
        <v>10</v>
      </c>
      <c r="O123" s="2">
        <v>11</v>
      </c>
      <c r="P123" s="3">
        <v>12</v>
      </c>
      <c r="Q123" s="731"/>
      <c r="R123" s="4" t="s">
        <v>21</v>
      </c>
      <c r="S123" s="2" t="s">
        <v>22</v>
      </c>
      <c r="T123" s="2" t="s">
        <v>23</v>
      </c>
      <c r="U123" s="3" t="s">
        <v>24</v>
      </c>
      <c r="V123" s="731"/>
      <c r="W123" s="731"/>
      <c r="X123" s="733"/>
      <c r="Z123" s="776"/>
    </row>
    <row r="124" spans="1:26" ht="18.75" customHeight="1" thickTop="1" x14ac:dyDescent="0.25">
      <c r="A124" s="92"/>
      <c r="B124" s="18"/>
      <c r="C124" s="19"/>
      <c r="D124" s="20"/>
      <c r="E124" s="6">
        <f t="shared" ref="E124:P125" si="137">IF(AND($C124="j",$D124=E$41),$B124,IF($C124="h",$B124*IF($D124=IF(MOD(E$41,6)=0,6,MOD(E$41,6)),1,0),IF($C124="q",$B124*IF($D124=IF(MOD(E$41,3)=0,3,MOD(E$41,3)),1,0),IF($C124="z",$B124*IF($D124=IF(MOD(E$41,2)=0,2,MOD(E$41,2)),1,0),IF($C124="m",$B124,0)))))</f>
        <v>0</v>
      </c>
      <c r="F124" s="7">
        <f t="shared" si="137"/>
        <v>0</v>
      </c>
      <c r="G124" s="7">
        <f t="shared" si="137"/>
        <v>0</v>
      </c>
      <c r="H124" s="7">
        <f t="shared" si="137"/>
        <v>0</v>
      </c>
      <c r="I124" s="7">
        <f t="shared" si="137"/>
        <v>0</v>
      </c>
      <c r="J124" s="7">
        <f t="shared" si="137"/>
        <v>0</v>
      </c>
      <c r="K124" s="7">
        <f t="shared" si="137"/>
        <v>0</v>
      </c>
      <c r="L124" s="7">
        <f t="shared" si="137"/>
        <v>0</v>
      </c>
      <c r="M124" s="7">
        <f t="shared" si="137"/>
        <v>0</v>
      </c>
      <c r="N124" s="7">
        <f t="shared" si="137"/>
        <v>0</v>
      </c>
      <c r="O124" s="7">
        <f t="shared" si="137"/>
        <v>0</v>
      </c>
      <c r="P124" s="178">
        <f t="shared" si="137"/>
        <v>0</v>
      </c>
      <c r="Q124" s="8">
        <f>SUM(E124:P124)</f>
        <v>0</v>
      </c>
      <c r="R124" s="305">
        <f>IF(AND($C124="j",$D124&gt;=1,$D124&lt;=3),$B124,IF(AND($C124="h",$D124&gt;=1,$D124&lt;=3),$B124,IF(AND($C124="q",$D124&gt;=1,$D124&lt;=3),$B124,IF($C124="z",IF($D124=1,2*$B124,$B124),IF($C124="m",3*$B124,0)))))</f>
        <v>0</v>
      </c>
      <c r="S124" s="7">
        <f>IF(AND($C124="j",$D124&gt;=4,$D124&lt;=6),$B124,IF(AND($C124="h",$D124&gt;=4,$D124&lt;=6),$B124,IF(AND($C124="q",$D124&gt;=1,$D124&lt;=3),$B124,IF($C124="z",IF($D124=2,2*$B124,$B124),IF($C124="m",3*$B124,0)))))</f>
        <v>0</v>
      </c>
      <c r="T124" s="7">
        <f>IF(AND($C124="j",$D124&gt;=7,$D124&lt;=9),$B124,IF(AND($C124="h",$D124&gt;=1,$D124&lt;=3),$B124,IF(AND($C124="q",$D124&gt;=1,$D124&lt;=3),$B124,IF($C124="z",IF($D124=1,2*$B124,$B124),IF($C124="m",3*$B124,0)))))</f>
        <v>0</v>
      </c>
      <c r="U124" s="178">
        <f>IF(AND($C124="j",$D124&gt;=10,$D124&lt;=12),$B124,IF(AND($C124="h",$D124&gt;=4,$D124&lt;=6),$B124,IF(AND($C124="q",$D124&gt;=1,$D124&lt;=3),$B124,IF($C124="z",IF($D124=2,2*$B124,$B124),IF($C124="m",3*$B124,0)))))</f>
        <v>0</v>
      </c>
      <c r="V124" s="8">
        <f>SUM(R124:U124)</f>
        <v>0</v>
      </c>
      <c r="W124" s="8">
        <f>IF($C124="j",$B124,IF($C124="h",2*$B124,IF($C124="q",4*$B124,IF($C124="z",6*$B124,12*$B124))))</f>
        <v>0</v>
      </c>
      <c r="X124" s="9">
        <f>IF($C124="j",$B124,IF($C124="h",2*$B124,IF($C124="q",4*$B124,IF($C124="z",6*$B124,12*$B124))))</f>
        <v>0</v>
      </c>
      <c r="Z124" s="567">
        <f>((Q124+V124+W124+X124)/4)/12</f>
        <v>0</v>
      </c>
    </row>
    <row r="125" spans="1:26" ht="18.75" customHeight="1" thickBot="1" x14ac:dyDescent="0.3">
      <c r="A125" s="97"/>
      <c r="B125" s="98"/>
      <c r="C125" s="99"/>
      <c r="D125" s="100"/>
      <c r="E125" s="14">
        <f t="shared" si="137"/>
        <v>0</v>
      </c>
      <c r="F125" s="15">
        <f t="shared" si="137"/>
        <v>0</v>
      </c>
      <c r="G125" s="15">
        <f t="shared" si="137"/>
        <v>0</v>
      </c>
      <c r="H125" s="15">
        <f t="shared" si="137"/>
        <v>0</v>
      </c>
      <c r="I125" s="15">
        <f t="shared" si="137"/>
        <v>0</v>
      </c>
      <c r="J125" s="15">
        <f t="shared" si="137"/>
        <v>0</v>
      </c>
      <c r="K125" s="15">
        <f t="shared" si="137"/>
        <v>0</v>
      </c>
      <c r="L125" s="15">
        <f t="shared" si="137"/>
        <v>0</v>
      </c>
      <c r="M125" s="15">
        <f t="shared" si="137"/>
        <v>0</v>
      </c>
      <c r="N125" s="15">
        <f t="shared" si="137"/>
        <v>0</v>
      </c>
      <c r="O125" s="15">
        <f t="shared" si="137"/>
        <v>0</v>
      </c>
      <c r="P125" s="643">
        <f t="shared" si="137"/>
        <v>0</v>
      </c>
      <c r="Q125" s="16">
        <f t="shared" ref="Q125" si="138">SUM(E125:P125)</f>
        <v>0</v>
      </c>
      <c r="R125" s="563">
        <f t="shared" ref="R125" si="139">IF(AND($C125="j",$D125&gt;=1,$D125&lt;=3),$B125,IF(AND($C125="h",$D125&gt;=1,$D125&lt;=3),$B125,IF(AND($C125="q",$D125&gt;=1,$D125&lt;=3),$B125,IF($C125="z",IF($D125=1,2*$B125,$B125),IF($C125="m",3*$B125,0)))))</f>
        <v>0</v>
      </c>
      <c r="S125" s="15">
        <f t="shared" ref="S125" si="140">IF(AND($C125="j",$D125&gt;=4,$D125&lt;=6),$B125,IF(AND($C125="h",$D125&gt;=4,$D125&lt;=6),$B125,IF(AND($C125="q",$D125&gt;=1,$D125&lt;=3),$B125,IF($C125="z",IF($D125=2,2*$B125,$B125),IF($C125="m",3*$B125,0)))))</f>
        <v>0</v>
      </c>
      <c r="T125" s="15">
        <f t="shared" ref="T125" si="141">IF(AND($C125="j",$D125&gt;=7,$D125&lt;=9),$B125,IF(AND($C125="h",$D125&gt;=1,$D125&lt;=3),$B125,IF(AND($C125="q",$D125&gt;=1,$D125&lt;=3),$B125,IF($C125="z",IF($D125=1,2*$B125,$B125),IF($C125="m",3*$B125,0)))))</f>
        <v>0</v>
      </c>
      <c r="U125" s="643">
        <f t="shared" ref="U125" si="142">IF(AND($C125="j",$D125&gt;=10,$D125&lt;=12),$B125,IF(AND($C125="h",$D125&gt;=4,$D125&lt;=6),$B125,IF(AND($C125="q",$D125&gt;=1,$D125&lt;=3),$B125,IF($C125="z",IF($D125=2,2*$B125,$B125),IF($C125="m",3*$B125,0)))))</f>
        <v>0</v>
      </c>
      <c r="V125" s="16">
        <f t="shared" ref="V125" si="143">SUM(R125:U125)</f>
        <v>0</v>
      </c>
      <c r="W125" s="16">
        <f t="shared" ref="W125:X125" si="144">IF($C125="j",$B125,IF($C125="h",2*$B125,IF($C125="q",4*$B125,IF($C125="z",6*$B125,12*$B125))))</f>
        <v>0</v>
      </c>
      <c r="X125" s="17">
        <f t="shared" si="144"/>
        <v>0</v>
      </c>
      <c r="Z125" s="573">
        <f>((Q125+V125+W125+X125)/4)/12</f>
        <v>0</v>
      </c>
    </row>
    <row r="126" spans="1:26" ht="7.5" customHeight="1" thickTop="1" thickBot="1" x14ac:dyDescent="0.3">
      <c r="A126" s="101"/>
      <c r="B126" s="102"/>
      <c r="C126" s="103"/>
      <c r="D126" s="104"/>
      <c r="E126" s="27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9"/>
      <c r="Q126" s="33"/>
      <c r="R126" s="31"/>
      <c r="S126" s="28"/>
      <c r="T126" s="28"/>
      <c r="U126" s="29"/>
      <c r="V126" s="33"/>
      <c r="W126" s="33"/>
      <c r="X126" s="34"/>
      <c r="Z126" s="569"/>
    </row>
    <row r="127" spans="1:26" s="621" customFormat="1" ht="18.75" customHeight="1" thickBot="1" x14ac:dyDescent="0.3">
      <c r="A127" s="570" t="s">
        <v>50</v>
      </c>
      <c r="B127" s="571">
        <f>Z127</f>
        <v>0</v>
      </c>
      <c r="D127" s="622"/>
      <c r="E127" s="623">
        <f t="shared" ref="E127:X127" si="145">SUM(E124:E126)</f>
        <v>0</v>
      </c>
      <c r="F127" s="547">
        <f t="shared" si="145"/>
        <v>0</v>
      </c>
      <c r="G127" s="547">
        <f t="shared" si="145"/>
        <v>0</v>
      </c>
      <c r="H127" s="547">
        <f t="shared" si="145"/>
        <v>0</v>
      </c>
      <c r="I127" s="547">
        <f t="shared" si="145"/>
        <v>0</v>
      </c>
      <c r="J127" s="547">
        <f t="shared" si="145"/>
        <v>0</v>
      </c>
      <c r="K127" s="547">
        <f t="shared" si="145"/>
        <v>0</v>
      </c>
      <c r="L127" s="547">
        <f t="shared" si="145"/>
        <v>0</v>
      </c>
      <c r="M127" s="547">
        <f t="shared" si="145"/>
        <v>0</v>
      </c>
      <c r="N127" s="547">
        <f t="shared" si="145"/>
        <v>0</v>
      </c>
      <c r="O127" s="547">
        <f t="shared" si="145"/>
        <v>0</v>
      </c>
      <c r="P127" s="36">
        <f t="shared" si="145"/>
        <v>0</v>
      </c>
      <c r="Q127" s="37">
        <f t="shared" si="145"/>
        <v>0</v>
      </c>
      <c r="R127" s="546">
        <f t="shared" si="145"/>
        <v>0</v>
      </c>
      <c r="S127" s="547">
        <f t="shared" si="145"/>
        <v>0</v>
      </c>
      <c r="T127" s="547">
        <f t="shared" si="145"/>
        <v>0</v>
      </c>
      <c r="U127" s="36">
        <f t="shared" si="145"/>
        <v>0</v>
      </c>
      <c r="V127" s="37">
        <f t="shared" si="145"/>
        <v>0</v>
      </c>
      <c r="W127" s="37">
        <f t="shared" si="145"/>
        <v>0</v>
      </c>
      <c r="X127" s="38">
        <f t="shared" si="145"/>
        <v>0</v>
      </c>
      <c r="Z127" s="572">
        <f>SUM(Z124:Z125)</f>
        <v>0</v>
      </c>
    </row>
    <row r="128" spans="1:26" ht="15.75" thickBot="1" x14ac:dyDescent="0.3"/>
    <row r="129" spans="1:26" ht="15" customHeight="1" x14ac:dyDescent="0.25">
      <c r="A129" s="767" t="s">
        <v>83</v>
      </c>
      <c r="B129" s="765" t="s">
        <v>19</v>
      </c>
      <c r="C129" s="765" t="s">
        <v>44</v>
      </c>
      <c r="D129" s="769" t="s">
        <v>244</v>
      </c>
      <c r="E129" s="746" t="s">
        <v>20</v>
      </c>
      <c r="F129" s="729"/>
      <c r="G129" s="729"/>
      <c r="H129" s="729"/>
      <c r="I129" s="729"/>
      <c r="J129" s="729"/>
      <c r="K129" s="729"/>
      <c r="L129" s="729"/>
      <c r="M129" s="729"/>
      <c r="N129" s="729"/>
      <c r="O129" s="729"/>
      <c r="P129" s="729"/>
      <c r="Q129" s="730" t="s">
        <v>20</v>
      </c>
      <c r="R129" s="728" t="s">
        <v>25</v>
      </c>
      <c r="S129" s="729"/>
      <c r="T129" s="729"/>
      <c r="U129" s="729"/>
      <c r="V129" s="730" t="s">
        <v>25</v>
      </c>
      <c r="W129" s="730" t="s">
        <v>26</v>
      </c>
      <c r="X129" s="732" t="s">
        <v>27</v>
      </c>
      <c r="Z129" s="775" t="s">
        <v>49</v>
      </c>
    </row>
    <row r="130" spans="1:26" ht="15.75" thickBot="1" x14ac:dyDescent="0.3">
      <c r="A130" s="768"/>
      <c r="B130" s="766"/>
      <c r="C130" s="766"/>
      <c r="D130" s="770"/>
      <c r="E130" s="1">
        <v>1</v>
      </c>
      <c r="F130" s="2">
        <v>2</v>
      </c>
      <c r="G130" s="2">
        <v>3</v>
      </c>
      <c r="H130" s="2">
        <v>4</v>
      </c>
      <c r="I130" s="2">
        <v>5</v>
      </c>
      <c r="J130" s="2">
        <v>6</v>
      </c>
      <c r="K130" s="2">
        <v>7</v>
      </c>
      <c r="L130" s="2">
        <v>8</v>
      </c>
      <c r="M130" s="2">
        <v>9</v>
      </c>
      <c r="N130" s="2">
        <v>10</v>
      </c>
      <c r="O130" s="2">
        <v>11</v>
      </c>
      <c r="P130" s="3">
        <v>12</v>
      </c>
      <c r="Q130" s="731"/>
      <c r="R130" s="4" t="s">
        <v>21</v>
      </c>
      <c r="S130" s="2" t="s">
        <v>22</v>
      </c>
      <c r="T130" s="2" t="s">
        <v>23</v>
      </c>
      <c r="U130" s="3" t="s">
        <v>24</v>
      </c>
      <c r="V130" s="731"/>
      <c r="W130" s="731"/>
      <c r="X130" s="733"/>
      <c r="Z130" s="776"/>
    </row>
    <row r="131" spans="1:26" ht="18.75" customHeight="1" thickTop="1" x14ac:dyDescent="0.25">
      <c r="A131" s="92" t="s">
        <v>134</v>
      </c>
      <c r="B131" s="18">
        <v>1500</v>
      </c>
      <c r="C131" s="19" t="s">
        <v>45</v>
      </c>
      <c r="D131" s="20" t="s">
        <v>48</v>
      </c>
      <c r="E131" s="6">
        <f t="shared" ref="E131:P132" si="146">IF(AND($C131="j",$D131=E$41),$B131,IF($C131="h",$B131*IF($D131=IF(MOD(E$41,6)=0,6,MOD(E$41,6)),1,0),IF($C131="q",$B131*IF($D131=IF(MOD(E$41,3)=0,3,MOD(E$41,3)),1,0),IF($C131="z",$B131*IF($D131=IF(MOD(E$41,2)=0,2,MOD(E$41,2)),1,0),IF($C131="m",$B131,0)))))</f>
        <v>1500</v>
      </c>
      <c r="F131" s="7">
        <f t="shared" si="146"/>
        <v>1500</v>
      </c>
      <c r="G131" s="7">
        <f t="shared" si="146"/>
        <v>1500</v>
      </c>
      <c r="H131" s="7">
        <f t="shared" si="146"/>
        <v>1500</v>
      </c>
      <c r="I131" s="7">
        <f t="shared" si="146"/>
        <v>1500</v>
      </c>
      <c r="J131" s="7">
        <f t="shared" si="146"/>
        <v>1500</v>
      </c>
      <c r="K131" s="7">
        <f t="shared" si="146"/>
        <v>1500</v>
      </c>
      <c r="L131" s="7">
        <f t="shared" si="146"/>
        <v>1500</v>
      </c>
      <c r="M131" s="7">
        <f t="shared" si="146"/>
        <v>1500</v>
      </c>
      <c r="N131" s="7">
        <f t="shared" si="146"/>
        <v>1500</v>
      </c>
      <c r="O131" s="7">
        <f t="shared" si="146"/>
        <v>1500</v>
      </c>
      <c r="P131" s="178">
        <f t="shared" si="146"/>
        <v>1500</v>
      </c>
      <c r="Q131" s="8">
        <f>SUM(E131:P131)</f>
        <v>18000</v>
      </c>
      <c r="R131" s="305">
        <f>IF(AND($C131="j",$D131&gt;=1,$D131&lt;=3),$B131,IF(AND($C131="h",$D131&gt;=1,$D131&lt;=3),$B131,IF(AND($C131="q",$D131&gt;=1,$D131&lt;=3),$B131,IF($C131="z",IF($D131=1,2*$B131,$B131),IF($C131="m",3*$B131,0)))))</f>
        <v>4500</v>
      </c>
      <c r="S131" s="7">
        <f>IF(AND($C131="j",$D131&gt;=4,$D131&lt;=6),$B131,IF(AND($C131="h",$D131&gt;=4,$D131&lt;=6),$B131,IF(AND($C131="q",$D131&gt;=1,$D131&lt;=3),$B131,IF($C131="z",IF($D131=2,2*$B131,$B131),IF($C131="m",3*$B131,0)))))</f>
        <v>4500</v>
      </c>
      <c r="T131" s="7">
        <f>IF(AND($C131="j",$D131&gt;=7,$D131&lt;=9),$B131,IF(AND($C131="h",$D131&gt;=1,$D131&lt;=3),$B131,IF(AND($C131="q",$D131&gt;=1,$D131&lt;=3),$B131,IF($C131="z",IF($D131=1,2*$B131,$B131),IF($C131="m",3*$B131,0)))))</f>
        <v>4500</v>
      </c>
      <c r="U131" s="178">
        <f>IF(AND($C131="j",$D131&gt;=10,$D131&lt;=12),$B131,IF(AND($C131="h",$D131&gt;=4,$D131&lt;=6),$B131,IF(AND($C131="q",$D131&gt;=1,$D131&lt;=3),$B131,IF($C131="z",IF($D131=2,2*$B131,$B131),IF($C131="m",3*$B131,0)))))</f>
        <v>4500</v>
      </c>
      <c r="V131" s="8">
        <v>0</v>
      </c>
      <c r="W131" s="8">
        <v>0</v>
      </c>
      <c r="X131" s="9">
        <v>0</v>
      </c>
      <c r="Z131" s="567">
        <f>((Q131+V131+W131+X131)/4)/12</f>
        <v>375</v>
      </c>
    </row>
    <row r="132" spans="1:26" ht="18.75" customHeight="1" thickBot="1" x14ac:dyDescent="0.3">
      <c r="A132" s="97"/>
      <c r="B132" s="98"/>
      <c r="C132" s="99"/>
      <c r="D132" s="100"/>
      <c r="E132" s="14">
        <f t="shared" si="146"/>
        <v>0</v>
      </c>
      <c r="F132" s="15">
        <f t="shared" si="146"/>
        <v>0</v>
      </c>
      <c r="G132" s="15">
        <f t="shared" si="146"/>
        <v>0</v>
      </c>
      <c r="H132" s="15">
        <f t="shared" si="146"/>
        <v>0</v>
      </c>
      <c r="I132" s="15">
        <f t="shared" si="146"/>
        <v>0</v>
      </c>
      <c r="J132" s="15">
        <f t="shared" si="146"/>
        <v>0</v>
      </c>
      <c r="K132" s="15">
        <f t="shared" si="146"/>
        <v>0</v>
      </c>
      <c r="L132" s="15">
        <f t="shared" si="146"/>
        <v>0</v>
      </c>
      <c r="M132" s="15">
        <f t="shared" si="146"/>
        <v>0</v>
      </c>
      <c r="N132" s="15">
        <f t="shared" si="146"/>
        <v>0</v>
      </c>
      <c r="O132" s="15">
        <f t="shared" si="146"/>
        <v>0</v>
      </c>
      <c r="P132" s="643">
        <f t="shared" si="146"/>
        <v>0</v>
      </c>
      <c r="Q132" s="16">
        <f t="shared" ref="Q132" si="147">SUM(E132:P132)</f>
        <v>0</v>
      </c>
      <c r="R132" s="563">
        <f t="shared" ref="R132" si="148">IF(AND($C132="j",$D132&gt;=1,$D132&lt;=3),$B132,IF(AND($C132="h",$D132&gt;=1,$D132&lt;=3),$B132,IF(AND($C132="q",$D132&gt;=1,$D132&lt;=3),$B132,IF($C132="z",IF($D132=1,2*$B132,$B132),IF($C132="m",3*$B132,0)))))</f>
        <v>0</v>
      </c>
      <c r="S132" s="15">
        <f t="shared" ref="S132" si="149">IF(AND($C132="j",$D132&gt;=4,$D132&lt;=6),$B132,IF(AND($C132="h",$D132&gt;=4,$D132&lt;=6),$B132,IF(AND($C132="q",$D132&gt;=1,$D132&lt;=3),$B132,IF($C132="z",IF($D132=2,2*$B132,$B132),IF($C132="m",3*$B132,0)))))</f>
        <v>0</v>
      </c>
      <c r="T132" s="15">
        <f t="shared" ref="T132" si="150">IF(AND($C132="j",$D132&gt;=7,$D132&lt;=9),$B132,IF(AND($C132="h",$D132&gt;=1,$D132&lt;=3),$B132,IF(AND($C132="q",$D132&gt;=1,$D132&lt;=3),$B132,IF($C132="z",IF($D132=1,2*$B132,$B132),IF($C132="m",3*$B132,0)))))</f>
        <v>0</v>
      </c>
      <c r="U132" s="643">
        <f t="shared" ref="U132" si="151">IF(AND($C132="j",$D132&gt;=10,$D132&lt;=12),$B132,IF(AND($C132="h",$D132&gt;=4,$D132&lt;=6),$B132,IF(AND($C132="q",$D132&gt;=1,$D132&lt;=3),$B132,IF($C132="z",IF($D132=2,2*$B132,$B132),IF($C132="m",3*$B132,0)))))</f>
        <v>0</v>
      </c>
      <c r="V132" s="16">
        <f t="shared" ref="V132" si="152">SUM(R132:U132)</f>
        <v>0</v>
      </c>
      <c r="W132" s="16">
        <f t="shared" ref="W132:X132" si="153">IF($C132="j",$B132,IF($C132="h",2*$B132,IF($C132="q",4*$B132,IF($C132="z",6*$B132,12*$B132))))</f>
        <v>0</v>
      </c>
      <c r="X132" s="17">
        <f t="shared" si="153"/>
        <v>0</v>
      </c>
      <c r="Z132" s="573">
        <f>((Q132+V132+W132+X132)/4)/12</f>
        <v>0</v>
      </c>
    </row>
    <row r="133" spans="1:26" ht="7.5" customHeight="1" thickTop="1" thickBot="1" x14ac:dyDescent="0.3">
      <c r="A133" s="101"/>
      <c r="B133" s="102"/>
      <c r="C133" s="103"/>
      <c r="D133" s="104"/>
      <c r="E133" s="27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9"/>
      <c r="Q133" s="33"/>
      <c r="R133" s="31"/>
      <c r="S133" s="28"/>
      <c r="T133" s="28"/>
      <c r="U133" s="29"/>
      <c r="V133" s="33"/>
      <c r="W133" s="33"/>
      <c r="X133" s="34"/>
      <c r="Z133" s="569"/>
    </row>
    <row r="134" spans="1:26" s="621" customFormat="1" ht="18.75" customHeight="1" thickBot="1" x14ac:dyDescent="0.3">
      <c r="A134" s="570" t="s">
        <v>50</v>
      </c>
      <c r="B134" s="571">
        <f>Z134</f>
        <v>375</v>
      </c>
      <c r="D134" s="622"/>
      <c r="E134" s="623">
        <f>SUM(E131:E133)</f>
        <v>1500</v>
      </c>
      <c r="F134" s="547">
        <f t="shared" ref="F134:X134" si="154">SUM(F131:F133)</f>
        <v>1500</v>
      </c>
      <c r="G134" s="547">
        <f t="shared" si="154"/>
        <v>1500</v>
      </c>
      <c r="H134" s="547">
        <f t="shared" si="154"/>
        <v>1500</v>
      </c>
      <c r="I134" s="547">
        <f t="shared" si="154"/>
        <v>1500</v>
      </c>
      <c r="J134" s="547">
        <f t="shared" si="154"/>
        <v>1500</v>
      </c>
      <c r="K134" s="547">
        <f t="shared" si="154"/>
        <v>1500</v>
      </c>
      <c r="L134" s="547">
        <f t="shared" si="154"/>
        <v>1500</v>
      </c>
      <c r="M134" s="547">
        <f t="shared" si="154"/>
        <v>1500</v>
      </c>
      <c r="N134" s="547">
        <f t="shared" si="154"/>
        <v>1500</v>
      </c>
      <c r="O134" s="547">
        <f t="shared" si="154"/>
        <v>1500</v>
      </c>
      <c r="P134" s="36">
        <f t="shared" si="154"/>
        <v>1500</v>
      </c>
      <c r="Q134" s="37">
        <f t="shared" si="154"/>
        <v>18000</v>
      </c>
      <c r="R134" s="546">
        <f t="shared" si="154"/>
        <v>4500</v>
      </c>
      <c r="S134" s="547">
        <f t="shared" si="154"/>
        <v>4500</v>
      </c>
      <c r="T134" s="547">
        <f t="shared" si="154"/>
        <v>4500</v>
      </c>
      <c r="U134" s="36">
        <f t="shared" si="154"/>
        <v>4500</v>
      </c>
      <c r="V134" s="37">
        <f t="shared" si="154"/>
        <v>0</v>
      </c>
      <c r="W134" s="37">
        <f t="shared" si="154"/>
        <v>0</v>
      </c>
      <c r="X134" s="38">
        <f t="shared" si="154"/>
        <v>0</v>
      </c>
      <c r="Z134" s="572">
        <f>SUM(Z131:Z132)</f>
        <v>375</v>
      </c>
    </row>
    <row r="135" spans="1:26" ht="15.75" thickBot="1" x14ac:dyDescent="0.3"/>
    <row r="136" spans="1:26" ht="15" customHeight="1" x14ac:dyDescent="0.25">
      <c r="A136" s="767" t="s">
        <v>84</v>
      </c>
      <c r="B136" s="765" t="s">
        <v>19</v>
      </c>
      <c r="C136" s="765" t="s">
        <v>44</v>
      </c>
      <c r="D136" s="769" t="s">
        <v>244</v>
      </c>
      <c r="E136" s="746" t="s">
        <v>20</v>
      </c>
      <c r="F136" s="729"/>
      <c r="G136" s="729"/>
      <c r="H136" s="729"/>
      <c r="I136" s="729"/>
      <c r="J136" s="729"/>
      <c r="K136" s="729"/>
      <c r="L136" s="729"/>
      <c r="M136" s="729"/>
      <c r="N136" s="729"/>
      <c r="O136" s="729"/>
      <c r="P136" s="729"/>
      <c r="Q136" s="730" t="s">
        <v>20</v>
      </c>
      <c r="R136" s="728" t="s">
        <v>25</v>
      </c>
      <c r="S136" s="729"/>
      <c r="T136" s="729"/>
      <c r="U136" s="729"/>
      <c r="V136" s="730" t="s">
        <v>25</v>
      </c>
      <c r="W136" s="730" t="s">
        <v>26</v>
      </c>
      <c r="X136" s="732" t="s">
        <v>27</v>
      </c>
      <c r="Z136" s="775" t="s">
        <v>49</v>
      </c>
    </row>
    <row r="137" spans="1:26" ht="15.75" thickBot="1" x14ac:dyDescent="0.3">
      <c r="A137" s="768"/>
      <c r="B137" s="766"/>
      <c r="C137" s="766"/>
      <c r="D137" s="770"/>
      <c r="E137" s="1">
        <v>1</v>
      </c>
      <c r="F137" s="2">
        <v>2</v>
      </c>
      <c r="G137" s="2">
        <v>3</v>
      </c>
      <c r="H137" s="2">
        <v>4</v>
      </c>
      <c r="I137" s="2">
        <v>5</v>
      </c>
      <c r="J137" s="2">
        <v>6</v>
      </c>
      <c r="K137" s="2">
        <v>7</v>
      </c>
      <c r="L137" s="2">
        <v>8</v>
      </c>
      <c r="M137" s="2">
        <v>9</v>
      </c>
      <c r="N137" s="2">
        <v>10</v>
      </c>
      <c r="O137" s="2">
        <v>11</v>
      </c>
      <c r="P137" s="3">
        <v>12</v>
      </c>
      <c r="Q137" s="731"/>
      <c r="R137" s="4" t="s">
        <v>21</v>
      </c>
      <c r="S137" s="2" t="s">
        <v>22</v>
      </c>
      <c r="T137" s="2" t="s">
        <v>23</v>
      </c>
      <c r="U137" s="3" t="s">
        <v>24</v>
      </c>
      <c r="V137" s="731"/>
      <c r="W137" s="731"/>
      <c r="X137" s="733"/>
      <c r="Z137" s="776"/>
    </row>
    <row r="138" spans="1:26" ht="18.75" customHeight="1" thickTop="1" x14ac:dyDescent="0.25">
      <c r="A138" s="92" t="s">
        <v>146</v>
      </c>
      <c r="B138" s="18">
        <v>50</v>
      </c>
      <c r="C138" s="19" t="s">
        <v>121</v>
      </c>
      <c r="D138" s="20">
        <v>1</v>
      </c>
      <c r="E138" s="6">
        <f>IF(AND($C138="j",$D138=E$41),$B138,IF($C138="h",$B138*IF($D138=IF(MOD(E$41,6)=0,6,MOD(E$41,6)),1,0),IF($C138="q",$B138*IF($D138=IF(MOD(E$41,3)=0,3,MOD(E$41,3)),1,0),IF($C138="z",$B138*IF($D138=IF(MOD(E$41,2)=0,2,MOD(E$41,2)),1,0),IF($C138="m",$B138,0)))))</f>
        <v>50</v>
      </c>
      <c r="F138" s="7">
        <f t="shared" ref="F138:P139" si="155">IF(AND($C138="j",$D138=F$41),$B138,IF($C138="h",$B138*IF($D138=IF(MOD(F$41,6)=0,6,MOD(F$41,6)),1,0),IF($C138="q",$B138*IF($D138=IF(MOD(F$41,3)=0,3,MOD(F$41,3)),1,0),IF($C138="z",$B138*IF($D138=IF(MOD(F$41,2)=0,2,MOD(F$41,2)),1,0),IF($C138="m",$B138,0)))))</f>
        <v>0</v>
      </c>
      <c r="G138" s="7">
        <f t="shared" si="155"/>
        <v>0</v>
      </c>
      <c r="H138" s="7">
        <f t="shared" si="155"/>
        <v>50</v>
      </c>
      <c r="I138" s="7">
        <f t="shared" si="155"/>
        <v>0</v>
      </c>
      <c r="J138" s="7">
        <f t="shared" si="155"/>
        <v>0</v>
      </c>
      <c r="K138" s="7">
        <f t="shared" si="155"/>
        <v>50</v>
      </c>
      <c r="L138" s="7">
        <f t="shared" si="155"/>
        <v>0</v>
      </c>
      <c r="M138" s="7">
        <f t="shared" si="155"/>
        <v>0</v>
      </c>
      <c r="N138" s="7">
        <f t="shared" si="155"/>
        <v>50</v>
      </c>
      <c r="O138" s="7">
        <f t="shared" si="155"/>
        <v>0</v>
      </c>
      <c r="P138" s="178">
        <f t="shared" si="155"/>
        <v>0</v>
      </c>
      <c r="Q138" s="8">
        <f>SUM(E138:P138)</f>
        <v>200</v>
      </c>
      <c r="R138" s="305">
        <f>IF(AND($C138="j",$D138&gt;=1,$D138&lt;=3),$B138,IF(AND($C138="h",$D138&gt;=1,$D138&lt;=3),$B138,IF(AND($C138="q",$D138&gt;=1,$D138&lt;=3),$B138,IF($C138="z",IF($D138=1,2*$B138,$B138),IF($C138="m",3*$B138,0)))))</f>
        <v>50</v>
      </c>
      <c r="S138" s="7">
        <f>IF(AND($C138="j",$D138&gt;=4,$D138&lt;=6),$B138,IF(AND($C138="h",$D138&gt;=4,$D138&lt;=6),$B138,IF(AND($C138="q",$D138&gt;=1,$D138&lt;=3),$B138,IF($C138="z",IF($D138=2,2*$B138,$B138),IF($C138="m",3*$B138,0)))))</f>
        <v>50</v>
      </c>
      <c r="T138" s="7">
        <f>IF(AND($C138="j",$D138&gt;=7,$D138&lt;=9),$B138,IF(AND($C138="h",$D138&gt;=1,$D138&lt;=3),$B138,IF(AND($C138="q",$D138&gt;=1,$D138&lt;=3),$B138,IF($C138="z",IF($D138=1,2*$B138,$B138),IF($C138="m",3*$B138,0)))))</f>
        <v>50</v>
      </c>
      <c r="U138" s="178">
        <f>IF(AND($C138="j",$D138&gt;=10,$D138&lt;=12),$B138,IF(AND($C138="h",$D138&gt;=4,$D138&lt;=6),$B138,IF(AND($C138="q",$D138&gt;=1,$D138&lt;=3),$B138,IF($C138="z",IF($D138=2,2*$B138,$B138),IF($C138="m",3*$B138,0)))))</f>
        <v>50</v>
      </c>
      <c r="V138" s="8">
        <f>SUM(R138:U138)</f>
        <v>200</v>
      </c>
      <c r="W138" s="8">
        <f>IF($C138="j",$B138,IF($C138="h",2*$B138,IF($C138="q",4*$B138,IF($C138="z",6*$B138,12*$B138))))</f>
        <v>200</v>
      </c>
      <c r="X138" s="9">
        <f>IF($C138="j",$B138,IF($C138="h",2*$B138,IF($C138="q",4*$B138,IF($C138="z",6*$B138,12*$B138))))</f>
        <v>200</v>
      </c>
      <c r="Z138" s="567">
        <f>((Q138+V138+W138+X138)/4)/12</f>
        <v>16.666666666666668</v>
      </c>
    </row>
    <row r="139" spans="1:26" ht="18.75" customHeight="1" thickBot="1" x14ac:dyDescent="0.3">
      <c r="A139" s="97"/>
      <c r="B139" s="98"/>
      <c r="C139" s="99"/>
      <c r="D139" s="100"/>
      <c r="E139" s="14">
        <f t="shared" ref="E139" si="156">IF(AND($C139="j",$D139=E$41),$B139,IF($C139="h",$B139*IF($D139=IF(MOD(E$41,6)=0,6,MOD(E$41,6)),1,0),IF($C139="q",$B139*IF($D139=IF(MOD(E$41,3)=0,3,MOD(E$41,3)),1,0),IF($C139="z",$B139*IF($D139=IF(MOD(E$41,2)=0,2,MOD(E$41,2)),1,0),IF($C139="m",$B139,0)))))</f>
        <v>0</v>
      </c>
      <c r="F139" s="15">
        <f t="shared" si="155"/>
        <v>0</v>
      </c>
      <c r="G139" s="15">
        <f t="shared" si="155"/>
        <v>0</v>
      </c>
      <c r="H139" s="15">
        <f t="shared" si="155"/>
        <v>0</v>
      </c>
      <c r="I139" s="15">
        <f t="shared" si="155"/>
        <v>0</v>
      </c>
      <c r="J139" s="15">
        <f t="shared" si="155"/>
        <v>0</v>
      </c>
      <c r="K139" s="15">
        <f t="shared" si="155"/>
        <v>0</v>
      </c>
      <c r="L139" s="15">
        <f t="shared" si="155"/>
        <v>0</v>
      </c>
      <c r="M139" s="15">
        <f t="shared" si="155"/>
        <v>0</v>
      </c>
      <c r="N139" s="15">
        <f t="shared" si="155"/>
        <v>0</v>
      </c>
      <c r="O139" s="15">
        <f t="shared" si="155"/>
        <v>0</v>
      </c>
      <c r="P139" s="643">
        <f t="shared" si="155"/>
        <v>0</v>
      </c>
      <c r="Q139" s="16">
        <f t="shared" ref="Q139" si="157">SUM(E139:P139)</f>
        <v>0</v>
      </c>
      <c r="R139" s="563">
        <f t="shared" ref="R139" si="158">IF(AND($C139="j",$D139&gt;=1,$D139&lt;=3),$B139,IF(AND($C139="h",$D139&gt;=1,$D139&lt;=3),$B139,IF(AND($C139="q",$D139&gt;=1,$D139&lt;=3),$B139,IF($C139="z",IF($D139=1,2*$B139,$B139),IF($C139="m",3*$B139,0)))))</f>
        <v>0</v>
      </c>
      <c r="S139" s="15">
        <f t="shared" ref="S139" si="159">IF(AND($C139="j",$D139&gt;=4,$D139&lt;=6),$B139,IF(AND($C139="h",$D139&gt;=4,$D139&lt;=6),$B139,IF(AND($C139="q",$D139&gt;=1,$D139&lt;=3),$B139,IF($C139="z",IF($D139=2,2*$B139,$B139),IF($C139="m",3*$B139,0)))))</f>
        <v>0</v>
      </c>
      <c r="T139" s="15">
        <f t="shared" ref="T139" si="160">IF(AND($C139="j",$D139&gt;=7,$D139&lt;=9),$B139,IF(AND($C139="h",$D139&gt;=1,$D139&lt;=3),$B139,IF(AND($C139="q",$D139&gt;=1,$D139&lt;=3),$B139,IF($C139="z",IF($D139=1,2*$B139,$B139),IF($C139="m",3*$B139,0)))))</f>
        <v>0</v>
      </c>
      <c r="U139" s="643">
        <f t="shared" ref="U139" si="161">IF(AND($C139="j",$D139&gt;=10,$D139&lt;=12),$B139,IF(AND($C139="h",$D139&gt;=4,$D139&lt;=6),$B139,IF(AND($C139="q",$D139&gt;=1,$D139&lt;=3),$B139,IF($C139="z",IF($D139=2,2*$B139,$B139),IF($C139="m",3*$B139,0)))))</f>
        <v>0</v>
      </c>
      <c r="V139" s="16">
        <f t="shared" ref="V139" si="162">SUM(R139:U139)</f>
        <v>0</v>
      </c>
      <c r="W139" s="16">
        <f t="shared" ref="W139:X139" si="163">IF($C139="j",$B139,IF($C139="h",2*$B139,IF($C139="q",4*$B139,IF($C139="z",6*$B139,12*$B139))))</f>
        <v>0</v>
      </c>
      <c r="X139" s="17">
        <f t="shared" si="163"/>
        <v>0</v>
      </c>
      <c r="Z139" s="573">
        <f>((Q139+V139+W139+X139)/4)/12</f>
        <v>0</v>
      </c>
    </row>
    <row r="140" spans="1:26" ht="7.5" customHeight="1" thickTop="1" thickBot="1" x14ac:dyDescent="0.3">
      <c r="A140" s="101"/>
      <c r="B140" s="102"/>
      <c r="C140" s="103"/>
      <c r="D140" s="104"/>
      <c r="E140" s="27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3"/>
      <c r="R140" s="31"/>
      <c r="S140" s="28"/>
      <c r="T140" s="28"/>
      <c r="U140" s="29"/>
      <c r="V140" s="33"/>
      <c r="W140" s="33"/>
      <c r="X140" s="34"/>
      <c r="Z140" s="569"/>
    </row>
    <row r="141" spans="1:26" s="621" customFormat="1" ht="18.75" customHeight="1" thickBot="1" x14ac:dyDescent="0.3">
      <c r="A141" s="570" t="s">
        <v>50</v>
      </c>
      <c r="B141" s="571">
        <f>Z141</f>
        <v>16.666666666666668</v>
      </c>
      <c r="D141" s="622"/>
      <c r="E141" s="623">
        <f>SUM(E138:E140)</f>
        <v>50</v>
      </c>
      <c r="F141" s="547">
        <f t="shared" ref="F141:X141" si="164">SUM(F138:F140)</f>
        <v>0</v>
      </c>
      <c r="G141" s="547">
        <f t="shared" si="164"/>
        <v>0</v>
      </c>
      <c r="H141" s="547">
        <f t="shared" si="164"/>
        <v>50</v>
      </c>
      <c r="I141" s="547">
        <f t="shared" si="164"/>
        <v>0</v>
      </c>
      <c r="J141" s="547">
        <f t="shared" si="164"/>
        <v>0</v>
      </c>
      <c r="K141" s="547">
        <f t="shared" si="164"/>
        <v>50</v>
      </c>
      <c r="L141" s="547">
        <f t="shared" si="164"/>
        <v>0</v>
      </c>
      <c r="M141" s="547">
        <f t="shared" si="164"/>
        <v>0</v>
      </c>
      <c r="N141" s="547">
        <f t="shared" si="164"/>
        <v>50</v>
      </c>
      <c r="O141" s="547">
        <f t="shared" si="164"/>
        <v>0</v>
      </c>
      <c r="P141" s="36">
        <f t="shared" si="164"/>
        <v>0</v>
      </c>
      <c r="Q141" s="37">
        <f t="shared" si="164"/>
        <v>200</v>
      </c>
      <c r="R141" s="546">
        <f t="shared" si="164"/>
        <v>50</v>
      </c>
      <c r="S141" s="547">
        <f t="shared" si="164"/>
        <v>50</v>
      </c>
      <c r="T141" s="547">
        <f t="shared" si="164"/>
        <v>50</v>
      </c>
      <c r="U141" s="36">
        <f t="shared" si="164"/>
        <v>50</v>
      </c>
      <c r="V141" s="37">
        <f t="shared" si="164"/>
        <v>200</v>
      </c>
      <c r="W141" s="37">
        <f t="shared" si="164"/>
        <v>200</v>
      </c>
      <c r="X141" s="38">
        <f t="shared" si="164"/>
        <v>200</v>
      </c>
      <c r="Z141" s="572">
        <f>SUM(Z138:Z139)</f>
        <v>16.666666666666668</v>
      </c>
    </row>
    <row r="142" spans="1:26" ht="15.75" thickBot="1" x14ac:dyDescent="0.3"/>
    <row r="143" spans="1:26" ht="15" customHeight="1" x14ac:dyDescent="0.25">
      <c r="A143" s="767" t="s">
        <v>85</v>
      </c>
      <c r="B143" s="765" t="s">
        <v>19</v>
      </c>
      <c r="C143" s="765" t="s">
        <v>44</v>
      </c>
      <c r="D143" s="769" t="s">
        <v>244</v>
      </c>
      <c r="E143" s="746" t="s">
        <v>20</v>
      </c>
      <c r="F143" s="729"/>
      <c r="G143" s="729"/>
      <c r="H143" s="729"/>
      <c r="I143" s="729"/>
      <c r="J143" s="729"/>
      <c r="K143" s="729"/>
      <c r="L143" s="729"/>
      <c r="M143" s="729"/>
      <c r="N143" s="729"/>
      <c r="O143" s="729"/>
      <c r="P143" s="729"/>
      <c r="Q143" s="730" t="s">
        <v>20</v>
      </c>
      <c r="R143" s="728" t="s">
        <v>25</v>
      </c>
      <c r="S143" s="729"/>
      <c r="T143" s="729"/>
      <c r="U143" s="729"/>
      <c r="V143" s="730" t="s">
        <v>25</v>
      </c>
      <c r="W143" s="730" t="s">
        <v>26</v>
      </c>
      <c r="X143" s="732" t="s">
        <v>27</v>
      </c>
      <c r="Z143" s="775" t="s">
        <v>49</v>
      </c>
    </row>
    <row r="144" spans="1:26" ht="15.75" thickBot="1" x14ac:dyDescent="0.3">
      <c r="A144" s="768"/>
      <c r="B144" s="766"/>
      <c r="C144" s="766"/>
      <c r="D144" s="770"/>
      <c r="E144" s="1">
        <v>1</v>
      </c>
      <c r="F144" s="2">
        <v>2</v>
      </c>
      <c r="G144" s="2">
        <v>3</v>
      </c>
      <c r="H144" s="2">
        <v>4</v>
      </c>
      <c r="I144" s="2">
        <v>5</v>
      </c>
      <c r="J144" s="2">
        <v>6</v>
      </c>
      <c r="K144" s="2">
        <v>7</v>
      </c>
      <c r="L144" s="2">
        <v>8</v>
      </c>
      <c r="M144" s="2">
        <v>9</v>
      </c>
      <c r="N144" s="2">
        <v>10</v>
      </c>
      <c r="O144" s="2">
        <v>11</v>
      </c>
      <c r="P144" s="3">
        <v>12</v>
      </c>
      <c r="Q144" s="731"/>
      <c r="R144" s="4" t="s">
        <v>21</v>
      </c>
      <c r="S144" s="2" t="s">
        <v>22</v>
      </c>
      <c r="T144" s="2" t="s">
        <v>23</v>
      </c>
      <c r="U144" s="3" t="s">
        <v>24</v>
      </c>
      <c r="V144" s="731"/>
      <c r="W144" s="731"/>
      <c r="X144" s="733"/>
      <c r="Z144" s="776"/>
    </row>
    <row r="145" spans="1:26" ht="18.75" customHeight="1" thickTop="1" x14ac:dyDescent="0.25">
      <c r="A145" s="92" t="s">
        <v>139</v>
      </c>
      <c r="B145" s="18">
        <v>5000</v>
      </c>
      <c r="C145" s="19" t="s">
        <v>47</v>
      </c>
      <c r="D145" s="20">
        <v>5</v>
      </c>
      <c r="E145" s="6">
        <f>IF(AND($C145="j",$D145=E$41),$B145,IF($C145="h",$B145*IF($D145=IF(MOD(E$41,6)=0,6,MOD(E$41,6)),1,0),IF($C145="q",$B145*IF($D145=IF(MOD(E$41,3)=0,3,MOD(E$41,3)),1,0),IF($C145="z",$B145*IF($D145=IF(MOD(E$41,2)=0,2,MOD(E$41,2)),1,0),IF($C145="m",$B145,0)))))</f>
        <v>0</v>
      </c>
      <c r="F145" s="7">
        <f t="shared" ref="F145:P147" si="165">IF(AND($C145="j",$D145=F$41),$B145,IF($C145="h",$B145*IF($D145=IF(MOD(F$41,6)=0,6,MOD(F$41,6)),1,0),IF($C145="q",$B145*IF($D145=IF(MOD(F$41,3)=0,3,MOD(F$41,3)),1,0),IF($C145="z",$B145*IF($D145=IF(MOD(F$41,2)=0,2,MOD(F$41,2)),1,0),IF($C145="m",$B145,0)))))</f>
        <v>0</v>
      </c>
      <c r="G145" s="7">
        <f t="shared" si="165"/>
        <v>0</v>
      </c>
      <c r="H145" s="7">
        <f t="shared" si="165"/>
        <v>0</v>
      </c>
      <c r="I145" s="7">
        <f t="shared" si="165"/>
        <v>5000</v>
      </c>
      <c r="J145" s="7">
        <f t="shared" si="165"/>
        <v>0</v>
      </c>
      <c r="K145" s="7">
        <f t="shared" si="165"/>
        <v>0</v>
      </c>
      <c r="L145" s="7">
        <f t="shared" si="165"/>
        <v>0</v>
      </c>
      <c r="M145" s="7">
        <f t="shared" si="165"/>
        <v>0</v>
      </c>
      <c r="N145" s="7">
        <f t="shared" si="165"/>
        <v>0</v>
      </c>
      <c r="O145" s="7">
        <f t="shared" si="165"/>
        <v>0</v>
      </c>
      <c r="P145" s="178">
        <f t="shared" si="165"/>
        <v>0</v>
      </c>
      <c r="Q145" s="8">
        <f>SUM(E145:P145)</f>
        <v>5000</v>
      </c>
      <c r="R145" s="305">
        <f>IF(AND($C145="j",$D145&gt;=1,$D145&lt;=3),$B145,IF(AND($C145="h",$D145&gt;=1,$D145&lt;=3),$B145,IF(AND($C145="q",$D145&gt;=1,$D145&lt;=3),$B145,IF($C145="z",IF($D145=1,2*$B145,$B145),IF($C145="m",3*$B145,0)))))</f>
        <v>0</v>
      </c>
      <c r="S145" s="7">
        <f>IF(AND($C145="j",$D145&gt;=4,$D145&lt;=6),$B145,IF(AND($C145="h",$D145&gt;=4,$D145&lt;=6),$B145,IF(AND($C145="q",$D145&gt;=1,$D145&lt;=3),$B145,IF($C145="z",IF($D145=2,2*$B145,$B145),IF($C145="m",3*$B145,0)))))</f>
        <v>5000</v>
      </c>
      <c r="T145" s="7">
        <f>IF(AND($C145="j",$D145&gt;=7,$D145&lt;=9),$B145,IF(AND($C145="h",$D145&gt;=1,$D145&lt;=3),$B145,IF(AND($C145="q",$D145&gt;=1,$D145&lt;=3),$B145,IF($C145="z",IF($D145=1,2*$B145,$B145),IF($C145="m",3*$B145,0)))))</f>
        <v>0</v>
      </c>
      <c r="U145" s="178">
        <f>IF(AND($C145="j",$D145&gt;=10,$D145&lt;=12),$B145,IF(AND($C145="h",$D145&gt;=4,$D145&lt;=6),$B145,IF(AND($C145="q",$D145&gt;=1,$D145&lt;=3),$B145,IF($C145="z",IF($D145=2,2*$B145,$B145),IF($C145="m",3*$B145,0)))))</f>
        <v>0</v>
      </c>
      <c r="V145" s="8">
        <f>SUM(R145:U145)</f>
        <v>5000</v>
      </c>
      <c r="W145" s="8">
        <f>IF($C145="j",$B145,IF($C145="h",2*$B145,IF($C145="q",4*$B145,IF($C145="z",6*$B145,12*$B145))))</f>
        <v>5000</v>
      </c>
      <c r="X145" s="9">
        <f>IF($C145="j",$B145,IF($C145="h",2*$B145,IF($C145="q",4*$B145,IF($C145="z",6*$B145,12*$B145))))</f>
        <v>5000</v>
      </c>
      <c r="Z145" s="567">
        <f>((Q145+V145+W145+X145)/4)/12</f>
        <v>416.66666666666669</v>
      </c>
    </row>
    <row r="146" spans="1:26" ht="18.75" customHeight="1" x14ac:dyDescent="0.25">
      <c r="A146" s="93" t="s">
        <v>140</v>
      </c>
      <c r="B146" s="94">
        <v>10000</v>
      </c>
      <c r="C146" s="95" t="s">
        <v>47</v>
      </c>
      <c r="D146" s="96">
        <v>5</v>
      </c>
      <c r="E146" s="10">
        <f t="shared" ref="E146:E147" si="166">IF(AND($C146="j",$D146=E$41),$B146,IF($C146="h",$B146*IF($D146=IF(MOD(E$41,6)=0,6,MOD(E$41,6)),1,0),IF($C146="q",$B146*IF($D146=IF(MOD(E$41,3)=0,3,MOD(E$41,3)),1,0),IF($C146="z",$B146*IF($D146=IF(MOD(E$41,2)=0,2,MOD(E$41,2)),1,0),IF($C146="m",$B146,0)))))</f>
        <v>0</v>
      </c>
      <c r="F146" s="11">
        <f t="shared" si="165"/>
        <v>0</v>
      </c>
      <c r="G146" s="11">
        <f t="shared" si="165"/>
        <v>0</v>
      </c>
      <c r="H146" s="11">
        <f t="shared" si="165"/>
        <v>0</v>
      </c>
      <c r="I146" s="11">
        <f t="shared" si="165"/>
        <v>10000</v>
      </c>
      <c r="J146" s="11">
        <f t="shared" si="165"/>
        <v>0</v>
      </c>
      <c r="K146" s="11">
        <f t="shared" si="165"/>
        <v>0</v>
      </c>
      <c r="L146" s="11">
        <f t="shared" si="165"/>
        <v>0</v>
      </c>
      <c r="M146" s="11">
        <f t="shared" si="165"/>
        <v>0</v>
      </c>
      <c r="N146" s="11">
        <f t="shared" si="165"/>
        <v>0</v>
      </c>
      <c r="O146" s="11">
        <f t="shared" si="165"/>
        <v>0</v>
      </c>
      <c r="P146" s="183">
        <f t="shared" si="165"/>
        <v>0</v>
      </c>
      <c r="Q146" s="12">
        <f t="shared" ref="Q146:Q147" si="167">SUM(E146:P146)</f>
        <v>10000</v>
      </c>
      <c r="R146" s="306">
        <f t="shared" ref="R146:R147" si="168">IF(AND($C146="j",$D146&gt;=1,$D146&lt;=3),$B146,IF(AND($C146="h",$D146&gt;=1,$D146&lt;=3),$B146,IF(AND($C146="q",$D146&gt;=1,$D146&lt;=3),$B146,IF($C146="z",IF($D146=1,2*$B146,$B146),IF($C146="m",3*$B146,0)))))</f>
        <v>0</v>
      </c>
      <c r="S146" s="11">
        <f t="shared" ref="S146:S147" si="169">IF(AND($C146="j",$D146&gt;=4,$D146&lt;=6),$B146,IF(AND($C146="h",$D146&gt;=4,$D146&lt;=6),$B146,IF(AND($C146="q",$D146&gt;=1,$D146&lt;=3),$B146,IF($C146="z",IF($D146=2,2*$B146,$B146),IF($C146="m",3*$B146,0)))))</f>
        <v>10000</v>
      </c>
      <c r="T146" s="11">
        <f t="shared" ref="T146:T147" si="170">IF(AND($C146="j",$D146&gt;=7,$D146&lt;=9),$B146,IF(AND($C146="h",$D146&gt;=1,$D146&lt;=3),$B146,IF(AND($C146="q",$D146&gt;=1,$D146&lt;=3),$B146,IF($C146="z",IF($D146=1,2*$B146,$B146),IF($C146="m",3*$B146,0)))))</f>
        <v>0</v>
      </c>
      <c r="U146" s="183">
        <f t="shared" ref="U146:U147" si="171">IF(AND($C146="j",$D146&gt;=10,$D146&lt;=12),$B146,IF(AND($C146="h",$D146&gt;=4,$D146&lt;=6),$B146,IF(AND($C146="q",$D146&gt;=1,$D146&lt;=3),$B146,IF($C146="z",IF($D146=2,2*$B146,$B146),IF($C146="m",3*$B146,0)))))</f>
        <v>0</v>
      </c>
      <c r="V146" s="12">
        <f t="shared" ref="V146:V147" si="172">SUM(R146:U146)</f>
        <v>10000</v>
      </c>
      <c r="W146" s="12">
        <f t="shared" ref="W146:X147" si="173">IF($C146="j",$B146,IF($C146="h",2*$B146,IF($C146="q",4*$B146,IF($C146="z",6*$B146,12*$B146))))</f>
        <v>10000</v>
      </c>
      <c r="X146" s="13">
        <f t="shared" si="173"/>
        <v>10000</v>
      </c>
      <c r="Z146" s="568">
        <f>((Q146+V146+W146+X146)/4)/12</f>
        <v>833.33333333333337</v>
      </c>
    </row>
    <row r="147" spans="1:26" ht="18.75" customHeight="1" thickBot="1" x14ac:dyDescent="0.3">
      <c r="A147" s="97"/>
      <c r="B147" s="98"/>
      <c r="C147" s="99"/>
      <c r="D147" s="100"/>
      <c r="E147" s="14">
        <f t="shared" si="166"/>
        <v>0</v>
      </c>
      <c r="F147" s="15">
        <f t="shared" si="165"/>
        <v>0</v>
      </c>
      <c r="G147" s="15">
        <f t="shared" si="165"/>
        <v>0</v>
      </c>
      <c r="H147" s="15">
        <f t="shared" si="165"/>
        <v>0</v>
      </c>
      <c r="I147" s="15">
        <f t="shared" si="165"/>
        <v>0</v>
      </c>
      <c r="J147" s="15">
        <f t="shared" si="165"/>
        <v>0</v>
      </c>
      <c r="K147" s="15">
        <f t="shared" si="165"/>
        <v>0</v>
      </c>
      <c r="L147" s="15">
        <f t="shared" si="165"/>
        <v>0</v>
      </c>
      <c r="M147" s="15">
        <f t="shared" si="165"/>
        <v>0</v>
      </c>
      <c r="N147" s="15">
        <f t="shared" si="165"/>
        <v>0</v>
      </c>
      <c r="O147" s="15">
        <f t="shared" si="165"/>
        <v>0</v>
      </c>
      <c r="P147" s="643">
        <f t="shared" si="165"/>
        <v>0</v>
      </c>
      <c r="Q147" s="16">
        <f t="shared" si="167"/>
        <v>0</v>
      </c>
      <c r="R147" s="563">
        <f t="shared" si="168"/>
        <v>0</v>
      </c>
      <c r="S147" s="15">
        <f t="shared" si="169"/>
        <v>0</v>
      </c>
      <c r="T147" s="15">
        <f t="shared" si="170"/>
        <v>0</v>
      </c>
      <c r="U147" s="643">
        <f t="shared" si="171"/>
        <v>0</v>
      </c>
      <c r="V147" s="16">
        <f t="shared" si="172"/>
        <v>0</v>
      </c>
      <c r="W147" s="16">
        <f t="shared" si="173"/>
        <v>0</v>
      </c>
      <c r="X147" s="17">
        <f t="shared" si="173"/>
        <v>0</v>
      </c>
      <c r="Z147" s="573">
        <f>((Q147+V147+W147+X147)/4)/12</f>
        <v>0</v>
      </c>
    </row>
    <row r="148" spans="1:26" ht="7.5" customHeight="1" thickTop="1" thickBot="1" x14ac:dyDescent="0.3">
      <c r="A148" s="101"/>
      <c r="B148" s="102"/>
      <c r="C148" s="103"/>
      <c r="D148" s="104"/>
      <c r="E148" s="27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9"/>
      <c r="Q148" s="33"/>
      <c r="R148" s="31"/>
      <c r="S148" s="28"/>
      <c r="T148" s="28"/>
      <c r="U148" s="29"/>
      <c r="V148" s="33"/>
      <c r="W148" s="33"/>
      <c r="X148" s="34"/>
      <c r="Z148" s="569"/>
    </row>
    <row r="149" spans="1:26" ht="18.75" customHeight="1" thickBot="1" x14ac:dyDescent="0.3">
      <c r="A149" s="570" t="s">
        <v>50</v>
      </c>
      <c r="B149" s="571">
        <f>Z149</f>
        <v>1250</v>
      </c>
      <c r="C149" s="621"/>
      <c r="D149" s="622"/>
      <c r="E149" s="623">
        <f>SUM(E145:E148)</f>
        <v>0</v>
      </c>
      <c r="F149" s="547">
        <f t="shared" ref="F149:L149" si="174">SUM(F145:F148)</f>
        <v>0</v>
      </c>
      <c r="G149" s="547">
        <f>SUM(G145:G148)</f>
        <v>0</v>
      </c>
      <c r="H149" s="547">
        <f t="shared" si="174"/>
        <v>0</v>
      </c>
      <c r="I149" s="547">
        <f t="shared" si="174"/>
        <v>15000</v>
      </c>
      <c r="J149" s="547">
        <f t="shared" si="174"/>
        <v>0</v>
      </c>
      <c r="K149" s="547">
        <f t="shared" si="174"/>
        <v>0</v>
      </c>
      <c r="L149" s="547">
        <f t="shared" si="174"/>
        <v>0</v>
      </c>
      <c r="M149" s="547">
        <f t="shared" ref="M149" si="175">SUM(M145:M148)</f>
        <v>0</v>
      </c>
      <c r="N149" s="547">
        <f t="shared" ref="N149" si="176">SUM(N145:N148)</f>
        <v>0</v>
      </c>
      <c r="O149" s="547">
        <f t="shared" ref="O149" si="177">SUM(O145:O148)</f>
        <v>0</v>
      </c>
      <c r="P149" s="36">
        <f t="shared" ref="P149" si="178">SUM(P145:P148)</f>
        <v>0</v>
      </c>
      <c r="Q149" s="37">
        <f t="shared" ref="Q149" si="179">SUM(Q145:Q148)</f>
        <v>15000</v>
      </c>
      <c r="R149" s="546">
        <f t="shared" ref="R149" si="180">SUM(R145:R148)</f>
        <v>0</v>
      </c>
      <c r="S149" s="547">
        <f t="shared" ref="S149" si="181">SUM(S145:S148)</f>
        <v>15000</v>
      </c>
      <c r="T149" s="547">
        <f t="shared" ref="T149" si="182">SUM(T145:T148)</f>
        <v>0</v>
      </c>
      <c r="U149" s="36">
        <f t="shared" ref="U149" si="183">SUM(U145:U148)</f>
        <v>0</v>
      </c>
      <c r="V149" s="37">
        <f t="shared" ref="V149" si="184">SUM(V145:V148)</f>
        <v>15000</v>
      </c>
      <c r="W149" s="37">
        <f t="shared" ref="W149" si="185">SUM(W145:W148)</f>
        <v>15000</v>
      </c>
      <c r="X149" s="38">
        <f t="shared" ref="X149" si="186">SUM(X145:X148)</f>
        <v>15000</v>
      </c>
      <c r="Z149" s="572">
        <f>SUM(Z145:Z147)</f>
        <v>1250</v>
      </c>
    </row>
  </sheetData>
  <sheetProtection algorithmName="SHA-512" hashValue="CtUv1lx3bFXPKz2BB7myU7LWwZtJBYMphHSLqR7eLguAOVoMoe13kTl6HHeHlBJ4ubM2Mz/+Q18wwUcBqlL/0A==" saltValue="Kk6rz8qU457Mg5qsqqhZDw==" spinCount="100000" sheet="1" objects="1" scenarios="1"/>
  <mergeCells count="196">
    <mergeCell ref="Z136:Z137"/>
    <mergeCell ref="A143:A144"/>
    <mergeCell ref="B143:B144"/>
    <mergeCell ref="C143:C144"/>
    <mergeCell ref="D143:D144"/>
    <mergeCell ref="E143:P143"/>
    <mergeCell ref="Q143:Q144"/>
    <mergeCell ref="R143:U143"/>
    <mergeCell ref="V143:V144"/>
    <mergeCell ref="W143:W144"/>
    <mergeCell ref="X143:X144"/>
    <mergeCell ref="Z143:Z144"/>
    <mergeCell ref="Q136:Q137"/>
    <mergeCell ref="R136:U136"/>
    <mergeCell ref="V136:V137"/>
    <mergeCell ref="W136:W137"/>
    <mergeCell ref="X136:X137"/>
    <mergeCell ref="A136:A137"/>
    <mergeCell ref="B136:B137"/>
    <mergeCell ref="C136:C137"/>
    <mergeCell ref="D136:D137"/>
    <mergeCell ref="E136:P136"/>
    <mergeCell ref="X129:X130"/>
    <mergeCell ref="Z129:Z130"/>
    <mergeCell ref="Q122:Q123"/>
    <mergeCell ref="R122:U122"/>
    <mergeCell ref="V122:V123"/>
    <mergeCell ref="W122:W123"/>
    <mergeCell ref="X122:X123"/>
    <mergeCell ref="A122:A123"/>
    <mergeCell ref="B122:B123"/>
    <mergeCell ref="C122:C123"/>
    <mergeCell ref="D122:D123"/>
    <mergeCell ref="E122:P122"/>
    <mergeCell ref="A129:A130"/>
    <mergeCell ref="B129:B130"/>
    <mergeCell ref="C129:C130"/>
    <mergeCell ref="D129:D130"/>
    <mergeCell ref="E129:P129"/>
    <mergeCell ref="Q129:Q130"/>
    <mergeCell ref="R129:U129"/>
    <mergeCell ref="V129:V130"/>
    <mergeCell ref="W129:W130"/>
    <mergeCell ref="Z122:Z123"/>
    <mergeCell ref="Z105:Z106"/>
    <mergeCell ref="A113:A114"/>
    <mergeCell ref="B113:B114"/>
    <mergeCell ref="C113:C114"/>
    <mergeCell ref="D113:D114"/>
    <mergeCell ref="E113:P113"/>
    <mergeCell ref="Q113:Q114"/>
    <mergeCell ref="R113:U113"/>
    <mergeCell ref="V113:V114"/>
    <mergeCell ref="W113:W114"/>
    <mergeCell ref="X113:X114"/>
    <mergeCell ref="Z113:Z114"/>
    <mergeCell ref="Q105:Q106"/>
    <mergeCell ref="R105:U105"/>
    <mergeCell ref="V105:V106"/>
    <mergeCell ref="W105:W106"/>
    <mergeCell ref="X105:X106"/>
    <mergeCell ref="A105:A106"/>
    <mergeCell ref="B105:B106"/>
    <mergeCell ref="C105:C106"/>
    <mergeCell ref="D105:D106"/>
    <mergeCell ref="E105:P105"/>
    <mergeCell ref="Z88:Z89"/>
    <mergeCell ref="A96:A97"/>
    <mergeCell ref="B96:B97"/>
    <mergeCell ref="C96:C97"/>
    <mergeCell ref="D96:D97"/>
    <mergeCell ref="E96:P96"/>
    <mergeCell ref="Q96:Q97"/>
    <mergeCell ref="R96:U96"/>
    <mergeCell ref="V96:V97"/>
    <mergeCell ref="W96:W97"/>
    <mergeCell ref="X96:X97"/>
    <mergeCell ref="Z96:Z97"/>
    <mergeCell ref="E88:P88"/>
    <mergeCell ref="Q88:Q89"/>
    <mergeCell ref="R88:U88"/>
    <mergeCell ref="V88:V89"/>
    <mergeCell ref="W88:W89"/>
    <mergeCell ref="A88:A89"/>
    <mergeCell ref="B88:B89"/>
    <mergeCell ref="C88:C89"/>
    <mergeCell ref="D88:D89"/>
    <mergeCell ref="X88:X89"/>
    <mergeCell ref="Z70:Z71"/>
    <mergeCell ref="A80:A81"/>
    <mergeCell ref="B80:B81"/>
    <mergeCell ref="C80:C81"/>
    <mergeCell ref="D80:D81"/>
    <mergeCell ref="E80:P80"/>
    <mergeCell ref="Q80:Q81"/>
    <mergeCell ref="R80:U80"/>
    <mergeCell ref="V80:V81"/>
    <mergeCell ref="W80:W81"/>
    <mergeCell ref="X80:X81"/>
    <mergeCell ref="Z80:Z81"/>
    <mergeCell ref="Q70:Q71"/>
    <mergeCell ref="R70:U70"/>
    <mergeCell ref="V70:V71"/>
    <mergeCell ref="W70:W71"/>
    <mergeCell ref="X70:X71"/>
    <mergeCell ref="A70:A71"/>
    <mergeCell ref="B70:B71"/>
    <mergeCell ref="C70:C71"/>
    <mergeCell ref="D70:D71"/>
    <mergeCell ref="E70:P70"/>
    <mergeCell ref="Z54:Z55"/>
    <mergeCell ref="A63:A64"/>
    <mergeCell ref="B63:B64"/>
    <mergeCell ref="C63:C64"/>
    <mergeCell ref="D63:D64"/>
    <mergeCell ref="E63:P63"/>
    <mergeCell ref="Q63:Q64"/>
    <mergeCell ref="R63:U63"/>
    <mergeCell ref="V63:V64"/>
    <mergeCell ref="W63:W64"/>
    <mergeCell ref="X63:X64"/>
    <mergeCell ref="Z63:Z64"/>
    <mergeCell ref="Q54:Q55"/>
    <mergeCell ref="R54:U54"/>
    <mergeCell ref="V54:V55"/>
    <mergeCell ref="W54:W55"/>
    <mergeCell ref="X54:X55"/>
    <mergeCell ref="A54:A55"/>
    <mergeCell ref="B54:B55"/>
    <mergeCell ref="C54:C55"/>
    <mergeCell ref="D54:D55"/>
    <mergeCell ref="E54:P54"/>
    <mergeCell ref="Z32:Z33"/>
    <mergeCell ref="A47:A48"/>
    <mergeCell ref="B47:B48"/>
    <mergeCell ref="C47:C48"/>
    <mergeCell ref="D47:D48"/>
    <mergeCell ref="E47:P47"/>
    <mergeCell ref="Q47:Q48"/>
    <mergeCell ref="R47:U47"/>
    <mergeCell ref="V47:V48"/>
    <mergeCell ref="W47:W48"/>
    <mergeCell ref="X47:X48"/>
    <mergeCell ref="Z47:Z48"/>
    <mergeCell ref="Q32:Q33"/>
    <mergeCell ref="R32:U32"/>
    <mergeCell ref="V32:V33"/>
    <mergeCell ref="W32:W33"/>
    <mergeCell ref="X32:X33"/>
    <mergeCell ref="Z40:Z41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9:X29"/>
    <mergeCell ref="B27:C27"/>
    <mergeCell ref="B28:C28"/>
    <mergeCell ref="B17:C17"/>
    <mergeCell ref="B12:C12"/>
    <mergeCell ref="D6:D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</mergeCells>
  <dataValidations count="3">
    <dataValidation type="list" allowBlank="1" showInputMessage="1" showErrorMessage="1" sqref="C34:C36 C56:C59 C115:C118 C98:C101 C138:C139 C145:C147 C42:C43 C49:C50 C65:C66 C124:C125 C131:C132 C107:C109 C90:C92 C82:C84 C72:C76">
      <formula1>"j,h,q,z,m"</formula1>
    </dataValidation>
    <dataValidation type="list" allowBlank="1" showInputMessage="1" showErrorMessage="1" sqref="D34:D36 D56:D59 D115:D118 D98:D101 D138:D139 D145:D147 D42:D43 D49:D50 D65:D66 D124:D125 D131:D132 D107:D109 D90:D92 D82:D84 D72:D76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53" max="23" man="1"/>
    <brk id="62" max="23" man="1"/>
    <brk id="104" max="23" man="1"/>
    <brk id="12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8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31" sqref="D31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47" t="s">
        <v>135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9"/>
    </row>
    <row r="2" spans="1:13" ht="7.5" customHeight="1" thickBot="1" x14ac:dyDescent="0.3"/>
    <row r="3" spans="1:13" ht="15" customHeight="1" x14ac:dyDescent="0.25">
      <c r="A3" s="734" t="s">
        <v>179</v>
      </c>
      <c r="B3" s="744" t="s">
        <v>181</v>
      </c>
      <c r="C3" s="744" t="s">
        <v>31</v>
      </c>
      <c r="D3" s="744" t="s">
        <v>30</v>
      </c>
      <c r="E3" s="742" t="s">
        <v>180</v>
      </c>
      <c r="F3" s="780" t="s">
        <v>20</v>
      </c>
      <c r="G3" s="781"/>
      <c r="H3" s="728" t="s">
        <v>25</v>
      </c>
      <c r="I3" s="782"/>
      <c r="J3" s="728" t="s">
        <v>26</v>
      </c>
      <c r="K3" s="782"/>
      <c r="L3" s="728" t="s">
        <v>27</v>
      </c>
      <c r="M3" s="783"/>
    </row>
    <row r="4" spans="1:13" s="5" customFormat="1" ht="15" customHeight="1" thickBot="1" x14ac:dyDescent="0.3">
      <c r="A4" s="735"/>
      <c r="B4" s="745"/>
      <c r="C4" s="745"/>
      <c r="D4" s="745"/>
      <c r="E4" s="743"/>
      <c r="F4" s="258" t="s">
        <v>136</v>
      </c>
      <c r="G4" s="259" t="s">
        <v>137</v>
      </c>
      <c r="H4" s="260" t="s">
        <v>136</v>
      </c>
      <c r="I4" s="267" t="s">
        <v>137</v>
      </c>
      <c r="J4" s="260" t="s">
        <v>136</v>
      </c>
      <c r="K4" s="267" t="s">
        <v>137</v>
      </c>
      <c r="L4" s="260" t="s">
        <v>136</v>
      </c>
      <c r="M4" s="381" t="s">
        <v>137</v>
      </c>
    </row>
    <row r="5" spans="1:13" ht="18.75" customHeight="1" outlineLevel="2" thickTop="1" x14ac:dyDescent="0.25">
      <c r="A5" s="483" t="str">
        <f t="array" ref="A5:D14">IF(Investitionsplan!A5:D15="","",Investitionsplan!A5:D15)</f>
        <v>Büroeinrichtung</v>
      </c>
      <c r="B5" s="248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2">
        <f>IF($D5&lt;=48,IF($D5&lt;=36,K5-L5,$B5-L5),0)</f>
        <v>15000</v>
      </c>
    </row>
    <row r="6" spans="1:13" ht="18.75" customHeight="1" outlineLevel="2" x14ac:dyDescent="0.25">
      <c r="A6" s="482" t="str">
        <v>Küchenausstattung</v>
      </c>
      <c r="B6" s="249">
        <v>3000</v>
      </c>
      <c r="C6" s="114">
        <v>5</v>
      </c>
      <c r="D6" s="114">
        <v>1</v>
      </c>
      <c r="E6" s="250">
        <f t="shared" ref="E6:E14" si="1">IF($D6="","",IF(OR($D6&lt;=6,AND($D6&gt;12,$D6&lt;=18),AND($D6&gt;24,$D6&lt;=30),AND($D6&gt;36,$D6&lt;=42)),1,2))</f>
        <v>1</v>
      </c>
      <c r="F6" s="10">
        <f t="shared" ref="F6:F14" si="2">IF($D6&lt;=12,$B6/$C6/$E6,0)</f>
        <v>600</v>
      </c>
      <c r="G6" s="74">
        <f t="shared" ref="G6:G14" si="3">IF($D6&lt;=12,$B6-$F6,0)</f>
        <v>2400</v>
      </c>
      <c r="H6" s="75">
        <f t="shared" ref="H6:H14" si="4">IF($D6&lt;=24,IF($D6&lt;=12,$B6/$C6,$B6/$C6/$E6),0)</f>
        <v>600</v>
      </c>
      <c r="I6" s="77">
        <f t="shared" ref="I6:I14" si="5">IF($D6&lt;=24,IF($D6&lt;=12,G6-H6,$B6-H6),0)</f>
        <v>1800</v>
      </c>
      <c r="J6" s="75">
        <f t="shared" ref="J6:J14" si="6">IF($D6&lt;=36,IF($D6&lt;=24,$B6/$C6,$B6/$C6/$E6),0)</f>
        <v>600</v>
      </c>
      <c r="K6" s="77">
        <f t="shared" ref="K6:K14" si="7">IF($D6&lt;=36,IF($D6&lt;=24,I6-J6,$B6-J6),0)</f>
        <v>1200</v>
      </c>
      <c r="L6" s="75">
        <f t="shared" si="0"/>
        <v>600</v>
      </c>
      <c r="M6" s="383">
        <f t="shared" ref="M6:M14" si="8">IF($D6&lt;=48,IF($D6&lt;=36,K6-L6,$B6-L6),0)</f>
        <v>600</v>
      </c>
    </row>
    <row r="7" spans="1:13" ht="18.75" customHeight="1" outlineLevel="2" x14ac:dyDescent="0.25">
      <c r="A7" s="482" t="str">
        <v>EDV - Ausstattung (allgemein)</v>
      </c>
      <c r="B7" s="249">
        <v>10000</v>
      </c>
      <c r="C7" s="114">
        <v>4</v>
      </c>
      <c r="D7" s="114">
        <v>1</v>
      </c>
      <c r="E7" s="250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3">
        <f t="shared" si="8"/>
        <v>0</v>
      </c>
    </row>
    <row r="8" spans="1:13" ht="18.75" customHeight="1" outlineLevel="2" x14ac:dyDescent="0.25">
      <c r="A8" s="482" t="str">
        <v>EDV - Ausstattung (Gründer)</v>
      </c>
      <c r="B8" s="249">
        <v>12000</v>
      </c>
      <c r="C8" s="114">
        <v>4</v>
      </c>
      <c r="D8" s="114">
        <v>1</v>
      </c>
      <c r="E8" s="250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4" si="9">IFERROR(IF($C8*12+$D8-1&lt;=36,0,IF(IF($D8&lt;=48,IF($D8&lt;=36,$B8/$C8,$B8/$C8/$E8),0)&gt;$K8,$K8,IF($D8&lt;=48,IF($D8&lt;=36,$B8/$C8,$B8/$C8/$E8),0))),0)</f>
        <v>3000</v>
      </c>
      <c r="M8" s="383">
        <f t="shared" si="8"/>
        <v>0</v>
      </c>
    </row>
    <row r="9" spans="1:13" ht="18.75" customHeight="1" outlineLevel="2" x14ac:dyDescent="0.25">
      <c r="A9" s="482" t="str">
        <v>EDV - Ausstattung (Mitarbeiter)</v>
      </c>
      <c r="B9" s="249">
        <v>8000</v>
      </c>
      <c r="C9" s="114">
        <v>4</v>
      </c>
      <c r="D9" s="114">
        <v>1</v>
      </c>
      <c r="E9" s="250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3">
        <f t="shared" si="8"/>
        <v>0</v>
      </c>
    </row>
    <row r="10" spans="1:13" ht="18.75" customHeight="1" outlineLevel="2" x14ac:dyDescent="0.25">
      <c r="A10" s="482" t="str">
        <v>EDV - Ausstattung (Mitarbeiter)</v>
      </c>
      <c r="B10" s="249">
        <v>8000</v>
      </c>
      <c r="C10" s="114">
        <v>4</v>
      </c>
      <c r="D10" s="114">
        <v>13</v>
      </c>
      <c r="E10" s="250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2000</v>
      </c>
      <c r="I10" s="77">
        <f t="shared" si="5"/>
        <v>6000</v>
      </c>
      <c r="J10" s="75">
        <f t="shared" si="6"/>
        <v>2000</v>
      </c>
      <c r="K10" s="77">
        <f t="shared" si="7"/>
        <v>4000</v>
      </c>
      <c r="L10" s="75">
        <f t="shared" si="9"/>
        <v>2000</v>
      </c>
      <c r="M10" s="383">
        <f t="shared" si="8"/>
        <v>2000</v>
      </c>
    </row>
    <row r="11" spans="1:13" ht="18.75" customHeight="1" outlineLevel="2" x14ac:dyDescent="0.25">
      <c r="A11" s="251" t="str">
        <v>EDV - Ausstattung (Mitarbeiter)</v>
      </c>
      <c r="B11" s="252">
        <v>2000</v>
      </c>
      <c r="C11" s="253">
        <v>4</v>
      </c>
      <c r="D11" s="253">
        <v>19</v>
      </c>
      <c r="E11" s="254">
        <f t="shared" si="1"/>
        <v>2</v>
      </c>
      <c r="F11" s="14">
        <f t="shared" si="2"/>
        <v>0</v>
      </c>
      <c r="G11" s="78">
        <f t="shared" si="3"/>
        <v>0</v>
      </c>
      <c r="H11" s="79">
        <f t="shared" si="4"/>
        <v>250</v>
      </c>
      <c r="I11" s="81">
        <f t="shared" si="5"/>
        <v>1750</v>
      </c>
      <c r="J11" s="79">
        <f t="shared" si="6"/>
        <v>500</v>
      </c>
      <c r="K11" s="81">
        <f t="shared" si="7"/>
        <v>1250</v>
      </c>
      <c r="L11" s="75">
        <f t="shared" si="9"/>
        <v>500</v>
      </c>
      <c r="M11" s="384">
        <f t="shared" si="8"/>
        <v>750</v>
      </c>
    </row>
    <row r="12" spans="1:13" ht="18.75" customHeight="1" outlineLevel="2" x14ac:dyDescent="0.25">
      <c r="A12" s="251" t="str">
        <v>Server</v>
      </c>
      <c r="B12" s="252">
        <v>10000</v>
      </c>
      <c r="C12" s="253">
        <v>4</v>
      </c>
      <c r="D12" s="253">
        <v>2</v>
      </c>
      <c r="E12" s="254">
        <f t="shared" si="1"/>
        <v>1</v>
      </c>
      <c r="F12" s="14">
        <f t="shared" si="2"/>
        <v>2500</v>
      </c>
      <c r="G12" s="78">
        <f t="shared" si="3"/>
        <v>7500</v>
      </c>
      <c r="H12" s="79">
        <f t="shared" si="4"/>
        <v>2500</v>
      </c>
      <c r="I12" s="81">
        <f t="shared" ref="I12" si="10">IF($D12&lt;=24,IF($D12&lt;=12,G12-H12,$B12-H12),0)</f>
        <v>5000</v>
      </c>
      <c r="J12" s="79">
        <f t="shared" si="6"/>
        <v>2500</v>
      </c>
      <c r="K12" s="81">
        <f t="shared" ref="K12" si="11">IF($D12&lt;=36,IF($D12&lt;=24,I12-J12,$B12-J12),0)</f>
        <v>2500</v>
      </c>
      <c r="L12" s="75">
        <f t="shared" si="9"/>
        <v>2500</v>
      </c>
      <c r="M12" s="384">
        <f t="shared" ref="M12" si="12">IF($D12&lt;=48,IF($D12&lt;=36,K12-L12,$B12-L12),0)</f>
        <v>0</v>
      </c>
    </row>
    <row r="13" spans="1:13" ht="18.75" customHeight="1" outlineLevel="2" x14ac:dyDescent="0.25">
      <c r="A13" s="251" t="str">
        <v>Messaufbau</v>
      </c>
      <c r="B13" s="252">
        <v>10000</v>
      </c>
      <c r="C13" s="253">
        <v>5</v>
      </c>
      <c r="D13" s="253">
        <v>5</v>
      </c>
      <c r="E13" s="254">
        <f t="shared" si="1"/>
        <v>1</v>
      </c>
      <c r="F13" s="14">
        <f t="shared" si="2"/>
        <v>2000</v>
      </c>
      <c r="G13" s="78">
        <f t="shared" si="3"/>
        <v>8000</v>
      </c>
      <c r="H13" s="79">
        <f t="shared" si="4"/>
        <v>2000</v>
      </c>
      <c r="I13" s="81">
        <f t="shared" si="5"/>
        <v>6000</v>
      </c>
      <c r="J13" s="79">
        <f t="shared" si="6"/>
        <v>2000</v>
      </c>
      <c r="K13" s="81">
        <f t="shared" si="7"/>
        <v>4000</v>
      </c>
      <c r="L13" s="75">
        <f t="shared" si="9"/>
        <v>2000</v>
      </c>
      <c r="M13" s="384">
        <f t="shared" si="8"/>
        <v>2000</v>
      </c>
    </row>
    <row r="14" spans="1:13" ht="18.75" customHeight="1" outlineLevel="2" thickBot="1" x14ac:dyDescent="0.3">
      <c r="A14" s="251" t="str">
        <v>Messaufbau</v>
      </c>
      <c r="B14" s="252">
        <v>10000</v>
      </c>
      <c r="C14" s="253">
        <v>5</v>
      </c>
      <c r="D14" s="253">
        <v>13</v>
      </c>
      <c r="E14" s="254">
        <f t="shared" si="1"/>
        <v>1</v>
      </c>
      <c r="F14" s="14">
        <f t="shared" si="2"/>
        <v>0</v>
      </c>
      <c r="G14" s="78">
        <f t="shared" si="3"/>
        <v>0</v>
      </c>
      <c r="H14" s="79">
        <f t="shared" si="4"/>
        <v>2000</v>
      </c>
      <c r="I14" s="81">
        <f t="shared" si="5"/>
        <v>8000</v>
      </c>
      <c r="J14" s="79">
        <f t="shared" si="6"/>
        <v>2000</v>
      </c>
      <c r="K14" s="81">
        <f t="shared" si="7"/>
        <v>6000</v>
      </c>
      <c r="L14" s="79">
        <f t="shared" si="9"/>
        <v>2000</v>
      </c>
      <c r="M14" s="384">
        <f t="shared" si="8"/>
        <v>4000</v>
      </c>
    </row>
    <row r="15" spans="1:13" ht="7.5" customHeight="1" outlineLevel="2" thickTop="1" thickBot="1" x14ac:dyDescent="0.3">
      <c r="A15" s="255"/>
      <c r="B15" s="256"/>
      <c r="C15" s="256"/>
      <c r="D15" s="256"/>
      <c r="E15" s="257"/>
      <c r="F15" s="27"/>
      <c r="G15" s="30"/>
      <c r="H15" s="31"/>
      <c r="I15" s="32"/>
      <c r="J15" s="31"/>
      <c r="K15" s="32"/>
      <c r="L15" s="31"/>
      <c r="M15" s="385"/>
    </row>
    <row r="16" spans="1:13" ht="18.75" customHeight="1" outlineLevel="1" thickBot="1" x14ac:dyDescent="0.3">
      <c r="A16" s="35" t="s">
        <v>28</v>
      </c>
      <c r="B16" s="535">
        <f>SUM(B5:B15)</f>
        <v>98000</v>
      </c>
      <c r="C16" s="40"/>
      <c r="D16" s="41"/>
      <c r="E16" s="42"/>
      <c r="F16" s="453">
        <f t="shared" ref="F16:M16" si="13">SUM(F5:F15)</f>
        <v>15100</v>
      </c>
      <c r="G16" s="537">
        <f t="shared" si="13"/>
        <v>62900</v>
      </c>
      <c r="H16" s="455">
        <f t="shared" si="13"/>
        <v>19350</v>
      </c>
      <c r="I16" s="538">
        <f t="shared" si="13"/>
        <v>63550</v>
      </c>
      <c r="J16" s="455">
        <f t="shared" si="13"/>
        <v>19600</v>
      </c>
      <c r="K16" s="537">
        <f t="shared" si="13"/>
        <v>43950</v>
      </c>
      <c r="L16" s="455">
        <f t="shared" si="13"/>
        <v>19600</v>
      </c>
      <c r="M16" s="583">
        <f t="shared" si="13"/>
        <v>24350</v>
      </c>
    </row>
    <row r="17" spans="1:13" ht="7.5" customHeight="1" outlineLevel="1" x14ac:dyDescent="0.25">
      <c r="A17" s="736"/>
      <c r="B17" s="737"/>
      <c r="C17" s="737"/>
      <c r="D17" s="737"/>
      <c r="E17" s="737"/>
      <c r="F17" s="737"/>
      <c r="G17" s="737"/>
      <c r="H17" s="737"/>
      <c r="I17" s="737"/>
      <c r="J17" s="737"/>
      <c r="K17" s="737"/>
      <c r="L17" s="737"/>
      <c r="M17" s="738"/>
    </row>
    <row r="18" spans="1:13" ht="18.75" customHeight="1" outlineLevel="1" thickBot="1" x14ac:dyDescent="0.3">
      <c r="A18" s="43" t="s">
        <v>29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5"/>
    </row>
    <row r="19" spans="1:13" ht="18.75" customHeight="1" outlineLevel="2" thickTop="1" x14ac:dyDescent="0.25">
      <c r="A19" s="483" t="str">
        <f t="array" ref="A19:D21">IF(Investitionsplan!A19:D21="","",Investitionsplan!A19:D21)</f>
        <v>Patentanträge</v>
      </c>
      <c r="B19" s="72">
        <v>20000</v>
      </c>
      <c r="C19" s="112">
        <v>20</v>
      </c>
      <c r="D19" s="112">
        <v>1</v>
      </c>
      <c r="E19" s="629"/>
      <c r="F19" s="274"/>
      <c r="G19" s="70">
        <f>$B19</f>
        <v>20000</v>
      </c>
      <c r="H19" s="276"/>
      <c r="I19" s="73">
        <f>$B19</f>
        <v>20000</v>
      </c>
      <c r="J19" s="276"/>
      <c r="K19" s="268">
        <f>$B19</f>
        <v>20000</v>
      </c>
      <c r="L19" s="276"/>
      <c r="M19" s="270">
        <f>$B19</f>
        <v>20000</v>
      </c>
    </row>
    <row r="20" spans="1:13" ht="18.75" customHeight="1" outlineLevel="2" thickBot="1" x14ac:dyDescent="0.3">
      <c r="A20" s="251" t="str">
        <v/>
      </c>
      <c r="B20" s="584" t="str">
        <v/>
      </c>
      <c r="C20" s="584" t="str">
        <v/>
      </c>
      <c r="D20" s="584" t="str">
        <v/>
      </c>
      <c r="E20" s="630"/>
      <c r="F20" s="275"/>
      <c r="G20" s="78" t="str">
        <f t="shared" ref="G20:M20" si="14">$B20</f>
        <v/>
      </c>
      <c r="H20" s="277"/>
      <c r="I20" s="81" t="str">
        <f t="shared" si="14"/>
        <v/>
      </c>
      <c r="J20" s="277"/>
      <c r="K20" s="269" t="str">
        <f t="shared" si="14"/>
        <v/>
      </c>
      <c r="L20" s="277"/>
      <c r="M20" s="271" t="str">
        <f t="shared" si="14"/>
        <v/>
      </c>
    </row>
    <row r="21" spans="1:13" ht="7.5" customHeight="1" outlineLevel="2" thickTop="1" thickBot="1" x14ac:dyDescent="0.3">
      <c r="A21" s="255" t="str">
        <v/>
      </c>
      <c r="B21" s="256" t="str">
        <v/>
      </c>
      <c r="C21" s="256" t="str">
        <v/>
      </c>
      <c r="D21" s="256" t="str">
        <v/>
      </c>
      <c r="E21" s="631"/>
      <c r="F21" s="632"/>
      <c r="G21" s="30"/>
      <c r="H21" s="633"/>
      <c r="I21" s="32"/>
      <c r="J21" s="633"/>
      <c r="K21" s="30"/>
      <c r="L21" s="633"/>
      <c r="M21" s="272"/>
    </row>
    <row r="22" spans="1:13" ht="18.75" customHeight="1" outlineLevel="1" thickBot="1" x14ac:dyDescent="0.3">
      <c r="A22" s="35" t="s">
        <v>28</v>
      </c>
      <c r="B22" s="535">
        <f>SUM(B17:B21)</f>
        <v>20000</v>
      </c>
      <c r="C22" s="40"/>
      <c r="D22" s="41"/>
      <c r="E22" s="42"/>
      <c r="F22" s="283"/>
      <c r="G22" s="537">
        <f>SUM(G17:G21)</f>
        <v>20000</v>
      </c>
      <c r="H22" s="280"/>
      <c r="I22" s="538">
        <f>SUM(I17:I21)</f>
        <v>20000</v>
      </c>
      <c r="J22" s="280"/>
      <c r="K22" s="537">
        <f>SUM(K17:K21)</f>
        <v>20000</v>
      </c>
      <c r="L22" s="280"/>
      <c r="M22" s="583">
        <f>SUM(M17:M21)</f>
        <v>20000</v>
      </c>
    </row>
    <row r="23" spans="1:13" ht="7.5" customHeight="1" outlineLevel="1" thickBot="1" x14ac:dyDescent="0.3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5"/>
    </row>
    <row r="24" spans="1:13" s="47" customFormat="1" ht="18.75" customHeight="1" thickBot="1" x14ac:dyDescent="0.3">
      <c r="A24" s="48" t="s">
        <v>32</v>
      </c>
      <c r="B24" s="49">
        <f>B22+B16</f>
        <v>118000</v>
      </c>
      <c r="C24" s="50"/>
      <c r="D24" s="50"/>
      <c r="E24" s="124"/>
      <c r="F24" s="282"/>
      <c r="G24" s="51">
        <f>G22+G16</f>
        <v>82900</v>
      </c>
      <c r="H24" s="281"/>
      <c r="I24" s="51">
        <f>I22+I16</f>
        <v>83550</v>
      </c>
      <c r="J24" s="284"/>
      <c r="K24" s="52">
        <f>K22+K16</f>
        <v>63950</v>
      </c>
      <c r="L24" s="285"/>
      <c r="M24" s="53">
        <f>M22+M16</f>
        <v>44350</v>
      </c>
    </row>
    <row r="25" spans="1:13" ht="7.5" customHeight="1" thickBot="1" x14ac:dyDescent="0.3">
      <c r="A25" s="739"/>
      <c r="B25" s="740"/>
      <c r="C25" s="740"/>
      <c r="D25" s="740"/>
      <c r="E25" s="740"/>
      <c r="F25" s="740"/>
      <c r="G25" s="740"/>
      <c r="H25" s="740"/>
      <c r="I25" s="740"/>
      <c r="J25" s="740"/>
      <c r="K25" s="740"/>
      <c r="L25" s="740"/>
      <c r="M25" s="741"/>
    </row>
    <row r="26" spans="1:13" ht="15" customHeight="1" x14ac:dyDescent="0.25">
      <c r="A26" s="734" t="s">
        <v>248</v>
      </c>
      <c r="B26" s="744" t="s">
        <v>181</v>
      </c>
      <c r="C26" s="744" t="s">
        <v>31</v>
      </c>
      <c r="D26" s="744" t="s">
        <v>30</v>
      </c>
      <c r="E26" s="742" t="s">
        <v>180</v>
      </c>
      <c r="F26" s="780" t="s">
        <v>20</v>
      </c>
      <c r="G26" s="781"/>
      <c r="H26" s="728" t="s">
        <v>25</v>
      </c>
      <c r="I26" s="782"/>
      <c r="J26" s="728" t="s">
        <v>26</v>
      </c>
      <c r="K26" s="782"/>
      <c r="L26" s="728" t="s">
        <v>27</v>
      </c>
      <c r="M26" s="783"/>
    </row>
    <row r="27" spans="1:13" ht="15" customHeight="1" thickBot="1" x14ac:dyDescent="0.3">
      <c r="A27" s="735"/>
      <c r="B27" s="745"/>
      <c r="C27" s="745"/>
      <c r="D27" s="745"/>
      <c r="E27" s="743"/>
      <c r="F27" s="258" t="s">
        <v>136</v>
      </c>
      <c r="G27" s="259" t="s">
        <v>137</v>
      </c>
      <c r="H27" s="260" t="s">
        <v>136</v>
      </c>
      <c r="I27" s="267" t="s">
        <v>137</v>
      </c>
      <c r="J27" s="260" t="s">
        <v>136</v>
      </c>
      <c r="K27" s="267" t="s">
        <v>137</v>
      </c>
      <c r="L27" s="260" t="s">
        <v>136</v>
      </c>
      <c r="M27" s="381" t="s">
        <v>137</v>
      </c>
    </row>
    <row r="28" spans="1:13" ht="18.75" customHeight="1" outlineLevel="1" thickTop="1" x14ac:dyDescent="0.25">
      <c r="A28" s="483" t="str">
        <f t="array" ref="A28:D34">IF(Investitionsplan!A28:D35="","",Investitionsplan!A28:D35)</f>
        <v>Vertriebsauto</v>
      </c>
      <c r="B28" s="72">
        <v>35000</v>
      </c>
      <c r="C28" s="112">
        <v>4</v>
      </c>
      <c r="D28" s="112">
        <v>2</v>
      </c>
      <c r="E28" s="113">
        <f>IF($D28="","",IF(OR($D28&lt;=6,AND($D28&gt;12,$D28&lt;=18),AND($D28&gt;24,$D28&lt;=30),AND($D28&gt;36,$D28&lt;=42)),1,2))</f>
        <v>1</v>
      </c>
      <c r="F28" s="6">
        <f>IF($D28&lt;=12,$B28/$C28/$E28,0)</f>
        <v>8750</v>
      </c>
      <c r="G28" s="70">
        <f>IF($D28&lt;=12,$B28-$F28,0)</f>
        <v>26250</v>
      </c>
      <c r="H28" s="71">
        <f>IF($D28&lt;=24,IF($D28&lt;=12,$B28/$C28,$B28/$C28/$E28),0)</f>
        <v>8750</v>
      </c>
      <c r="I28" s="73">
        <f>IF($D28&lt;=24,IF($D28&lt;=12,G28-H28,$B28-H28),0)</f>
        <v>17500</v>
      </c>
      <c r="J28" s="73">
        <f>IF($D28&lt;=36,IF($D28&lt;=24,$B28/$C28,$B28/$C28/$E28),0)</f>
        <v>8750</v>
      </c>
      <c r="K28" s="8">
        <f>IF($D28&lt;=36,IF($D28&lt;=24,I28-J28,$B28-J28),0)</f>
        <v>8750</v>
      </c>
      <c r="L28" s="262">
        <f t="shared" ref="L28:L34" si="15">IFERROR(IF($C28*12+$D28-1&lt;=36,0,IF(IF($D28&lt;=48,IF($D28&lt;=36,$B28/$C28,$B28/$C28/$E28),0)&gt;$K28,$K28,IF($D28&lt;=48,IF($D28&lt;=36,$B28/$C28,$B28/$C28/$E28),0))),0)</f>
        <v>8750</v>
      </c>
      <c r="M28" s="9">
        <f>IF($D28&lt;=48,IF($D28&lt;=36,K28-L28,$B28-L28),0)</f>
        <v>0</v>
      </c>
    </row>
    <row r="29" spans="1:13" ht="18.75" customHeight="1" outlineLevel="1" x14ac:dyDescent="0.25">
      <c r="A29" s="679" t="str">
        <v>Vertriebsauto</v>
      </c>
      <c r="B29" s="76">
        <v>35000</v>
      </c>
      <c r="C29" s="114">
        <v>4</v>
      </c>
      <c r="D29" s="114">
        <v>13</v>
      </c>
      <c r="E29" s="250">
        <f t="shared" ref="E29:E34" si="16">IF($D29="","",IF(OR($D29&lt;=6,AND($D29&gt;12,$D29&lt;=18),AND($D29&gt;24,$D29&lt;=30),AND($D29&gt;36,$D29&lt;=42)),1,2))</f>
        <v>1</v>
      </c>
      <c r="F29" s="10">
        <f t="shared" ref="F29:F34" si="17">IF($D29&lt;=12,$B29/$C29/$E29,0)</f>
        <v>0</v>
      </c>
      <c r="G29" s="74">
        <f t="shared" ref="G29:G34" si="18">IF($D29&lt;=12,$B29-$F29,0)</f>
        <v>0</v>
      </c>
      <c r="H29" s="75">
        <f t="shared" ref="H29:H34" si="19">IF($D29&lt;=24,IF($D29&lt;=12,$B29/$C29,$B29/$C29/$E29),0)</f>
        <v>8750</v>
      </c>
      <c r="I29" s="77">
        <f t="shared" ref="I29:I31" si="20">IF($D29&lt;=24,IF($D29&lt;=12,G29-H29,$B29-H29),0)</f>
        <v>26250</v>
      </c>
      <c r="J29" s="77">
        <f t="shared" ref="J29:J34" si="21">IF($D29&lt;=36,IF($D29&lt;=24,$B29/$C29,$B29/$C29/$E29),0)</f>
        <v>8750</v>
      </c>
      <c r="K29" s="12">
        <f t="shared" ref="K29:K31" si="22">IF($D29&lt;=36,IF($D29&lt;=24,I29-J29,$B29-J29),0)</f>
        <v>17500</v>
      </c>
      <c r="L29" s="236">
        <f t="shared" si="15"/>
        <v>8750</v>
      </c>
      <c r="M29" s="13">
        <f t="shared" ref="M29:M31" si="23">IF($D29&lt;=48,IF($D29&lt;=36,K29-L29,$B29-L29),0)</f>
        <v>8750</v>
      </c>
    </row>
    <row r="30" spans="1:13" ht="18.75" customHeight="1" outlineLevel="1" x14ac:dyDescent="0.25">
      <c r="A30" s="679" t="str">
        <v>Vertriebsauto</v>
      </c>
      <c r="B30" s="76">
        <v>35000</v>
      </c>
      <c r="C30" s="114">
        <v>4</v>
      </c>
      <c r="D30" s="114">
        <v>19</v>
      </c>
      <c r="E30" s="250">
        <f t="shared" si="16"/>
        <v>2</v>
      </c>
      <c r="F30" s="10">
        <f t="shared" si="17"/>
        <v>0</v>
      </c>
      <c r="G30" s="74">
        <f t="shared" si="18"/>
        <v>0</v>
      </c>
      <c r="H30" s="75">
        <f t="shared" si="19"/>
        <v>4375</v>
      </c>
      <c r="I30" s="77">
        <f t="shared" ref="I30" si="24">IF($D30&lt;=24,IF($D30&lt;=12,G30-H30,$B30-H30),0)</f>
        <v>30625</v>
      </c>
      <c r="J30" s="77">
        <f t="shared" si="21"/>
        <v>8750</v>
      </c>
      <c r="K30" s="12">
        <f t="shared" ref="K30" si="25">IF($D30&lt;=36,IF($D30&lt;=24,I30-J30,$B30-J30),0)</f>
        <v>21875</v>
      </c>
      <c r="L30" s="236">
        <f t="shared" si="15"/>
        <v>8750</v>
      </c>
      <c r="M30" s="13">
        <f t="shared" ref="M30" si="26">IF($D30&lt;=48,IF($D30&lt;=36,K30-L30,$B30-L30),0)</f>
        <v>13125</v>
      </c>
    </row>
    <row r="31" spans="1:13" ht="18.75" customHeight="1" outlineLevel="1" x14ac:dyDescent="0.25">
      <c r="A31" s="679" t="str">
        <v>Vertriebsauto</v>
      </c>
      <c r="B31" s="76">
        <v>35000</v>
      </c>
      <c r="C31" s="114">
        <v>4</v>
      </c>
      <c r="D31" s="114">
        <v>25</v>
      </c>
      <c r="E31" s="250">
        <f t="shared" si="16"/>
        <v>1</v>
      </c>
      <c r="F31" s="10">
        <f t="shared" si="17"/>
        <v>0</v>
      </c>
      <c r="G31" s="74">
        <f t="shared" si="18"/>
        <v>0</v>
      </c>
      <c r="H31" s="75">
        <f t="shared" si="19"/>
        <v>0</v>
      </c>
      <c r="I31" s="77">
        <f t="shared" si="20"/>
        <v>0</v>
      </c>
      <c r="J31" s="77">
        <f t="shared" si="21"/>
        <v>8750</v>
      </c>
      <c r="K31" s="12">
        <f t="shared" si="22"/>
        <v>26250</v>
      </c>
      <c r="L31" s="236">
        <f t="shared" si="15"/>
        <v>8750</v>
      </c>
      <c r="M31" s="13">
        <f t="shared" si="23"/>
        <v>17500</v>
      </c>
    </row>
    <row r="32" spans="1:13" ht="18.75" customHeight="1" outlineLevel="1" x14ac:dyDescent="0.25">
      <c r="A32" s="482" t="str">
        <v>Kundendienstauto</v>
      </c>
      <c r="B32" s="76">
        <v>25000</v>
      </c>
      <c r="C32" s="114">
        <v>4</v>
      </c>
      <c r="D32" s="114">
        <v>13</v>
      </c>
      <c r="E32" s="250">
        <f t="shared" si="16"/>
        <v>1</v>
      </c>
      <c r="F32" s="10">
        <f t="shared" si="17"/>
        <v>0</v>
      </c>
      <c r="G32" s="74">
        <f t="shared" si="18"/>
        <v>0</v>
      </c>
      <c r="H32" s="75">
        <f t="shared" si="19"/>
        <v>6250</v>
      </c>
      <c r="I32" s="77">
        <f t="shared" ref="I32:I34" si="27">IF($D32&lt;=24,IF($D32&lt;=12,G32-H32,$B32-H32),0)</f>
        <v>18750</v>
      </c>
      <c r="J32" s="77">
        <f t="shared" si="21"/>
        <v>6250</v>
      </c>
      <c r="K32" s="12">
        <f t="shared" ref="K32:K34" si="28">IF($D32&lt;=36,IF($D32&lt;=24,I32-J32,$B32-J32),0)</f>
        <v>12500</v>
      </c>
      <c r="L32" s="236">
        <f t="shared" si="15"/>
        <v>6250</v>
      </c>
      <c r="M32" s="13">
        <f t="shared" ref="M32:M34" si="29">IF($D32&lt;=48,IF($D32&lt;=36,K32-L32,$B32-L32),0)</f>
        <v>6250</v>
      </c>
    </row>
    <row r="33" spans="1:13" ht="18.75" customHeight="1" outlineLevel="1" x14ac:dyDescent="0.25">
      <c r="A33" s="482" t="str">
        <v>Kundendienstauto</v>
      </c>
      <c r="B33" s="76">
        <v>25000</v>
      </c>
      <c r="C33" s="114">
        <v>4</v>
      </c>
      <c r="D33" s="114">
        <v>19</v>
      </c>
      <c r="E33" s="250">
        <f t="shared" si="16"/>
        <v>2</v>
      </c>
      <c r="F33" s="10">
        <f t="shared" si="17"/>
        <v>0</v>
      </c>
      <c r="G33" s="74">
        <f t="shared" si="18"/>
        <v>0</v>
      </c>
      <c r="H33" s="75">
        <f t="shared" si="19"/>
        <v>3125</v>
      </c>
      <c r="I33" s="77">
        <f t="shared" si="27"/>
        <v>21875</v>
      </c>
      <c r="J33" s="77">
        <f t="shared" si="21"/>
        <v>6250</v>
      </c>
      <c r="K33" s="12">
        <f t="shared" si="28"/>
        <v>15625</v>
      </c>
      <c r="L33" s="236">
        <f t="shared" si="15"/>
        <v>6250</v>
      </c>
      <c r="M33" s="13">
        <f t="shared" si="29"/>
        <v>9375</v>
      </c>
    </row>
    <row r="34" spans="1:13" ht="18.75" customHeight="1" outlineLevel="1" thickBot="1" x14ac:dyDescent="0.3">
      <c r="A34" s="492" t="str">
        <v>Kundendienstauto</v>
      </c>
      <c r="B34" s="130">
        <v>25000</v>
      </c>
      <c r="C34" s="680">
        <v>4</v>
      </c>
      <c r="D34" s="680">
        <v>25</v>
      </c>
      <c r="E34" s="681">
        <f t="shared" si="16"/>
        <v>1</v>
      </c>
      <c r="F34" s="126">
        <f t="shared" si="17"/>
        <v>0</v>
      </c>
      <c r="G34" s="128">
        <f t="shared" si="18"/>
        <v>0</v>
      </c>
      <c r="H34" s="129">
        <f t="shared" si="19"/>
        <v>0</v>
      </c>
      <c r="I34" s="131">
        <f t="shared" si="27"/>
        <v>0</v>
      </c>
      <c r="J34" s="131">
        <f t="shared" si="21"/>
        <v>6250</v>
      </c>
      <c r="K34" s="132">
        <f t="shared" si="28"/>
        <v>18750</v>
      </c>
      <c r="L34" s="264">
        <f t="shared" si="15"/>
        <v>6250</v>
      </c>
      <c r="M34" s="133">
        <f t="shared" si="29"/>
        <v>12500</v>
      </c>
    </row>
    <row r="35" spans="1:13" ht="7.5" customHeight="1" outlineLevel="1" thickTop="1" thickBot="1" x14ac:dyDescent="0.3">
      <c r="A35" s="255"/>
      <c r="B35" s="256"/>
      <c r="C35" s="256"/>
      <c r="D35" s="256"/>
      <c r="E35" s="257"/>
      <c r="F35" s="27"/>
      <c r="G35" s="30"/>
      <c r="H35" s="31"/>
      <c r="I35" s="32"/>
      <c r="J35" s="32"/>
      <c r="K35" s="33"/>
      <c r="L35" s="263"/>
      <c r="M35" s="34"/>
    </row>
    <row r="36" spans="1:13" ht="18.75" customHeight="1" thickBot="1" x14ac:dyDescent="0.3">
      <c r="A36" s="481" t="s">
        <v>33</v>
      </c>
      <c r="B36" s="65">
        <f>SUM(B28:B35)</f>
        <v>215000</v>
      </c>
      <c r="C36" s="62"/>
      <c r="D36" s="63"/>
      <c r="E36" s="64"/>
      <c r="F36" s="278">
        <f t="shared" ref="F36:M36" si="30">SUM(F28:F35)</f>
        <v>8750</v>
      </c>
      <c r="G36" s="66">
        <f t="shared" si="30"/>
        <v>26250</v>
      </c>
      <c r="H36" s="279">
        <f t="shared" si="30"/>
        <v>31250</v>
      </c>
      <c r="I36" s="67">
        <f t="shared" si="30"/>
        <v>115000</v>
      </c>
      <c r="J36" s="67">
        <f t="shared" si="30"/>
        <v>53750</v>
      </c>
      <c r="K36" s="68">
        <f t="shared" si="30"/>
        <v>121250</v>
      </c>
      <c r="L36" s="265">
        <f t="shared" si="30"/>
        <v>53750</v>
      </c>
      <c r="M36" s="69">
        <f t="shared" si="30"/>
        <v>67500</v>
      </c>
    </row>
    <row r="37" spans="1:13" ht="7.5" customHeight="1" thickBot="1" x14ac:dyDescent="0.3">
      <c r="A37" s="736"/>
      <c r="B37" s="737"/>
      <c r="C37" s="737"/>
      <c r="D37" s="737"/>
      <c r="E37" s="737"/>
      <c r="F37" s="737"/>
      <c r="G37" s="737"/>
      <c r="H37" s="737"/>
      <c r="I37" s="737"/>
      <c r="J37" s="737"/>
      <c r="K37" s="737"/>
      <c r="L37" s="737"/>
      <c r="M37" s="738"/>
    </row>
    <row r="38" spans="1:13" ht="22.5" customHeight="1" thickBot="1" x14ac:dyDescent="0.3">
      <c r="A38" s="273"/>
      <c r="B38" s="777" t="s">
        <v>138</v>
      </c>
      <c r="C38" s="778"/>
      <c r="D38" s="778"/>
      <c r="E38" s="779"/>
      <c r="F38" s="54">
        <f>F36+F16</f>
        <v>23850</v>
      </c>
      <c r="G38" s="56">
        <f>G36+G24</f>
        <v>109150</v>
      </c>
      <c r="H38" s="57">
        <f>H36+H16</f>
        <v>50600</v>
      </c>
      <c r="I38" s="56">
        <f>I36+I24</f>
        <v>198550</v>
      </c>
      <c r="J38" s="261">
        <f>J36+J16</f>
        <v>73350</v>
      </c>
      <c r="K38" s="58">
        <f>K36+K24</f>
        <v>185200</v>
      </c>
      <c r="L38" s="266">
        <f>L36+L16</f>
        <v>73350</v>
      </c>
      <c r="M38" s="59">
        <f>M36+M24</f>
        <v>111850</v>
      </c>
    </row>
  </sheetData>
  <sheetProtection algorithmName="SHA-512" hashValue="vU8SMPwUjWtso5Zd2s4ergo+K1Ah/QlMOA87BlgU+tZwt7cvI+mvx7Z+NsHSe3r13uXibPOQI0c4LWDzWkNs/Q==" saltValue="L6JkwyCXAJB4yvw3w1AxBw==" spinCount="100000" sheet="1" objects="1" scenarios="1"/>
  <mergeCells count="23">
    <mergeCell ref="A1:M1"/>
    <mergeCell ref="A3:A4"/>
    <mergeCell ref="B3:B4"/>
    <mergeCell ref="C3:C4"/>
    <mergeCell ref="D3:D4"/>
    <mergeCell ref="E3:E4"/>
    <mergeCell ref="L3:M3"/>
    <mergeCell ref="B38:E38"/>
    <mergeCell ref="A17:M17"/>
    <mergeCell ref="A25:M25"/>
    <mergeCell ref="A37:M37"/>
    <mergeCell ref="F3:G3"/>
    <mergeCell ref="H3:I3"/>
    <mergeCell ref="J3:K3"/>
    <mergeCell ref="A26:A27"/>
    <mergeCell ref="B26:B27"/>
    <mergeCell ref="C26:C27"/>
    <mergeCell ref="D26:D27"/>
    <mergeCell ref="E26:E27"/>
    <mergeCell ref="F26:G26"/>
    <mergeCell ref="H26:I26"/>
    <mergeCell ref="J26:K26"/>
    <mergeCell ref="L26:M26"/>
  </mergeCells>
  <dataValidations count="1">
    <dataValidation type="whole" allowBlank="1" showInputMessage="1" showErrorMessage="1" sqref="D5:E15 D19:E21 D28:E35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30" activePane="bottomRight" state="frozen"/>
      <selection pane="topRight" activeCell="D1" sqref="D1"/>
      <selection pane="bottomLeft" activeCell="A9" sqref="A9"/>
      <selection pane="bottomRight" activeCell="O9" sqref="O9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47" t="s">
        <v>97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9"/>
    </row>
    <row r="2" spans="1:24" ht="15.75" thickBot="1" x14ac:dyDescent="0.3"/>
    <row r="3" spans="1:24" x14ac:dyDescent="0.25">
      <c r="A3" s="810" t="s">
        <v>107</v>
      </c>
      <c r="B3" s="811"/>
      <c r="C3" s="812"/>
      <c r="D3" s="146">
        <v>0</v>
      </c>
      <c r="E3" s="153"/>
    </row>
    <row r="4" spans="1:24" x14ac:dyDescent="0.25">
      <c r="A4" s="813" t="s">
        <v>108</v>
      </c>
      <c r="B4" s="814"/>
      <c r="C4" s="815"/>
      <c r="D4" s="147">
        <v>0.03</v>
      </c>
      <c r="E4" s="153"/>
    </row>
    <row r="5" spans="1:24" x14ac:dyDescent="0.25">
      <c r="A5" s="813" t="s">
        <v>130</v>
      </c>
      <c r="B5" s="814"/>
      <c r="C5" s="814"/>
      <c r="D5" s="149">
        <v>0.25</v>
      </c>
      <c r="E5" s="153"/>
    </row>
    <row r="6" spans="1:24" ht="15.75" thickBot="1" x14ac:dyDescent="0.3">
      <c r="A6" s="816" t="s">
        <v>104</v>
      </c>
      <c r="B6" s="817"/>
      <c r="C6" s="818"/>
      <c r="D6" s="148">
        <v>0.2</v>
      </c>
      <c r="E6" s="154"/>
    </row>
    <row r="7" spans="1:24" ht="18.75" customHeight="1" x14ac:dyDescent="0.25">
      <c r="A7" s="793" t="s">
        <v>98</v>
      </c>
      <c r="B7" s="794"/>
      <c r="C7" s="794"/>
      <c r="D7" s="795"/>
      <c r="E7" s="729" t="s">
        <v>20</v>
      </c>
      <c r="F7" s="729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30" t="s">
        <v>20</v>
      </c>
      <c r="R7" s="728" t="s">
        <v>25</v>
      </c>
      <c r="S7" s="729"/>
      <c r="T7" s="729"/>
      <c r="U7" s="729"/>
      <c r="V7" s="730" t="s">
        <v>25</v>
      </c>
      <c r="W7" s="730" t="s">
        <v>26</v>
      </c>
      <c r="X7" s="732" t="s">
        <v>27</v>
      </c>
    </row>
    <row r="8" spans="1:24" ht="18.75" customHeight="1" thickBot="1" x14ac:dyDescent="0.3">
      <c r="A8" s="796"/>
      <c r="B8" s="797"/>
      <c r="C8" s="797"/>
      <c r="D8" s="798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1"/>
      <c r="R8" s="4" t="s">
        <v>21</v>
      </c>
      <c r="S8" s="2" t="s">
        <v>22</v>
      </c>
      <c r="T8" s="2" t="s">
        <v>23</v>
      </c>
      <c r="U8" s="3" t="s">
        <v>24</v>
      </c>
      <c r="V8" s="731"/>
      <c r="W8" s="731"/>
      <c r="X8" s="733"/>
    </row>
    <row r="9" spans="1:24" ht="18.75" customHeight="1" thickTop="1" x14ac:dyDescent="0.25">
      <c r="A9" s="155" t="s">
        <v>112</v>
      </c>
      <c r="B9" s="791" t="s">
        <v>99</v>
      </c>
      <c r="C9" s="791"/>
      <c r="D9" s="792"/>
      <c r="E9" s="145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120000</v>
      </c>
      <c r="L9" s="18">
        <v>0</v>
      </c>
      <c r="M9" s="18">
        <v>120000</v>
      </c>
      <c r="N9" s="18">
        <v>0</v>
      </c>
      <c r="O9" s="18">
        <v>120000</v>
      </c>
      <c r="P9" s="150">
        <v>127680</v>
      </c>
      <c r="Q9" s="8">
        <f>SUM(E9:P9)</f>
        <v>487680</v>
      </c>
      <c r="R9" s="144">
        <v>215760</v>
      </c>
      <c r="S9" s="18">
        <v>335760</v>
      </c>
      <c r="T9" s="18">
        <v>344760</v>
      </c>
      <c r="U9" s="150">
        <v>335760</v>
      </c>
      <c r="V9" s="8">
        <f>SUM(R9:U9)</f>
        <v>1232040</v>
      </c>
      <c r="W9" s="142">
        <v>2568960</v>
      </c>
      <c r="X9" s="143">
        <v>8471520</v>
      </c>
    </row>
    <row r="10" spans="1:24" ht="18.75" customHeight="1" thickBot="1" x14ac:dyDescent="0.3">
      <c r="A10" s="156" t="s">
        <v>111</v>
      </c>
      <c r="B10" s="786" t="s">
        <v>100</v>
      </c>
      <c r="C10" s="786"/>
      <c r="D10" s="787"/>
      <c r="E10" s="126">
        <f t="shared" ref="E10:J10" si="0">-(E9/(1+$D$6))*$D$6</f>
        <v>0</v>
      </c>
      <c r="F10" s="127">
        <f t="shared" si="0"/>
        <v>0</v>
      </c>
      <c r="G10" s="127">
        <f t="shared" si="0"/>
        <v>0</v>
      </c>
      <c r="H10" s="127">
        <f t="shared" si="0"/>
        <v>0</v>
      </c>
      <c r="I10" s="127">
        <f t="shared" si="0"/>
        <v>0</v>
      </c>
      <c r="J10" s="127">
        <f t="shared" si="0"/>
        <v>0</v>
      </c>
      <c r="K10" s="127">
        <f>-(K9/(1+$D$6))*$D$6</f>
        <v>-20000</v>
      </c>
      <c r="L10" s="127">
        <f t="shared" ref="L10:R10" si="1">-(L9/(1+$D$6))*$D$6</f>
        <v>0</v>
      </c>
      <c r="M10" s="127">
        <f t="shared" si="1"/>
        <v>-20000</v>
      </c>
      <c r="N10" s="127">
        <f t="shared" si="1"/>
        <v>0</v>
      </c>
      <c r="O10" s="127">
        <f t="shared" si="1"/>
        <v>-20000</v>
      </c>
      <c r="P10" s="157">
        <f t="shared" si="1"/>
        <v>-21280</v>
      </c>
      <c r="Q10" s="132">
        <f t="shared" ref="Q10:Q40" si="2">SUM(E10:P10)</f>
        <v>-81280</v>
      </c>
      <c r="R10" s="158">
        <f t="shared" si="1"/>
        <v>-35960</v>
      </c>
      <c r="S10" s="127">
        <f t="shared" ref="S10" si="3">-(S9/(1+$D$6))*$D$6</f>
        <v>-55960</v>
      </c>
      <c r="T10" s="127">
        <f t="shared" ref="T10" si="4">-(T9/(1+$D$6))*$D$6</f>
        <v>-57460</v>
      </c>
      <c r="U10" s="157">
        <f t="shared" ref="U10" si="5">-(U9/(1+$D$6))*$D$6</f>
        <v>-55960</v>
      </c>
      <c r="V10" s="132">
        <f t="shared" ref="V10:V40" si="6">SUM(R10:U10)</f>
        <v>-205340</v>
      </c>
      <c r="W10" s="132">
        <f t="shared" ref="W10:X10" si="7">-(W9/(1+$D$6))*$D$6</f>
        <v>-428160</v>
      </c>
      <c r="X10" s="133">
        <f t="shared" si="7"/>
        <v>-1411920</v>
      </c>
    </row>
    <row r="11" spans="1:24" s="169" customFormat="1" ht="7.5" customHeight="1" thickTop="1" x14ac:dyDescent="0.25">
      <c r="A11" s="159"/>
      <c r="B11" s="160"/>
      <c r="C11" s="160"/>
      <c r="D11" s="161"/>
      <c r="E11" s="162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4"/>
      <c r="Q11" s="165"/>
      <c r="R11" s="166"/>
      <c r="S11" s="163"/>
      <c r="T11" s="163"/>
      <c r="U11" s="164"/>
      <c r="V11" s="165"/>
      <c r="W11" s="167"/>
      <c r="X11" s="168"/>
    </row>
    <row r="12" spans="1:24" ht="18.75" customHeight="1" thickBot="1" x14ac:dyDescent="0.3">
      <c r="A12" s="788" t="s">
        <v>101</v>
      </c>
      <c r="B12" s="789"/>
      <c r="C12" s="789"/>
      <c r="D12" s="790"/>
      <c r="E12" s="170">
        <f t="shared" ref="E12:P12" si="8">E9+E10</f>
        <v>0</v>
      </c>
      <c r="F12" s="171">
        <f t="shared" si="8"/>
        <v>0</v>
      </c>
      <c r="G12" s="171">
        <f t="shared" si="8"/>
        <v>0</v>
      </c>
      <c r="H12" s="171">
        <f t="shared" si="8"/>
        <v>0</v>
      </c>
      <c r="I12" s="171">
        <f t="shared" si="8"/>
        <v>0</v>
      </c>
      <c r="J12" s="171">
        <f t="shared" si="8"/>
        <v>0</v>
      </c>
      <c r="K12" s="171">
        <f t="shared" si="8"/>
        <v>100000</v>
      </c>
      <c r="L12" s="171">
        <f t="shared" si="8"/>
        <v>0</v>
      </c>
      <c r="M12" s="171">
        <f t="shared" si="8"/>
        <v>100000</v>
      </c>
      <c r="N12" s="171">
        <f t="shared" si="8"/>
        <v>0</v>
      </c>
      <c r="O12" s="171">
        <f t="shared" si="8"/>
        <v>100000</v>
      </c>
      <c r="P12" s="172">
        <f t="shared" si="8"/>
        <v>106400</v>
      </c>
      <c r="Q12" s="173">
        <f t="shared" si="2"/>
        <v>406400</v>
      </c>
      <c r="R12" s="174">
        <f t="shared" ref="R12:X12" si="9">R9+R10</f>
        <v>179800</v>
      </c>
      <c r="S12" s="171">
        <f t="shared" si="9"/>
        <v>279800</v>
      </c>
      <c r="T12" s="171">
        <f t="shared" si="9"/>
        <v>287300</v>
      </c>
      <c r="U12" s="172">
        <f t="shared" si="9"/>
        <v>279800</v>
      </c>
      <c r="V12" s="173">
        <f t="shared" si="9"/>
        <v>1026700</v>
      </c>
      <c r="W12" s="175">
        <f t="shared" si="9"/>
        <v>2140800</v>
      </c>
      <c r="X12" s="176">
        <f t="shared" si="9"/>
        <v>7059600</v>
      </c>
    </row>
    <row r="13" spans="1:24" ht="18.75" customHeight="1" outlineLevel="1" thickTop="1" x14ac:dyDescent="0.25">
      <c r="A13" s="155" t="s">
        <v>111</v>
      </c>
      <c r="B13" s="791" t="s">
        <v>102</v>
      </c>
      <c r="C13" s="791"/>
      <c r="D13" s="792"/>
      <c r="E13" s="177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78">
        <f t="shared" si="10"/>
        <v>0</v>
      </c>
      <c r="Q13" s="8">
        <f t="shared" si="2"/>
        <v>0</v>
      </c>
      <c r="R13" s="177">
        <f>-(R12*$D$3)</f>
        <v>0</v>
      </c>
      <c r="S13" s="7">
        <f t="shared" ref="S13:U13" si="11">-(S12*$D$3)</f>
        <v>0</v>
      </c>
      <c r="T13" s="7">
        <f t="shared" si="11"/>
        <v>0</v>
      </c>
      <c r="U13" s="178">
        <f t="shared" si="11"/>
        <v>0</v>
      </c>
      <c r="V13" s="8">
        <f t="shared" si="6"/>
        <v>0</v>
      </c>
      <c r="W13" s="179">
        <f>-(W12*$D$3)</f>
        <v>0</v>
      </c>
      <c r="X13" s="180">
        <f>-(X12*$D$3)</f>
        <v>0</v>
      </c>
    </row>
    <row r="14" spans="1:24" ht="18.75" customHeight="1" outlineLevel="1" x14ac:dyDescent="0.25">
      <c r="A14" s="181" t="s">
        <v>111</v>
      </c>
      <c r="B14" s="784" t="s">
        <v>103</v>
      </c>
      <c r="C14" s="784"/>
      <c r="D14" s="785"/>
      <c r="E14" s="182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-3000</v>
      </c>
      <c r="L14" s="11">
        <f t="shared" si="12"/>
        <v>0</v>
      </c>
      <c r="M14" s="11">
        <f t="shared" si="12"/>
        <v>-3000</v>
      </c>
      <c r="N14" s="11">
        <f t="shared" si="12"/>
        <v>0</v>
      </c>
      <c r="O14" s="11">
        <f t="shared" si="12"/>
        <v>-3000</v>
      </c>
      <c r="P14" s="183">
        <f t="shared" si="12"/>
        <v>-3192</v>
      </c>
      <c r="Q14" s="12">
        <f t="shared" si="2"/>
        <v>-12192</v>
      </c>
      <c r="R14" s="182">
        <f>-(R12*$D$4)</f>
        <v>-5394</v>
      </c>
      <c r="S14" s="11">
        <f t="shared" ref="S14:U14" si="13">-(S12*$D$4)</f>
        <v>-8394</v>
      </c>
      <c r="T14" s="11">
        <f t="shared" si="13"/>
        <v>-8619</v>
      </c>
      <c r="U14" s="183">
        <f t="shared" si="13"/>
        <v>-8394</v>
      </c>
      <c r="V14" s="12">
        <f t="shared" si="6"/>
        <v>-30801</v>
      </c>
      <c r="W14" s="184">
        <f>-(W12*$D$4)</f>
        <v>-64224</v>
      </c>
      <c r="X14" s="185">
        <f>-(X12*$D$4)</f>
        <v>-211788</v>
      </c>
    </row>
    <row r="15" spans="1:24" ht="18.75" customHeight="1" outlineLevel="1" x14ac:dyDescent="0.25">
      <c r="A15" s="181" t="s">
        <v>112</v>
      </c>
      <c r="B15" s="784" t="s">
        <v>105</v>
      </c>
      <c r="C15" s="784"/>
      <c r="D15" s="785"/>
      <c r="E15" s="135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1"/>
      <c r="Q15" s="12">
        <f t="shared" si="2"/>
        <v>0</v>
      </c>
      <c r="R15" s="135"/>
      <c r="S15" s="94"/>
      <c r="T15" s="94"/>
      <c r="U15" s="151"/>
      <c r="V15" s="12">
        <f t="shared" si="6"/>
        <v>0</v>
      </c>
      <c r="W15" s="138"/>
      <c r="X15" s="139"/>
    </row>
    <row r="16" spans="1:24" ht="18.75" customHeight="1" outlineLevel="1" thickBot="1" x14ac:dyDescent="0.3">
      <c r="A16" s="156" t="s">
        <v>112</v>
      </c>
      <c r="B16" s="786" t="s">
        <v>106</v>
      </c>
      <c r="C16" s="786"/>
      <c r="D16" s="787"/>
      <c r="E16" s="136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52"/>
      <c r="Q16" s="132">
        <f t="shared" si="2"/>
        <v>0</v>
      </c>
      <c r="R16" s="136"/>
      <c r="S16" s="137"/>
      <c r="T16" s="137"/>
      <c r="U16" s="152"/>
      <c r="V16" s="132">
        <f t="shared" si="6"/>
        <v>0</v>
      </c>
      <c r="W16" s="140"/>
      <c r="X16" s="141"/>
    </row>
    <row r="17" spans="1:24" s="192" customFormat="1" ht="7.5" customHeight="1" outlineLevel="1" thickTop="1" x14ac:dyDescent="0.25">
      <c r="A17" s="159"/>
      <c r="B17" s="160"/>
      <c r="C17" s="160"/>
      <c r="D17" s="161"/>
      <c r="E17" s="186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8"/>
      <c r="Q17" s="189"/>
      <c r="R17" s="186"/>
      <c r="S17" s="187"/>
      <c r="T17" s="187"/>
      <c r="U17" s="188"/>
      <c r="V17" s="189"/>
      <c r="W17" s="190"/>
      <c r="X17" s="191"/>
    </row>
    <row r="18" spans="1:24" ht="18.75" customHeight="1" thickBot="1" x14ac:dyDescent="0.3">
      <c r="A18" s="788" t="s">
        <v>109</v>
      </c>
      <c r="B18" s="789"/>
      <c r="C18" s="789"/>
      <c r="D18" s="790"/>
      <c r="E18" s="174">
        <f>SUM(E12:E16)</f>
        <v>0</v>
      </c>
      <c r="F18" s="171">
        <f t="shared" ref="F18:R18" si="14">SUM(F12:F16)</f>
        <v>0</v>
      </c>
      <c r="G18" s="171">
        <f t="shared" si="14"/>
        <v>0</v>
      </c>
      <c r="H18" s="171">
        <f t="shared" si="14"/>
        <v>0</v>
      </c>
      <c r="I18" s="171">
        <f t="shared" si="14"/>
        <v>0</v>
      </c>
      <c r="J18" s="171">
        <f t="shared" si="14"/>
        <v>0</v>
      </c>
      <c r="K18" s="171">
        <f t="shared" si="14"/>
        <v>97000</v>
      </c>
      <c r="L18" s="171">
        <f t="shared" si="14"/>
        <v>0</v>
      </c>
      <c r="M18" s="171">
        <f t="shared" si="14"/>
        <v>97000</v>
      </c>
      <c r="N18" s="171">
        <f t="shared" si="14"/>
        <v>0</v>
      </c>
      <c r="O18" s="171">
        <f t="shared" si="14"/>
        <v>97000</v>
      </c>
      <c r="P18" s="172">
        <f t="shared" si="14"/>
        <v>103208</v>
      </c>
      <c r="Q18" s="173">
        <f t="shared" si="2"/>
        <v>394208</v>
      </c>
      <c r="R18" s="174">
        <f t="shared" si="14"/>
        <v>174406</v>
      </c>
      <c r="S18" s="171">
        <f t="shared" ref="S18" si="15">SUM(S12:S16)</f>
        <v>271406</v>
      </c>
      <c r="T18" s="171">
        <f t="shared" ref="T18" si="16">SUM(T12:T16)</f>
        <v>278681</v>
      </c>
      <c r="U18" s="172">
        <f t="shared" ref="U18:X18" si="17">SUM(U12:U16)</f>
        <v>271406</v>
      </c>
      <c r="V18" s="173">
        <f t="shared" si="17"/>
        <v>995899</v>
      </c>
      <c r="W18" s="175">
        <f t="shared" si="17"/>
        <v>2076576</v>
      </c>
      <c r="X18" s="193">
        <f t="shared" si="17"/>
        <v>6847812</v>
      </c>
    </row>
    <row r="19" spans="1:24" ht="18.75" customHeight="1" outlineLevel="1" thickTop="1" x14ac:dyDescent="0.25">
      <c r="A19" s="155" t="s">
        <v>111</v>
      </c>
      <c r="B19" s="791" t="str">
        <f>Plankosten!A40</f>
        <v>Materialeinsatz</v>
      </c>
      <c r="C19" s="791"/>
      <c r="D19" s="792"/>
      <c r="E19" s="177">
        <f>-Plankosten!E45</f>
        <v>0</v>
      </c>
      <c r="F19" s="7">
        <f>-Plankosten!F45</f>
        <v>0</v>
      </c>
      <c r="G19" s="7">
        <f>-Plankosten!G45</f>
        <v>0</v>
      </c>
      <c r="H19" s="7">
        <f>-Plankosten!H45</f>
        <v>0</v>
      </c>
      <c r="I19" s="7">
        <f>-Plankosten!I45</f>
        <v>0</v>
      </c>
      <c r="J19" s="7">
        <f>-Plankosten!J45</f>
        <v>0</v>
      </c>
      <c r="K19" s="7">
        <f>-Plankosten!K45</f>
        <v>0</v>
      </c>
      <c r="L19" s="7">
        <f>-Plankosten!L45</f>
        <v>0</v>
      </c>
      <c r="M19" s="7">
        <f>-Plankosten!M45</f>
        <v>0</v>
      </c>
      <c r="N19" s="7">
        <f>-Plankosten!N45</f>
        <v>0</v>
      </c>
      <c r="O19" s="7">
        <f>-Plankosten!O45</f>
        <v>0</v>
      </c>
      <c r="P19" s="178">
        <f>-Plankosten!P45</f>
        <v>0</v>
      </c>
      <c r="Q19" s="8">
        <f t="shared" si="2"/>
        <v>0</v>
      </c>
      <c r="R19" s="177">
        <f>-Plankosten!R45</f>
        <v>0</v>
      </c>
      <c r="S19" s="7">
        <f>-Plankosten!S45</f>
        <v>0</v>
      </c>
      <c r="T19" s="7">
        <f>-Plankosten!T45</f>
        <v>0</v>
      </c>
      <c r="U19" s="178">
        <f>-Plankosten!U45</f>
        <v>0</v>
      </c>
      <c r="V19" s="8">
        <f t="shared" si="6"/>
        <v>0</v>
      </c>
      <c r="W19" s="179">
        <f>-Plankosten!W45</f>
        <v>0</v>
      </c>
      <c r="X19" s="180">
        <f>-Plankosten!X45</f>
        <v>0</v>
      </c>
    </row>
    <row r="20" spans="1:24" ht="18.75" customHeight="1" outlineLevel="1" thickBot="1" x14ac:dyDescent="0.3">
      <c r="A20" s="156" t="s">
        <v>111</v>
      </c>
      <c r="B20" s="786" t="str">
        <f>Plankosten!A47</f>
        <v>Roh-, Betriebs- uns Hilfsstoffe</v>
      </c>
      <c r="C20" s="786"/>
      <c r="D20" s="787"/>
      <c r="E20" s="194">
        <f>-Plankosten!E52</f>
        <v>0</v>
      </c>
      <c r="F20" s="127">
        <f>-Plankosten!F52</f>
        <v>0</v>
      </c>
      <c r="G20" s="127">
        <f>-Plankosten!G52</f>
        <v>0</v>
      </c>
      <c r="H20" s="127">
        <f>-Plankosten!H52</f>
        <v>0</v>
      </c>
      <c r="I20" s="127">
        <f>-Plankosten!I52</f>
        <v>0</v>
      </c>
      <c r="J20" s="127">
        <f>-Plankosten!J52</f>
        <v>0</v>
      </c>
      <c r="K20" s="127">
        <f>-Plankosten!K52</f>
        <v>0</v>
      </c>
      <c r="L20" s="127">
        <f>-Plankosten!L52</f>
        <v>0</v>
      </c>
      <c r="M20" s="127">
        <f>-Plankosten!M52</f>
        <v>0</v>
      </c>
      <c r="N20" s="127">
        <f>-Plankosten!N52</f>
        <v>0</v>
      </c>
      <c r="O20" s="127">
        <f>-Plankosten!O52</f>
        <v>0</v>
      </c>
      <c r="P20" s="157">
        <f>-Plankosten!P52</f>
        <v>0</v>
      </c>
      <c r="Q20" s="132">
        <f t="shared" si="2"/>
        <v>0</v>
      </c>
      <c r="R20" s="194">
        <f>-Plankosten!R52</f>
        <v>0</v>
      </c>
      <c r="S20" s="127">
        <f>-Plankosten!S52</f>
        <v>0</v>
      </c>
      <c r="T20" s="127">
        <f>-Plankosten!T52</f>
        <v>0</v>
      </c>
      <c r="U20" s="157">
        <f>-Plankosten!U52</f>
        <v>0</v>
      </c>
      <c r="V20" s="132">
        <f t="shared" si="6"/>
        <v>0</v>
      </c>
      <c r="W20" s="195">
        <f>-Plankosten!W52</f>
        <v>0</v>
      </c>
      <c r="X20" s="196">
        <f>-Plankosten!X52</f>
        <v>0</v>
      </c>
    </row>
    <row r="21" spans="1:24" s="192" customFormat="1" ht="7.5" customHeight="1" outlineLevel="1" thickTop="1" x14ac:dyDescent="0.25">
      <c r="A21" s="159"/>
      <c r="B21" s="160"/>
      <c r="C21" s="160"/>
      <c r="D21" s="161"/>
      <c r="E21" s="186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8"/>
      <c r="Q21" s="189"/>
      <c r="R21" s="186"/>
      <c r="S21" s="187"/>
      <c r="T21" s="187"/>
      <c r="U21" s="188"/>
      <c r="V21" s="189"/>
      <c r="W21" s="190"/>
      <c r="X21" s="191"/>
    </row>
    <row r="22" spans="1:24" ht="18.75" customHeight="1" thickBot="1" x14ac:dyDescent="0.3">
      <c r="A22" s="788" t="s">
        <v>110</v>
      </c>
      <c r="B22" s="789"/>
      <c r="C22" s="789"/>
      <c r="D22" s="790"/>
      <c r="E22" s="174">
        <f>SUM(E18:E20)</f>
        <v>0</v>
      </c>
      <c r="F22" s="171">
        <f t="shared" ref="F22:X22" si="18">SUM(F18:F20)</f>
        <v>0</v>
      </c>
      <c r="G22" s="171">
        <f t="shared" si="18"/>
        <v>0</v>
      </c>
      <c r="H22" s="171">
        <f t="shared" si="18"/>
        <v>0</v>
      </c>
      <c r="I22" s="171">
        <f t="shared" si="18"/>
        <v>0</v>
      </c>
      <c r="J22" s="171">
        <f t="shared" si="18"/>
        <v>0</v>
      </c>
      <c r="K22" s="171">
        <f t="shared" si="18"/>
        <v>97000</v>
      </c>
      <c r="L22" s="171">
        <f t="shared" si="18"/>
        <v>0</v>
      </c>
      <c r="M22" s="171">
        <f t="shared" si="18"/>
        <v>97000</v>
      </c>
      <c r="N22" s="171">
        <f t="shared" si="18"/>
        <v>0</v>
      </c>
      <c r="O22" s="171">
        <f t="shared" si="18"/>
        <v>97000</v>
      </c>
      <c r="P22" s="172">
        <f t="shared" si="18"/>
        <v>103208</v>
      </c>
      <c r="Q22" s="173">
        <f t="shared" si="2"/>
        <v>394208</v>
      </c>
      <c r="R22" s="174">
        <f t="shared" si="18"/>
        <v>174406</v>
      </c>
      <c r="S22" s="171">
        <f t="shared" si="18"/>
        <v>271406</v>
      </c>
      <c r="T22" s="171">
        <f t="shared" si="18"/>
        <v>278681</v>
      </c>
      <c r="U22" s="172">
        <f t="shared" si="18"/>
        <v>271406</v>
      </c>
      <c r="V22" s="173">
        <f t="shared" si="18"/>
        <v>995899</v>
      </c>
      <c r="W22" s="175">
        <f t="shared" si="18"/>
        <v>2076576</v>
      </c>
      <c r="X22" s="193">
        <f t="shared" si="18"/>
        <v>6847812</v>
      </c>
    </row>
    <row r="23" spans="1:24" ht="18.75" customHeight="1" outlineLevel="1" thickTop="1" x14ac:dyDescent="0.25">
      <c r="A23" s="155" t="s">
        <v>111</v>
      </c>
      <c r="B23" s="791" t="str">
        <f>Plankosten!A32</f>
        <v>Personalkosten</v>
      </c>
      <c r="C23" s="791"/>
      <c r="D23" s="792"/>
      <c r="E23" s="177">
        <f>-Plankosten!E38</f>
        <v>-10840</v>
      </c>
      <c r="F23" s="7">
        <f>-Plankosten!F38</f>
        <v>-13148</v>
      </c>
      <c r="G23" s="7">
        <f>-Plankosten!G38</f>
        <v>-16796</v>
      </c>
      <c r="H23" s="7">
        <f>-Plankosten!H38</f>
        <v>-20444</v>
      </c>
      <c r="I23" s="7">
        <f>-Plankosten!I38</f>
        <v>-38980.666666666672</v>
      </c>
      <c r="J23" s="7">
        <f>-Plankosten!J38</f>
        <v>-20444</v>
      </c>
      <c r="K23" s="7">
        <f>-Plankosten!K38</f>
        <v>-20444</v>
      </c>
      <c r="L23" s="7">
        <f>-Plankosten!L38</f>
        <v>-20444</v>
      </c>
      <c r="M23" s="7">
        <f>-Plankosten!M38</f>
        <v>-20444</v>
      </c>
      <c r="N23" s="7">
        <f>-Plankosten!N38</f>
        <v>-20444</v>
      </c>
      <c r="O23" s="7">
        <f>-Plankosten!O38</f>
        <v>-38980.666666666672</v>
      </c>
      <c r="P23" s="178">
        <f>-Plankosten!P38</f>
        <v>-20444</v>
      </c>
      <c r="Q23" s="8">
        <f t="shared" si="2"/>
        <v>-261853.33333333337</v>
      </c>
      <c r="R23" s="177">
        <f>-Plankosten!R38</f>
        <v>-97983</v>
      </c>
      <c r="S23" s="7">
        <f>-Plankosten!S38</f>
        <v>-132102.75</v>
      </c>
      <c r="T23" s="7">
        <f>-Plankosten!T38</f>
        <v>-108625.5</v>
      </c>
      <c r="U23" s="178">
        <f>-Plankosten!U38</f>
        <v>-142745.25</v>
      </c>
      <c r="V23" s="8">
        <f t="shared" si="6"/>
        <v>-481456.5</v>
      </c>
      <c r="W23" s="179">
        <f>-Plankosten!W38</f>
        <v>-747916.11</v>
      </c>
      <c r="X23" s="180">
        <f>-Plankosten!X38</f>
        <v>-785041.91549999989</v>
      </c>
    </row>
    <row r="24" spans="1:24" ht="30" customHeight="1" outlineLevel="1" x14ac:dyDescent="0.25">
      <c r="A24" s="181" t="s">
        <v>111</v>
      </c>
      <c r="B24" s="799" t="str">
        <f>Plankosten!A54</f>
        <v>Sonstige betriebliche Aufwendungen
(Miete, Pacht, Betriebskosten)</v>
      </c>
      <c r="C24" s="799"/>
      <c r="D24" s="800"/>
      <c r="E24" s="182">
        <f>-Plankosten!E61</f>
        <v>-1271</v>
      </c>
      <c r="F24" s="11">
        <f>-Plankosten!F61</f>
        <v>-1271</v>
      </c>
      <c r="G24" s="11">
        <f>-Plankosten!G61</f>
        <v>-1271</v>
      </c>
      <c r="H24" s="11">
        <f>-Plankosten!H61</f>
        <v>-1271</v>
      </c>
      <c r="I24" s="11">
        <f>-Plankosten!I61</f>
        <v>-1271</v>
      </c>
      <c r="J24" s="11">
        <f>-Plankosten!J61</f>
        <v>-1271</v>
      </c>
      <c r="K24" s="11">
        <f>-Plankosten!K61</f>
        <v>-1271</v>
      </c>
      <c r="L24" s="11">
        <f>-Plankosten!L61</f>
        <v>-1271</v>
      </c>
      <c r="M24" s="11">
        <f>-Plankosten!M61</f>
        <v>-1271</v>
      </c>
      <c r="N24" s="11">
        <f>-Plankosten!N61</f>
        <v>-1271</v>
      </c>
      <c r="O24" s="11">
        <f>-Plankosten!O61</f>
        <v>-1271</v>
      </c>
      <c r="P24" s="183">
        <f>-Plankosten!P61</f>
        <v>-1271</v>
      </c>
      <c r="Q24" s="12">
        <f t="shared" si="2"/>
        <v>-15252</v>
      </c>
      <c r="R24" s="182">
        <f>-Plankosten!R61</f>
        <v>-3813</v>
      </c>
      <c r="S24" s="11">
        <f>-Plankosten!S61</f>
        <v>-3813</v>
      </c>
      <c r="T24" s="11">
        <f>-Plankosten!T61</f>
        <v>-3813</v>
      </c>
      <c r="U24" s="183">
        <f>-Plankosten!U61</f>
        <v>-3813</v>
      </c>
      <c r="V24" s="12">
        <f t="shared" si="6"/>
        <v>-15252</v>
      </c>
      <c r="W24" s="184">
        <f>-Plankosten!W61</f>
        <v>-15252</v>
      </c>
      <c r="X24" s="185">
        <f>-Plankosten!X61</f>
        <v>-15252</v>
      </c>
    </row>
    <row r="25" spans="1:24" ht="18.75" customHeight="1" outlineLevel="1" x14ac:dyDescent="0.25">
      <c r="A25" s="181" t="s">
        <v>111</v>
      </c>
      <c r="B25" s="784" t="str">
        <f>Plankosten!A63</f>
        <v>Instandhaltung</v>
      </c>
      <c r="C25" s="784"/>
      <c r="D25" s="785"/>
      <c r="E25" s="182">
        <f>-Plankosten!E68</f>
        <v>0</v>
      </c>
      <c r="F25" s="11">
        <f>-Plankosten!F68</f>
        <v>0</v>
      </c>
      <c r="G25" s="11">
        <f>-Plankosten!G68</f>
        <v>0</v>
      </c>
      <c r="H25" s="11">
        <f>-Plankosten!H68</f>
        <v>0</v>
      </c>
      <c r="I25" s="11">
        <f>-Plankosten!I68</f>
        <v>0</v>
      </c>
      <c r="J25" s="11">
        <f>-Plankosten!J68</f>
        <v>0</v>
      </c>
      <c r="K25" s="11">
        <f>-Plankosten!K68</f>
        <v>0</v>
      </c>
      <c r="L25" s="11">
        <f>-Plankosten!L68</f>
        <v>0</v>
      </c>
      <c r="M25" s="11">
        <f>-Plankosten!M68</f>
        <v>0</v>
      </c>
      <c r="N25" s="11">
        <f>-Plankosten!N68</f>
        <v>0</v>
      </c>
      <c r="O25" s="11">
        <f>-Plankosten!O68</f>
        <v>0</v>
      </c>
      <c r="P25" s="183">
        <f>-Plankosten!P68</f>
        <v>-2000</v>
      </c>
      <c r="Q25" s="12">
        <f t="shared" si="2"/>
        <v>-2000</v>
      </c>
      <c r="R25" s="182">
        <f>-Plankosten!R68</f>
        <v>0</v>
      </c>
      <c r="S25" s="11">
        <f>-Plankosten!S68</f>
        <v>0</v>
      </c>
      <c r="T25" s="11">
        <f>-Plankosten!T68</f>
        <v>0</v>
      </c>
      <c r="U25" s="183">
        <f>-Plankosten!U68</f>
        <v>-2000</v>
      </c>
      <c r="V25" s="12">
        <f t="shared" si="6"/>
        <v>-2000</v>
      </c>
      <c r="W25" s="184">
        <f>-Plankosten!W68</f>
        <v>-2000</v>
      </c>
      <c r="X25" s="185">
        <f>-Plankosten!X68</f>
        <v>-2000</v>
      </c>
    </row>
    <row r="26" spans="1:24" ht="18.75" customHeight="1" outlineLevel="1" x14ac:dyDescent="0.25">
      <c r="A26" s="181" t="s">
        <v>111</v>
      </c>
      <c r="B26" s="784" t="str">
        <f>Plankosten!A70</f>
        <v>Kfz-Kosten und Reisekosten</v>
      </c>
      <c r="C26" s="784"/>
      <c r="D26" s="785"/>
      <c r="E26" s="182">
        <f>-Plankosten!E78</f>
        <v>-2000</v>
      </c>
      <c r="F26" s="11">
        <f>-Plankosten!F78</f>
        <v>-500</v>
      </c>
      <c r="G26" s="11">
        <f>-Plankosten!G78</f>
        <v>-500</v>
      </c>
      <c r="H26" s="11">
        <f>-Plankosten!H78</f>
        <v>-500</v>
      </c>
      <c r="I26" s="11">
        <f>-Plankosten!I78</f>
        <v>-500</v>
      </c>
      <c r="J26" s="11">
        <f>-Plankosten!J78</f>
        <v>-500</v>
      </c>
      <c r="K26" s="11">
        <f>-Plankosten!K78</f>
        <v>-500</v>
      </c>
      <c r="L26" s="11">
        <f>-Plankosten!L78</f>
        <v>-500</v>
      </c>
      <c r="M26" s="11">
        <f>-Plankosten!M78</f>
        <v>-500</v>
      </c>
      <c r="N26" s="11">
        <f>-Plankosten!N78</f>
        <v>-500</v>
      </c>
      <c r="O26" s="11">
        <f>-Plankosten!O78</f>
        <v>-500</v>
      </c>
      <c r="P26" s="183">
        <f>-Plankosten!P78</f>
        <v>-500</v>
      </c>
      <c r="Q26" s="12">
        <f t="shared" si="2"/>
        <v>-7500</v>
      </c>
      <c r="R26" s="182">
        <f>-Plankosten!R78</f>
        <v>-7000</v>
      </c>
      <c r="S26" s="11">
        <f>-Plankosten!S78</f>
        <v>-1500</v>
      </c>
      <c r="T26" s="11">
        <f>-Plankosten!T78</f>
        <v>-1500</v>
      </c>
      <c r="U26" s="183">
        <f>-Plankosten!U78</f>
        <v>-1500</v>
      </c>
      <c r="V26" s="12">
        <f t="shared" si="6"/>
        <v>-11500</v>
      </c>
      <c r="W26" s="184">
        <f>-Plankosten!W78</f>
        <v>-14000</v>
      </c>
      <c r="X26" s="185">
        <f>-Plankosten!X78</f>
        <v>-14000</v>
      </c>
    </row>
    <row r="27" spans="1:24" ht="18.75" customHeight="1" outlineLevel="1" x14ac:dyDescent="0.25">
      <c r="A27" s="181" t="s">
        <v>111</v>
      </c>
      <c r="B27" s="784" t="str">
        <f>Plankosten!A80</f>
        <v>Büromaterial</v>
      </c>
      <c r="C27" s="784"/>
      <c r="D27" s="785"/>
      <c r="E27" s="182">
        <f>-Plankosten!E86</f>
        <v>-3400</v>
      </c>
      <c r="F27" s="11">
        <f>-Plankosten!F86</f>
        <v>-3400</v>
      </c>
      <c r="G27" s="11">
        <f>-Plankosten!G86</f>
        <v>-3400</v>
      </c>
      <c r="H27" s="11">
        <f>-Plankosten!H86</f>
        <v>-3400</v>
      </c>
      <c r="I27" s="11">
        <f>-Plankosten!I86</f>
        <v>-3400</v>
      </c>
      <c r="J27" s="11">
        <f>-Plankosten!J86</f>
        <v>-3400</v>
      </c>
      <c r="K27" s="11">
        <f>-Plankosten!K86</f>
        <v>-3400</v>
      </c>
      <c r="L27" s="11">
        <f>-Plankosten!L86</f>
        <v>-3400</v>
      </c>
      <c r="M27" s="11">
        <f>-Plankosten!M86</f>
        <v>-3400</v>
      </c>
      <c r="N27" s="11">
        <f>-Plankosten!N86</f>
        <v>-3400</v>
      </c>
      <c r="O27" s="11">
        <f>-Plankosten!O86</f>
        <v>-3400</v>
      </c>
      <c r="P27" s="183">
        <f>-Plankosten!P86</f>
        <v>-3400</v>
      </c>
      <c r="Q27" s="12">
        <f t="shared" si="2"/>
        <v>-40800</v>
      </c>
      <c r="R27" s="182">
        <f>-Plankosten!R86</f>
        <v>-10200</v>
      </c>
      <c r="S27" s="11">
        <f>-Plankosten!S86</f>
        <v>-10200</v>
      </c>
      <c r="T27" s="11">
        <f>-Plankosten!T86</f>
        <v>-10200</v>
      </c>
      <c r="U27" s="183">
        <f>-Plankosten!U86</f>
        <v>-10200</v>
      </c>
      <c r="V27" s="12">
        <f t="shared" si="6"/>
        <v>-40800</v>
      </c>
      <c r="W27" s="184">
        <f>-Plankosten!W86</f>
        <v>-40800</v>
      </c>
      <c r="X27" s="185">
        <f>-Plankosten!X86</f>
        <v>-40800</v>
      </c>
    </row>
    <row r="28" spans="1:24" ht="18.75" customHeight="1" outlineLevel="1" x14ac:dyDescent="0.25">
      <c r="A28" s="181" t="s">
        <v>111</v>
      </c>
      <c r="B28" s="784" t="str">
        <f>Plankosten!A88</f>
        <v>Telefon / Fax / Internet</v>
      </c>
      <c r="C28" s="784"/>
      <c r="D28" s="785"/>
      <c r="E28" s="182">
        <f>-Plankosten!E94</f>
        <v>-588</v>
      </c>
      <c r="F28" s="11">
        <f>-Plankosten!F94</f>
        <v>-588</v>
      </c>
      <c r="G28" s="11">
        <f>-Plankosten!G94</f>
        <v>-588</v>
      </c>
      <c r="H28" s="11">
        <f>-Plankosten!H94</f>
        <v>-588</v>
      </c>
      <c r="I28" s="11">
        <f>-Plankosten!I94</f>
        <v>-588</v>
      </c>
      <c r="J28" s="11">
        <f>-Plankosten!J94</f>
        <v>-588</v>
      </c>
      <c r="K28" s="11">
        <f>-Plankosten!K94</f>
        <v>-588</v>
      </c>
      <c r="L28" s="11">
        <f>-Plankosten!L94</f>
        <v>-588</v>
      </c>
      <c r="M28" s="11">
        <f>-Plankosten!M94</f>
        <v>-588</v>
      </c>
      <c r="N28" s="11">
        <f>-Plankosten!N94</f>
        <v>-588</v>
      </c>
      <c r="O28" s="11">
        <f>-Plankosten!O94</f>
        <v>-588</v>
      </c>
      <c r="P28" s="183">
        <f>-Plankosten!P94</f>
        <v>-588</v>
      </c>
      <c r="Q28" s="12">
        <f t="shared" si="2"/>
        <v>-7056</v>
      </c>
      <c r="R28" s="182">
        <f>-Plankosten!R94</f>
        <v>-1764</v>
      </c>
      <c r="S28" s="11">
        <f>-Plankosten!S94</f>
        <v>-1764</v>
      </c>
      <c r="T28" s="11">
        <f>-Plankosten!T94</f>
        <v>-1764</v>
      </c>
      <c r="U28" s="183">
        <f>-Plankosten!U94</f>
        <v>-1764</v>
      </c>
      <c r="V28" s="12">
        <f t="shared" si="6"/>
        <v>-7056</v>
      </c>
      <c r="W28" s="184">
        <f>-Plankosten!W94</f>
        <v>-7056</v>
      </c>
      <c r="X28" s="185">
        <f>-Plankosten!X94</f>
        <v>-7056</v>
      </c>
    </row>
    <row r="29" spans="1:24" ht="18.75" customHeight="1" outlineLevel="1" x14ac:dyDescent="0.25">
      <c r="A29" s="181" t="s">
        <v>111</v>
      </c>
      <c r="B29" s="784" t="str">
        <f>Plankosten!A96</f>
        <v>Steuer- und Rechtsberatung</v>
      </c>
      <c r="C29" s="784"/>
      <c r="D29" s="785"/>
      <c r="E29" s="182">
        <f>-Plankosten!E103</f>
        <v>-300</v>
      </c>
      <c r="F29" s="11">
        <f>-Plankosten!F103</f>
        <v>-300</v>
      </c>
      <c r="G29" s="11">
        <f>-Plankosten!G103</f>
        <v>-2300</v>
      </c>
      <c r="H29" s="11">
        <f>-Plankosten!H103</f>
        <v>-300</v>
      </c>
      <c r="I29" s="11">
        <f>-Plankosten!I103</f>
        <v>-300</v>
      </c>
      <c r="J29" s="11">
        <f>-Plankosten!J103</f>
        <v>-300</v>
      </c>
      <c r="K29" s="11">
        <f>-Plankosten!K103</f>
        <v>-300</v>
      </c>
      <c r="L29" s="11">
        <f>-Plankosten!L103</f>
        <v>-300</v>
      </c>
      <c r="M29" s="11">
        <f>-Plankosten!M103</f>
        <v>-300</v>
      </c>
      <c r="N29" s="11">
        <f>-Plankosten!N103</f>
        <v>-3300</v>
      </c>
      <c r="O29" s="11">
        <f>-Plankosten!O103</f>
        <v>-300</v>
      </c>
      <c r="P29" s="183">
        <f>-Plankosten!P103</f>
        <v>-300</v>
      </c>
      <c r="Q29" s="12">
        <f t="shared" si="2"/>
        <v>-8600</v>
      </c>
      <c r="R29" s="182">
        <f>-Plankosten!R103</f>
        <v>-900</v>
      </c>
      <c r="S29" s="11">
        <f>-Plankosten!S103</f>
        <v>-900</v>
      </c>
      <c r="T29" s="11">
        <f>-Plankosten!T103</f>
        <v>-900</v>
      </c>
      <c r="U29" s="183">
        <f>-Plankosten!U103</f>
        <v>-3900</v>
      </c>
      <c r="V29" s="12">
        <f t="shared" si="6"/>
        <v>-6600</v>
      </c>
      <c r="W29" s="184">
        <f>-Plankosten!W103</f>
        <v>-6600</v>
      </c>
      <c r="X29" s="185">
        <f>-Plankosten!X103</f>
        <v>-6600</v>
      </c>
    </row>
    <row r="30" spans="1:24" ht="18.75" customHeight="1" outlineLevel="1" x14ac:dyDescent="0.25">
      <c r="A30" s="181" t="s">
        <v>111</v>
      </c>
      <c r="B30" s="784" t="str">
        <f>Plankosten!A105</f>
        <v>Werbungskosten</v>
      </c>
      <c r="C30" s="784"/>
      <c r="D30" s="785"/>
      <c r="E30" s="182">
        <f>-Plankosten!E111</f>
        <v>0</v>
      </c>
      <c r="F30" s="11">
        <f>-Plankosten!F111</f>
        <v>0</v>
      </c>
      <c r="G30" s="11">
        <f>-Plankosten!G111</f>
        <v>0</v>
      </c>
      <c r="H30" s="11">
        <f>-Plankosten!H111</f>
        <v>0</v>
      </c>
      <c r="I30" s="11">
        <f>-Plankosten!I111</f>
        <v>0</v>
      </c>
      <c r="J30" s="11">
        <f>-Plankosten!J111</f>
        <v>0</v>
      </c>
      <c r="K30" s="11">
        <f>-Plankosten!K111</f>
        <v>0</v>
      </c>
      <c r="L30" s="11">
        <f>-Plankosten!L111</f>
        <v>0</v>
      </c>
      <c r="M30" s="11">
        <f>-Plankosten!M111</f>
        <v>0</v>
      </c>
      <c r="N30" s="11">
        <f>-Plankosten!N111</f>
        <v>0</v>
      </c>
      <c r="O30" s="11">
        <f>-Plankosten!O111</f>
        <v>0</v>
      </c>
      <c r="P30" s="183">
        <f>-Plankosten!P111</f>
        <v>-40000</v>
      </c>
      <c r="Q30" s="12">
        <f t="shared" si="2"/>
        <v>-40000</v>
      </c>
      <c r="R30" s="182">
        <f>-Plankosten!R111</f>
        <v>0</v>
      </c>
      <c r="S30" s="11">
        <f>-Plankosten!S111</f>
        <v>0</v>
      </c>
      <c r="T30" s="11">
        <f>-Plankosten!T111</f>
        <v>0</v>
      </c>
      <c r="U30" s="183">
        <f>-Plankosten!U111</f>
        <v>-40000</v>
      </c>
      <c r="V30" s="12">
        <f t="shared" si="6"/>
        <v>-40000</v>
      </c>
      <c r="W30" s="184">
        <f>-Plankosten!W111</f>
        <v>-40000</v>
      </c>
      <c r="X30" s="185">
        <f>-Plankosten!X111</f>
        <v>-40000</v>
      </c>
    </row>
    <row r="31" spans="1:24" ht="18.75" customHeight="1" outlineLevel="1" x14ac:dyDescent="0.25">
      <c r="A31" s="181" t="s">
        <v>111</v>
      </c>
      <c r="B31" s="784" t="str">
        <f>Plankosten!A113</f>
        <v>Gebühren, Kammerbeiträge</v>
      </c>
      <c r="C31" s="784"/>
      <c r="D31" s="785"/>
      <c r="E31" s="182">
        <f>-Plankosten!E120</f>
        <v>-162.59235484104164</v>
      </c>
      <c r="F31" s="11">
        <f>-Plankosten!F120</f>
        <v>-362.59235484104164</v>
      </c>
      <c r="G31" s="11">
        <f>-Plankosten!G120</f>
        <v>-162.59235484104164</v>
      </c>
      <c r="H31" s="11">
        <f>-Plankosten!H120</f>
        <v>-162.59235484104164</v>
      </c>
      <c r="I31" s="11">
        <f>-Plankosten!I120</f>
        <v>-362.59235484104164</v>
      </c>
      <c r="J31" s="11">
        <f>-Plankosten!J120</f>
        <v>-162.59235484104164</v>
      </c>
      <c r="K31" s="11">
        <f>-Plankosten!K120</f>
        <v>-162.59235484104164</v>
      </c>
      <c r="L31" s="11">
        <f>-Plankosten!L120</f>
        <v>-362.59235484104164</v>
      </c>
      <c r="M31" s="11">
        <f>-Plankosten!M120</f>
        <v>-162.59235484104164</v>
      </c>
      <c r="N31" s="11">
        <f>-Plankosten!N120</f>
        <v>-162.59235484104164</v>
      </c>
      <c r="O31" s="11">
        <f>-Plankosten!O120</f>
        <v>-362.59235484104164</v>
      </c>
      <c r="P31" s="183">
        <f>-Plankosten!P120</f>
        <v>-162.59235484104164</v>
      </c>
      <c r="Q31" s="12">
        <f t="shared" si="2"/>
        <v>-2751.1082580924995</v>
      </c>
      <c r="R31" s="182">
        <f>-Plankosten!R120</f>
        <v>-687.77706452312498</v>
      </c>
      <c r="S31" s="11">
        <f>-Plankosten!S120</f>
        <v>-687.77706452312498</v>
      </c>
      <c r="T31" s="11">
        <f>-Plankosten!T120</f>
        <v>-687.77706452312498</v>
      </c>
      <c r="U31" s="183">
        <f>-Plankosten!U120</f>
        <v>-687.77706452312498</v>
      </c>
      <c r="V31" s="12">
        <f t="shared" si="6"/>
        <v>-2751.1082580924999</v>
      </c>
      <c r="W31" s="184">
        <f>-Plankosten!W120</f>
        <v>-2751.1082580924999</v>
      </c>
      <c r="X31" s="185">
        <f>-Plankosten!X120</f>
        <v>-2751.1082580924999</v>
      </c>
    </row>
    <row r="32" spans="1:24" ht="18.75" customHeight="1" outlineLevel="1" x14ac:dyDescent="0.25">
      <c r="A32" s="181" t="s">
        <v>111</v>
      </c>
      <c r="B32" s="784" t="str">
        <f>Plankosten!A122</f>
        <v>Betriebsversicherung</v>
      </c>
      <c r="C32" s="784"/>
      <c r="D32" s="785"/>
      <c r="E32" s="182">
        <f>-Plankosten!E127</f>
        <v>0</v>
      </c>
      <c r="F32" s="11">
        <f>-Plankosten!F127</f>
        <v>0</v>
      </c>
      <c r="G32" s="11">
        <f>-Plankosten!G127</f>
        <v>0</v>
      </c>
      <c r="H32" s="11">
        <f>-Plankosten!H127</f>
        <v>0</v>
      </c>
      <c r="I32" s="11">
        <f>-Plankosten!I127</f>
        <v>0</v>
      </c>
      <c r="J32" s="11">
        <f>-Plankosten!J127</f>
        <v>0</v>
      </c>
      <c r="K32" s="11">
        <f>-Plankosten!K127</f>
        <v>0</v>
      </c>
      <c r="L32" s="11">
        <f>-Plankosten!L127</f>
        <v>0</v>
      </c>
      <c r="M32" s="11">
        <f>-Plankosten!M127</f>
        <v>0</v>
      </c>
      <c r="N32" s="11">
        <f>-Plankosten!N127</f>
        <v>0</v>
      </c>
      <c r="O32" s="11">
        <f>-Plankosten!O127</f>
        <v>0</v>
      </c>
      <c r="P32" s="183">
        <f>-Plankosten!P127</f>
        <v>0</v>
      </c>
      <c r="Q32" s="12">
        <f t="shared" si="2"/>
        <v>0</v>
      </c>
      <c r="R32" s="182">
        <f>-Plankosten!R127</f>
        <v>0</v>
      </c>
      <c r="S32" s="11">
        <f>-Plankosten!S127</f>
        <v>0</v>
      </c>
      <c r="T32" s="11">
        <f>-Plankosten!T127</f>
        <v>0</v>
      </c>
      <c r="U32" s="183">
        <f>-Plankosten!U127</f>
        <v>0</v>
      </c>
      <c r="V32" s="12">
        <f t="shared" si="6"/>
        <v>0</v>
      </c>
      <c r="W32" s="184">
        <f>-Plankosten!W127</f>
        <v>0</v>
      </c>
      <c r="X32" s="185">
        <f>-Plankosten!X127</f>
        <v>0</v>
      </c>
    </row>
    <row r="33" spans="1:24" ht="18.75" customHeight="1" outlineLevel="1" x14ac:dyDescent="0.25">
      <c r="A33" s="181" t="s">
        <v>111</v>
      </c>
      <c r="B33" s="784" t="str">
        <f>Plankosten!A129</f>
        <v>Leasinggebühren</v>
      </c>
      <c r="C33" s="784"/>
      <c r="D33" s="785"/>
      <c r="E33" s="182">
        <f>-Plankosten!E134</f>
        <v>-1500</v>
      </c>
      <c r="F33" s="11">
        <f>-Plankosten!F134</f>
        <v>-1500</v>
      </c>
      <c r="G33" s="11">
        <f>-Plankosten!G134</f>
        <v>-1500</v>
      </c>
      <c r="H33" s="11">
        <f>-Plankosten!H134</f>
        <v>-1500</v>
      </c>
      <c r="I33" s="11">
        <f>-Plankosten!I134</f>
        <v>-1500</v>
      </c>
      <c r="J33" s="11">
        <f>-Plankosten!J134</f>
        <v>-1500</v>
      </c>
      <c r="K33" s="11">
        <f>-Plankosten!K134</f>
        <v>-1500</v>
      </c>
      <c r="L33" s="11">
        <f>-Plankosten!L134</f>
        <v>-1500</v>
      </c>
      <c r="M33" s="11">
        <f>-Plankosten!M134</f>
        <v>-1500</v>
      </c>
      <c r="N33" s="11">
        <f>-Plankosten!N134</f>
        <v>-1500</v>
      </c>
      <c r="O33" s="11">
        <f>-Plankosten!O134</f>
        <v>-1500</v>
      </c>
      <c r="P33" s="183">
        <f>-Plankosten!P134</f>
        <v>-1500</v>
      </c>
      <c r="Q33" s="12">
        <f t="shared" si="2"/>
        <v>-18000</v>
      </c>
      <c r="R33" s="182">
        <f>-Plankosten!R134</f>
        <v>-4500</v>
      </c>
      <c r="S33" s="11">
        <f>-Plankosten!S134</f>
        <v>-4500</v>
      </c>
      <c r="T33" s="11">
        <f>-Plankosten!T134</f>
        <v>-4500</v>
      </c>
      <c r="U33" s="183">
        <f>-Plankosten!U134</f>
        <v>-4500</v>
      </c>
      <c r="V33" s="12">
        <f t="shared" si="6"/>
        <v>-18000</v>
      </c>
      <c r="W33" s="184">
        <f>-Plankosten!W134</f>
        <v>0</v>
      </c>
      <c r="X33" s="185">
        <f>-Plankosten!X134</f>
        <v>0</v>
      </c>
    </row>
    <row r="34" spans="1:24" ht="18.75" customHeight="1" outlineLevel="1" x14ac:dyDescent="0.25">
      <c r="A34" s="181" t="s">
        <v>111</v>
      </c>
      <c r="B34" s="784" t="str">
        <f>Plankosten!A136</f>
        <v>Spesen-, Bank-, Kreditgebühren</v>
      </c>
      <c r="C34" s="784"/>
      <c r="D34" s="785"/>
      <c r="E34" s="182">
        <f>-Plankosten!E141</f>
        <v>-50</v>
      </c>
      <c r="F34" s="11">
        <f>-Plankosten!F141</f>
        <v>0</v>
      </c>
      <c r="G34" s="11">
        <f>-Plankosten!G141</f>
        <v>0</v>
      </c>
      <c r="H34" s="11">
        <f>-Plankosten!H141</f>
        <v>-50</v>
      </c>
      <c r="I34" s="11">
        <f>-Plankosten!I141</f>
        <v>0</v>
      </c>
      <c r="J34" s="11">
        <f>-Plankosten!J141</f>
        <v>0</v>
      </c>
      <c r="K34" s="11">
        <f>-Plankosten!K141</f>
        <v>-50</v>
      </c>
      <c r="L34" s="11">
        <f>-Plankosten!L141</f>
        <v>0</v>
      </c>
      <c r="M34" s="11">
        <f>-Plankosten!M141</f>
        <v>0</v>
      </c>
      <c r="N34" s="11">
        <f>-Plankosten!N141</f>
        <v>-50</v>
      </c>
      <c r="O34" s="11">
        <f>-Plankosten!O141</f>
        <v>0</v>
      </c>
      <c r="P34" s="183">
        <f>-Plankosten!P141</f>
        <v>0</v>
      </c>
      <c r="Q34" s="12">
        <f t="shared" si="2"/>
        <v>-200</v>
      </c>
      <c r="R34" s="182">
        <f>-Plankosten!R141</f>
        <v>-50</v>
      </c>
      <c r="S34" s="11">
        <f>-Plankosten!S141</f>
        <v>-50</v>
      </c>
      <c r="T34" s="11">
        <f>-Plankosten!T141</f>
        <v>-50</v>
      </c>
      <c r="U34" s="183">
        <f>-Plankosten!U141</f>
        <v>-50</v>
      </c>
      <c r="V34" s="12">
        <f t="shared" si="6"/>
        <v>-200</v>
      </c>
      <c r="W34" s="184">
        <f>-Plankosten!W141</f>
        <v>-200</v>
      </c>
      <c r="X34" s="185">
        <f>-Plankosten!X141</f>
        <v>-200</v>
      </c>
    </row>
    <row r="35" spans="1:24" ht="18.75" customHeight="1" outlineLevel="1" x14ac:dyDescent="0.25">
      <c r="A35" s="181" t="s">
        <v>111</v>
      </c>
      <c r="B35" s="784" t="str">
        <f>Plankosten!A143</f>
        <v>Sonstige Kosten</v>
      </c>
      <c r="C35" s="784"/>
      <c r="D35" s="785"/>
      <c r="E35" s="182">
        <f>-Plankosten!E149</f>
        <v>0</v>
      </c>
      <c r="F35" s="11">
        <f>-Plankosten!F149</f>
        <v>0</v>
      </c>
      <c r="G35" s="11">
        <f>-Plankosten!G149</f>
        <v>0</v>
      </c>
      <c r="H35" s="11">
        <f>-Plankosten!H149</f>
        <v>0</v>
      </c>
      <c r="I35" s="11">
        <f>-Plankosten!I149</f>
        <v>-15000</v>
      </c>
      <c r="J35" s="11">
        <f>-Plankosten!J149</f>
        <v>0</v>
      </c>
      <c r="K35" s="11">
        <f>-Plankosten!K149</f>
        <v>0</v>
      </c>
      <c r="L35" s="11">
        <f>-Plankosten!L149</f>
        <v>0</v>
      </c>
      <c r="M35" s="11">
        <f>-Plankosten!M149</f>
        <v>0</v>
      </c>
      <c r="N35" s="11">
        <f>-Plankosten!N149</f>
        <v>0</v>
      </c>
      <c r="O35" s="11">
        <f>-Plankosten!O149</f>
        <v>0</v>
      </c>
      <c r="P35" s="183">
        <f>-Plankosten!P149</f>
        <v>0</v>
      </c>
      <c r="Q35" s="12">
        <f t="shared" si="2"/>
        <v>-15000</v>
      </c>
      <c r="R35" s="182">
        <f>-Plankosten!R149</f>
        <v>0</v>
      </c>
      <c r="S35" s="11">
        <f>-Plankosten!S149</f>
        <v>-15000</v>
      </c>
      <c r="T35" s="11">
        <f>-Plankosten!T149</f>
        <v>0</v>
      </c>
      <c r="U35" s="183">
        <f>-Plankosten!U149</f>
        <v>0</v>
      </c>
      <c r="V35" s="12">
        <f t="shared" si="6"/>
        <v>-15000</v>
      </c>
      <c r="W35" s="184">
        <f>-Plankosten!W149</f>
        <v>-15000</v>
      </c>
      <c r="X35" s="185">
        <f>-Plankosten!X149</f>
        <v>-15000</v>
      </c>
    </row>
    <row r="36" spans="1:24" ht="18.75" customHeight="1" outlineLevel="1" thickBot="1" x14ac:dyDescent="0.3">
      <c r="A36" s="156" t="s">
        <v>111</v>
      </c>
      <c r="B36" s="786" t="s">
        <v>135</v>
      </c>
      <c r="C36" s="786"/>
      <c r="D36" s="787"/>
      <c r="E36" s="194">
        <f>-(Abschreibung!$F$16/12)</f>
        <v>-1258.3333333333333</v>
      </c>
      <c r="F36" s="127">
        <f>-(Abschreibung!$F$16/12)</f>
        <v>-1258.3333333333333</v>
      </c>
      <c r="G36" s="127">
        <f>-(Abschreibung!$F$16/12)</f>
        <v>-1258.3333333333333</v>
      </c>
      <c r="H36" s="127">
        <f>-(Abschreibung!$F$16/12)</f>
        <v>-1258.3333333333333</v>
      </c>
      <c r="I36" s="127">
        <f>-(Abschreibung!$F$16/12)</f>
        <v>-1258.3333333333333</v>
      </c>
      <c r="J36" s="127">
        <f>-(Abschreibung!$F$16/12)</f>
        <v>-1258.3333333333333</v>
      </c>
      <c r="K36" s="127">
        <f>-(Abschreibung!$F$16/12)</f>
        <v>-1258.3333333333333</v>
      </c>
      <c r="L36" s="127">
        <f>-(Abschreibung!$F$16/12)</f>
        <v>-1258.3333333333333</v>
      </c>
      <c r="M36" s="127">
        <f>-(Abschreibung!$F$16/12)</f>
        <v>-1258.3333333333333</v>
      </c>
      <c r="N36" s="127">
        <f>-(Abschreibung!$F$16/12)</f>
        <v>-1258.3333333333333</v>
      </c>
      <c r="O36" s="127">
        <f>-(Abschreibung!$F$16/12)</f>
        <v>-1258.3333333333333</v>
      </c>
      <c r="P36" s="157">
        <f>-(Abschreibung!$F$16/12)</f>
        <v>-1258.3333333333333</v>
      </c>
      <c r="Q36" s="132">
        <f t="shared" si="2"/>
        <v>-15100.000000000002</v>
      </c>
      <c r="R36" s="157">
        <f>-(Abschreibung!$H$16/4)</f>
        <v>-4837.5</v>
      </c>
      <c r="S36" s="127">
        <f>-(Abschreibung!$H$16/4)</f>
        <v>-4837.5</v>
      </c>
      <c r="T36" s="127">
        <f>-(Abschreibung!$H$16/4)</f>
        <v>-4837.5</v>
      </c>
      <c r="U36" s="157">
        <f>-(Abschreibung!$H$16/4)</f>
        <v>-4837.5</v>
      </c>
      <c r="V36" s="132">
        <f t="shared" si="6"/>
        <v>-19350</v>
      </c>
      <c r="W36" s="195">
        <f>-(Abschreibung!$I$16)</f>
        <v>-63550</v>
      </c>
      <c r="X36" s="196">
        <f>-(Abschreibung!$K$16)</f>
        <v>-43950</v>
      </c>
    </row>
    <row r="37" spans="1:24" s="192" customFormat="1" ht="7.5" customHeight="1" outlineLevel="1" thickTop="1" x14ac:dyDescent="0.25">
      <c r="A37" s="159"/>
      <c r="B37" s="160"/>
      <c r="C37" s="160"/>
      <c r="D37" s="161"/>
      <c r="E37" s="186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8"/>
      <c r="Q37" s="189"/>
      <c r="R37" s="186"/>
      <c r="S37" s="187"/>
      <c r="T37" s="187"/>
      <c r="U37" s="188"/>
      <c r="V37" s="189"/>
      <c r="W37" s="190"/>
      <c r="X37" s="191"/>
    </row>
    <row r="38" spans="1:24" ht="18.75" customHeight="1" thickBot="1" x14ac:dyDescent="0.3">
      <c r="A38" s="788" t="s">
        <v>117</v>
      </c>
      <c r="B38" s="789"/>
      <c r="C38" s="789"/>
      <c r="D38" s="790"/>
      <c r="E38" s="174">
        <f>SUM(E22:E36)</f>
        <v>-21369.925688174375</v>
      </c>
      <c r="F38" s="171">
        <f t="shared" ref="F38:P38" si="19">SUM(F22:F36)</f>
        <v>-22327.925688174375</v>
      </c>
      <c r="G38" s="171">
        <f t="shared" si="19"/>
        <v>-27775.925688174375</v>
      </c>
      <c r="H38" s="171">
        <f t="shared" si="19"/>
        <v>-29473.925688174375</v>
      </c>
      <c r="I38" s="171">
        <f t="shared" si="19"/>
        <v>-63160.59235484105</v>
      </c>
      <c r="J38" s="171">
        <f t="shared" si="19"/>
        <v>-29423.925688174375</v>
      </c>
      <c r="K38" s="171">
        <f t="shared" si="19"/>
        <v>67526.074311825636</v>
      </c>
      <c r="L38" s="171">
        <f t="shared" si="19"/>
        <v>-29623.925688174375</v>
      </c>
      <c r="M38" s="171">
        <f t="shared" si="19"/>
        <v>67576.074311825636</v>
      </c>
      <c r="N38" s="171">
        <f t="shared" si="19"/>
        <v>-32473.925688174375</v>
      </c>
      <c r="O38" s="171">
        <f t="shared" si="19"/>
        <v>48839.40764515895</v>
      </c>
      <c r="P38" s="172">
        <f t="shared" si="19"/>
        <v>31784.074311825625</v>
      </c>
      <c r="Q38" s="173">
        <f t="shared" ref="Q38" si="20">SUM(Q22:Q36)</f>
        <v>-39904.441591425872</v>
      </c>
      <c r="R38" s="174">
        <f t="shared" ref="R38" si="21">SUM(R22:R36)</f>
        <v>42670.722935476871</v>
      </c>
      <c r="S38" s="171">
        <f t="shared" ref="S38" si="22">SUM(S22:S36)</f>
        <v>96050.972935476879</v>
      </c>
      <c r="T38" s="171">
        <f t="shared" ref="T38" si="23">SUM(T22:T36)</f>
        <v>141803.22293547686</v>
      </c>
      <c r="U38" s="172">
        <f t="shared" ref="U38" si="24">SUM(U22:U36)</f>
        <v>55408.472935476871</v>
      </c>
      <c r="V38" s="173">
        <f t="shared" ref="V38" si="25">SUM(V22:V36)</f>
        <v>335933.39174190752</v>
      </c>
      <c r="W38" s="175">
        <f t="shared" ref="W38" si="26">SUM(W22:W36)</f>
        <v>1121450.7817419076</v>
      </c>
      <c r="X38" s="193">
        <f t="shared" ref="X38" si="27">SUM(X22:X36)</f>
        <v>5875160.9762419071</v>
      </c>
    </row>
    <row r="39" spans="1:24" ht="18.75" customHeight="1" outlineLevel="1" thickTop="1" x14ac:dyDescent="0.25">
      <c r="A39" s="155" t="s">
        <v>111</v>
      </c>
      <c r="B39" s="791" t="s">
        <v>176</v>
      </c>
      <c r="C39" s="791"/>
      <c r="D39" s="792"/>
      <c r="E39" s="177">
        <f>-(Liquiditätsplan!E84+Liquiditätsplan!E86)/3</f>
        <v>-295.33144266130779</v>
      </c>
      <c r="F39" s="7">
        <f>-(Liquiditätsplan!E84+Liquiditätsplan!E86)/3</f>
        <v>-295.33144266130779</v>
      </c>
      <c r="G39" s="7">
        <f>-(Liquiditätsplan!E84+Liquiditätsplan!E86)/3</f>
        <v>-295.33144266130779</v>
      </c>
      <c r="H39" s="7">
        <f>-(Liquiditätsplan!H84+Liquiditätsplan!H86)/3</f>
        <v>-688.86789004719651</v>
      </c>
      <c r="I39" s="7">
        <f>-(Liquiditätsplan!H84+Liquiditätsplan!H86)/3</f>
        <v>-688.86789004719651</v>
      </c>
      <c r="J39" s="7">
        <f>-(Liquiditätsplan!H84+Liquiditätsplan!H86)/3</f>
        <v>-688.86789004719651</v>
      </c>
      <c r="K39" s="7">
        <f>-(Liquiditätsplan!K84+Liquiditätsplan!K86)/3</f>
        <v>-338.06986537615637</v>
      </c>
      <c r="L39" s="7">
        <f>-(Liquiditätsplan!K84+Liquiditätsplan!K86)/3</f>
        <v>-338.06986537615637</v>
      </c>
      <c r="M39" s="7">
        <f>-(Liquiditätsplan!K84+Liquiditätsplan!K86)/3</f>
        <v>-338.06986537615637</v>
      </c>
      <c r="N39" s="7">
        <f>-(Liquiditätsplan!N84+Liquiditätsplan!N86)/3</f>
        <v>-152.90945793859746</v>
      </c>
      <c r="O39" s="7">
        <f>-(Liquiditätsplan!N84+Liquiditätsplan!N86)/3</f>
        <v>-152.90945793859746</v>
      </c>
      <c r="P39" s="178">
        <f>-(Liquiditätsplan!N84+Liquiditätsplan!N86)/3</f>
        <v>-152.90945793859746</v>
      </c>
      <c r="Q39" s="8">
        <f t="shared" si="2"/>
        <v>-4425.5359680697748</v>
      </c>
      <c r="R39" s="177">
        <f>-(Liquiditätsplan!R84+Liquiditätsplan!R86)</f>
        <v>-959.76377857273974</v>
      </c>
      <c r="S39" s="7">
        <f>-(Liquiditätsplan!S84+Liquiditätsplan!S86)</f>
        <v>-65.724750683500901</v>
      </c>
      <c r="T39" s="7">
        <f>-(Liquiditätsplan!T84+Liquiditätsplan!T86)</f>
        <v>0</v>
      </c>
      <c r="U39" s="178">
        <f>-(Liquiditätsplan!U84+Liquiditätsplan!U86)</f>
        <v>0</v>
      </c>
      <c r="V39" s="8">
        <f t="shared" si="6"/>
        <v>-1025.4885292562406</v>
      </c>
      <c r="W39" s="179">
        <f>-(Liquiditätsplan!W84+Liquiditätsplan!W86)</f>
        <v>0</v>
      </c>
      <c r="X39" s="180">
        <f>-(Liquiditätsplan!X84+Liquiditätsplan!X86)</f>
        <v>0</v>
      </c>
    </row>
    <row r="40" spans="1:24" ht="18.75" customHeight="1" outlineLevel="1" thickBot="1" x14ac:dyDescent="0.3">
      <c r="A40" s="156" t="s">
        <v>112</v>
      </c>
      <c r="B40" s="786" t="s">
        <v>175</v>
      </c>
      <c r="C40" s="786"/>
      <c r="D40" s="787"/>
      <c r="E40" s="194">
        <f>Liquiditätsplan!E85/3</f>
        <v>0</v>
      </c>
      <c r="F40" s="127">
        <f>Liquiditätsplan!E85/3</f>
        <v>0</v>
      </c>
      <c r="G40" s="127">
        <f>Liquiditätsplan!E85/3</f>
        <v>0</v>
      </c>
      <c r="H40" s="127">
        <f>Liquiditätsplan!H85/3</f>
        <v>0</v>
      </c>
      <c r="I40" s="127">
        <f>Liquiditätsplan!H85/3</f>
        <v>0</v>
      </c>
      <c r="J40" s="127">
        <f>Liquiditätsplan!H85/3</f>
        <v>0</v>
      </c>
      <c r="K40" s="127">
        <f>Liquiditätsplan!K85/3</f>
        <v>0</v>
      </c>
      <c r="L40" s="127">
        <f>Liquiditätsplan!K85/3</f>
        <v>0</v>
      </c>
      <c r="M40" s="127">
        <f>Liquiditätsplan!K85/3</f>
        <v>0</v>
      </c>
      <c r="N40" s="127">
        <f>Liquiditätsplan!N85/3</f>
        <v>0</v>
      </c>
      <c r="O40" s="127">
        <f>Liquiditätsplan!N85/3</f>
        <v>0</v>
      </c>
      <c r="P40" s="157">
        <f>Liquiditätsplan!N85/3</f>
        <v>0</v>
      </c>
      <c r="Q40" s="132">
        <f t="shared" si="2"/>
        <v>0</v>
      </c>
      <c r="R40" s="194">
        <f>Liquiditätsplan!R85</f>
        <v>0</v>
      </c>
      <c r="S40" s="127">
        <f>Liquiditätsplan!S85</f>
        <v>0</v>
      </c>
      <c r="T40" s="127">
        <f>Liquiditätsplan!T85</f>
        <v>11.17002476170749</v>
      </c>
      <c r="U40" s="157">
        <f>Liquiditätsplan!U85</f>
        <v>36.215797943016995</v>
      </c>
      <c r="V40" s="132">
        <f t="shared" si="6"/>
        <v>47.385822704724482</v>
      </c>
      <c r="W40" s="195">
        <f>Liquiditätsplan!W85</f>
        <v>230.39859567791729</v>
      </c>
      <c r="X40" s="196">
        <f>Liquiditätsplan!X85</f>
        <v>299.5609912000096</v>
      </c>
    </row>
    <row r="41" spans="1:24" s="192" customFormat="1" ht="7.5" customHeight="1" outlineLevel="1" thickTop="1" x14ac:dyDescent="0.25">
      <c r="A41" s="159"/>
      <c r="B41" s="160"/>
      <c r="C41" s="160"/>
      <c r="D41" s="161"/>
      <c r="E41" s="186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8"/>
      <c r="Q41" s="189"/>
      <c r="R41" s="186"/>
      <c r="S41" s="187"/>
      <c r="T41" s="187"/>
      <c r="U41" s="188"/>
      <c r="V41" s="189"/>
      <c r="W41" s="190"/>
      <c r="X41" s="191"/>
    </row>
    <row r="42" spans="1:24" ht="18.75" customHeight="1" thickBot="1" x14ac:dyDescent="0.3">
      <c r="A42" s="788" t="s">
        <v>122</v>
      </c>
      <c r="B42" s="789"/>
      <c r="C42" s="789"/>
      <c r="D42" s="790"/>
      <c r="E42" s="174">
        <f>SUM(E39:E40)</f>
        <v>-295.33144266130779</v>
      </c>
      <c r="F42" s="171">
        <f t="shared" ref="F42:X42" si="28">SUM(F39:F40)</f>
        <v>-295.33144266130779</v>
      </c>
      <c r="G42" s="171">
        <f t="shared" si="28"/>
        <v>-295.33144266130779</v>
      </c>
      <c r="H42" s="171">
        <f t="shared" si="28"/>
        <v>-688.86789004719651</v>
      </c>
      <c r="I42" s="171">
        <f t="shared" si="28"/>
        <v>-688.86789004719651</v>
      </c>
      <c r="J42" s="171">
        <f t="shared" si="28"/>
        <v>-688.86789004719651</v>
      </c>
      <c r="K42" s="171">
        <f t="shared" si="28"/>
        <v>-338.06986537615637</v>
      </c>
      <c r="L42" s="171">
        <f t="shared" si="28"/>
        <v>-338.06986537615637</v>
      </c>
      <c r="M42" s="171">
        <f t="shared" si="28"/>
        <v>-338.06986537615637</v>
      </c>
      <c r="N42" s="171">
        <f t="shared" si="28"/>
        <v>-152.90945793859746</v>
      </c>
      <c r="O42" s="171">
        <f t="shared" si="28"/>
        <v>-152.90945793859746</v>
      </c>
      <c r="P42" s="172">
        <f t="shared" si="28"/>
        <v>-152.90945793859746</v>
      </c>
      <c r="Q42" s="173">
        <f t="shared" si="28"/>
        <v>-4425.5359680697748</v>
      </c>
      <c r="R42" s="174">
        <f t="shared" si="28"/>
        <v>-959.76377857273974</v>
      </c>
      <c r="S42" s="171">
        <f t="shared" si="28"/>
        <v>-65.724750683500901</v>
      </c>
      <c r="T42" s="171">
        <f t="shared" si="28"/>
        <v>11.17002476170749</v>
      </c>
      <c r="U42" s="172">
        <f t="shared" si="28"/>
        <v>36.215797943016995</v>
      </c>
      <c r="V42" s="173">
        <f t="shared" si="28"/>
        <v>-978.10270655151612</v>
      </c>
      <c r="W42" s="175">
        <f t="shared" si="28"/>
        <v>230.39859567791729</v>
      </c>
      <c r="X42" s="193">
        <f t="shared" si="28"/>
        <v>299.5609912000096</v>
      </c>
    </row>
    <row r="43" spans="1:24" ht="7.5" customHeight="1" thickTop="1" x14ac:dyDescent="0.25">
      <c r="A43" s="197"/>
      <c r="B43" s="198"/>
      <c r="C43" s="198"/>
      <c r="D43" s="199"/>
      <c r="E43" s="20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1"/>
      <c r="Q43" s="202"/>
      <c r="R43" s="200"/>
      <c r="S43" s="110"/>
      <c r="T43" s="110"/>
      <c r="U43" s="201"/>
      <c r="V43" s="202"/>
      <c r="W43" s="203"/>
      <c r="X43" s="204"/>
    </row>
    <row r="44" spans="1:24" ht="18.75" customHeight="1" thickBot="1" x14ac:dyDescent="0.3">
      <c r="A44" s="788" t="s">
        <v>123</v>
      </c>
      <c r="B44" s="789"/>
      <c r="C44" s="789"/>
      <c r="D44" s="790"/>
      <c r="E44" s="174">
        <f>E42+E38</f>
        <v>-21665.257130835682</v>
      </c>
      <c r="F44" s="171">
        <f t="shared" ref="F44:X44" si="29">F42+F38</f>
        <v>-22623.257130835682</v>
      </c>
      <c r="G44" s="171">
        <f t="shared" si="29"/>
        <v>-28071.257130835682</v>
      </c>
      <c r="H44" s="171">
        <f t="shared" si="29"/>
        <v>-30162.793578221572</v>
      </c>
      <c r="I44" s="171">
        <f t="shared" si="29"/>
        <v>-63849.460244888243</v>
      </c>
      <c r="J44" s="171">
        <f t="shared" si="29"/>
        <v>-30112.793578221572</v>
      </c>
      <c r="K44" s="171">
        <f t="shared" si="29"/>
        <v>67188.004446449486</v>
      </c>
      <c r="L44" s="171">
        <f t="shared" si="29"/>
        <v>-29961.995553550532</v>
      </c>
      <c r="M44" s="171">
        <f t="shared" si="29"/>
        <v>67238.004446449486</v>
      </c>
      <c r="N44" s="171">
        <f t="shared" si="29"/>
        <v>-32626.835146112971</v>
      </c>
      <c r="O44" s="171">
        <f t="shared" si="29"/>
        <v>48686.49818722035</v>
      </c>
      <c r="P44" s="172">
        <f t="shared" si="29"/>
        <v>31631.164853887029</v>
      </c>
      <c r="Q44" s="173">
        <f t="shared" si="29"/>
        <v>-44329.977559495645</v>
      </c>
      <c r="R44" s="174">
        <f t="shared" si="29"/>
        <v>41710.959156904129</v>
      </c>
      <c r="S44" s="171">
        <f t="shared" si="29"/>
        <v>95985.248184793381</v>
      </c>
      <c r="T44" s="171">
        <f t="shared" si="29"/>
        <v>141814.39296023856</v>
      </c>
      <c r="U44" s="172">
        <f t="shared" si="29"/>
        <v>55444.688733419891</v>
      </c>
      <c r="V44" s="173">
        <f t="shared" si="29"/>
        <v>334955.28903535602</v>
      </c>
      <c r="W44" s="175">
        <f t="shared" si="29"/>
        <v>1121681.1803375855</v>
      </c>
      <c r="X44" s="193">
        <f t="shared" si="29"/>
        <v>5875460.5372331068</v>
      </c>
    </row>
    <row r="45" spans="1:24" ht="18.75" customHeight="1" thickTop="1" thickBot="1" x14ac:dyDescent="0.3">
      <c r="A45" s="205" t="s">
        <v>111</v>
      </c>
      <c r="B45" s="803" t="s">
        <v>168</v>
      </c>
      <c r="C45" s="803"/>
      <c r="D45" s="804"/>
      <c r="E45" s="206">
        <f>$Q$45/12</f>
        <v>-41.666666666666664</v>
      </c>
      <c r="F45" s="206">
        <f t="shared" ref="F45:P45" si="30">$Q$45/12</f>
        <v>-41.666666666666664</v>
      </c>
      <c r="G45" s="206">
        <f t="shared" si="30"/>
        <v>-41.666666666666664</v>
      </c>
      <c r="H45" s="206">
        <f t="shared" si="30"/>
        <v>-41.666666666666664</v>
      </c>
      <c r="I45" s="206">
        <f t="shared" si="30"/>
        <v>-41.666666666666664</v>
      </c>
      <c r="J45" s="206">
        <f t="shared" si="30"/>
        <v>-41.666666666666664</v>
      </c>
      <c r="K45" s="206">
        <f t="shared" si="30"/>
        <v>-41.666666666666664</v>
      </c>
      <c r="L45" s="206">
        <f t="shared" si="30"/>
        <v>-41.666666666666664</v>
      </c>
      <c r="M45" s="206">
        <f t="shared" si="30"/>
        <v>-41.666666666666664</v>
      </c>
      <c r="N45" s="206">
        <f t="shared" si="30"/>
        <v>-41.666666666666664</v>
      </c>
      <c r="O45" s="206">
        <f t="shared" si="30"/>
        <v>-41.666666666666664</v>
      </c>
      <c r="P45" s="207">
        <f t="shared" si="30"/>
        <v>-41.666666666666664</v>
      </c>
      <c r="Q45" s="208">
        <f>-Q56</f>
        <v>-500</v>
      </c>
      <c r="R45" s="206">
        <f>$V$45/4</f>
        <v>-18164.081967241276</v>
      </c>
      <c r="S45" s="206">
        <f t="shared" ref="S45:U45" si="31">$V$45/4</f>
        <v>-18164.081967241276</v>
      </c>
      <c r="T45" s="206">
        <f t="shared" si="31"/>
        <v>-18164.081967241276</v>
      </c>
      <c r="U45" s="207">
        <f t="shared" si="31"/>
        <v>-18164.081967241276</v>
      </c>
      <c r="V45" s="208">
        <f>-V56</f>
        <v>-72656.327868965105</v>
      </c>
      <c r="W45" s="209">
        <f>-W56</f>
        <v>-280420.29508439638</v>
      </c>
      <c r="X45" s="210">
        <f>-X56</f>
        <v>-1468865.1343082767</v>
      </c>
    </row>
    <row r="46" spans="1:24" s="169" customFormat="1" ht="7.5" customHeight="1" thickTop="1" thickBot="1" x14ac:dyDescent="0.3">
      <c r="A46" s="211"/>
      <c r="B46" s="212"/>
      <c r="C46" s="212"/>
      <c r="D46" s="213"/>
      <c r="E46" s="214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6"/>
      <c r="Q46" s="217"/>
      <c r="R46" s="218"/>
      <c r="S46" s="219"/>
      <c r="T46" s="219"/>
      <c r="U46" s="220"/>
      <c r="V46" s="221"/>
      <c r="W46" s="222"/>
      <c r="X46" s="223"/>
    </row>
    <row r="47" spans="1:24" ht="22.5" customHeight="1" thickBot="1" x14ac:dyDescent="0.3">
      <c r="A47" s="805" t="s">
        <v>124</v>
      </c>
      <c r="B47" s="806"/>
      <c r="C47" s="806"/>
      <c r="D47" s="807"/>
      <c r="E47" s="224">
        <f>E44+E45</f>
        <v>-21706.92379750235</v>
      </c>
      <c r="F47" s="225">
        <f t="shared" ref="F47:X47" si="32">F44+F45</f>
        <v>-22664.92379750235</v>
      </c>
      <c r="G47" s="225">
        <f t="shared" si="32"/>
        <v>-28112.92379750235</v>
      </c>
      <c r="H47" s="225">
        <f t="shared" si="32"/>
        <v>-30204.46024488824</v>
      </c>
      <c r="I47" s="225">
        <f t="shared" si="32"/>
        <v>-63891.126911554908</v>
      </c>
      <c r="J47" s="225">
        <f t="shared" si="32"/>
        <v>-30154.46024488824</v>
      </c>
      <c r="K47" s="225">
        <f t="shared" si="32"/>
        <v>67146.337779782814</v>
      </c>
      <c r="L47" s="225">
        <f t="shared" si="32"/>
        <v>-30003.6622202172</v>
      </c>
      <c r="M47" s="225">
        <f t="shared" si="32"/>
        <v>67196.337779782814</v>
      </c>
      <c r="N47" s="225">
        <f t="shared" si="32"/>
        <v>-32668.501812779639</v>
      </c>
      <c r="O47" s="225">
        <f t="shared" si="32"/>
        <v>48644.831520553686</v>
      </c>
      <c r="P47" s="226">
        <f t="shared" si="32"/>
        <v>31589.498187220361</v>
      </c>
      <c r="Q47" s="227">
        <f t="shared" si="32"/>
        <v>-44829.977559495645</v>
      </c>
      <c r="R47" s="224">
        <f t="shared" si="32"/>
        <v>23546.877189662853</v>
      </c>
      <c r="S47" s="225">
        <f t="shared" si="32"/>
        <v>77821.166217552105</v>
      </c>
      <c r="T47" s="225">
        <f t="shared" si="32"/>
        <v>123650.31099299729</v>
      </c>
      <c r="U47" s="226">
        <f t="shared" si="32"/>
        <v>37280.606766178615</v>
      </c>
      <c r="V47" s="227">
        <f t="shared" si="32"/>
        <v>262298.96116639092</v>
      </c>
      <c r="W47" s="228">
        <f t="shared" si="32"/>
        <v>841260.88525318913</v>
      </c>
      <c r="X47" s="229">
        <f t="shared" si="32"/>
        <v>4406595.4029248301</v>
      </c>
    </row>
    <row r="48" spans="1:24" ht="18.75" customHeight="1" thickBot="1" x14ac:dyDescent="0.3"/>
    <row r="49" spans="1:24" ht="18.75" customHeight="1" x14ac:dyDescent="0.25">
      <c r="A49" s="801" t="s">
        <v>125</v>
      </c>
      <c r="B49" s="801"/>
      <c r="C49" s="801"/>
      <c r="D49" s="801"/>
      <c r="E49" s="801"/>
      <c r="F49" s="801"/>
      <c r="G49" s="801"/>
      <c r="H49" s="801"/>
      <c r="I49" s="801"/>
      <c r="J49" s="801"/>
      <c r="K49" s="801"/>
      <c r="L49" s="801"/>
      <c r="M49" s="801"/>
      <c r="N49" s="801"/>
      <c r="O49" s="801"/>
      <c r="P49" s="802"/>
      <c r="Q49" s="230">
        <f>Q44</f>
        <v>-44329.977559495645</v>
      </c>
      <c r="R49" s="231"/>
      <c r="S49" s="231"/>
      <c r="T49" s="231"/>
      <c r="U49" s="231"/>
      <c r="V49" s="232">
        <f>V44</f>
        <v>334955.28903535602</v>
      </c>
      <c r="W49" s="232">
        <f>W44</f>
        <v>1121681.1803375855</v>
      </c>
      <c r="X49" s="233">
        <f>X44</f>
        <v>5875460.5372331068</v>
      </c>
    </row>
    <row r="50" spans="1:24" ht="18.75" customHeight="1" x14ac:dyDescent="0.25">
      <c r="A50" s="801" t="s">
        <v>131</v>
      </c>
      <c r="B50" s="801"/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1"/>
      <c r="P50" s="802"/>
      <c r="Q50" s="234">
        <f>IF(Q49&lt;0,0,Q49*$D$5)</f>
        <v>0</v>
      </c>
      <c r="R50" s="235"/>
      <c r="S50" s="235"/>
      <c r="T50" s="235"/>
      <c r="U50" s="235"/>
      <c r="V50" s="236">
        <f>IF(V49&lt;0,0,V49*$D$5)</f>
        <v>83738.822258839005</v>
      </c>
      <c r="W50" s="236">
        <f>IF(W49&lt;0,0,W49*$D$5)</f>
        <v>280420.29508439638</v>
      </c>
      <c r="X50" s="13">
        <f>IF(X49&lt;0,0,X49*$D$5)</f>
        <v>1468865.1343082767</v>
      </c>
    </row>
    <row r="51" spans="1:24" ht="18.75" customHeight="1" x14ac:dyDescent="0.25">
      <c r="A51" s="801" t="s">
        <v>126</v>
      </c>
      <c r="B51" s="801"/>
      <c r="C51" s="801"/>
      <c r="D51" s="801"/>
      <c r="E51" s="801"/>
      <c r="F51" s="801"/>
      <c r="G51" s="801"/>
      <c r="H51" s="801"/>
      <c r="I51" s="801"/>
      <c r="J51" s="801"/>
      <c r="K51" s="801"/>
      <c r="L51" s="801"/>
      <c r="M51" s="801"/>
      <c r="N51" s="801"/>
      <c r="O51" s="801"/>
      <c r="P51" s="802"/>
      <c r="Q51" s="234">
        <v>0</v>
      </c>
      <c r="R51" s="235"/>
      <c r="S51" s="235"/>
      <c r="T51" s="235"/>
      <c r="U51" s="235"/>
      <c r="V51" s="236">
        <f>Q52</f>
        <v>-44329.977559495645</v>
      </c>
      <c r="W51" s="236">
        <f>V52</f>
        <v>0</v>
      </c>
      <c r="X51" s="13">
        <f>W52</f>
        <v>0</v>
      </c>
    </row>
    <row r="52" spans="1:24" ht="18.75" customHeight="1" x14ac:dyDescent="0.25">
      <c r="A52" s="801" t="s">
        <v>127</v>
      </c>
      <c r="B52" s="801"/>
      <c r="C52" s="801"/>
      <c r="D52" s="801"/>
      <c r="E52" s="801"/>
      <c r="F52" s="801"/>
      <c r="G52" s="801"/>
      <c r="H52" s="801"/>
      <c r="I52" s="801"/>
      <c r="J52" s="801"/>
      <c r="K52" s="801"/>
      <c r="L52" s="801"/>
      <c r="M52" s="801"/>
      <c r="N52" s="801"/>
      <c r="O52" s="801"/>
      <c r="P52" s="802"/>
      <c r="Q52" s="234">
        <f>IF(Q51+(Q49-Q50)&gt;0,0,Q51+(Q49-Q50))</f>
        <v>-44329.977559495645</v>
      </c>
      <c r="R52" s="235"/>
      <c r="S52" s="235"/>
      <c r="T52" s="235"/>
      <c r="U52" s="235"/>
      <c r="V52" s="236">
        <f>IF(V51+(V49-V50)&gt;0,0,V51+(V49-V50))</f>
        <v>0</v>
      </c>
      <c r="W52" s="236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0"/>
      <c r="B53" s="480"/>
      <c r="C53" s="480"/>
      <c r="D53" s="480"/>
      <c r="E53" s="480"/>
      <c r="F53" s="480"/>
      <c r="G53" s="480"/>
      <c r="H53" s="480"/>
      <c r="I53" s="480"/>
      <c r="J53" s="480"/>
      <c r="K53" s="480"/>
      <c r="L53" s="480"/>
      <c r="M53" s="480"/>
      <c r="N53" s="801"/>
      <c r="O53" s="801"/>
      <c r="P53" s="802"/>
      <c r="Q53" s="237"/>
      <c r="R53" s="238"/>
      <c r="S53" s="238"/>
      <c r="T53" s="238"/>
      <c r="U53" s="238"/>
      <c r="V53" s="239"/>
      <c r="W53" s="239"/>
      <c r="X53" s="17"/>
    </row>
    <row r="54" spans="1:24" ht="18.75" customHeight="1" x14ac:dyDescent="0.25">
      <c r="A54" s="801" t="s">
        <v>128</v>
      </c>
      <c r="B54" s="801"/>
      <c r="C54" s="801"/>
      <c r="D54" s="801"/>
      <c r="E54" s="801"/>
      <c r="F54" s="801"/>
      <c r="G54" s="801"/>
      <c r="H54" s="801"/>
      <c r="I54" s="801"/>
      <c r="J54" s="801"/>
      <c r="K54" s="801"/>
      <c r="L54" s="801"/>
      <c r="M54" s="801"/>
      <c r="N54" s="801"/>
      <c r="O54" s="801"/>
      <c r="P54" s="802"/>
      <c r="Q54" s="240">
        <f>IF(Q49*(1-$D$5)&gt;ABS(Q51),Q49*(1-$D$5)+Q51,0)</f>
        <v>0</v>
      </c>
      <c r="R54" s="241"/>
      <c r="S54" s="241"/>
      <c r="T54" s="241"/>
      <c r="U54" s="241"/>
      <c r="V54" s="242">
        <f>IF(V49*(1-$D$5)&gt;ABS(V51),V49*(1-$D$5)+V51,0)</f>
        <v>206886.48921702139</v>
      </c>
      <c r="W54" s="242">
        <f>IF(W49*(1-$D$5)&gt;ABS(W51),W49*(1-$D$5)+W51,0)</f>
        <v>841260.88525318913</v>
      </c>
      <c r="X54" s="243">
        <f>IF(X49*(1-$D$5)&gt;ABS(X51),X49*(1-$D$5)+X51,0)</f>
        <v>4406595.4029248301</v>
      </c>
    </row>
    <row r="55" spans="1:24" ht="18.75" customHeight="1" thickBot="1" x14ac:dyDescent="0.3">
      <c r="A55" s="801" t="s">
        <v>129</v>
      </c>
      <c r="B55" s="801"/>
      <c r="C55" s="801"/>
      <c r="D55" s="801"/>
      <c r="E55" s="801"/>
      <c r="F55" s="801"/>
      <c r="G55" s="801"/>
      <c r="H55" s="801"/>
      <c r="I55" s="801"/>
      <c r="J55" s="801"/>
      <c r="K55" s="801"/>
      <c r="L55" s="801"/>
      <c r="M55" s="801"/>
      <c r="N55" s="801"/>
      <c r="O55" s="801"/>
      <c r="P55" s="802"/>
      <c r="Q55" s="237">
        <f>SUM(Q50,Q54)</f>
        <v>0</v>
      </c>
      <c r="R55" s="238"/>
      <c r="S55" s="238"/>
      <c r="T55" s="238"/>
      <c r="U55" s="238"/>
      <c r="V55" s="239">
        <f>SUM(V50,V54)</f>
        <v>290625.31147586042</v>
      </c>
      <c r="W55" s="239">
        <f>SUM(W50,W54)</f>
        <v>1121681.1803375855</v>
      </c>
      <c r="X55" s="17">
        <f>SUM(X50,X54)</f>
        <v>5875460.5372331068</v>
      </c>
    </row>
    <row r="56" spans="1:24" ht="18.75" customHeight="1" thickTop="1" thickBot="1" x14ac:dyDescent="0.3">
      <c r="A56" s="808" t="s">
        <v>132</v>
      </c>
      <c r="B56" s="808"/>
      <c r="C56" s="808"/>
      <c r="D56" s="808"/>
      <c r="E56" s="808"/>
      <c r="F56" s="808"/>
      <c r="G56" s="808"/>
      <c r="H56" s="808"/>
      <c r="I56" s="808"/>
      <c r="J56" s="808"/>
      <c r="K56" s="808"/>
      <c r="L56" s="808"/>
      <c r="M56" s="808"/>
      <c r="N56" s="808"/>
      <c r="O56" s="808"/>
      <c r="P56" s="809"/>
      <c r="Q56" s="244">
        <f>IF(Q55*$D$5&lt;500,500,Q55*$D$5)</f>
        <v>500</v>
      </c>
      <c r="R56" s="245"/>
      <c r="S56" s="245"/>
      <c r="T56" s="245"/>
      <c r="U56" s="245"/>
      <c r="V56" s="246">
        <f>IF(V55*$D$5&lt;500,500,V55*$D$5)</f>
        <v>72656.327868965105</v>
      </c>
      <c r="W56" s="246">
        <f>IF(W55*$D$5&lt;500,500,W55*$D$5)</f>
        <v>280420.29508439638</v>
      </c>
      <c r="X56" s="247">
        <f>IF(X55*$D$5&lt;500,500,X55*$D$5)</f>
        <v>1468865.1343082767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9QBRndP/CK7rtZN3b/7CanH1jaLEIOm4SGnz6UbCxaWPKhODD7yUqKp3evGzQf2MrNUmN11QXM7l3Yntykq5QQ==" saltValue="UFro9P58dogPIzS1IMLiig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A1:X88"/>
  <sheetViews>
    <sheetView showGridLines="0" view="pageBreakPreview" topLeftCell="A16" zoomScaleNormal="85" zoomScaleSheetLayoutView="100" workbookViewId="0">
      <selection activeCell="A24" sqref="A24:D24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0" width="13.7109375" style="39" hidden="1" customWidth="1" outlineLevel="1"/>
    <col min="21" max="21" width="12.570312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47" t="s">
        <v>178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 s="748"/>
      <c r="T1" s="748"/>
      <c r="U1" s="748"/>
      <c r="V1" s="748"/>
      <c r="W1" s="748"/>
      <c r="X1" s="749"/>
    </row>
    <row r="2" spans="1:24" ht="15.75" thickBot="1" x14ac:dyDescent="0.3"/>
    <row r="3" spans="1:24" ht="15.75" thickBot="1" x14ac:dyDescent="0.3">
      <c r="A3" s="834" t="s">
        <v>174</v>
      </c>
      <c r="B3" s="835"/>
      <c r="C3" s="836"/>
      <c r="D3" s="386">
        <v>35000</v>
      </c>
    </row>
    <row r="4" spans="1:24" x14ac:dyDescent="0.25">
      <c r="A4" s="837" t="s">
        <v>182</v>
      </c>
      <c r="B4" s="838"/>
      <c r="C4" s="839"/>
      <c r="D4" s="387">
        <v>0.04</v>
      </c>
    </row>
    <row r="5" spans="1:24" x14ac:dyDescent="0.25">
      <c r="A5" s="813" t="s">
        <v>163</v>
      </c>
      <c r="B5" s="814"/>
      <c r="C5" s="815"/>
      <c r="D5" s="388">
        <v>0.06</v>
      </c>
    </row>
    <row r="6" spans="1:24" x14ac:dyDescent="0.25">
      <c r="A6" s="813" t="s">
        <v>164</v>
      </c>
      <c r="B6" s="814"/>
      <c r="C6" s="815"/>
      <c r="D6" s="388">
        <v>1E-3</v>
      </c>
    </row>
    <row r="7" spans="1:24" x14ac:dyDescent="0.25">
      <c r="A7" s="813" t="s">
        <v>104</v>
      </c>
      <c r="B7" s="814"/>
      <c r="C7" s="815"/>
      <c r="D7" s="378">
        <f>'Plan G&amp;V'!D6</f>
        <v>0.2</v>
      </c>
    </row>
    <row r="8" spans="1:24" ht="15.75" thickBot="1" x14ac:dyDescent="0.3">
      <c r="A8" s="816" t="s">
        <v>158</v>
      </c>
      <c r="B8" s="817"/>
      <c r="C8" s="818"/>
      <c r="D8" s="389">
        <v>0.2</v>
      </c>
    </row>
    <row r="9" spans="1:24" ht="18.75" customHeight="1" x14ac:dyDescent="0.25">
      <c r="A9" s="828" t="s">
        <v>247</v>
      </c>
      <c r="B9" s="829"/>
      <c r="C9" s="829"/>
      <c r="D9" s="830"/>
      <c r="E9" s="729" t="s">
        <v>20</v>
      </c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30" t="s">
        <v>20</v>
      </c>
      <c r="R9" s="729" t="s">
        <v>25</v>
      </c>
      <c r="S9" s="729"/>
      <c r="T9" s="729"/>
      <c r="U9" s="729"/>
      <c r="V9" s="730" t="s">
        <v>25</v>
      </c>
      <c r="W9" s="730" t="s">
        <v>26</v>
      </c>
      <c r="X9" s="732" t="s">
        <v>27</v>
      </c>
    </row>
    <row r="10" spans="1:24" ht="18.75" customHeight="1" thickBot="1" x14ac:dyDescent="0.3">
      <c r="A10" s="831"/>
      <c r="B10" s="832"/>
      <c r="C10" s="832"/>
      <c r="D10" s="833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6">
        <v>12</v>
      </c>
      <c r="Q10" s="731"/>
      <c r="R10" s="4" t="s">
        <v>21</v>
      </c>
      <c r="S10" s="2" t="s">
        <v>22</v>
      </c>
      <c r="T10" s="2" t="s">
        <v>23</v>
      </c>
      <c r="U10" s="286" t="s">
        <v>24</v>
      </c>
      <c r="V10" s="731"/>
      <c r="W10" s="731"/>
      <c r="X10" s="733"/>
    </row>
    <row r="11" spans="1:24" ht="18.75" customHeight="1" thickTop="1" x14ac:dyDescent="0.25">
      <c r="A11" s="824" t="s">
        <v>142</v>
      </c>
      <c r="B11" s="791"/>
      <c r="C11" s="791"/>
      <c r="D11" s="792"/>
      <c r="E11" s="390">
        <v>0.9</v>
      </c>
      <c r="F11" s="391">
        <v>0.9</v>
      </c>
      <c r="G11" s="391">
        <v>0.9</v>
      </c>
      <c r="H11" s="391">
        <v>0.9</v>
      </c>
      <c r="I11" s="391">
        <v>0.9</v>
      </c>
      <c r="J11" s="391">
        <v>0.9</v>
      </c>
      <c r="K11" s="391">
        <v>0.9</v>
      </c>
      <c r="L11" s="391">
        <v>0.9</v>
      </c>
      <c r="M11" s="391">
        <v>0.9</v>
      </c>
      <c r="N11" s="391">
        <v>0.9</v>
      </c>
      <c r="O11" s="391">
        <v>0.9</v>
      </c>
      <c r="P11" s="392">
        <v>0.9</v>
      </c>
      <c r="Q11" s="312">
        <f>AVERAGE(E11:P11)</f>
        <v>0.90000000000000024</v>
      </c>
      <c r="R11" s="395">
        <v>0.9</v>
      </c>
      <c r="S11" s="391">
        <v>0.9</v>
      </c>
      <c r="T11" s="391">
        <v>0.9</v>
      </c>
      <c r="U11" s="392">
        <v>0.9</v>
      </c>
      <c r="V11" s="312">
        <f>AVERAGE(R11:U11)</f>
        <v>0.9</v>
      </c>
      <c r="W11" s="397">
        <v>0.9</v>
      </c>
      <c r="X11" s="398">
        <v>0.9</v>
      </c>
    </row>
    <row r="12" spans="1:24" ht="18.75" customHeight="1" x14ac:dyDescent="0.25">
      <c r="A12" s="823" t="s">
        <v>143</v>
      </c>
      <c r="B12" s="784"/>
      <c r="C12" s="784"/>
      <c r="D12" s="785"/>
      <c r="E12" s="393">
        <v>0.1</v>
      </c>
      <c r="F12" s="394">
        <v>0.1</v>
      </c>
      <c r="G12" s="394">
        <v>0.1</v>
      </c>
      <c r="H12" s="394">
        <v>0.1</v>
      </c>
      <c r="I12" s="394">
        <v>0.1</v>
      </c>
      <c r="J12" s="394">
        <v>0.1</v>
      </c>
      <c r="K12" s="394">
        <v>0.1</v>
      </c>
      <c r="L12" s="394">
        <v>0.1</v>
      </c>
      <c r="M12" s="394">
        <v>0.1</v>
      </c>
      <c r="N12" s="394">
        <v>0.1</v>
      </c>
      <c r="O12" s="394">
        <v>0.1</v>
      </c>
      <c r="P12" s="394">
        <v>0.1</v>
      </c>
      <c r="Q12" s="313">
        <f t="shared" ref="Q12:Q13" si="0">AVERAGE(E12:P12)</f>
        <v>9.9999999999999992E-2</v>
      </c>
      <c r="R12" s="396">
        <v>0.1</v>
      </c>
      <c r="S12" s="394">
        <v>0.1</v>
      </c>
      <c r="T12" s="394">
        <v>0.1</v>
      </c>
      <c r="U12" s="394">
        <v>0.1</v>
      </c>
      <c r="V12" s="313">
        <f t="shared" ref="V12:V13" si="1">AVERAGE(R12:U12)</f>
        <v>0.1</v>
      </c>
      <c r="W12" s="399">
        <v>0.1</v>
      </c>
      <c r="X12" s="400">
        <v>0.1</v>
      </c>
    </row>
    <row r="13" spans="1:24" ht="18.75" customHeight="1" thickBot="1" x14ac:dyDescent="0.3">
      <c r="A13" s="822" t="s">
        <v>144</v>
      </c>
      <c r="B13" s="786"/>
      <c r="C13" s="786"/>
      <c r="D13" s="787"/>
      <c r="E13" s="314">
        <f>1-E12-E11</f>
        <v>0</v>
      </c>
      <c r="F13" s="315">
        <f t="shared" ref="F13:X13" si="2">1-F12-F11</f>
        <v>0</v>
      </c>
      <c r="G13" s="315">
        <f t="shared" si="2"/>
        <v>0</v>
      </c>
      <c r="H13" s="315">
        <f t="shared" si="2"/>
        <v>0</v>
      </c>
      <c r="I13" s="315">
        <f t="shared" si="2"/>
        <v>0</v>
      </c>
      <c r="J13" s="315">
        <f t="shared" si="2"/>
        <v>0</v>
      </c>
      <c r="K13" s="315">
        <f t="shared" si="2"/>
        <v>0</v>
      </c>
      <c r="L13" s="315">
        <f t="shared" si="2"/>
        <v>0</v>
      </c>
      <c r="M13" s="315">
        <f t="shared" si="2"/>
        <v>0</v>
      </c>
      <c r="N13" s="315">
        <f t="shared" si="2"/>
        <v>0</v>
      </c>
      <c r="O13" s="315">
        <f t="shared" si="2"/>
        <v>0</v>
      </c>
      <c r="P13" s="316">
        <f t="shared" si="2"/>
        <v>0</v>
      </c>
      <c r="Q13" s="317">
        <f t="shared" si="0"/>
        <v>0</v>
      </c>
      <c r="R13" s="318">
        <f t="shared" si="2"/>
        <v>0</v>
      </c>
      <c r="S13" s="315">
        <f t="shared" si="2"/>
        <v>0</v>
      </c>
      <c r="T13" s="315">
        <f t="shared" si="2"/>
        <v>0</v>
      </c>
      <c r="U13" s="316">
        <f t="shared" si="2"/>
        <v>0</v>
      </c>
      <c r="V13" s="317">
        <f t="shared" si="1"/>
        <v>0</v>
      </c>
      <c r="W13" s="317">
        <f t="shared" si="2"/>
        <v>0</v>
      </c>
      <c r="X13" s="319">
        <f t="shared" si="2"/>
        <v>0</v>
      </c>
    </row>
    <row r="14" spans="1:24" ht="7.5" customHeight="1" thickTop="1" thickBot="1" x14ac:dyDescent="0.3">
      <c r="A14" s="320"/>
      <c r="B14" s="321"/>
      <c r="C14" s="321"/>
      <c r="D14" s="640"/>
      <c r="E14" s="322"/>
      <c r="F14" s="323"/>
      <c r="G14" s="323"/>
      <c r="H14" s="323"/>
      <c r="I14" s="323"/>
      <c r="J14" s="323"/>
      <c r="K14" s="323"/>
      <c r="L14" s="323"/>
      <c r="M14" s="323"/>
      <c r="N14" s="323"/>
      <c r="O14" s="323"/>
      <c r="P14" s="324"/>
      <c r="Q14" s="325"/>
      <c r="R14" s="326"/>
      <c r="S14" s="323"/>
      <c r="T14" s="323"/>
      <c r="U14" s="324"/>
      <c r="V14" s="325"/>
      <c r="W14" s="325"/>
      <c r="X14" s="327"/>
    </row>
    <row r="15" spans="1:24" ht="18.75" customHeight="1" x14ac:dyDescent="0.25">
      <c r="A15" s="825" t="s">
        <v>145</v>
      </c>
      <c r="B15" s="826"/>
      <c r="C15" s="826"/>
      <c r="D15" s="827"/>
      <c r="E15" s="585">
        <f>'Plan G&amp;V'!E9</f>
        <v>0</v>
      </c>
      <c r="F15" s="586">
        <f>'Plan G&amp;V'!F9</f>
        <v>0</v>
      </c>
      <c r="G15" s="586">
        <f>'Plan G&amp;V'!G9</f>
        <v>0</v>
      </c>
      <c r="H15" s="586">
        <f>'Plan G&amp;V'!H9</f>
        <v>0</v>
      </c>
      <c r="I15" s="586">
        <f>'Plan G&amp;V'!I9</f>
        <v>0</v>
      </c>
      <c r="J15" s="586">
        <f>'Plan G&amp;V'!J9</f>
        <v>0</v>
      </c>
      <c r="K15" s="586">
        <f>'Plan G&amp;V'!K9</f>
        <v>120000</v>
      </c>
      <c r="L15" s="586">
        <f>'Plan G&amp;V'!L9</f>
        <v>0</v>
      </c>
      <c r="M15" s="586">
        <f>'Plan G&amp;V'!M9</f>
        <v>120000</v>
      </c>
      <c r="N15" s="586">
        <f>'Plan G&amp;V'!N9</f>
        <v>0</v>
      </c>
      <c r="O15" s="586">
        <f>'Plan G&amp;V'!O9</f>
        <v>120000</v>
      </c>
      <c r="P15" s="587">
        <f>'Plan G&amp;V'!P9</f>
        <v>127680</v>
      </c>
      <c r="Q15" s="588">
        <f>'Plan G&amp;V'!Q9</f>
        <v>487680</v>
      </c>
      <c r="R15" s="589">
        <f>'Plan G&amp;V'!R9</f>
        <v>215760</v>
      </c>
      <c r="S15" s="586">
        <f>'Plan G&amp;V'!S9</f>
        <v>335760</v>
      </c>
      <c r="T15" s="586">
        <f>'Plan G&amp;V'!T9</f>
        <v>344760</v>
      </c>
      <c r="U15" s="587">
        <f>'Plan G&amp;V'!U9</f>
        <v>335760</v>
      </c>
      <c r="V15" s="588">
        <f>'Plan G&amp;V'!V9</f>
        <v>1232040</v>
      </c>
      <c r="W15" s="588">
        <f>'Plan G&amp;V'!W9</f>
        <v>2568960</v>
      </c>
      <c r="X15" s="590">
        <f>'Plan G&amp;V'!X9</f>
        <v>8471520</v>
      </c>
    </row>
    <row r="16" spans="1:24" ht="18.75" customHeight="1" thickBot="1" x14ac:dyDescent="0.3">
      <c r="A16" s="819" t="s">
        <v>149</v>
      </c>
      <c r="B16" s="820"/>
      <c r="C16" s="820"/>
      <c r="D16" s="821"/>
      <c r="E16" s="591">
        <f>E26*E11</f>
        <v>0</v>
      </c>
      <c r="F16" s="592">
        <f>F11*F26+E26*E12</f>
        <v>0</v>
      </c>
      <c r="G16" s="592">
        <f t="shared" ref="G16:P16" si="3">G11*G26+F26*F12+E26*E13</f>
        <v>0</v>
      </c>
      <c r="H16" s="592">
        <f t="shared" si="3"/>
        <v>0</v>
      </c>
      <c r="I16" s="592">
        <f t="shared" si="3"/>
        <v>108000</v>
      </c>
      <c r="J16" s="592">
        <f t="shared" si="3"/>
        <v>12000</v>
      </c>
      <c r="K16" s="592">
        <f t="shared" si="3"/>
        <v>108000</v>
      </c>
      <c r="L16" s="592">
        <f t="shared" si="3"/>
        <v>12000</v>
      </c>
      <c r="M16" s="592">
        <f t="shared" si="3"/>
        <v>108000</v>
      </c>
      <c r="N16" s="592">
        <f t="shared" si="3"/>
        <v>12000</v>
      </c>
      <c r="O16" s="592">
        <f t="shared" si="3"/>
        <v>108000</v>
      </c>
      <c r="P16" s="593">
        <f t="shared" si="3"/>
        <v>18912</v>
      </c>
      <c r="Q16" s="595">
        <f>SUM(E16:P16)</f>
        <v>486912</v>
      </c>
      <c r="R16" s="594">
        <f>(((R26/3)*SUM(R11,R12,R13))+((R26/3)*SUM(R11,R12))+((R26/3)*SUM(R11)))+(P26*P12)+(O26*O13)</f>
        <v>209336</v>
      </c>
      <c r="S16" s="592">
        <f>(((S26/3)*SUM(S11,S12,S13))+((S26/3)*SUM(S11,S12))+((S26/3)*SUM(S11)))+((R26/3)*SUM(R12,R13)+(R26/3)*SUM(R13))</f>
        <v>331760</v>
      </c>
      <c r="T16" s="592">
        <f>(((T26/3)*SUM(T11,T12,T13))+((T26/3)*SUM(T11,T12))+((T26/3)*SUM(T11)))+((S26/3)*SUM(S12,S13)+(S26/3)*SUM(S13))</f>
        <v>344460</v>
      </c>
      <c r="U16" s="593">
        <f>(((U26/3)*SUM(U11,U12,U13))+((U26/3)*SUM(U11,U12))+((U26/3)*SUM(U11)))+((T26/3)*SUM(T12,T13)+(T26/3)*SUM(T13))</f>
        <v>336060</v>
      </c>
      <c r="V16" s="595">
        <f>SUM(R16:U16)</f>
        <v>1221616</v>
      </c>
      <c r="W16" s="595">
        <f>((W26/12)*10*SUM(W11,W12,W13)+(W26/12)*1*SUM(W11,W12)+(W26/12)*1*SUM(W11))+((U26/3)*SUM(U12,U13)+(U26/3)*SUM(U13))</f>
        <v>2558744</v>
      </c>
      <c r="X16" s="596">
        <f>((X26/12)*10*SUM(X11,X12,X13)+(X26/12)*1*SUM(X11,X12)+(X26/12)*1*SUM(X11))+((W26/12)*SUM(W12,W13)+(W26/12)*SUM(W13))</f>
        <v>8422332</v>
      </c>
    </row>
    <row r="17" spans="1:24" ht="7.5" customHeight="1" thickBot="1" x14ac:dyDescent="0.3"/>
    <row r="18" spans="1:24" ht="22.5" customHeight="1" thickBot="1" x14ac:dyDescent="0.3">
      <c r="A18" s="857" t="s">
        <v>148</v>
      </c>
      <c r="B18" s="858"/>
      <c r="C18" s="859"/>
      <c r="D18" s="328"/>
      <c r="E18" s="729" t="s">
        <v>20</v>
      </c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30" t="s">
        <v>20</v>
      </c>
      <c r="R18" s="729" t="s">
        <v>25</v>
      </c>
      <c r="S18" s="729"/>
      <c r="T18" s="729"/>
      <c r="U18" s="729"/>
      <c r="V18" s="730" t="s">
        <v>25</v>
      </c>
      <c r="W18" s="782" t="s">
        <v>26</v>
      </c>
      <c r="X18" s="732" t="s">
        <v>27</v>
      </c>
    </row>
    <row r="19" spans="1:24" ht="18.75" customHeight="1" thickBot="1" x14ac:dyDescent="0.3">
      <c r="A19" s="854" t="s">
        <v>268</v>
      </c>
      <c r="B19" s="855"/>
      <c r="C19" s="855"/>
      <c r="D19" s="856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1"/>
      <c r="R19" s="111" t="s">
        <v>21</v>
      </c>
      <c r="S19" s="2" t="s">
        <v>22</v>
      </c>
      <c r="T19" s="2" t="s">
        <v>23</v>
      </c>
      <c r="U19" s="3" t="s">
        <v>24</v>
      </c>
      <c r="V19" s="731"/>
      <c r="W19" s="840"/>
      <c r="X19" s="733"/>
    </row>
    <row r="20" spans="1:24" ht="18.75" customHeight="1" outlineLevel="1" thickTop="1" x14ac:dyDescent="0.25">
      <c r="A20" s="848" t="s">
        <v>252</v>
      </c>
      <c r="B20" s="849"/>
      <c r="C20" s="849"/>
      <c r="D20" s="850"/>
      <c r="E20" s="145"/>
      <c r="F20" s="18"/>
      <c r="G20" s="18"/>
      <c r="H20" s="18"/>
      <c r="I20" s="18">
        <f>100000*(1+$D$7)</f>
        <v>120000</v>
      </c>
      <c r="J20" s="18"/>
      <c r="K20" s="18">
        <f>100000*(1+$D$7)</f>
        <v>120000</v>
      </c>
      <c r="L20" s="18"/>
      <c r="M20" s="18">
        <f>100000*(1+$D$7)</f>
        <v>120000</v>
      </c>
      <c r="N20" s="18"/>
      <c r="O20" s="18">
        <f>100000*(1+$D$7)</f>
        <v>120000</v>
      </c>
      <c r="P20" s="150"/>
      <c r="Q20" s="8">
        <f>SUM(E20:P20)</f>
        <v>480000</v>
      </c>
      <c r="R20" s="403">
        <f>100000*(1+$D$7)</f>
        <v>120000</v>
      </c>
      <c r="S20" s="18">
        <f>(2*100000)*(1+$D$7)</f>
        <v>240000</v>
      </c>
      <c r="T20" s="18">
        <f>(2*100000)*(1+$D$7)</f>
        <v>240000</v>
      </c>
      <c r="U20" s="150">
        <f>(2*100000)*(1+$D$7)</f>
        <v>240000</v>
      </c>
      <c r="V20" s="8">
        <f>SUM(R20:U20)</f>
        <v>840000</v>
      </c>
      <c r="W20" s="407">
        <f>(9*100000)*(1+$D$7)</f>
        <v>1080000</v>
      </c>
      <c r="X20" s="143">
        <f>(10*100000)*(1+$D$7)</f>
        <v>1200000</v>
      </c>
    </row>
    <row r="21" spans="1:24" ht="18.75" customHeight="1" outlineLevel="1" x14ac:dyDescent="0.25">
      <c r="A21" s="721" t="s">
        <v>253</v>
      </c>
      <c r="B21" s="723"/>
      <c r="C21" s="723"/>
      <c r="D21" s="844"/>
      <c r="E21" s="402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1"/>
      <c r="Q21" s="12">
        <f t="shared" ref="Q21:Q24" si="4">SUM(E21:P21)</f>
        <v>0</v>
      </c>
      <c r="R21" s="135">
        <f>(200*1500)/4*(1+$D$7)</f>
        <v>90000</v>
      </c>
      <c r="S21" s="94">
        <f>R21</f>
        <v>90000</v>
      </c>
      <c r="T21" s="94">
        <f>R21</f>
        <v>90000</v>
      </c>
      <c r="U21" s="151">
        <f>R21</f>
        <v>90000</v>
      </c>
      <c r="V21" s="12">
        <f t="shared" ref="V21:V24" si="5">SUM(R21:U21)</f>
        <v>360000</v>
      </c>
      <c r="W21" s="138">
        <f>(800*1500)*(1+$D$7)</f>
        <v>1440000</v>
      </c>
      <c r="X21" s="408">
        <f>(4000*1500)*(1+$D$7)</f>
        <v>7200000</v>
      </c>
    </row>
    <row r="22" spans="1:24" ht="18.75" customHeight="1" outlineLevel="1" x14ac:dyDescent="0.25">
      <c r="A22" s="721" t="s">
        <v>258</v>
      </c>
      <c r="B22" s="723"/>
      <c r="C22" s="723"/>
      <c r="D22" s="844"/>
      <c r="E22" s="402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1">
        <f>(800*8)*(1+$D$7)</f>
        <v>7680</v>
      </c>
      <c r="Q22" s="12">
        <f t="shared" si="4"/>
        <v>7680</v>
      </c>
      <c r="R22" s="135">
        <f>(800*24)/4*(1+$D$7)</f>
        <v>5760</v>
      </c>
      <c r="S22" s="94">
        <f t="shared" ref="S22:U22" si="6">(800*24)/4*(1+$D$7)</f>
        <v>5760</v>
      </c>
      <c r="T22" s="94">
        <f t="shared" si="6"/>
        <v>5760</v>
      </c>
      <c r="U22" s="151">
        <f t="shared" si="6"/>
        <v>5760</v>
      </c>
      <c r="V22" s="12">
        <f t="shared" si="5"/>
        <v>23040</v>
      </c>
      <c r="W22" s="138">
        <f>(36*800)*(1+$D$7)</f>
        <v>34560</v>
      </c>
      <c r="X22" s="408">
        <f>(52*800)*(1+$D$7)</f>
        <v>49920</v>
      </c>
    </row>
    <row r="23" spans="1:24" ht="18.75" customHeight="1" outlineLevel="1" x14ac:dyDescent="0.25">
      <c r="A23" s="721" t="s">
        <v>275</v>
      </c>
      <c r="B23" s="723"/>
      <c r="C23" s="723"/>
      <c r="D23" s="844"/>
      <c r="E23" s="402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1"/>
      <c r="Q23" s="12">
        <f t="shared" si="4"/>
        <v>0</v>
      </c>
      <c r="R23" s="135"/>
      <c r="S23" s="94"/>
      <c r="T23" s="94">
        <f>(5*1500)*(1+$D$7)</f>
        <v>9000</v>
      </c>
      <c r="U23" s="151"/>
      <c r="V23" s="12">
        <f t="shared" si="5"/>
        <v>9000</v>
      </c>
      <c r="W23" s="138">
        <f>(8*1500)*(1+$D$7)</f>
        <v>14400</v>
      </c>
      <c r="X23" s="408">
        <f>(12*1500)*(1+$D$7)</f>
        <v>21600</v>
      </c>
    </row>
    <row r="24" spans="1:24" ht="18.75" customHeight="1" outlineLevel="1" thickBot="1" x14ac:dyDescent="0.3">
      <c r="A24" s="851"/>
      <c r="B24" s="852"/>
      <c r="C24" s="852"/>
      <c r="D24" s="853"/>
      <c r="E24" s="309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52"/>
      <c r="Q24" s="132">
        <f t="shared" si="4"/>
        <v>0</v>
      </c>
      <c r="R24" s="136"/>
      <c r="S24" s="137"/>
      <c r="T24" s="137"/>
      <c r="U24" s="152"/>
      <c r="V24" s="132">
        <f t="shared" si="5"/>
        <v>0</v>
      </c>
      <c r="W24" s="140"/>
      <c r="X24" s="409"/>
    </row>
    <row r="25" spans="1:24" ht="7.5" customHeight="1" outlineLevel="1" thickTop="1" thickBot="1" x14ac:dyDescent="0.3">
      <c r="A25" s="841"/>
      <c r="B25" s="842"/>
      <c r="C25" s="842"/>
      <c r="D25" s="843"/>
      <c r="E25" s="310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1"/>
      <c r="Q25" s="325"/>
      <c r="R25" s="404"/>
      <c r="S25" s="405"/>
      <c r="T25" s="405"/>
      <c r="U25" s="406"/>
      <c r="V25" s="325"/>
      <c r="W25" s="410"/>
      <c r="X25" s="411"/>
    </row>
    <row r="26" spans="1:24" ht="18.75" customHeight="1" thickBot="1" x14ac:dyDescent="0.3">
      <c r="A26" s="845" t="s">
        <v>152</v>
      </c>
      <c r="B26" s="846"/>
      <c r="C26" s="846"/>
      <c r="D26" s="847"/>
      <c r="E26" s="442">
        <f t="shared" ref="E26:X26" si="7">SUM(E20:E25)</f>
        <v>0</v>
      </c>
      <c r="F26" s="539">
        <f t="shared" si="7"/>
        <v>0</v>
      </c>
      <c r="G26" s="539">
        <f t="shared" si="7"/>
        <v>0</v>
      </c>
      <c r="H26" s="539">
        <f t="shared" si="7"/>
        <v>0</v>
      </c>
      <c r="I26" s="539">
        <f t="shared" si="7"/>
        <v>120000</v>
      </c>
      <c r="J26" s="539">
        <f t="shared" si="7"/>
        <v>0</v>
      </c>
      <c r="K26" s="539">
        <f t="shared" si="7"/>
        <v>120000</v>
      </c>
      <c r="L26" s="539">
        <f t="shared" si="7"/>
        <v>0</v>
      </c>
      <c r="M26" s="539">
        <f t="shared" si="7"/>
        <v>120000</v>
      </c>
      <c r="N26" s="539">
        <f t="shared" si="7"/>
        <v>0</v>
      </c>
      <c r="O26" s="539">
        <f t="shared" si="7"/>
        <v>120000</v>
      </c>
      <c r="P26" s="536">
        <f t="shared" si="7"/>
        <v>7680</v>
      </c>
      <c r="Q26" s="541">
        <f t="shared" si="7"/>
        <v>487680</v>
      </c>
      <c r="R26" s="442">
        <f t="shared" si="7"/>
        <v>215760</v>
      </c>
      <c r="S26" s="539">
        <f t="shared" si="7"/>
        <v>335760</v>
      </c>
      <c r="T26" s="539">
        <f t="shared" si="7"/>
        <v>344760</v>
      </c>
      <c r="U26" s="536">
        <f t="shared" si="7"/>
        <v>335760</v>
      </c>
      <c r="V26" s="541">
        <f t="shared" si="7"/>
        <v>1232040</v>
      </c>
      <c r="W26" s="540">
        <f t="shared" si="7"/>
        <v>2568960</v>
      </c>
      <c r="X26" s="496">
        <f t="shared" si="7"/>
        <v>8471520</v>
      </c>
    </row>
    <row r="27" spans="1:24" ht="7.5" customHeight="1" thickBot="1" x14ac:dyDescent="0.3">
      <c r="A27" s="750"/>
      <c r="B27" s="751"/>
      <c r="C27" s="751"/>
      <c r="D27" s="751"/>
      <c r="E27" s="751"/>
      <c r="F27" s="751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  <c r="U27" s="751"/>
      <c r="V27" s="751"/>
      <c r="W27" s="751"/>
      <c r="X27" s="752"/>
    </row>
    <row r="28" spans="1:24" ht="18.75" customHeight="1" thickBot="1" x14ac:dyDescent="0.3">
      <c r="A28" s="866" t="s">
        <v>147</v>
      </c>
      <c r="B28" s="867"/>
      <c r="C28" s="867"/>
      <c r="D28" s="868"/>
      <c r="X28" s="330"/>
    </row>
    <row r="29" spans="1:24" ht="18.75" customHeight="1" outlineLevel="1" thickTop="1" x14ac:dyDescent="0.25">
      <c r="A29" s="863" t="s">
        <v>165</v>
      </c>
      <c r="B29" s="864"/>
      <c r="C29" s="864"/>
      <c r="D29" s="865"/>
      <c r="E29" s="274"/>
      <c r="F29" s="303"/>
      <c r="G29" s="303"/>
      <c r="H29" s="7">
        <f>E85</f>
        <v>0</v>
      </c>
      <c r="I29" s="303"/>
      <c r="J29" s="303"/>
      <c r="K29" s="7">
        <f>H85</f>
        <v>0</v>
      </c>
      <c r="L29" s="303"/>
      <c r="M29" s="303"/>
      <c r="N29" s="7">
        <f>K85</f>
        <v>0</v>
      </c>
      <c r="O29" s="303"/>
      <c r="P29" s="304"/>
      <c r="Q29" s="8">
        <f>SUM(E29:P29)</f>
        <v>0</v>
      </c>
      <c r="R29" s="305">
        <f>N85</f>
        <v>0</v>
      </c>
      <c r="S29" s="7">
        <f>R85</f>
        <v>0</v>
      </c>
      <c r="T29" s="7">
        <f>S85</f>
        <v>0</v>
      </c>
      <c r="U29" s="178">
        <f>T85</f>
        <v>11.17002476170749</v>
      </c>
      <c r="V29" s="8">
        <f>SUM(R29:U29)</f>
        <v>11.17002476170749</v>
      </c>
      <c r="W29" s="8">
        <f>U85</f>
        <v>36.215797943016995</v>
      </c>
      <c r="X29" s="9">
        <f>W85</f>
        <v>230.39859567791729</v>
      </c>
    </row>
    <row r="30" spans="1:24" ht="18.75" customHeight="1" outlineLevel="1" x14ac:dyDescent="0.25">
      <c r="A30" s="869" t="s">
        <v>177</v>
      </c>
      <c r="B30" s="870"/>
      <c r="C30" s="870"/>
      <c r="D30" s="871"/>
      <c r="E30" s="374"/>
      <c r="F30" s="375"/>
      <c r="G30" s="76">
        <f>((SUM(E41,E42,E43,E44,E46,E47,E48,E49,E52,E54)/(1+$D$8))*$D$8)+(Investitionsplan!F24*$D$8)</f>
        <v>13011.8</v>
      </c>
      <c r="H30" s="76">
        <f>((SUM(F41,F42,F43,F44,F46,F47,F48,F49,F52,F54)/(1+$D$8))*$D$8)+(Investitionsplan!G24*$D$8)</f>
        <v>1176.5</v>
      </c>
      <c r="I30" s="76">
        <f>((SUM(G41,G42,G43,G44,G46,G47,G48,G49,G52,G54)/(1+$D$8))*$D$8)+(Investitionsplan!H24*$D$8)</f>
        <v>3509.8333333333335</v>
      </c>
      <c r="J30" s="76">
        <f>((SUM(H41,H42,H43,H44,H46,H47,H48,H49,H52,H54)/(1+$D$8))*$D$8)+(Investitionsplan!I24*$D$8)</f>
        <v>1176.5</v>
      </c>
      <c r="K30" s="76">
        <f>((SUM(I41,I42,I43,I44,I46,I47,I48,I49,I52,I54)/(1+$D$8))*$D$8)+(Investitionsplan!J24*$D$8)</f>
        <v>3676.5</v>
      </c>
      <c r="L30" s="76">
        <f>((SUM(J41,J42,J43,J44,J46,J47,J48,J49,J52,J54)/(1+$D$8))*$D$8)+(Investitionsplan!K24*$D$8)</f>
        <v>3176.5</v>
      </c>
      <c r="M30" s="76">
        <f>((SUM(K41,K42,K43,K44,K46,K47,K48,K49,K52,K54)/(1+$D$8))*$D$8)+(Investitionsplan!L24*$D$8)</f>
        <v>1176.5</v>
      </c>
      <c r="N30" s="76">
        <f>((SUM(L41,L42,L43,L44,L46,L47,L48,L49,L52,L54)/(1+$D$8))*$D$8)+(Investitionsplan!M24*$D$8)</f>
        <v>1176.5</v>
      </c>
      <c r="O30" s="76">
        <f>((SUM(M41,M42,M43,M44,M46,M47,M48,M49,M52,M54)/(1+$D$8))*$D$8)+(Investitionsplan!N24*$D$8)</f>
        <v>1176.5</v>
      </c>
      <c r="P30" s="296">
        <f>((SUM(N41,N42,N43,N44,N46,N47,N48,N49,N52,N54)/(1+$D$8))*$D$8)+(Investitionsplan!O24*$D$8)</f>
        <v>5676.5</v>
      </c>
      <c r="Q30" s="12">
        <f>SUM(E30:P30)</f>
        <v>34933.633333333331</v>
      </c>
      <c r="R30" s="75">
        <f>((SUM(O41:O44,O46:O49,O52,O54)/(1+$D$8))*$D$8)+((SUM(P41:P44,P46:P49,P52,P54)/(1+$D$8))*$D$8)+((SUM(R41:R44,R46:R49,R52,R54)/(1+$D$8))*$D$8)/3+(Investitionsplan!P24*$D$8)+(Investitionsplan!Q24*$D$8)+(Investitionsplan!S24*$D$8)/3</f>
        <v>11729.5</v>
      </c>
      <c r="S30" s="76">
        <f>((SUM(R41:R44,R46:R49,R52,R54)/(1+$D$8))*$D$8)*(2/3)+((SUM(S41:S44,S46:S49,S52,S54)/(1+$D$8))*$D$8)/3+(Investitionsplan!S24*$D$8)*(2/3)+(Investitionsplan!T24*$D$8)/3</f>
        <v>6762.833333333333</v>
      </c>
      <c r="T30" s="76">
        <f>((SUM(S41:S44,S46:S49,S52,S54)/(1+$D$8))*$D$8)*(2/3)+((SUM(T41:T44,T46:T49,T52,T54)/(1+$D$8))*$D$8)/3+(Investitionsplan!T24*$D$8)*(2/3)+(Investitionsplan!U24*$D$8)/3</f>
        <v>5329.4999999999991</v>
      </c>
      <c r="U30" s="296">
        <f>((SUM(T41:T44,T46:T49,T52,T54)/(1+$D$8))*$D$8)*(2/3)+((SUM(U41:U44,U46:U49,U52,U54)/(1+$D$8))*$D$8)/3+(Investitionsplan!U24*$D$8)*(2/3)+(Investitionsplan!V24*$D$8)/3</f>
        <v>6296.166666666667</v>
      </c>
      <c r="V30" s="12">
        <f>SUM(R30:U30)</f>
        <v>30118</v>
      </c>
      <c r="W30" s="289">
        <f>((SUM(U41:U44,U46:U49,U52,U54)/(1+$D$8))*$D$8)*(2/3)+((SUM(W41:W44,W46:W49,W52,W54)/(1+$D$8))*$D$8)*(10/12)+(Investitionsplan!V24*$D$8)*(2/3)+(Investitionsplan!X24*$D$8)*(10/12)</f>
        <v>24951.333333333336</v>
      </c>
      <c r="X30" s="290">
        <f>((SUM(W41:W44,W46:W49,W52,W54)/(1+$D$8))*$D$8)*(2/12)+((SUM(X41:X44,X46:X49,X52,X54)/(1+$D$8))*$D$8)*(10/12)+(Investitionsplan!X24*$D$8)*(2/12)+(Investitionsplan!Y24*$D$8)*(10/12)</f>
        <v>21118.000000000004</v>
      </c>
    </row>
    <row r="31" spans="1:24" ht="18.75" customHeight="1" outlineLevel="1" x14ac:dyDescent="0.25">
      <c r="A31" s="869" t="s">
        <v>199</v>
      </c>
      <c r="B31" s="870"/>
      <c r="C31" s="870"/>
      <c r="D31" s="871"/>
      <c r="E31" s="402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1"/>
      <c r="Q31" s="12">
        <f t="shared" ref="Q31:Q32" si="8">SUM(E31:P31)</f>
        <v>0</v>
      </c>
      <c r="R31" s="412"/>
      <c r="S31" s="94"/>
      <c r="T31" s="94"/>
      <c r="U31" s="151"/>
      <c r="V31" s="12">
        <f t="shared" ref="V31:V32" si="9">SUM(R31:U31)</f>
        <v>0</v>
      </c>
      <c r="W31" s="416"/>
      <c r="X31" s="408"/>
    </row>
    <row r="32" spans="1:24" ht="18.75" customHeight="1" outlineLevel="1" thickBot="1" x14ac:dyDescent="0.3">
      <c r="A32" s="851"/>
      <c r="B32" s="852"/>
      <c r="C32" s="852"/>
      <c r="D32" s="853"/>
      <c r="E32" s="309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52"/>
      <c r="Q32" s="132">
        <f t="shared" si="8"/>
        <v>0</v>
      </c>
      <c r="R32" s="414" t="str">
        <f t="shared" ref="R32:U32" si="10">IF($D32="","",IF(AND($D32&lt;=15,$D32&gt;12),(15-$D32+1)*$B32*(1+$B$11)^1,IF(AND($D32&lt;=15,$D32&lt;=12),3*$B32*(1+$B$11)^1,"")))</f>
        <v/>
      </c>
      <c r="S32" s="137" t="str">
        <f t="shared" si="10"/>
        <v/>
      </c>
      <c r="T32" s="137" t="str">
        <f t="shared" si="10"/>
        <v/>
      </c>
      <c r="U32" s="152" t="str">
        <f t="shared" si="10"/>
        <v/>
      </c>
      <c r="V32" s="132">
        <f t="shared" si="9"/>
        <v>0</v>
      </c>
      <c r="W32" s="419"/>
      <c r="X32" s="409"/>
    </row>
    <row r="33" spans="1:24" ht="7.5" customHeight="1" outlineLevel="1" thickTop="1" thickBot="1" x14ac:dyDescent="0.3">
      <c r="A33" s="841"/>
      <c r="B33" s="842"/>
      <c r="C33" s="842"/>
      <c r="D33" s="843"/>
      <c r="E33" s="310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1"/>
      <c r="Q33" s="325"/>
      <c r="R33" s="415"/>
      <c r="S33" s="405"/>
      <c r="T33" s="405"/>
      <c r="U33" s="406"/>
      <c r="V33" s="325"/>
      <c r="W33" s="420"/>
      <c r="X33" s="411"/>
    </row>
    <row r="34" spans="1:24" ht="18.75" customHeight="1" thickBot="1" x14ac:dyDescent="0.3">
      <c r="A34" s="845" t="s">
        <v>150</v>
      </c>
      <c r="B34" s="846"/>
      <c r="C34" s="846"/>
      <c r="D34" s="847"/>
      <c r="E34" s="604">
        <f>SUM(E29:E33)</f>
        <v>0</v>
      </c>
      <c r="F34" s="599">
        <f t="shared" ref="F34:X34" si="11">SUM(F29:F33)</f>
        <v>0</v>
      </c>
      <c r="G34" s="599">
        <f t="shared" si="11"/>
        <v>13011.8</v>
      </c>
      <c r="H34" s="599">
        <f t="shared" si="11"/>
        <v>1176.5</v>
      </c>
      <c r="I34" s="599">
        <f t="shared" si="11"/>
        <v>3509.8333333333335</v>
      </c>
      <c r="J34" s="599">
        <f t="shared" si="11"/>
        <v>1176.5</v>
      </c>
      <c r="K34" s="599">
        <f t="shared" si="11"/>
        <v>3676.5</v>
      </c>
      <c r="L34" s="599">
        <f t="shared" si="11"/>
        <v>3176.5</v>
      </c>
      <c r="M34" s="599">
        <f t="shared" si="11"/>
        <v>1176.5</v>
      </c>
      <c r="N34" s="599">
        <f t="shared" si="11"/>
        <v>1176.5</v>
      </c>
      <c r="O34" s="599">
        <f t="shared" si="11"/>
        <v>1176.5</v>
      </c>
      <c r="P34" s="600">
        <f t="shared" si="11"/>
        <v>5676.5</v>
      </c>
      <c r="Q34" s="541">
        <f t="shared" si="11"/>
        <v>34933.633333333331</v>
      </c>
      <c r="R34" s="601">
        <f t="shared" si="11"/>
        <v>11729.5</v>
      </c>
      <c r="S34" s="599">
        <f t="shared" si="11"/>
        <v>6762.833333333333</v>
      </c>
      <c r="T34" s="599">
        <f t="shared" si="11"/>
        <v>5329.4999999999991</v>
      </c>
      <c r="U34" s="600">
        <f t="shared" si="11"/>
        <v>6307.3366914283743</v>
      </c>
      <c r="V34" s="541">
        <f t="shared" si="11"/>
        <v>30129.170024761708</v>
      </c>
      <c r="W34" s="541">
        <f t="shared" si="11"/>
        <v>24987.549131276352</v>
      </c>
      <c r="X34" s="602">
        <f t="shared" si="11"/>
        <v>21348.398595677922</v>
      </c>
    </row>
    <row r="35" spans="1:24" ht="7.5" customHeight="1" thickBot="1" x14ac:dyDescent="0.3">
      <c r="A35" s="750"/>
      <c r="B35" s="751"/>
      <c r="C35" s="751"/>
      <c r="D35" s="751"/>
      <c r="E35" s="751"/>
      <c r="F35" s="751"/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  <c r="U35" s="751"/>
      <c r="V35" s="751"/>
      <c r="W35" s="751"/>
      <c r="X35" s="752"/>
    </row>
    <row r="36" spans="1:24" ht="18" customHeight="1" thickBot="1" x14ac:dyDescent="0.3">
      <c r="A36" s="860" t="s">
        <v>151</v>
      </c>
      <c r="B36" s="861"/>
      <c r="C36" s="861"/>
      <c r="D36" s="862"/>
      <c r="E36" s="449">
        <f>SUM(E26,E34)</f>
        <v>0</v>
      </c>
      <c r="F36" s="545">
        <f t="shared" ref="F36:X36" si="12">SUM(F26,F34)</f>
        <v>0</v>
      </c>
      <c r="G36" s="545">
        <f t="shared" si="12"/>
        <v>13011.8</v>
      </c>
      <c r="H36" s="545">
        <f t="shared" si="12"/>
        <v>1176.5</v>
      </c>
      <c r="I36" s="545">
        <f t="shared" si="12"/>
        <v>123509.83333333333</v>
      </c>
      <c r="J36" s="545">
        <f t="shared" si="12"/>
        <v>1176.5</v>
      </c>
      <c r="K36" s="545">
        <f t="shared" si="12"/>
        <v>123676.5</v>
      </c>
      <c r="L36" s="545">
        <f t="shared" si="12"/>
        <v>3176.5</v>
      </c>
      <c r="M36" s="545">
        <f t="shared" si="12"/>
        <v>121176.5</v>
      </c>
      <c r="N36" s="545">
        <f t="shared" si="12"/>
        <v>1176.5</v>
      </c>
      <c r="O36" s="545">
        <f t="shared" si="12"/>
        <v>121176.5</v>
      </c>
      <c r="P36" s="603">
        <f t="shared" si="12"/>
        <v>13356.5</v>
      </c>
      <c r="Q36" s="331">
        <f t="shared" si="12"/>
        <v>522613.6333333333</v>
      </c>
      <c r="R36" s="450">
        <f t="shared" si="12"/>
        <v>227489.5</v>
      </c>
      <c r="S36" s="545">
        <f t="shared" si="12"/>
        <v>342522.83333333331</v>
      </c>
      <c r="T36" s="545">
        <f t="shared" si="12"/>
        <v>350089.5</v>
      </c>
      <c r="U36" s="603">
        <f t="shared" si="12"/>
        <v>342067.33669142838</v>
      </c>
      <c r="V36" s="331">
        <f t="shared" si="12"/>
        <v>1262169.1700247617</v>
      </c>
      <c r="W36" s="331">
        <f t="shared" si="12"/>
        <v>2593947.5491312766</v>
      </c>
      <c r="X36" s="332">
        <f t="shared" si="12"/>
        <v>8492868.3985956777</v>
      </c>
    </row>
    <row r="37" spans="1:24" ht="15.75" thickBot="1" x14ac:dyDescent="0.3"/>
    <row r="38" spans="1:24" ht="22.5" customHeight="1" thickBot="1" x14ac:dyDescent="0.3">
      <c r="A38" s="857" t="s">
        <v>153</v>
      </c>
      <c r="B38" s="858"/>
      <c r="C38" s="859"/>
      <c r="D38" s="328"/>
      <c r="E38" s="729" t="s">
        <v>20</v>
      </c>
      <c r="F38" s="729"/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30" t="s">
        <v>20</v>
      </c>
      <c r="R38" s="729" t="s">
        <v>25</v>
      </c>
      <c r="S38" s="729"/>
      <c r="T38" s="729"/>
      <c r="U38" s="729"/>
      <c r="V38" s="730" t="s">
        <v>25</v>
      </c>
      <c r="W38" s="782" t="s">
        <v>26</v>
      </c>
      <c r="X38" s="732" t="s">
        <v>27</v>
      </c>
    </row>
    <row r="39" spans="1:24" ht="18.75" customHeight="1" thickBot="1" x14ac:dyDescent="0.3">
      <c r="A39" s="854" t="s">
        <v>154</v>
      </c>
      <c r="B39" s="855"/>
      <c r="C39" s="855"/>
      <c r="D39" s="856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1"/>
      <c r="R39" s="111" t="s">
        <v>21</v>
      </c>
      <c r="S39" s="2" t="s">
        <v>22</v>
      </c>
      <c r="T39" s="2" t="s">
        <v>23</v>
      </c>
      <c r="U39" s="3" t="s">
        <v>24</v>
      </c>
      <c r="V39" s="731"/>
      <c r="W39" s="840"/>
      <c r="X39" s="733"/>
    </row>
    <row r="40" spans="1:24" ht="18.75" customHeight="1" outlineLevel="1" thickTop="1" x14ac:dyDescent="0.25">
      <c r="A40" s="863" t="str">
        <f>Plankosten!A32</f>
        <v>Personalkosten</v>
      </c>
      <c r="B40" s="864"/>
      <c r="C40" s="864"/>
      <c r="D40" s="865"/>
      <c r="E40" s="6">
        <f>Plankosten!E38</f>
        <v>10840</v>
      </c>
      <c r="F40" s="7">
        <f>Plankosten!F38</f>
        <v>13148</v>
      </c>
      <c r="G40" s="7">
        <f>Plankosten!G38</f>
        <v>16796</v>
      </c>
      <c r="H40" s="7">
        <f>Plankosten!H38</f>
        <v>20444</v>
      </c>
      <c r="I40" s="7">
        <f>Plankosten!I38</f>
        <v>38980.666666666672</v>
      </c>
      <c r="J40" s="7">
        <f>Plankosten!J38</f>
        <v>20444</v>
      </c>
      <c r="K40" s="7">
        <f>Plankosten!K38</f>
        <v>20444</v>
      </c>
      <c r="L40" s="7">
        <f>Plankosten!L38</f>
        <v>20444</v>
      </c>
      <c r="M40" s="7">
        <f>Plankosten!M38</f>
        <v>20444</v>
      </c>
      <c r="N40" s="7">
        <f>Plankosten!N38</f>
        <v>20444</v>
      </c>
      <c r="O40" s="7">
        <f>Plankosten!O38</f>
        <v>38980.666666666672</v>
      </c>
      <c r="P40" s="178">
        <f>Plankosten!P38</f>
        <v>20444</v>
      </c>
      <c r="Q40" s="8">
        <f>Plankosten!Q38</f>
        <v>261853.33333333334</v>
      </c>
      <c r="R40" s="177">
        <f>Plankosten!R38</f>
        <v>97983</v>
      </c>
      <c r="S40" s="7">
        <f>Plankosten!S38</f>
        <v>132102.75</v>
      </c>
      <c r="T40" s="7">
        <f>Plankosten!T38</f>
        <v>108625.5</v>
      </c>
      <c r="U40" s="178">
        <f>Plankosten!U38</f>
        <v>142745.25</v>
      </c>
      <c r="V40" s="8">
        <f>Plankosten!V38</f>
        <v>481456.5</v>
      </c>
      <c r="W40" s="179">
        <f>Plankosten!W38</f>
        <v>747916.11</v>
      </c>
      <c r="X40" s="9">
        <f>Plankosten!X38</f>
        <v>785041.91549999989</v>
      </c>
    </row>
    <row r="41" spans="1:24" ht="18.75" customHeight="1" outlineLevel="1" x14ac:dyDescent="0.25">
      <c r="A41" s="869" t="str">
        <f>Plankosten!A40</f>
        <v>Materialeinsatz</v>
      </c>
      <c r="B41" s="870"/>
      <c r="C41" s="870"/>
      <c r="D41" s="871"/>
      <c r="E41" s="333">
        <f>Plankosten!E45*(1+$D$8)</f>
        <v>0</v>
      </c>
      <c r="F41" s="334">
        <f>Plankosten!F45</f>
        <v>0</v>
      </c>
      <c r="G41" s="334">
        <f>Plankosten!G45</f>
        <v>0</v>
      </c>
      <c r="H41" s="334">
        <f>Plankosten!H45</f>
        <v>0</v>
      </c>
      <c r="I41" s="334">
        <f>Plankosten!I45</f>
        <v>0</v>
      </c>
      <c r="J41" s="334">
        <f>Plankosten!J45</f>
        <v>0</v>
      </c>
      <c r="K41" s="334">
        <f>Plankosten!K45</f>
        <v>0</v>
      </c>
      <c r="L41" s="334">
        <f>Plankosten!L45</f>
        <v>0</v>
      </c>
      <c r="M41" s="334">
        <f>Plankosten!M45</f>
        <v>0</v>
      </c>
      <c r="N41" s="334">
        <f>Plankosten!N45</f>
        <v>0</v>
      </c>
      <c r="O41" s="334">
        <f>Plankosten!O45</f>
        <v>0</v>
      </c>
      <c r="P41" s="335">
        <f>Plankosten!P45</f>
        <v>0</v>
      </c>
      <c r="Q41" s="329">
        <f>Plankosten!Q45</f>
        <v>0</v>
      </c>
      <c r="R41" s="336">
        <f>Plankosten!R45</f>
        <v>0</v>
      </c>
      <c r="S41" s="334">
        <f>Plankosten!S45</f>
        <v>0</v>
      </c>
      <c r="T41" s="334">
        <f>Plankosten!T45</f>
        <v>0</v>
      </c>
      <c r="U41" s="335">
        <f>Plankosten!U45</f>
        <v>0</v>
      </c>
      <c r="V41" s="329">
        <f>Plankosten!V45</f>
        <v>0</v>
      </c>
      <c r="W41" s="337">
        <f>Plankosten!W45</f>
        <v>0</v>
      </c>
      <c r="X41" s="243">
        <f>Plankosten!X45</f>
        <v>0</v>
      </c>
    </row>
    <row r="42" spans="1:24" ht="18.75" customHeight="1" outlineLevel="1" x14ac:dyDescent="0.25">
      <c r="A42" s="869" t="str">
        <f>Plankosten!A47</f>
        <v>Roh-, Betriebs- uns Hilfsstoffe</v>
      </c>
      <c r="B42" s="870"/>
      <c r="C42" s="870"/>
      <c r="D42" s="871"/>
      <c r="E42" s="333">
        <f>Plankosten!E52*(1+$D$8)</f>
        <v>0</v>
      </c>
      <c r="F42" s="334">
        <f>Plankosten!F52</f>
        <v>0</v>
      </c>
      <c r="G42" s="334">
        <f>Plankosten!G52</f>
        <v>0</v>
      </c>
      <c r="H42" s="334">
        <f>Plankosten!H52</f>
        <v>0</v>
      </c>
      <c r="I42" s="334">
        <f>Plankosten!I52</f>
        <v>0</v>
      </c>
      <c r="J42" s="334">
        <f>Plankosten!J52</f>
        <v>0</v>
      </c>
      <c r="K42" s="334">
        <f>Plankosten!K52</f>
        <v>0</v>
      </c>
      <c r="L42" s="334">
        <f>Plankosten!L52</f>
        <v>0</v>
      </c>
      <c r="M42" s="334">
        <f>Plankosten!M52</f>
        <v>0</v>
      </c>
      <c r="N42" s="334">
        <f>Plankosten!N52</f>
        <v>0</v>
      </c>
      <c r="O42" s="334">
        <f>Plankosten!O52</f>
        <v>0</v>
      </c>
      <c r="P42" s="335">
        <f>Plankosten!P52</f>
        <v>0</v>
      </c>
      <c r="Q42" s="329">
        <f>Plankosten!Q52</f>
        <v>0</v>
      </c>
      <c r="R42" s="336">
        <f>Plankosten!R52</f>
        <v>0</v>
      </c>
      <c r="S42" s="334">
        <f>Plankosten!S52</f>
        <v>0</v>
      </c>
      <c r="T42" s="334">
        <f>Plankosten!T52</f>
        <v>0</v>
      </c>
      <c r="U42" s="335">
        <f>Plankosten!U52</f>
        <v>0</v>
      </c>
      <c r="V42" s="329">
        <f>Plankosten!V52</f>
        <v>0</v>
      </c>
      <c r="W42" s="337">
        <f>Plankosten!W52</f>
        <v>0</v>
      </c>
      <c r="X42" s="243">
        <f>Plankosten!X52</f>
        <v>0</v>
      </c>
    </row>
    <row r="43" spans="1:24" ht="30" customHeight="1" outlineLevel="1" x14ac:dyDescent="0.25">
      <c r="A43" s="881" t="str">
        <f>Plankosten!A54</f>
        <v>Sonstige betriebliche Aufwendungen
(Miete, Pacht, Betriebskosten)</v>
      </c>
      <c r="B43" s="882"/>
      <c r="C43" s="882"/>
      <c r="D43" s="883"/>
      <c r="E43" s="333">
        <f>Plankosten!E61*(1+$D$8)</f>
        <v>1525.2</v>
      </c>
      <c r="F43" s="334">
        <f>Plankosten!F61</f>
        <v>1271</v>
      </c>
      <c r="G43" s="334">
        <f>Plankosten!G61</f>
        <v>1271</v>
      </c>
      <c r="H43" s="334">
        <f>Plankosten!H61</f>
        <v>1271</v>
      </c>
      <c r="I43" s="334">
        <f>Plankosten!I61</f>
        <v>1271</v>
      </c>
      <c r="J43" s="334">
        <f>Plankosten!J61</f>
        <v>1271</v>
      </c>
      <c r="K43" s="334">
        <f>Plankosten!K61</f>
        <v>1271</v>
      </c>
      <c r="L43" s="334">
        <f>Plankosten!L61</f>
        <v>1271</v>
      </c>
      <c r="M43" s="334">
        <f>Plankosten!M61</f>
        <v>1271</v>
      </c>
      <c r="N43" s="334">
        <f>Plankosten!N61</f>
        <v>1271</v>
      </c>
      <c r="O43" s="334">
        <f>Plankosten!O61</f>
        <v>1271</v>
      </c>
      <c r="P43" s="335">
        <f>Plankosten!P61</f>
        <v>1271</v>
      </c>
      <c r="Q43" s="329">
        <f>Plankosten!Q61</f>
        <v>15252</v>
      </c>
      <c r="R43" s="336">
        <f>Plankosten!R61</f>
        <v>3813</v>
      </c>
      <c r="S43" s="334">
        <f>Plankosten!S61</f>
        <v>3813</v>
      </c>
      <c r="T43" s="334">
        <f>Plankosten!T61</f>
        <v>3813</v>
      </c>
      <c r="U43" s="335">
        <f>Plankosten!U61</f>
        <v>3813</v>
      </c>
      <c r="V43" s="329">
        <f>Plankosten!V61</f>
        <v>15252</v>
      </c>
      <c r="W43" s="337">
        <f>Plankosten!W61</f>
        <v>15252</v>
      </c>
      <c r="X43" s="243">
        <f>Plankosten!X61</f>
        <v>15252</v>
      </c>
    </row>
    <row r="44" spans="1:24" ht="18.75" customHeight="1" outlineLevel="1" x14ac:dyDescent="0.25">
      <c r="A44" s="881" t="str">
        <f>Plankosten!A63</f>
        <v>Instandhaltung</v>
      </c>
      <c r="B44" s="882"/>
      <c r="C44" s="882"/>
      <c r="D44" s="883"/>
      <c r="E44" s="333">
        <f>Plankosten!E68*(1+$D$8)</f>
        <v>0</v>
      </c>
      <c r="F44" s="334">
        <f>Plankosten!F68</f>
        <v>0</v>
      </c>
      <c r="G44" s="334">
        <f>Plankosten!G68</f>
        <v>0</v>
      </c>
      <c r="H44" s="334">
        <f>Plankosten!H68</f>
        <v>0</v>
      </c>
      <c r="I44" s="334">
        <f>Plankosten!I68</f>
        <v>0</v>
      </c>
      <c r="J44" s="334">
        <f>Plankosten!J68</f>
        <v>0</v>
      </c>
      <c r="K44" s="334">
        <f>Plankosten!K68</f>
        <v>0</v>
      </c>
      <c r="L44" s="334">
        <f>Plankosten!L68</f>
        <v>0</v>
      </c>
      <c r="M44" s="334">
        <f>Plankosten!M68</f>
        <v>0</v>
      </c>
      <c r="N44" s="334">
        <f>Plankosten!N68</f>
        <v>0</v>
      </c>
      <c r="O44" s="334">
        <f>Plankosten!O68</f>
        <v>0</v>
      </c>
      <c r="P44" s="335">
        <f>Plankosten!P68</f>
        <v>2000</v>
      </c>
      <c r="Q44" s="329">
        <f>Plankosten!Q68</f>
        <v>2000</v>
      </c>
      <c r="R44" s="336">
        <f>Plankosten!R68</f>
        <v>0</v>
      </c>
      <c r="S44" s="334">
        <f>Plankosten!S68</f>
        <v>0</v>
      </c>
      <c r="T44" s="334">
        <f>Plankosten!T68</f>
        <v>0</v>
      </c>
      <c r="U44" s="335">
        <f>Plankosten!U68</f>
        <v>2000</v>
      </c>
      <c r="V44" s="329">
        <f>Plankosten!V68</f>
        <v>2000</v>
      </c>
      <c r="W44" s="337">
        <f>Plankosten!W68</f>
        <v>2000</v>
      </c>
      <c r="X44" s="243">
        <f>Plankosten!X68</f>
        <v>2000</v>
      </c>
    </row>
    <row r="45" spans="1:24" ht="18.75" customHeight="1" outlineLevel="1" x14ac:dyDescent="0.25">
      <c r="A45" s="881" t="str">
        <f>Plankosten!A70</f>
        <v>Kfz-Kosten und Reisekosten</v>
      </c>
      <c r="B45" s="882"/>
      <c r="C45" s="882"/>
      <c r="D45" s="883"/>
      <c r="E45" s="333">
        <f>Plankosten!E78</f>
        <v>2000</v>
      </c>
      <c r="F45" s="334">
        <f>Plankosten!F78</f>
        <v>500</v>
      </c>
      <c r="G45" s="334">
        <f>Plankosten!G78</f>
        <v>500</v>
      </c>
      <c r="H45" s="334">
        <f>Plankosten!H78</f>
        <v>500</v>
      </c>
      <c r="I45" s="334">
        <f>Plankosten!I78</f>
        <v>500</v>
      </c>
      <c r="J45" s="334">
        <f>Plankosten!J78</f>
        <v>500</v>
      </c>
      <c r="K45" s="334">
        <f>Plankosten!K78</f>
        <v>500</v>
      </c>
      <c r="L45" s="334">
        <f>Plankosten!L78</f>
        <v>500</v>
      </c>
      <c r="M45" s="334">
        <f>Plankosten!M78</f>
        <v>500</v>
      </c>
      <c r="N45" s="334">
        <f>Plankosten!N78</f>
        <v>500</v>
      </c>
      <c r="O45" s="334">
        <f>Plankosten!O78</f>
        <v>500</v>
      </c>
      <c r="P45" s="335">
        <f>Plankosten!P78</f>
        <v>500</v>
      </c>
      <c r="Q45" s="329">
        <f>Plankosten!Q78</f>
        <v>7500</v>
      </c>
      <c r="R45" s="336">
        <f>Plankosten!R78</f>
        <v>7000</v>
      </c>
      <c r="S45" s="334">
        <f>Plankosten!S78</f>
        <v>1500</v>
      </c>
      <c r="T45" s="334">
        <f>Plankosten!T78</f>
        <v>1500</v>
      </c>
      <c r="U45" s="335">
        <f>Plankosten!U78</f>
        <v>1500</v>
      </c>
      <c r="V45" s="329">
        <f>Plankosten!V78</f>
        <v>11500</v>
      </c>
      <c r="W45" s="337">
        <f>Plankosten!W78</f>
        <v>14000</v>
      </c>
      <c r="X45" s="243">
        <f>Plankosten!X78</f>
        <v>14000</v>
      </c>
    </row>
    <row r="46" spans="1:24" ht="18.75" customHeight="1" outlineLevel="1" x14ac:dyDescent="0.25">
      <c r="A46" s="881" t="str">
        <f>Plankosten!A80</f>
        <v>Büromaterial</v>
      </c>
      <c r="B46" s="882"/>
      <c r="C46" s="882"/>
      <c r="D46" s="883"/>
      <c r="E46" s="333">
        <f>Plankosten!E86*(1+$D$8)</f>
        <v>4080</v>
      </c>
      <c r="F46" s="334">
        <f>Plankosten!F86</f>
        <v>3400</v>
      </c>
      <c r="G46" s="334">
        <f>Plankosten!G86</f>
        <v>3400</v>
      </c>
      <c r="H46" s="334">
        <f>Plankosten!H86</f>
        <v>3400</v>
      </c>
      <c r="I46" s="334">
        <f>Plankosten!I86</f>
        <v>3400</v>
      </c>
      <c r="J46" s="334">
        <f>Plankosten!J86</f>
        <v>3400</v>
      </c>
      <c r="K46" s="334">
        <f>Plankosten!K86</f>
        <v>3400</v>
      </c>
      <c r="L46" s="334">
        <f>Plankosten!L86</f>
        <v>3400</v>
      </c>
      <c r="M46" s="334">
        <f>Plankosten!M86</f>
        <v>3400</v>
      </c>
      <c r="N46" s="334">
        <f>Plankosten!N86</f>
        <v>3400</v>
      </c>
      <c r="O46" s="334">
        <f>Plankosten!O86</f>
        <v>3400</v>
      </c>
      <c r="P46" s="335">
        <f>Plankosten!P86</f>
        <v>3400</v>
      </c>
      <c r="Q46" s="329">
        <f>Plankosten!Q86</f>
        <v>40800</v>
      </c>
      <c r="R46" s="336">
        <f>Plankosten!R86</f>
        <v>10200</v>
      </c>
      <c r="S46" s="334">
        <f>Plankosten!S86</f>
        <v>10200</v>
      </c>
      <c r="T46" s="334">
        <f>Plankosten!T86</f>
        <v>10200</v>
      </c>
      <c r="U46" s="335">
        <f>Plankosten!U86</f>
        <v>10200</v>
      </c>
      <c r="V46" s="329">
        <f>Plankosten!V86</f>
        <v>40800</v>
      </c>
      <c r="W46" s="337">
        <f>Plankosten!W86</f>
        <v>40800</v>
      </c>
      <c r="X46" s="243">
        <f>Plankosten!X86</f>
        <v>40800</v>
      </c>
    </row>
    <row r="47" spans="1:24" ht="18.75" customHeight="1" outlineLevel="1" x14ac:dyDescent="0.25">
      <c r="A47" s="881" t="str">
        <f>Plankosten!A88</f>
        <v>Telefon / Fax / Internet</v>
      </c>
      <c r="B47" s="882"/>
      <c r="C47" s="882"/>
      <c r="D47" s="883"/>
      <c r="E47" s="333">
        <f>Plankosten!E94*(1+$D$8)</f>
        <v>705.6</v>
      </c>
      <c r="F47" s="334">
        <f>Plankosten!F94</f>
        <v>588</v>
      </c>
      <c r="G47" s="334">
        <f>Plankosten!G94</f>
        <v>588</v>
      </c>
      <c r="H47" s="334">
        <f>Plankosten!H94</f>
        <v>588</v>
      </c>
      <c r="I47" s="334">
        <f>Plankosten!I94</f>
        <v>588</v>
      </c>
      <c r="J47" s="334">
        <f>Plankosten!J94</f>
        <v>588</v>
      </c>
      <c r="K47" s="334">
        <f>Plankosten!K94</f>
        <v>588</v>
      </c>
      <c r="L47" s="334">
        <f>Plankosten!L94</f>
        <v>588</v>
      </c>
      <c r="M47" s="334">
        <f>Plankosten!M94</f>
        <v>588</v>
      </c>
      <c r="N47" s="334">
        <f>Plankosten!N94</f>
        <v>588</v>
      </c>
      <c r="O47" s="334">
        <f>Plankosten!O94</f>
        <v>588</v>
      </c>
      <c r="P47" s="335">
        <f>Plankosten!P94</f>
        <v>588</v>
      </c>
      <c r="Q47" s="329">
        <f>Plankosten!Q94</f>
        <v>7056</v>
      </c>
      <c r="R47" s="336">
        <f>Plankosten!R94</f>
        <v>1764</v>
      </c>
      <c r="S47" s="334">
        <f>Plankosten!S94</f>
        <v>1764</v>
      </c>
      <c r="T47" s="334">
        <f>Plankosten!T94</f>
        <v>1764</v>
      </c>
      <c r="U47" s="335">
        <f>Plankosten!U94</f>
        <v>1764</v>
      </c>
      <c r="V47" s="329">
        <f>Plankosten!V94</f>
        <v>7056</v>
      </c>
      <c r="W47" s="337">
        <f>Plankosten!W94</f>
        <v>7056</v>
      </c>
      <c r="X47" s="243">
        <f>Plankosten!X94</f>
        <v>7056</v>
      </c>
    </row>
    <row r="48" spans="1:24" ht="18.75" customHeight="1" outlineLevel="1" x14ac:dyDescent="0.25">
      <c r="A48" s="890" t="str">
        <f>Plankosten!A96</f>
        <v>Steuer- und Rechtsberatung</v>
      </c>
      <c r="B48" s="891"/>
      <c r="C48" s="891"/>
      <c r="D48" s="892"/>
      <c r="E48" s="333">
        <f>Plankosten!E103*(1+$D$8)</f>
        <v>360</v>
      </c>
      <c r="F48" s="334">
        <f>Plankosten!F103</f>
        <v>300</v>
      </c>
      <c r="G48" s="334">
        <f>Plankosten!G103</f>
        <v>2300</v>
      </c>
      <c r="H48" s="334">
        <f>Plankosten!H103</f>
        <v>300</v>
      </c>
      <c r="I48" s="334">
        <f>Plankosten!I103</f>
        <v>300</v>
      </c>
      <c r="J48" s="334">
        <f>Plankosten!J103</f>
        <v>300</v>
      </c>
      <c r="K48" s="334">
        <f>Plankosten!K103</f>
        <v>300</v>
      </c>
      <c r="L48" s="334">
        <f>Plankosten!L103</f>
        <v>300</v>
      </c>
      <c r="M48" s="334">
        <f>Plankosten!M103</f>
        <v>300</v>
      </c>
      <c r="N48" s="334">
        <f>Plankosten!N103</f>
        <v>3300</v>
      </c>
      <c r="O48" s="334">
        <f>Plankosten!O103</f>
        <v>300</v>
      </c>
      <c r="P48" s="335">
        <f>Plankosten!P103</f>
        <v>300</v>
      </c>
      <c r="Q48" s="329">
        <f>Plankosten!Q103</f>
        <v>8600</v>
      </c>
      <c r="R48" s="336">
        <f>Plankosten!R103</f>
        <v>900</v>
      </c>
      <c r="S48" s="334">
        <f>Plankosten!S103</f>
        <v>900</v>
      </c>
      <c r="T48" s="334">
        <f>Plankosten!T103</f>
        <v>900</v>
      </c>
      <c r="U48" s="335">
        <f>Plankosten!U103</f>
        <v>3900</v>
      </c>
      <c r="V48" s="329">
        <f>Plankosten!V103</f>
        <v>6600</v>
      </c>
      <c r="W48" s="337">
        <f>Plankosten!W103</f>
        <v>6600</v>
      </c>
      <c r="X48" s="243">
        <f>Plankosten!X103</f>
        <v>6600</v>
      </c>
    </row>
    <row r="49" spans="1:24" ht="18.75" customHeight="1" outlineLevel="1" x14ac:dyDescent="0.25">
      <c r="A49" s="884" t="str">
        <f>Plankosten!A105</f>
        <v>Werbungskosten</v>
      </c>
      <c r="B49" s="885"/>
      <c r="C49" s="885"/>
      <c r="D49" s="886"/>
      <c r="E49" s="333">
        <f>Plankosten!E111*(1+$D$8)</f>
        <v>0</v>
      </c>
      <c r="F49" s="334">
        <f>Plankosten!F111</f>
        <v>0</v>
      </c>
      <c r="G49" s="334">
        <f>Plankosten!G111</f>
        <v>0</v>
      </c>
      <c r="H49" s="334">
        <f>Plankosten!H111</f>
        <v>0</v>
      </c>
      <c r="I49" s="334">
        <f>Plankosten!I111</f>
        <v>0</v>
      </c>
      <c r="J49" s="334">
        <f>Plankosten!J111</f>
        <v>0</v>
      </c>
      <c r="K49" s="334">
        <f>Plankosten!K111</f>
        <v>0</v>
      </c>
      <c r="L49" s="334">
        <f>Plankosten!L111</f>
        <v>0</v>
      </c>
      <c r="M49" s="334">
        <f>Plankosten!M111</f>
        <v>0</v>
      </c>
      <c r="N49" s="334">
        <f>Plankosten!N111</f>
        <v>0</v>
      </c>
      <c r="O49" s="334">
        <f>Plankosten!O111</f>
        <v>0</v>
      </c>
      <c r="P49" s="335">
        <f>Plankosten!P111</f>
        <v>40000</v>
      </c>
      <c r="Q49" s="329">
        <f>Plankosten!Q111</f>
        <v>40000</v>
      </c>
      <c r="R49" s="336">
        <f>Plankosten!R111</f>
        <v>0</v>
      </c>
      <c r="S49" s="334">
        <f>Plankosten!S111</f>
        <v>0</v>
      </c>
      <c r="T49" s="334">
        <f>Plankosten!T111</f>
        <v>0</v>
      </c>
      <c r="U49" s="335">
        <f>Plankosten!U111</f>
        <v>40000</v>
      </c>
      <c r="V49" s="329">
        <f>Plankosten!V111</f>
        <v>40000</v>
      </c>
      <c r="W49" s="337">
        <f>Plankosten!W111</f>
        <v>40000</v>
      </c>
      <c r="X49" s="243">
        <f>Plankosten!X111</f>
        <v>40000</v>
      </c>
    </row>
    <row r="50" spans="1:24" ht="18.75" customHeight="1" outlineLevel="1" x14ac:dyDescent="0.25">
      <c r="A50" s="884" t="str">
        <f>Plankosten!A113</f>
        <v>Gebühren, Kammerbeiträge</v>
      </c>
      <c r="B50" s="885"/>
      <c r="C50" s="885"/>
      <c r="D50" s="886"/>
      <c r="E50" s="333">
        <f>Plankosten!E120</f>
        <v>162.59235484104164</v>
      </c>
      <c r="F50" s="334">
        <f>Plankosten!F120</f>
        <v>362.59235484104164</v>
      </c>
      <c r="G50" s="334">
        <f>Plankosten!G120</f>
        <v>162.59235484104164</v>
      </c>
      <c r="H50" s="334">
        <f>Plankosten!H120</f>
        <v>162.59235484104164</v>
      </c>
      <c r="I50" s="334">
        <f>Plankosten!I120</f>
        <v>362.59235484104164</v>
      </c>
      <c r="J50" s="334">
        <f>Plankosten!J120</f>
        <v>162.59235484104164</v>
      </c>
      <c r="K50" s="334">
        <f>Plankosten!K120</f>
        <v>162.59235484104164</v>
      </c>
      <c r="L50" s="334">
        <f>Plankosten!L120</f>
        <v>362.59235484104164</v>
      </c>
      <c r="M50" s="334">
        <f>Plankosten!M120</f>
        <v>162.59235484104164</v>
      </c>
      <c r="N50" s="334">
        <f>Plankosten!N120</f>
        <v>162.59235484104164</v>
      </c>
      <c r="O50" s="334">
        <f>Plankosten!O120</f>
        <v>362.59235484104164</v>
      </c>
      <c r="P50" s="335">
        <f>Plankosten!P120</f>
        <v>162.59235484104164</v>
      </c>
      <c r="Q50" s="329">
        <f>Plankosten!Q120</f>
        <v>2751.1082580924999</v>
      </c>
      <c r="R50" s="336">
        <f>Plankosten!R120</f>
        <v>687.77706452312498</v>
      </c>
      <c r="S50" s="334">
        <f>Plankosten!S120</f>
        <v>687.77706452312498</v>
      </c>
      <c r="T50" s="334">
        <f>Plankosten!T120</f>
        <v>687.77706452312498</v>
      </c>
      <c r="U50" s="335">
        <f>Plankosten!U120</f>
        <v>687.77706452312498</v>
      </c>
      <c r="V50" s="329">
        <f>Plankosten!V120</f>
        <v>2751.1082580924999</v>
      </c>
      <c r="W50" s="337">
        <f>Plankosten!W120</f>
        <v>2751.1082580924999</v>
      </c>
      <c r="X50" s="243">
        <f>Plankosten!X120</f>
        <v>2751.1082580924999</v>
      </c>
    </row>
    <row r="51" spans="1:24" ht="18.75" customHeight="1" outlineLevel="1" x14ac:dyDescent="0.25">
      <c r="A51" s="884" t="str">
        <f>Plankosten!A122</f>
        <v>Betriebsversicherung</v>
      </c>
      <c r="B51" s="885"/>
      <c r="C51" s="885"/>
      <c r="D51" s="886"/>
      <c r="E51" s="333">
        <f>Plankosten!E127</f>
        <v>0</v>
      </c>
      <c r="F51" s="334">
        <f>Plankosten!F127</f>
        <v>0</v>
      </c>
      <c r="G51" s="334">
        <f>Plankosten!G127</f>
        <v>0</v>
      </c>
      <c r="H51" s="334">
        <f>Plankosten!H127</f>
        <v>0</v>
      </c>
      <c r="I51" s="334">
        <f>Plankosten!I127</f>
        <v>0</v>
      </c>
      <c r="J51" s="334">
        <f>Plankosten!J127</f>
        <v>0</v>
      </c>
      <c r="K51" s="334">
        <f>Plankosten!K127</f>
        <v>0</v>
      </c>
      <c r="L51" s="334">
        <f>Plankosten!L127</f>
        <v>0</v>
      </c>
      <c r="M51" s="334">
        <f>Plankosten!M127</f>
        <v>0</v>
      </c>
      <c r="N51" s="334">
        <f>Plankosten!N127</f>
        <v>0</v>
      </c>
      <c r="O51" s="334">
        <f>Plankosten!O127</f>
        <v>0</v>
      </c>
      <c r="P51" s="335">
        <f>Plankosten!P127</f>
        <v>0</v>
      </c>
      <c r="Q51" s="329">
        <f>Plankosten!Q127</f>
        <v>0</v>
      </c>
      <c r="R51" s="336">
        <f>Plankosten!R127</f>
        <v>0</v>
      </c>
      <c r="S51" s="334">
        <f>Plankosten!S127</f>
        <v>0</v>
      </c>
      <c r="T51" s="334">
        <f>Plankosten!T127</f>
        <v>0</v>
      </c>
      <c r="U51" s="335">
        <f>Plankosten!U127</f>
        <v>0</v>
      </c>
      <c r="V51" s="329">
        <f>Plankosten!V127</f>
        <v>0</v>
      </c>
      <c r="W51" s="337">
        <f>Plankosten!W127</f>
        <v>0</v>
      </c>
      <c r="X51" s="243">
        <f>Plankosten!X127</f>
        <v>0</v>
      </c>
    </row>
    <row r="52" spans="1:24" ht="18.75" customHeight="1" outlineLevel="1" x14ac:dyDescent="0.25">
      <c r="A52" s="884" t="str">
        <f>Plankosten!A129</f>
        <v>Leasinggebühren</v>
      </c>
      <c r="B52" s="885"/>
      <c r="C52" s="885"/>
      <c r="D52" s="886"/>
      <c r="E52" s="333">
        <f>Plankosten!E134*(1+$D$8)</f>
        <v>1800</v>
      </c>
      <c r="F52" s="334">
        <f>Plankosten!F134</f>
        <v>1500</v>
      </c>
      <c r="G52" s="334">
        <f>Plankosten!G134</f>
        <v>1500</v>
      </c>
      <c r="H52" s="334">
        <f>Plankosten!H134</f>
        <v>1500</v>
      </c>
      <c r="I52" s="334">
        <f>Plankosten!I134</f>
        <v>1500</v>
      </c>
      <c r="J52" s="334">
        <f>Plankosten!J134</f>
        <v>1500</v>
      </c>
      <c r="K52" s="334">
        <f>Plankosten!K134</f>
        <v>1500</v>
      </c>
      <c r="L52" s="334">
        <f>Plankosten!L134</f>
        <v>1500</v>
      </c>
      <c r="M52" s="334">
        <f>Plankosten!M134</f>
        <v>1500</v>
      </c>
      <c r="N52" s="334">
        <f>Plankosten!N134</f>
        <v>1500</v>
      </c>
      <c r="O52" s="334">
        <f>Plankosten!O134</f>
        <v>1500</v>
      </c>
      <c r="P52" s="335">
        <f>Plankosten!P134</f>
        <v>1500</v>
      </c>
      <c r="Q52" s="329">
        <f>Plankosten!Q134</f>
        <v>18000</v>
      </c>
      <c r="R52" s="336">
        <f>Plankosten!R134</f>
        <v>4500</v>
      </c>
      <c r="S52" s="334">
        <f>Plankosten!S134</f>
        <v>4500</v>
      </c>
      <c r="T52" s="334">
        <f>Plankosten!T134</f>
        <v>4500</v>
      </c>
      <c r="U52" s="335">
        <f>Plankosten!U134</f>
        <v>4500</v>
      </c>
      <c r="V52" s="329">
        <f>Plankosten!V134</f>
        <v>0</v>
      </c>
      <c r="W52" s="337">
        <f>Plankosten!W134</f>
        <v>0</v>
      </c>
      <c r="X52" s="243">
        <f>Plankosten!X134</f>
        <v>0</v>
      </c>
    </row>
    <row r="53" spans="1:24" ht="18.75" customHeight="1" outlineLevel="1" x14ac:dyDescent="0.25">
      <c r="A53" s="884" t="str">
        <f>Plankosten!A136</f>
        <v>Spesen-, Bank-, Kreditgebühren</v>
      </c>
      <c r="B53" s="885"/>
      <c r="C53" s="885"/>
      <c r="D53" s="886"/>
      <c r="E53" s="333">
        <f>Plankosten!E141</f>
        <v>50</v>
      </c>
      <c r="F53" s="334">
        <f>Plankosten!F141</f>
        <v>0</v>
      </c>
      <c r="G53" s="334">
        <f>Plankosten!G141</f>
        <v>0</v>
      </c>
      <c r="H53" s="334">
        <f>Plankosten!H141</f>
        <v>50</v>
      </c>
      <c r="I53" s="334">
        <f>Plankosten!I141</f>
        <v>0</v>
      </c>
      <c r="J53" s="334">
        <f>Plankosten!J141</f>
        <v>0</v>
      </c>
      <c r="K53" s="334">
        <f>Plankosten!K141</f>
        <v>50</v>
      </c>
      <c r="L53" s="334">
        <f>Plankosten!L141</f>
        <v>0</v>
      </c>
      <c r="M53" s="334">
        <f>Plankosten!M141</f>
        <v>0</v>
      </c>
      <c r="N53" s="334">
        <f>Plankosten!N141</f>
        <v>50</v>
      </c>
      <c r="O53" s="334">
        <f>Plankosten!O141</f>
        <v>0</v>
      </c>
      <c r="P53" s="335">
        <f>Plankosten!P141</f>
        <v>0</v>
      </c>
      <c r="Q53" s="329">
        <f>Plankosten!Q141</f>
        <v>200</v>
      </c>
      <c r="R53" s="336">
        <f>Plankosten!R141</f>
        <v>50</v>
      </c>
      <c r="S53" s="334">
        <f>Plankosten!S141</f>
        <v>50</v>
      </c>
      <c r="T53" s="334">
        <f>Plankosten!T141</f>
        <v>50</v>
      </c>
      <c r="U53" s="335">
        <f>Plankosten!U141</f>
        <v>50</v>
      </c>
      <c r="V53" s="329">
        <f>Plankosten!V141</f>
        <v>200</v>
      </c>
      <c r="W53" s="337">
        <f>Plankosten!W141</f>
        <v>200</v>
      </c>
      <c r="X53" s="243">
        <f>Plankosten!X141</f>
        <v>200</v>
      </c>
    </row>
    <row r="54" spans="1:24" ht="18.75" customHeight="1" outlineLevel="1" thickBot="1" x14ac:dyDescent="0.3">
      <c r="A54" s="887" t="str">
        <f>Plankosten!A143</f>
        <v>Sonstige Kosten</v>
      </c>
      <c r="B54" s="888"/>
      <c r="C54" s="888"/>
      <c r="D54" s="889"/>
      <c r="E54" s="126">
        <f>Plankosten!E149*(1+$D$8)</f>
        <v>0</v>
      </c>
      <c r="F54" s="127">
        <f>Plankosten!F149</f>
        <v>0</v>
      </c>
      <c r="G54" s="127">
        <f>Plankosten!G149</f>
        <v>0</v>
      </c>
      <c r="H54" s="127">
        <f>Plankosten!H149</f>
        <v>0</v>
      </c>
      <c r="I54" s="127">
        <f>Plankosten!I149</f>
        <v>15000</v>
      </c>
      <c r="J54" s="127">
        <f>Plankosten!J149</f>
        <v>0</v>
      </c>
      <c r="K54" s="127">
        <f>Plankosten!K149</f>
        <v>0</v>
      </c>
      <c r="L54" s="127">
        <f>Plankosten!L149</f>
        <v>0</v>
      </c>
      <c r="M54" s="127">
        <f>Plankosten!M149</f>
        <v>0</v>
      </c>
      <c r="N54" s="127">
        <f>Plankosten!N149</f>
        <v>0</v>
      </c>
      <c r="O54" s="127">
        <f>Plankosten!O149</f>
        <v>0</v>
      </c>
      <c r="P54" s="157">
        <f>Plankosten!P149</f>
        <v>0</v>
      </c>
      <c r="Q54" s="132">
        <f>Plankosten!Q149</f>
        <v>15000</v>
      </c>
      <c r="R54" s="194">
        <f>Plankosten!R149</f>
        <v>0</v>
      </c>
      <c r="S54" s="127">
        <f>Plankosten!S149</f>
        <v>15000</v>
      </c>
      <c r="T54" s="127">
        <f>Plankosten!T149</f>
        <v>0</v>
      </c>
      <c r="U54" s="157">
        <f>Plankosten!U149</f>
        <v>0</v>
      </c>
      <c r="V54" s="132">
        <f>Plankosten!V149</f>
        <v>15000</v>
      </c>
      <c r="W54" s="195">
        <f>Plankosten!W149</f>
        <v>15000</v>
      </c>
      <c r="X54" s="133">
        <f>Plankosten!X149</f>
        <v>15000</v>
      </c>
    </row>
    <row r="55" spans="1:24" ht="7.5" customHeight="1" outlineLevel="1" thickTop="1" thickBot="1" x14ac:dyDescent="0.3">
      <c r="A55" s="878"/>
      <c r="B55" s="879"/>
      <c r="C55" s="879"/>
      <c r="D55" s="880"/>
      <c r="E55" s="338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39"/>
      <c r="Q55" s="325" t="str">
        <f t="shared" ref="Q55" si="13">IF(SUM(E55:P55)=0,"",SUM(E55:P55))</f>
        <v/>
      </c>
      <c r="R55" s="340"/>
      <c r="S55" s="323"/>
      <c r="T55" s="323"/>
      <c r="U55" s="341"/>
      <c r="V55" s="325" t="str">
        <f t="shared" ref="V55" si="14">IF(SUM(R55:U55)=0,"",SUM(R55:U55))</f>
        <v/>
      </c>
      <c r="W55" s="342"/>
      <c r="X55" s="327"/>
    </row>
    <row r="56" spans="1:24" ht="18.75" customHeight="1" thickBot="1" x14ac:dyDescent="0.3">
      <c r="A56" s="845" t="s">
        <v>155</v>
      </c>
      <c r="B56" s="846"/>
      <c r="C56" s="846"/>
      <c r="D56" s="847"/>
      <c r="E56" s="442">
        <f t="shared" ref="E56:X56" si="15">SUM(E40:E55)</f>
        <v>21523.392354841042</v>
      </c>
      <c r="F56" s="539">
        <f t="shared" si="15"/>
        <v>21069.592354841043</v>
      </c>
      <c r="G56" s="539">
        <f t="shared" si="15"/>
        <v>26517.592354841043</v>
      </c>
      <c r="H56" s="539">
        <f t="shared" si="15"/>
        <v>28215.592354841043</v>
      </c>
      <c r="I56" s="539">
        <f t="shared" si="15"/>
        <v>61902.259021507714</v>
      </c>
      <c r="J56" s="539">
        <f t="shared" si="15"/>
        <v>28165.592354841043</v>
      </c>
      <c r="K56" s="539">
        <f t="shared" si="15"/>
        <v>28215.592354841043</v>
      </c>
      <c r="L56" s="539">
        <f t="shared" si="15"/>
        <v>28365.592354841043</v>
      </c>
      <c r="M56" s="539">
        <f t="shared" si="15"/>
        <v>28165.592354841043</v>
      </c>
      <c r="N56" s="539">
        <f t="shared" si="15"/>
        <v>31215.592354841043</v>
      </c>
      <c r="O56" s="539">
        <f t="shared" si="15"/>
        <v>46902.259021507714</v>
      </c>
      <c r="P56" s="536">
        <f t="shared" si="15"/>
        <v>70165.592354841036</v>
      </c>
      <c r="Q56" s="541">
        <f t="shared" si="15"/>
        <v>419012.44159142586</v>
      </c>
      <c r="R56" s="442">
        <f t="shared" si="15"/>
        <v>126897.77706452312</v>
      </c>
      <c r="S56" s="539">
        <f t="shared" si="15"/>
        <v>170517.52706452314</v>
      </c>
      <c r="T56" s="539">
        <f t="shared" si="15"/>
        <v>132040.27706452314</v>
      </c>
      <c r="U56" s="536">
        <f t="shared" si="15"/>
        <v>211160.02706452314</v>
      </c>
      <c r="V56" s="541">
        <f t="shared" si="15"/>
        <v>622615.60825809254</v>
      </c>
      <c r="W56" s="540">
        <f t="shared" si="15"/>
        <v>891575.21825809253</v>
      </c>
      <c r="X56" s="496">
        <f t="shared" si="15"/>
        <v>928701.02375809243</v>
      </c>
    </row>
    <row r="57" spans="1:24" ht="7.5" customHeight="1" thickBot="1" x14ac:dyDescent="0.3">
      <c r="A57" s="750"/>
      <c r="B57" s="751"/>
      <c r="C57" s="751"/>
      <c r="D57" s="751"/>
      <c r="E57" s="751"/>
      <c r="F57" s="751"/>
      <c r="G57" s="751"/>
      <c r="H57" s="751"/>
      <c r="I57" s="751"/>
      <c r="J57" s="751"/>
      <c r="K57" s="751"/>
      <c r="L57" s="751"/>
      <c r="M57" s="751"/>
      <c r="N57" s="751"/>
      <c r="O57" s="751"/>
      <c r="P57" s="751"/>
      <c r="Q57" s="751"/>
      <c r="R57" s="751"/>
      <c r="S57" s="751"/>
      <c r="T57" s="751"/>
      <c r="U57" s="751"/>
      <c r="V57" s="751"/>
      <c r="W57" s="751"/>
      <c r="X57" s="752"/>
    </row>
    <row r="58" spans="1:24" ht="18.75" customHeight="1" thickBot="1" x14ac:dyDescent="0.3">
      <c r="A58" s="866" t="s">
        <v>157</v>
      </c>
      <c r="B58" s="867"/>
      <c r="C58" s="867"/>
      <c r="D58" s="868"/>
      <c r="X58" s="330"/>
    </row>
    <row r="59" spans="1:24" ht="18.75" customHeight="1" outlineLevel="1" thickTop="1" x14ac:dyDescent="0.25">
      <c r="A59" s="863" t="s">
        <v>159</v>
      </c>
      <c r="B59" s="864"/>
      <c r="C59" s="864"/>
      <c r="D59" s="865"/>
      <c r="E59" s="6">
        <f>Investitionsplan!F24*(1+$D$8)</f>
        <v>69600</v>
      </c>
      <c r="F59" s="7">
        <f>Investitionsplan!G24*(1+$D$8)</f>
        <v>0</v>
      </c>
      <c r="G59" s="7">
        <f>Investitionsplan!H24*(1+$D$8)</f>
        <v>12000</v>
      </c>
      <c r="H59" s="7">
        <f>Investitionsplan!I24*(1+$D$8)</f>
        <v>0</v>
      </c>
      <c r="I59" s="7">
        <f>Investitionsplan!J24*(1+$D$8)</f>
        <v>0</v>
      </c>
      <c r="J59" s="7">
        <f>Investitionsplan!K24*(1+$D$8)</f>
        <v>12000</v>
      </c>
      <c r="K59" s="7">
        <f>Investitionsplan!L24*(1+$D$8)</f>
        <v>0</v>
      </c>
      <c r="L59" s="7">
        <f>Investitionsplan!M24*(1+$D$8)</f>
        <v>0</v>
      </c>
      <c r="M59" s="7">
        <f>Investitionsplan!N24*(1+$D$8)</f>
        <v>0</v>
      </c>
      <c r="N59" s="7">
        <f>Investitionsplan!O24*(1+$D$8)</f>
        <v>24000</v>
      </c>
      <c r="O59" s="7">
        <f>Investitionsplan!P24*(1+$D$8)</f>
        <v>0</v>
      </c>
      <c r="P59" s="178">
        <f>Investitionsplan!Q24*(1+$D$8)</f>
        <v>0</v>
      </c>
      <c r="Q59" s="8">
        <f>Investitionsplan!R24*(1+$D$8)</f>
        <v>117600</v>
      </c>
      <c r="R59" s="305">
        <f>Investitionsplan!S24*(1+$D$8)</f>
        <v>21600</v>
      </c>
      <c r="S59" s="7">
        <f>Investitionsplan!T24*(1+$D$8)</f>
        <v>0</v>
      </c>
      <c r="T59" s="7">
        <f>Investitionsplan!U24*(1+$D$8)</f>
        <v>2400</v>
      </c>
      <c r="U59" s="178">
        <f>Investitionsplan!V24*(1+$D$8)</f>
        <v>0</v>
      </c>
      <c r="V59" s="8">
        <f>Investitionsplan!W24*(1+$D$8)</f>
        <v>24000</v>
      </c>
      <c r="W59" s="8">
        <f>Investitionsplan!X24*(1+$D$8)</f>
        <v>0</v>
      </c>
      <c r="X59" s="9">
        <f>Investitionsplan!Y24*(1+$D$8)</f>
        <v>0</v>
      </c>
    </row>
    <row r="60" spans="1:24" ht="18.75" customHeight="1" outlineLevel="1" thickBot="1" x14ac:dyDescent="0.3">
      <c r="A60" s="872" t="s">
        <v>160</v>
      </c>
      <c r="B60" s="873"/>
      <c r="C60" s="873"/>
      <c r="D60" s="874"/>
      <c r="E60" s="126">
        <f>Investitionsplan!F36</f>
        <v>0</v>
      </c>
      <c r="F60" s="127">
        <f>Investitionsplan!G36</f>
        <v>0</v>
      </c>
      <c r="G60" s="127">
        <f>Investitionsplan!H36</f>
        <v>35000</v>
      </c>
      <c r="H60" s="127">
        <f>Investitionsplan!I36</f>
        <v>0</v>
      </c>
      <c r="I60" s="127">
        <f>Investitionsplan!J36</f>
        <v>0</v>
      </c>
      <c r="J60" s="127">
        <f>Investitionsplan!K36</f>
        <v>0</v>
      </c>
      <c r="K60" s="127">
        <f>Investitionsplan!L36</f>
        <v>0</v>
      </c>
      <c r="L60" s="127">
        <f>Investitionsplan!M36</f>
        <v>0</v>
      </c>
      <c r="M60" s="127">
        <f>Investitionsplan!N36</f>
        <v>0</v>
      </c>
      <c r="N60" s="127">
        <f>Investitionsplan!O36</f>
        <v>0</v>
      </c>
      <c r="O60" s="127">
        <f>Investitionsplan!P36</f>
        <v>0</v>
      </c>
      <c r="P60" s="157">
        <f>Investitionsplan!Q36</f>
        <v>0</v>
      </c>
      <c r="Q60" s="132">
        <f>Investitionsplan!R36</f>
        <v>35000</v>
      </c>
      <c r="R60" s="158">
        <f>Investitionsplan!S36</f>
        <v>60000</v>
      </c>
      <c r="S60" s="127">
        <f>Investitionsplan!T36</f>
        <v>0</v>
      </c>
      <c r="T60" s="127">
        <f>Investitionsplan!U36</f>
        <v>60000</v>
      </c>
      <c r="U60" s="157">
        <f>Investitionsplan!V36</f>
        <v>0</v>
      </c>
      <c r="V60" s="132">
        <f>Investitionsplan!W36</f>
        <v>120000</v>
      </c>
      <c r="W60" s="132">
        <f>Investitionsplan!X36</f>
        <v>60000</v>
      </c>
      <c r="X60" s="133">
        <f>Investitionsplan!Y36</f>
        <v>0</v>
      </c>
    </row>
    <row r="61" spans="1:24" ht="7.5" customHeight="1" outlineLevel="1" thickTop="1" thickBot="1" x14ac:dyDescent="0.3">
      <c r="A61" s="875"/>
      <c r="B61" s="876"/>
      <c r="C61" s="876"/>
      <c r="D61" s="877"/>
      <c r="E61" s="338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39"/>
      <c r="Q61" s="325" t="str">
        <f t="shared" ref="Q61" si="16">IF(SUM(E61:P61)=0,"",SUM(E61:P61))</f>
        <v/>
      </c>
      <c r="R61" s="326"/>
      <c r="S61" s="323"/>
      <c r="T61" s="323"/>
      <c r="U61" s="341"/>
      <c r="V61" s="325" t="str">
        <f t="shared" ref="V61" si="17">IF(SUM(R61:U61)=0,"",SUM(R61:U61))</f>
        <v/>
      </c>
      <c r="W61" s="325"/>
      <c r="X61" s="327"/>
    </row>
    <row r="62" spans="1:24" ht="18.75" customHeight="1" thickBot="1" x14ac:dyDescent="0.3">
      <c r="A62" s="845" t="s">
        <v>156</v>
      </c>
      <c r="B62" s="846"/>
      <c r="C62" s="846"/>
      <c r="D62" s="847"/>
      <c r="E62" s="604">
        <f>SUM(E59:E61)</f>
        <v>69600</v>
      </c>
      <c r="F62" s="599">
        <f t="shared" ref="F62:X62" si="18">SUM(F59:F61)</f>
        <v>0</v>
      </c>
      <c r="G62" s="599">
        <f t="shared" si="18"/>
        <v>47000</v>
      </c>
      <c r="H62" s="599">
        <f t="shared" si="18"/>
        <v>0</v>
      </c>
      <c r="I62" s="599">
        <f t="shared" si="18"/>
        <v>0</v>
      </c>
      <c r="J62" s="599">
        <f t="shared" si="18"/>
        <v>12000</v>
      </c>
      <c r="K62" s="599">
        <f t="shared" si="18"/>
        <v>0</v>
      </c>
      <c r="L62" s="599">
        <f t="shared" si="18"/>
        <v>0</v>
      </c>
      <c r="M62" s="599">
        <f t="shared" si="18"/>
        <v>0</v>
      </c>
      <c r="N62" s="599">
        <f t="shared" si="18"/>
        <v>24000</v>
      </c>
      <c r="O62" s="599">
        <f t="shared" si="18"/>
        <v>0</v>
      </c>
      <c r="P62" s="600">
        <f t="shared" si="18"/>
        <v>0</v>
      </c>
      <c r="Q62" s="541">
        <f t="shared" si="18"/>
        <v>152600</v>
      </c>
      <c r="R62" s="601">
        <f t="shared" si="18"/>
        <v>81600</v>
      </c>
      <c r="S62" s="599">
        <f t="shared" si="18"/>
        <v>0</v>
      </c>
      <c r="T62" s="599">
        <f t="shared" si="18"/>
        <v>62400</v>
      </c>
      <c r="U62" s="600">
        <f t="shared" si="18"/>
        <v>0</v>
      </c>
      <c r="V62" s="541">
        <f t="shared" si="18"/>
        <v>144000</v>
      </c>
      <c r="W62" s="541">
        <f t="shared" si="18"/>
        <v>60000</v>
      </c>
      <c r="X62" s="602">
        <f t="shared" si="18"/>
        <v>0</v>
      </c>
    </row>
    <row r="63" spans="1:24" ht="7.5" customHeight="1" thickBot="1" x14ac:dyDescent="0.3">
      <c r="A63" s="750"/>
      <c r="B63" s="751"/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N63" s="751"/>
      <c r="O63" s="751"/>
      <c r="P63" s="751"/>
      <c r="Q63" s="751"/>
      <c r="R63" s="751"/>
      <c r="S63" s="751"/>
      <c r="T63" s="751"/>
      <c r="U63" s="751"/>
      <c r="V63" s="751"/>
      <c r="W63" s="751"/>
      <c r="X63" s="752"/>
    </row>
    <row r="64" spans="1:24" ht="18.75" customHeight="1" thickBot="1" x14ac:dyDescent="0.3">
      <c r="A64" s="866" t="s">
        <v>166</v>
      </c>
      <c r="B64" s="867"/>
      <c r="C64" s="867"/>
      <c r="D64" s="868"/>
      <c r="X64" s="330"/>
    </row>
    <row r="65" spans="1:24" ht="18.75" customHeight="1" outlineLevel="1" thickTop="1" x14ac:dyDescent="0.25">
      <c r="A65" s="914" t="str">
        <f>A84</f>
        <v>Sollzinsen Kontokorrentkredit</v>
      </c>
      <c r="B65" s="915"/>
      <c r="C65" s="915"/>
      <c r="D65" s="916"/>
      <c r="E65" s="274"/>
      <c r="F65" s="303"/>
      <c r="G65" s="303"/>
      <c r="H65" s="7">
        <f>E84</f>
        <v>885.99432798392343</v>
      </c>
      <c r="I65" s="303"/>
      <c r="J65" s="303"/>
      <c r="K65" s="7">
        <f>H84</f>
        <v>2066.6036701415896</v>
      </c>
      <c r="L65" s="303"/>
      <c r="M65" s="303"/>
      <c r="N65" s="7">
        <f>K84</f>
        <v>1014.2095961284691</v>
      </c>
      <c r="O65" s="303"/>
      <c r="P65" s="304"/>
      <c r="Q65" s="8">
        <f>SUM(E65:P65)</f>
        <v>3966.8075942539822</v>
      </c>
      <c r="R65" s="305">
        <f>N84</f>
        <v>458.72837381579239</v>
      </c>
      <c r="S65" s="7">
        <f>R84</f>
        <v>959.76377857273974</v>
      </c>
      <c r="T65" s="7">
        <f>S84</f>
        <v>65.724750683500901</v>
      </c>
      <c r="U65" s="178">
        <f>T84</f>
        <v>0</v>
      </c>
      <c r="V65" s="8">
        <f>SUM(R65:U65)</f>
        <v>1484.2169030720329</v>
      </c>
      <c r="W65" s="8">
        <f>U84</f>
        <v>0</v>
      </c>
      <c r="X65" s="9">
        <f>W84</f>
        <v>0</v>
      </c>
    </row>
    <row r="66" spans="1:24" ht="18.75" customHeight="1" outlineLevel="1" x14ac:dyDescent="0.25">
      <c r="A66" s="884" t="str">
        <f>A86</f>
        <v>Zinsen Einmalkredit</v>
      </c>
      <c r="B66" s="885"/>
      <c r="C66" s="885"/>
      <c r="D66" s="886"/>
      <c r="E66" s="374"/>
      <c r="F66" s="375"/>
      <c r="G66" s="375"/>
      <c r="H66" s="11">
        <f>E86</f>
        <v>0</v>
      </c>
      <c r="I66" s="375"/>
      <c r="J66" s="375"/>
      <c r="K66" s="11">
        <f>H86</f>
        <v>0</v>
      </c>
      <c r="L66" s="375"/>
      <c r="M66" s="375"/>
      <c r="N66" s="11">
        <f>K86</f>
        <v>0</v>
      </c>
      <c r="O66" s="375"/>
      <c r="P66" s="376"/>
      <c r="Q66" s="12">
        <f>SUM(E66:P66)</f>
        <v>0</v>
      </c>
      <c r="R66" s="306">
        <f>N86</f>
        <v>0</v>
      </c>
      <c r="S66" s="11">
        <f>R86</f>
        <v>0</v>
      </c>
      <c r="T66" s="11">
        <f>S86</f>
        <v>0</v>
      </c>
      <c r="U66" s="183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69" t="s">
        <v>168</v>
      </c>
      <c r="B67" s="870"/>
      <c r="C67" s="870"/>
      <c r="D67" s="871"/>
      <c r="E67" s="402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1">
        <f t="shared" si="19"/>
        <v>41.666666666666664</v>
      </c>
      <c r="Q67" s="12">
        <f>SUM(E67:P67)</f>
        <v>500.00000000000006</v>
      </c>
      <c r="R67" s="412">
        <f>4000/4</f>
        <v>1000</v>
      </c>
      <c r="S67" s="94">
        <f t="shared" ref="S67:U67" si="20">4000/4</f>
        <v>1000</v>
      </c>
      <c r="T67" s="94">
        <f t="shared" si="20"/>
        <v>1000</v>
      </c>
      <c r="U67" s="151">
        <f t="shared" si="20"/>
        <v>1000</v>
      </c>
      <c r="V67" s="12">
        <f>SUM(R67:U67)</f>
        <v>4000</v>
      </c>
      <c r="W67" s="416">
        <f>'Plan G&amp;V'!W56</f>
        <v>280420.29508439638</v>
      </c>
      <c r="X67" s="408">
        <f>'Plan G&amp;V'!X56</f>
        <v>1468865.1343082767</v>
      </c>
    </row>
    <row r="68" spans="1:24" ht="18.75" customHeight="1" outlineLevel="1" x14ac:dyDescent="0.25">
      <c r="A68" s="869" t="s">
        <v>169</v>
      </c>
      <c r="B68" s="870"/>
      <c r="C68" s="870"/>
      <c r="D68" s="871"/>
      <c r="E68" s="307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08"/>
      <c r="Q68" s="289">
        <f>SUM(E68:P68)</f>
        <v>0</v>
      </c>
      <c r="R68" s="413"/>
      <c r="S68" s="98"/>
      <c r="T68" s="98"/>
      <c r="U68" s="308"/>
      <c r="V68" s="289">
        <f>SUM(R68:U68)</f>
        <v>0</v>
      </c>
      <c r="W68" s="417"/>
      <c r="X68" s="418"/>
    </row>
    <row r="69" spans="1:24" ht="18.75" customHeight="1" outlineLevel="1" x14ac:dyDescent="0.25">
      <c r="A69" s="869" t="s">
        <v>100</v>
      </c>
      <c r="B69" s="870"/>
      <c r="C69" s="870"/>
      <c r="D69" s="871"/>
      <c r="E69" s="275"/>
      <c r="F69" s="377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20000.000000000004</v>
      </c>
      <c r="N69" s="80">
        <f t="shared" si="21"/>
        <v>0</v>
      </c>
      <c r="O69" s="80">
        <f t="shared" si="21"/>
        <v>20000.000000000004</v>
      </c>
      <c r="P69" s="380">
        <f t="shared" si="21"/>
        <v>0</v>
      </c>
      <c r="Q69" s="343">
        <f t="shared" ref="Q69:Q70" si="22">SUM(E69:P69)</f>
        <v>40000.000000000007</v>
      </c>
      <c r="R69" s="79">
        <f>((O15+P15+R15)/3)*($D$7/(1+$D$7))</f>
        <v>25746.666666666668</v>
      </c>
      <c r="S69" s="80">
        <f>((2*R15+S15)/3)*($D$7/(1+$D$7))</f>
        <v>42626.666666666672</v>
      </c>
      <c r="T69" s="80">
        <f>((2*S15+T15)/3)*($D$7/(1+$D$7))</f>
        <v>56460.000000000007</v>
      </c>
      <c r="U69" s="380">
        <f>((2*T15+U15)/3)*($D$7/(1+$D$7))</f>
        <v>56960.000000000007</v>
      </c>
      <c r="V69" s="343">
        <f t="shared" ref="V69:V70" si="23">SUM(R69:U69)</f>
        <v>181793.33333333334</v>
      </c>
      <c r="W69" s="343">
        <f>((8*U15+10*W15)/12)*($D$7/(1+$D$7))</f>
        <v>394106.66666666669</v>
      </c>
      <c r="X69" s="379">
        <f>((2*W15+10*X15)/12)*($D$7/(1+$D$7))</f>
        <v>1247960.0000000002</v>
      </c>
    </row>
    <row r="70" spans="1:24" ht="18.75" customHeight="1" outlineLevel="1" thickBot="1" x14ac:dyDescent="0.3">
      <c r="A70" s="851"/>
      <c r="B70" s="852"/>
      <c r="C70" s="852"/>
      <c r="D70" s="853"/>
      <c r="E70" s="309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52"/>
      <c r="Q70" s="344">
        <f t="shared" si="22"/>
        <v>0</v>
      </c>
      <c r="R70" s="414"/>
      <c r="S70" s="137"/>
      <c r="T70" s="137"/>
      <c r="U70" s="152"/>
      <c r="V70" s="344">
        <f t="shared" si="23"/>
        <v>0</v>
      </c>
      <c r="W70" s="419"/>
      <c r="X70" s="409"/>
    </row>
    <row r="71" spans="1:24" ht="7.5" customHeight="1" outlineLevel="1" thickTop="1" thickBot="1" x14ac:dyDescent="0.3">
      <c r="A71" s="841"/>
      <c r="B71" s="842"/>
      <c r="C71" s="842"/>
      <c r="D71" s="843"/>
      <c r="E71" s="310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1"/>
      <c r="Q71" s="345"/>
      <c r="R71" s="415"/>
      <c r="S71" s="405"/>
      <c r="T71" s="405"/>
      <c r="U71" s="406"/>
      <c r="V71" s="345"/>
      <c r="W71" s="420"/>
      <c r="X71" s="411"/>
    </row>
    <row r="72" spans="1:24" ht="18.75" customHeight="1" thickBot="1" x14ac:dyDescent="0.3">
      <c r="A72" s="845" t="s">
        <v>250</v>
      </c>
      <c r="B72" s="846"/>
      <c r="C72" s="846"/>
      <c r="D72" s="847"/>
      <c r="E72" s="604">
        <f>SUM(E65:E71)</f>
        <v>41.666666666666664</v>
      </c>
      <c r="F72" s="599">
        <f t="shared" ref="F72:X72" si="24">SUM(F65:F71)</f>
        <v>41.666666666666664</v>
      </c>
      <c r="G72" s="599">
        <f t="shared" si="24"/>
        <v>41.666666666666664</v>
      </c>
      <c r="H72" s="599">
        <f t="shared" si="24"/>
        <v>927.66099465059006</v>
      </c>
      <c r="I72" s="599">
        <f t="shared" si="24"/>
        <v>41.666666666666664</v>
      </c>
      <c r="J72" s="599">
        <f t="shared" si="24"/>
        <v>41.666666666666664</v>
      </c>
      <c r="K72" s="599">
        <f t="shared" si="24"/>
        <v>2108.2703368082562</v>
      </c>
      <c r="L72" s="599">
        <f t="shared" si="24"/>
        <v>41.666666666666664</v>
      </c>
      <c r="M72" s="599">
        <f t="shared" si="24"/>
        <v>20041.666666666672</v>
      </c>
      <c r="N72" s="599">
        <f t="shared" si="24"/>
        <v>1055.8762627951357</v>
      </c>
      <c r="O72" s="599">
        <f t="shared" si="24"/>
        <v>20041.666666666672</v>
      </c>
      <c r="P72" s="600">
        <f t="shared" si="24"/>
        <v>41.666666666666664</v>
      </c>
      <c r="Q72" s="541">
        <f t="shared" si="24"/>
        <v>44466.807594253987</v>
      </c>
      <c r="R72" s="601">
        <f t="shared" si="24"/>
        <v>27205.395040482461</v>
      </c>
      <c r="S72" s="599">
        <f t="shared" si="24"/>
        <v>44586.430445239414</v>
      </c>
      <c r="T72" s="599">
        <f t="shared" si="24"/>
        <v>57525.724750683505</v>
      </c>
      <c r="U72" s="600">
        <f t="shared" si="24"/>
        <v>57960.000000000007</v>
      </c>
      <c r="V72" s="541">
        <f t="shared" si="24"/>
        <v>187277.55023640537</v>
      </c>
      <c r="W72" s="541">
        <f t="shared" si="24"/>
        <v>674526.96175106312</v>
      </c>
      <c r="X72" s="602">
        <f t="shared" si="24"/>
        <v>2716825.1343082767</v>
      </c>
    </row>
    <row r="73" spans="1:24" ht="7.5" customHeight="1" thickBot="1" x14ac:dyDescent="0.3">
      <c r="A73" s="750"/>
      <c r="B73" s="751"/>
      <c r="C73" s="751"/>
      <c r="D73" s="751"/>
      <c r="E73" s="751"/>
      <c r="F73" s="751"/>
      <c r="G73" s="751"/>
      <c r="H73" s="751"/>
      <c r="I73" s="751"/>
      <c r="J73" s="751"/>
      <c r="K73" s="751"/>
      <c r="L73" s="751"/>
      <c r="M73" s="751"/>
      <c r="N73" s="751"/>
      <c r="O73" s="751"/>
      <c r="P73" s="751"/>
      <c r="Q73" s="751"/>
      <c r="R73" s="751"/>
      <c r="S73" s="751"/>
      <c r="T73" s="751"/>
      <c r="U73" s="751"/>
      <c r="V73" s="751"/>
      <c r="W73" s="751"/>
      <c r="X73" s="752"/>
    </row>
    <row r="74" spans="1:24" ht="18" customHeight="1" thickBot="1" x14ac:dyDescent="0.3">
      <c r="A74" s="860" t="s">
        <v>161</v>
      </c>
      <c r="B74" s="861"/>
      <c r="C74" s="861"/>
      <c r="D74" s="862"/>
      <c r="E74" s="449">
        <f t="shared" ref="E74:X74" si="25">SUM(E56,E62,E72)</f>
        <v>91165.05902150771</v>
      </c>
      <c r="F74" s="545">
        <f t="shared" si="25"/>
        <v>21111.259021507711</v>
      </c>
      <c r="G74" s="545">
        <f t="shared" si="25"/>
        <v>73559.259021507707</v>
      </c>
      <c r="H74" s="545">
        <f t="shared" si="25"/>
        <v>29143.253349491632</v>
      </c>
      <c r="I74" s="545">
        <f t="shared" si="25"/>
        <v>61943.925688174379</v>
      </c>
      <c r="J74" s="545">
        <f t="shared" si="25"/>
        <v>40207.259021507707</v>
      </c>
      <c r="K74" s="545">
        <f t="shared" si="25"/>
        <v>30323.862691649298</v>
      </c>
      <c r="L74" s="545">
        <f t="shared" si="25"/>
        <v>28407.259021507711</v>
      </c>
      <c r="M74" s="545">
        <f t="shared" si="25"/>
        <v>48207.259021507714</v>
      </c>
      <c r="N74" s="545">
        <f t="shared" si="25"/>
        <v>56271.468617636179</v>
      </c>
      <c r="O74" s="545">
        <f t="shared" si="25"/>
        <v>66943.925688174379</v>
      </c>
      <c r="P74" s="603">
        <f t="shared" si="25"/>
        <v>70207.259021507707</v>
      </c>
      <c r="Q74" s="331">
        <f t="shared" si="25"/>
        <v>616079.24918567983</v>
      </c>
      <c r="R74" s="450">
        <f t="shared" si="25"/>
        <v>235703.17210500559</v>
      </c>
      <c r="S74" s="545">
        <f t="shared" si="25"/>
        <v>215103.95750976255</v>
      </c>
      <c r="T74" s="545">
        <f t="shared" si="25"/>
        <v>251966.00181520663</v>
      </c>
      <c r="U74" s="603">
        <f t="shared" si="25"/>
        <v>269120.02706452314</v>
      </c>
      <c r="V74" s="331">
        <f t="shared" si="25"/>
        <v>953893.15849449788</v>
      </c>
      <c r="W74" s="331">
        <f t="shared" si="25"/>
        <v>1626102.1800091555</v>
      </c>
      <c r="X74" s="332">
        <f t="shared" si="25"/>
        <v>3645526.1580663691</v>
      </c>
    </row>
    <row r="75" spans="1:24" ht="7.5" customHeight="1" thickBot="1" x14ac:dyDescent="0.3"/>
    <row r="76" spans="1:24" ht="22.5" customHeight="1" thickBot="1" x14ac:dyDescent="0.3">
      <c r="A76" s="908" t="s">
        <v>171</v>
      </c>
      <c r="B76" s="909"/>
      <c r="C76" s="909"/>
      <c r="D76" s="910"/>
      <c r="E76" s="346">
        <f>E36-E74</f>
        <v>-91165.05902150771</v>
      </c>
      <c r="F76" s="347">
        <f t="shared" ref="F76:X76" si="26">F36-F74</f>
        <v>-21111.259021507711</v>
      </c>
      <c r="G76" s="347">
        <f t="shared" si="26"/>
        <v>-60547.459021507704</v>
      </c>
      <c r="H76" s="347">
        <f t="shared" si="26"/>
        <v>-27966.753349491632</v>
      </c>
      <c r="I76" s="347">
        <f t="shared" si="26"/>
        <v>61565.90764515895</v>
      </c>
      <c r="J76" s="347">
        <f t="shared" si="26"/>
        <v>-39030.759021507707</v>
      </c>
      <c r="K76" s="347">
        <f t="shared" si="26"/>
        <v>93352.637308350706</v>
      </c>
      <c r="L76" s="347">
        <f t="shared" si="26"/>
        <v>-25230.759021507711</v>
      </c>
      <c r="M76" s="347">
        <f t="shared" si="26"/>
        <v>72969.240978492278</v>
      </c>
      <c r="N76" s="347">
        <f t="shared" si="26"/>
        <v>-55094.968617636179</v>
      </c>
      <c r="O76" s="347">
        <f t="shared" si="26"/>
        <v>54232.574311825621</v>
      </c>
      <c r="P76" s="348">
        <f t="shared" si="26"/>
        <v>-56850.759021507707</v>
      </c>
      <c r="Q76" s="349">
        <f t="shared" si="26"/>
        <v>-93465.615852346527</v>
      </c>
      <c r="R76" s="350">
        <f t="shared" si="26"/>
        <v>-8213.672105005593</v>
      </c>
      <c r="S76" s="347">
        <f t="shared" si="26"/>
        <v>127418.87582357076</v>
      </c>
      <c r="T76" s="347">
        <f t="shared" si="26"/>
        <v>98123.498184793367</v>
      </c>
      <c r="U76" s="348">
        <f t="shared" si="26"/>
        <v>72947.309626905248</v>
      </c>
      <c r="V76" s="351">
        <f t="shared" si="26"/>
        <v>308276.01153026382</v>
      </c>
      <c r="W76" s="351">
        <f t="shared" si="26"/>
        <v>967845.36912212102</v>
      </c>
      <c r="X76" s="352">
        <f t="shared" si="26"/>
        <v>4847342.2405293081</v>
      </c>
    </row>
    <row r="77" spans="1:24" ht="7.5" customHeight="1" thickTop="1" thickBot="1" x14ac:dyDescent="0.3">
      <c r="A77" s="353"/>
      <c r="B77" s="354"/>
      <c r="C77" s="354"/>
      <c r="D77" s="354"/>
      <c r="E77" s="355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7"/>
      <c r="Q77" s="358"/>
      <c r="R77" s="359"/>
      <c r="S77" s="356"/>
      <c r="T77" s="356"/>
      <c r="U77" s="357"/>
      <c r="V77" s="358"/>
      <c r="W77" s="360"/>
      <c r="X77" s="361"/>
    </row>
    <row r="78" spans="1:24" ht="22.5" customHeight="1" thickTop="1" thickBot="1" x14ac:dyDescent="0.3">
      <c r="A78" s="911" t="s">
        <v>172</v>
      </c>
      <c r="B78" s="912"/>
      <c r="C78" s="912"/>
      <c r="D78" s="913"/>
      <c r="E78" s="362">
        <f>$D$3+E76-E82</f>
        <v>-56165.05902150771</v>
      </c>
      <c r="F78" s="363">
        <f>IF(F82&lt;E82,((E78+F76)-(F82-E82)),(E78+F76))</f>
        <v>-77276.318043015417</v>
      </c>
      <c r="G78" s="363">
        <f t="shared" ref="G78:U78" si="27">IF(G82&lt;F82,((F78+G76)-(G82-F82)),(F78+G76))</f>
        <v>-137823.77706452314</v>
      </c>
      <c r="H78" s="363">
        <f t="shared" si="27"/>
        <v>-165790.53041401476</v>
      </c>
      <c r="I78" s="363">
        <f t="shared" si="27"/>
        <v>-104224.62276885581</v>
      </c>
      <c r="J78" s="363">
        <f t="shared" si="27"/>
        <v>-143255.38179036352</v>
      </c>
      <c r="K78" s="363">
        <f t="shared" si="27"/>
        <v>-49902.744482012815</v>
      </c>
      <c r="L78" s="363">
        <f t="shared" si="27"/>
        <v>-75133.503503520522</v>
      </c>
      <c r="M78" s="363">
        <f t="shared" si="27"/>
        <v>-2164.2625250282435</v>
      </c>
      <c r="N78" s="363">
        <f t="shared" si="27"/>
        <v>-57259.231142664423</v>
      </c>
      <c r="O78" s="363">
        <f t="shared" si="27"/>
        <v>-3026.6568308388014</v>
      </c>
      <c r="P78" s="364">
        <f t="shared" si="27"/>
        <v>-59877.415852346508</v>
      </c>
      <c r="Q78" s="365">
        <f>P78</f>
        <v>-59877.415852346508</v>
      </c>
      <c r="R78" s="366">
        <f>IF(R82&lt;P82,((P78+R76)-(R82-P82)),(P78+R76))</f>
        <v>-68091.087957352109</v>
      </c>
      <c r="S78" s="363">
        <f t="shared" si="27"/>
        <v>59327.787866218656</v>
      </c>
      <c r="T78" s="363">
        <f t="shared" si="27"/>
        <v>157451.28605101202</v>
      </c>
      <c r="U78" s="364">
        <f t="shared" si="27"/>
        <v>230398.59567791727</v>
      </c>
      <c r="V78" s="367">
        <f>U78</f>
        <v>230398.59567791727</v>
      </c>
      <c r="W78" s="367">
        <f>IF(W82&lt;U82,((U78+W76)-(W82-U82)),(U78+W76))</f>
        <v>1198243.9648000384</v>
      </c>
      <c r="X78" s="368">
        <f t="shared" ref="X78" si="28">IF(X82&lt;W82,((W78+X76)-(X82-W82)),(W78+X76))</f>
        <v>6045586.2053293465</v>
      </c>
    </row>
    <row r="79" spans="1:24" ht="30" customHeight="1" thickBot="1" x14ac:dyDescent="0.3"/>
    <row r="80" spans="1:24" ht="18.75" customHeight="1" x14ac:dyDescent="0.25">
      <c r="A80" s="828" t="s">
        <v>173</v>
      </c>
      <c r="B80" s="829"/>
      <c r="C80" s="829"/>
      <c r="D80" s="830"/>
      <c r="E80" s="729" t="s">
        <v>20</v>
      </c>
      <c r="F80" s="729"/>
      <c r="G80" s="729"/>
      <c r="H80" s="729"/>
      <c r="I80" s="729"/>
      <c r="J80" s="729"/>
      <c r="K80" s="729"/>
      <c r="L80" s="729"/>
      <c r="M80" s="729"/>
      <c r="N80" s="729"/>
      <c r="O80" s="729"/>
      <c r="P80" s="729"/>
      <c r="Q80" s="730" t="s">
        <v>20</v>
      </c>
      <c r="R80" s="729" t="s">
        <v>25</v>
      </c>
      <c r="S80" s="729"/>
      <c r="T80" s="729"/>
      <c r="U80" s="729"/>
      <c r="V80" s="730" t="s">
        <v>25</v>
      </c>
      <c r="W80" s="782" t="s">
        <v>26</v>
      </c>
      <c r="X80" s="732" t="s">
        <v>27</v>
      </c>
    </row>
    <row r="81" spans="1:24" ht="18.75" customHeight="1" thickBot="1" x14ac:dyDescent="0.3">
      <c r="A81" s="831"/>
      <c r="B81" s="832"/>
      <c r="C81" s="832"/>
      <c r="D81" s="833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1"/>
      <c r="R81" s="111" t="s">
        <v>21</v>
      </c>
      <c r="S81" s="2" t="s">
        <v>22</v>
      </c>
      <c r="T81" s="2" t="s">
        <v>23</v>
      </c>
      <c r="U81" s="3" t="s">
        <v>24</v>
      </c>
      <c r="V81" s="731"/>
      <c r="W81" s="840"/>
      <c r="X81" s="733"/>
    </row>
    <row r="82" spans="1:24" ht="18.75" customHeight="1" thickTop="1" x14ac:dyDescent="0.25">
      <c r="A82" s="863" t="s">
        <v>170</v>
      </c>
      <c r="B82" s="864"/>
      <c r="C82" s="864"/>
      <c r="D82" s="865"/>
      <c r="E82" s="145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1"/>
      <c r="Q82" s="288">
        <f>SUM(E82:P82)</f>
        <v>0</v>
      </c>
      <c r="R82" s="144"/>
      <c r="S82" s="18"/>
      <c r="T82" s="18"/>
      <c r="U82" s="421"/>
      <c r="V82" s="288">
        <f>SUM(R82:U82)</f>
        <v>0</v>
      </c>
      <c r="W82" s="142"/>
      <c r="X82" s="143"/>
    </row>
    <row r="83" spans="1:24" s="372" customFormat="1" ht="7.5" customHeight="1" x14ac:dyDescent="0.25">
      <c r="A83" s="369"/>
      <c r="B83" s="370"/>
      <c r="C83" s="370"/>
      <c r="D83" s="371"/>
      <c r="E83" s="297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9"/>
      <c r="Q83" s="300"/>
      <c r="R83" s="301"/>
      <c r="S83" s="298"/>
      <c r="T83" s="298"/>
      <c r="U83" s="299"/>
      <c r="V83" s="300"/>
      <c r="W83" s="300"/>
      <c r="X83" s="302"/>
    </row>
    <row r="84" spans="1:24" ht="18.75" customHeight="1" x14ac:dyDescent="0.25">
      <c r="A84" s="823" t="s">
        <v>162</v>
      </c>
      <c r="B84" s="784"/>
      <c r="C84" s="784"/>
      <c r="D84" s="785"/>
      <c r="E84" s="896">
        <f>IF(SUM($D$3,E$78:G$78)&lt;0,IPMT($D$5,1,1,AVERAGE($D$3,E$78:G$78))/4,0)</f>
        <v>885.99432798392343</v>
      </c>
      <c r="F84" s="897"/>
      <c r="G84" s="897"/>
      <c r="H84" s="897">
        <f>IF(SUM(G$78:J$78)&lt;0,IPMT($D$5,1,1,AVERAGE(G$78:J$78))/4,0)</f>
        <v>2066.6036701415896</v>
      </c>
      <c r="I84" s="897"/>
      <c r="J84" s="897"/>
      <c r="K84" s="904">
        <f>IF(SUM(J$78:M$78)&lt;0,IPMT($D$5,1,1,AVERAGE(J$78:M$78))/4,0)</f>
        <v>1014.2095961284691</v>
      </c>
      <c r="L84" s="899"/>
      <c r="M84" s="900"/>
      <c r="N84" s="904">
        <f>IF(SUM(M$78:P$78)&lt;0,IPMT($D$5,1,1,AVERAGE(M$78:P$78))/4,0)</f>
        <v>458.72837381579239</v>
      </c>
      <c r="O84" s="899"/>
      <c r="P84" s="905"/>
      <c r="Q84" s="289">
        <f>SUM(B84:P84)</f>
        <v>4425.5359680697748</v>
      </c>
      <c r="R84" s="75">
        <f>IF(SUM(R$78,P$78)&lt;0,IPMT($D$5,1,1,AVERAGE(R$78,P$78))/4,0)</f>
        <v>959.76377857273974</v>
      </c>
      <c r="S84" s="76">
        <f>IF(SUM(S$78,R$78)&lt;0,IPMT($D$5,1,1,AVERAGE(S$78,R$78))/4,0)</f>
        <v>65.724750683500901</v>
      </c>
      <c r="T84" s="76">
        <f>IF(SUM(T$78,S$78)&lt;0,IPMT($D$5,1,1,AVERAGE(T$78,S$78))/4,0)</f>
        <v>0</v>
      </c>
      <c r="U84" s="296">
        <f>IF(SUM(U$78,T$78)&lt;0,IPMT($D$5,1,1,AVERAGE(U$78,T$78))/4,0)</f>
        <v>0</v>
      </c>
      <c r="V84" s="289">
        <f>SUM(R84:U84)</f>
        <v>1025.4885292562406</v>
      </c>
      <c r="W84" s="289">
        <f>IF(V$78&lt;0,IPMT($D$5,1,1,V$78),0)</f>
        <v>0</v>
      </c>
      <c r="X84" s="290">
        <f>IF(W$78&lt;0,IPMT($D$5,1,1,W$78),0)</f>
        <v>0</v>
      </c>
    </row>
    <row r="85" spans="1:24" ht="18.75" customHeight="1" x14ac:dyDescent="0.25">
      <c r="A85" s="823" t="s">
        <v>165</v>
      </c>
      <c r="B85" s="784"/>
      <c r="C85" s="784"/>
      <c r="D85" s="785"/>
      <c r="E85" s="898">
        <f>IF(SUM($D$3,E$78:G$78)&gt;0,-IPMT($D$6,1,1,AVERAGE($D$3,E$78:G$78))/4,0)</f>
        <v>0</v>
      </c>
      <c r="F85" s="899"/>
      <c r="G85" s="900"/>
      <c r="H85" s="904">
        <f>IF(SUM(G$78:J$78)&gt;0,-IPMT($D$6,1,1,AVERAGE(G$78:J$78))/4,0)</f>
        <v>0</v>
      </c>
      <c r="I85" s="899"/>
      <c r="J85" s="900"/>
      <c r="K85" s="904">
        <f>IF(SUM(J$78:M$78)&gt;0,-IPMT($D$6,1,1,AVERAGE(J$78:M$78))/4,0)</f>
        <v>0</v>
      </c>
      <c r="L85" s="899"/>
      <c r="M85" s="900"/>
      <c r="N85" s="904">
        <f>IF(SUM(M$78:P$78)&gt;0,-IPMT($D$6,1,1,AVERAGE(M$78:P$78))/4,0)</f>
        <v>0</v>
      </c>
      <c r="O85" s="899"/>
      <c r="P85" s="905"/>
      <c r="Q85" s="289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11.17002476170749</v>
      </c>
      <c r="U85" s="76">
        <f t="shared" si="30"/>
        <v>36.215797943016995</v>
      </c>
      <c r="V85" s="289">
        <f t="shared" ref="V85:V86" si="31">SUM(R85:U85)</f>
        <v>47.385822704724482</v>
      </c>
      <c r="W85" s="289">
        <f>IF(V$78&gt;0,-IPMT($D$6,1,1,V$78),0)</f>
        <v>230.39859567791729</v>
      </c>
      <c r="X85" s="290">
        <f>IF(W$78&gt;0,-IPMT($D$6,1,1,(W$78/4)),0)</f>
        <v>299.5609912000096</v>
      </c>
    </row>
    <row r="86" spans="1:24" ht="18.75" customHeight="1" thickBot="1" x14ac:dyDescent="0.3">
      <c r="A86" s="893" t="s">
        <v>167</v>
      </c>
      <c r="B86" s="894"/>
      <c r="C86" s="894"/>
      <c r="D86" s="895"/>
      <c r="E86" s="901">
        <f>IF(SUM(E$82:G$82)&lt;0,IPMT($D$4,1,1,AVERAGE(E$82:G$82))/4,0)</f>
        <v>0</v>
      </c>
      <c r="F86" s="902"/>
      <c r="G86" s="903"/>
      <c r="H86" s="906">
        <f>IF(SUM(G$82:J$82)&lt;0,IPMT($D$4,1,1,AVERAGE(G$82:J$82))/4,0)</f>
        <v>0</v>
      </c>
      <c r="I86" s="902"/>
      <c r="J86" s="903"/>
      <c r="K86" s="906">
        <f>IF(SUM(J$82:M$82)&lt;0,IPMT($D$4,1,1,AVERAGE(J$82:M$82))/4,0)</f>
        <v>0</v>
      </c>
      <c r="L86" s="902"/>
      <c r="M86" s="903"/>
      <c r="N86" s="906">
        <f>IF(SUM(M$82:P$82)&lt;0,IPMT($D$4,1,1,AVERAGE(M$82:P$82))/4,0)</f>
        <v>0</v>
      </c>
      <c r="O86" s="902"/>
      <c r="P86" s="907"/>
      <c r="Q86" s="293">
        <f t="shared" si="29"/>
        <v>0</v>
      </c>
      <c r="R86" s="294">
        <f>IF(SUM(R$82,P$82)&lt;0,IPMT($D$4,1,1,AVERAGE(R$82,P$82))/4,0)</f>
        <v>0</v>
      </c>
      <c r="S86" s="291">
        <f>IF(SUM(S$82,R$82)&lt;0,IPMT($D$4,1,1,AVERAGE(S$82,R$82))/4,0)</f>
        <v>0</v>
      </c>
      <c r="T86" s="291">
        <f>IF(SUM(T$82,S$82)&lt;0,IPMT($D$4,1,1,AVERAGE(T$82,S$82))/4,0)</f>
        <v>0</v>
      </c>
      <c r="U86" s="292">
        <f>IF(SUM(U$82,T$82)&lt;0,IPMT($D$4,1,1,AVERAGE(U$82,T$82))/4,0)</f>
        <v>0</v>
      </c>
      <c r="V86" s="293">
        <f t="shared" si="31"/>
        <v>0</v>
      </c>
      <c r="W86" s="293">
        <f>IF(V$82&lt;0,IPMT($D$4,1,1,V$82),0)</f>
        <v>0</v>
      </c>
      <c r="X86" s="295">
        <f>IF(W$82&lt;0,IPMT($D$4,1,1,W$82),0)</f>
        <v>0</v>
      </c>
    </row>
    <row r="88" spans="1:24" x14ac:dyDescent="0.25">
      <c r="F88" s="373"/>
    </row>
  </sheetData>
  <sheetProtection algorithmName="SHA-512" hashValue="rZZUIpB3XQy6mAD+KCHhm9tVtP7dfF13P4uNhFylcMZZDlr/fMCYx2sam+q5oaom8RGw0dVujuY+deZsdpH40A==" saltValue="rSsQNgmx/B0D0jtVqqNhtQ==" spinCount="100000" sheet="1" objects="1" scenarios="1"/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Normal="100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3.710937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47" t="s">
        <v>183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9"/>
    </row>
    <row r="2" spans="1:12" ht="7.5" customHeight="1" thickBot="1" x14ac:dyDescent="0.3"/>
    <row r="3" spans="1:12" ht="15" customHeight="1" thickBot="1" x14ac:dyDescent="0.3">
      <c r="A3" s="933" t="s">
        <v>158</v>
      </c>
      <c r="B3" s="934"/>
      <c r="C3" s="934"/>
      <c r="D3" s="474">
        <f>Liquiditätsplan!D8</f>
        <v>0.2</v>
      </c>
    </row>
    <row r="4" spans="1:12" ht="22.5" customHeight="1" thickBot="1" x14ac:dyDescent="0.3">
      <c r="A4" s="439" t="s">
        <v>186</v>
      </c>
      <c r="B4" s="431"/>
      <c r="C4" s="431"/>
      <c r="D4" s="432"/>
      <c r="E4" s="780" t="s">
        <v>20</v>
      </c>
      <c r="F4" s="781"/>
      <c r="G4" s="728" t="s">
        <v>25</v>
      </c>
      <c r="H4" s="782"/>
      <c r="I4" s="728" t="s">
        <v>26</v>
      </c>
      <c r="J4" s="782"/>
      <c r="K4" s="728" t="s">
        <v>27</v>
      </c>
      <c r="L4" s="783"/>
    </row>
    <row r="5" spans="1:12" s="5" customFormat="1" ht="18.75" customHeight="1" thickBot="1" x14ac:dyDescent="0.3">
      <c r="A5" s="435" t="s">
        <v>188</v>
      </c>
      <c r="B5" s="433"/>
      <c r="C5" s="433"/>
      <c r="D5" s="434"/>
      <c r="E5" s="258" t="s">
        <v>184</v>
      </c>
      <c r="F5" s="259" t="s">
        <v>185</v>
      </c>
      <c r="G5" s="260" t="s">
        <v>184</v>
      </c>
      <c r="H5" s="267" t="s">
        <v>185</v>
      </c>
      <c r="I5" s="260" t="s">
        <v>184</v>
      </c>
      <c r="J5" s="267" t="s">
        <v>185</v>
      </c>
      <c r="K5" s="260" t="s">
        <v>184</v>
      </c>
      <c r="L5" s="381" t="s">
        <v>185</v>
      </c>
    </row>
    <row r="6" spans="1:12" ht="18.75" customHeight="1" outlineLevel="1" thickTop="1" x14ac:dyDescent="0.25">
      <c r="A6" s="863" t="s">
        <v>211</v>
      </c>
      <c r="B6" s="864"/>
      <c r="C6" s="864"/>
      <c r="D6" s="865"/>
      <c r="E6" s="6">
        <f>Abschreibung!G19</f>
        <v>20000</v>
      </c>
      <c r="F6" s="422">
        <f>IF(E$22=0,0,E6/E$22)</f>
        <v>0.195278173758519</v>
      </c>
      <c r="G6" s="71">
        <f>Abschreibung!I19</f>
        <v>20000</v>
      </c>
      <c r="H6" s="425">
        <f>IF(G$22=0,0,G6/G$22)</f>
        <v>4.690732988643586E-2</v>
      </c>
      <c r="I6" s="71">
        <f>Abschreibung!K19</f>
        <v>20000</v>
      </c>
      <c r="J6" s="425">
        <f>IF(I$22=0,0,I6/I$22)</f>
        <v>1.414335371292441E-2</v>
      </c>
      <c r="K6" s="71">
        <f>Abschreibung!M19</f>
        <v>20000</v>
      </c>
      <c r="L6" s="428">
        <f>IF(K$22=0,0,K6/K$22)</f>
        <v>2.8583139467118451E-3</v>
      </c>
    </row>
    <row r="7" spans="1:12" ht="18.75" customHeight="1" outlineLevel="1" x14ac:dyDescent="0.25">
      <c r="A7" s="869" t="s">
        <v>212</v>
      </c>
      <c r="B7" s="870"/>
      <c r="C7" s="870"/>
      <c r="D7" s="871"/>
      <c r="E7" s="10">
        <f>SUM(Abschreibung!G5:G6)</f>
        <v>24900</v>
      </c>
      <c r="F7" s="423">
        <f>IF(E$22=0,0,E7/E$22)</f>
        <v>0.24312132632935618</v>
      </c>
      <c r="G7" s="75">
        <f>SUM(Abschreibung!I5:I6)</f>
        <v>21800</v>
      </c>
      <c r="H7" s="426">
        <f>IF(G$22=0,0,G7/G$22)</f>
        <v>5.1128989576215089E-2</v>
      </c>
      <c r="I7" s="75">
        <f>SUM(Abschreibung!K5:K6)</f>
        <v>18700</v>
      </c>
      <c r="J7" s="426">
        <f>IF(I$22=0,0,I7/I$22)</f>
        <v>1.3224035721584322E-2</v>
      </c>
      <c r="K7" s="75">
        <f>SUM(Abschreibung!M5:M6)</f>
        <v>15600</v>
      </c>
      <c r="L7" s="429">
        <f>IF(K$22=0,0,K7/K$22)</f>
        <v>2.2294848784352394E-3</v>
      </c>
    </row>
    <row r="8" spans="1:12" ht="18.75" customHeight="1" outlineLevel="1" x14ac:dyDescent="0.25">
      <c r="A8" s="869" t="s">
        <v>213</v>
      </c>
      <c r="B8" s="870"/>
      <c r="C8" s="870"/>
      <c r="D8" s="871"/>
      <c r="E8" s="10">
        <f>SUM(Abschreibung!G11:G13)</f>
        <v>15500</v>
      </c>
      <c r="F8" s="423">
        <f>IF(E$22=0,0,E8/E$22)</f>
        <v>0.15134058466285225</v>
      </c>
      <c r="G8" s="75">
        <f>SUM(Abschreibung!I11:I13)</f>
        <v>12750</v>
      </c>
      <c r="H8" s="426">
        <f>IF(G$22=0,0,G8/G$22)</f>
        <v>2.9903422802602862E-2</v>
      </c>
      <c r="I8" s="75">
        <f>SUM(Abschreibung!K11:K13)</f>
        <v>7750</v>
      </c>
      <c r="J8" s="426">
        <f>IF(I$22=0,0,I8/I$22)</f>
        <v>5.4805495637582089E-3</v>
      </c>
      <c r="K8" s="75">
        <f>SUM(Abschreibung!M11:M13)</f>
        <v>2750</v>
      </c>
      <c r="L8" s="429">
        <f>IF(K$22=0,0,K8/K$22)</f>
        <v>3.930181676728787E-4</v>
      </c>
    </row>
    <row r="9" spans="1:12" ht="18.75" customHeight="1" outlineLevel="1" x14ac:dyDescent="0.25">
      <c r="A9" s="869" t="s">
        <v>209</v>
      </c>
      <c r="B9" s="870"/>
      <c r="C9" s="870"/>
      <c r="D9" s="871"/>
      <c r="E9" s="10">
        <f>Abschreibung!G36</f>
        <v>26250</v>
      </c>
      <c r="F9" s="423">
        <f>IF(E$22=0,0,E9/E$22)</f>
        <v>0.25630260305805619</v>
      </c>
      <c r="G9" s="75">
        <f>Abschreibung!I36</f>
        <v>115000</v>
      </c>
      <c r="H9" s="426">
        <f>IF(G$22=0,0,G9/G$22)</f>
        <v>0.26971714684700621</v>
      </c>
      <c r="I9" s="75">
        <f>Abschreibung!K36</f>
        <v>121250</v>
      </c>
      <c r="J9" s="426">
        <f>IF(I$22=0,0,I9/I$22)</f>
        <v>8.5744081884604237E-2</v>
      </c>
      <c r="K9" s="75">
        <f>Abschreibung!M36</f>
        <v>67500</v>
      </c>
      <c r="L9" s="429">
        <f>IF(K$22=0,0,K9/K$22)</f>
        <v>9.6468095701524783E-3</v>
      </c>
    </row>
    <row r="10" spans="1:12" ht="18.75" customHeight="1" outlineLevel="1" thickBot="1" x14ac:dyDescent="0.3">
      <c r="A10" s="869" t="s">
        <v>210</v>
      </c>
      <c r="B10" s="870"/>
      <c r="C10" s="870"/>
      <c r="D10" s="871"/>
      <c r="E10" s="10">
        <f>SUM(Abschreibung!G8:G10)</f>
        <v>15000</v>
      </c>
      <c r="F10" s="423">
        <f>IF(E$22=0,0,E10/E$22)</f>
        <v>0.14645863031888925</v>
      </c>
      <c r="G10" s="75">
        <f>SUM(Abschreibung!I8:I10)</f>
        <v>16000</v>
      </c>
      <c r="H10" s="426">
        <f>IF(G$22=0,0,G10/G$22)</f>
        <v>3.7525863909148686E-2</v>
      </c>
      <c r="I10" s="75">
        <f>SUM(Abschreibung!K8:K10)</f>
        <v>9000</v>
      </c>
      <c r="J10" s="426">
        <f>IF(I$22=0,0,I10/I$22)</f>
        <v>6.3645091708159846E-3</v>
      </c>
      <c r="K10" s="75">
        <f>SUM(Abschreibung!M8:M10)</f>
        <v>2000</v>
      </c>
      <c r="L10" s="429">
        <f>IF(K$22=0,0,K10/K$22)</f>
        <v>2.8583139467118452E-4</v>
      </c>
    </row>
    <row r="11" spans="1:12" ht="7.5" customHeight="1" outlineLevel="1" thickTop="1" thickBot="1" x14ac:dyDescent="0.3">
      <c r="A11" s="930"/>
      <c r="B11" s="931"/>
      <c r="C11" s="931"/>
      <c r="D11" s="932"/>
      <c r="E11" s="27"/>
      <c r="F11" s="424"/>
      <c r="G11" s="31"/>
      <c r="H11" s="427"/>
      <c r="I11" s="31"/>
      <c r="J11" s="427"/>
      <c r="K11" s="31"/>
      <c r="L11" s="430"/>
    </row>
    <row r="12" spans="1:12" ht="18.75" customHeight="1" thickBot="1" x14ac:dyDescent="0.3">
      <c r="A12" s="845" t="s">
        <v>187</v>
      </c>
      <c r="B12" s="846"/>
      <c r="C12" s="846"/>
      <c r="D12" s="847"/>
      <c r="E12" s="442">
        <f t="shared" ref="E12:L12" si="0">SUM(E6:E11)</f>
        <v>101650</v>
      </c>
      <c r="F12" s="443">
        <f t="shared" si="0"/>
        <v>0.99250131812767295</v>
      </c>
      <c r="G12" s="444">
        <f t="shared" si="0"/>
        <v>185550</v>
      </c>
      <c r="H12" s="445">
        <f t="shared" si="0"/>
        <v>0.43518275302140874</v>
      </c>
      <c r="I12" s="444">
        <f t="shared" si="0"/>
        <v>176700</v>
      </c>
      <c r="J12" s="443">
        <f t="shared" si="0"/>
        <v>0.12495653005368718</v>
      </c>
      <c r="K12" s="444">
        <f t="shared" si="0"/>
        <v>107850</v>
      </c>
      <c r="L12" s="446">
        <f t="shared" si="0"/>
        <v>1.5413457957643626E-2</v>
      </c>
    </row>
    <row r="13" spans="1:12" ht="7.5" customHeight="1" thickBot="1" x14ac:dyDescent="0.3">
      <c r="A13" s="736"/>
      <c r="B13" s="737"/>
      <c r="C13" s="737"/>
      <c r="D13" s="737"/>
      <c r="E13" s="737"/>
      <c r="F13" s="737"/>
      <c r="G13" s="737"/>
      <c r="H13" s="737"/>
      <c r="I13" s="737"/>
      <c r="J13" s="737"/>
      <c r="K13" s="737"/>
      <c r="L13" s="738"/>
    </row>
    <row r="14" spans="1:12" ht="18.75" customHeight="1" thickBot="1" x14ac:dyDescent="0.3">
      <c r="A14" s="436" t="s">
        <v>189</v>
      </c>
      <c r="B14" s="437"/>
      <c r="C14" s="437"/>
      <c r="D14" s="438"/>
      <c r="E14" s="460"/>
      <c r="F14" s="461"/>
      <c r="G14" s="461"/>
      <c r="H14" s="461"/>
      <c r="I14" s="461"/>
      <c r="J14" s="461"/>
      <c r="K14" s="461"/>
      <c r="L14" s="462"/>
    </row>
    <row r="15" spans="1:12" ht="18.75" customHeight="1" outlineLevel="1" thickTop="1" x14ac:dyDescent="0.25">
      <c r="A15" s="863" t="s">
        <v>204</v>
      </c>
      <c r="B15" s="864" t="s">
        <v>204</v>
      </c>
      <c r="C15" s="864" t="s">
        <v>204</v>
      </c>
      <c r="D15" s="865" t="s">
        <v>204</v>
      </c>
      <c r="E15" s="401">
        <v>0</v>
      </c>
      <c r="F15" s="475">
        <f>IF(E$22=0,0,E15/E$22)</f>
        <v>0</v>
      </c>
      <c r="G15" s="605">
        <v>0</v>
      </c>
      <c r="H15" s="476">
        <f>IF(G$22=0,0,G15/G$22)</f>
        <v>0</v>
      </c>
      <c r="I15" s="605">
        <v>0</v>
      </c>
      <c r="J15" s="475">
        <f>IF(I$22=0,0,I15/I$22)</f>
        <v>0</v>
      </c>
      <c r="K15" s="605">
        <v>0</v>
      </c>
      <c r="L15" s="477">
        <f>IF(K$22=0,0,K15/K$22)</f>
        <v>0</v>
      </c>
    </row>
    <row r="16" spans="1:12" ht="18.75" customHeight="1" outlineLevel="1" x14ac:dyDescent="0.25">
      <c r="A16" s="869" t="s">
        <v>205</v>
      </c>
      <c r="B16" s="870" t="s">
        <v>205</v>
      </c>
      <c r="C16" s="870" t="s">
        <v>205</v>
      </c>
      <c r="D16" s="871" t="s">
        <v>205</v>
      </c>
      <c r="E16" s="458">
        <f>Liquiditätsplan!Q15-Liquiditätsplan!Q16</f>
        <v>768</v>
      </c>
      <c r="F16" s="423">
        <f t="shared" ref="F16:H18" si="1">IF(E$22=0,0,E16/E$22)</f>
        <v>7.4986818723271299E-3</v>
      </c>
      <c r="G16" s="75">
        <f>Liquiditätsplan!V15-Liquiditätsplan!V16</f>
        <v>10424</v>
      </c>
      <c r="H16" s="426">
        <f t="shared" si="1"/>
        <v>2.4448100336810368E-2</v>
      </c>
      <c r="I16" s="75">
        <f>Liquiditätsplan!W15-Liquiditätsplan!W16</f>
        <v>10216</v>
      </c>
      <c r="J16" s="423">
        <f t="shared" ref="J16" si="2">IF(I$22=0,0,I16/I$22)</f>
        <v>7.2244250765617886E-3</v>
      </c>
      <c r="K16" s="75">
        <f>Liquiditätsplan!X15-Liquiditätsplan!X16</f>
        <v>49188</v>
      </c>
      <c r="L16" s="468">
        <f t="shared" ref="L16" si="3">IF(K$22=0,0,K16/K$22)</f>
        <v>7.0297373205431123E-3</v>
      </c>
    </row>
    <row r="17" spans="1:12" ht="18.75" customHeight="1" outlineLevel="1" x14ac:dyDescent="0.25">
      <c r="A17" s="869" t="s">
        <v>206</v>
      </c>
      <c r="B17" s="870" t="s">
        <v>206</v>
      </c>
      <c r="C17" s="870" t="s">
        <v>206</v>
      </c>
      <c r="D17" s="871" t="s">
        <v>206</v>
      </c>
      <c r="E17" s="458">
        <f>MAX(0,SUM(-E12,-E15,-E16,-E18,E30,E33,E34,E36))</f>
        <v>0</v>
      </c>
      <c r="F17" s="423">
        <f t="shared" si="1"/>
        <v>0</v>
      </c>
      <c r="G17" s="75">
        <f>MAX(0,SUM(-G12,-G15,-G16,-G18,G30,G33,G34,G36))</f>
        <v>0</v>
      </c>
      <c r="H17" s="426">
        <f t="shared" si="1"/>
        <v>0</v>
      </c>
      <c r="I17" s="75">
        <f>MAX(0,SUM(-I12,-I15,-I16,-I18,I30,I33,I34,I36))</f>
        <v>28931.799144442339</v>
      </c>
      <c r="J17" s="423">
        <f t="shared" ref="J17" si="4">IF(I$22=0,0,I17/I$22)</f>
        <v>2.045963344255659E-2</v>
      </c>
      <c r="K17" s="75">
        <f>MAX(0,SUM(-K12,-K15,-K16,-K18,K30,K33,K34,K36))</f>
        <v>794507.80076384498</v>
      </c>
      <c r="L17" s="468">
        <f t="shared" ref="L17" si="5">IF(K$22=0,0,K17/K$22)</f>
        <v>0.11354763638473271</v>
      </c>
    </row>
    <row r="18" spans="1:12" ht="18.75" customHeight="1" outlineLevel="1" thickBot="1" x14ac:dyDescent="0.3">
      <c r="A18" s="872" t="s">
        <v>207</v>
      </c>
      <c r="B18" s="873" t="s">
        <v>207</v>
      </c>
      <c r="C18" s="873" t="s">
        <v>207</v>
      </c>
      <c r="D18" s="874" t="s">
        <v>207</v>
      </c>
      <c r="E18" s="459">
        <f>IF(Liquiditätsplan!Q78&gt;0,Liquiditätsplan!Q78,0)</f>
        <v>0</v>
      </c>
      <c r="F18" s="463">
        <f t="shared" si="1"/>
        <v>0</v>
      </c>
      <c r="G18" s="129">
        <f>IF(Liquiditätsplan!V78&gt;0,Liquiditätsplan!V78,0)</f>
        <v>230398.59567791727</v>
      </c>
      <c r="H18" s="465">
        <f t="shared" si="1"/>
        <v>0.54036914664178104</v>
      </c>
      <c r="I18" s="129">
        <f>IF(Liquiditätsplan!W78&gt;0,Liquiditätsplan!W78,0)</f>
        <v>1198243.9648000384</v>
      </c>
      <c r="J18" s="463">
        <f t="shared" ref="J18" si="6">IF(I$22=0,0,I18/I$22)</f>
        <v>0.8473594114271944</v>
      </c>
      <c r="K18" s="129">
        <f>IF(Liquiditätsplan!X78&gt;0,Liquiditätsplan!X78,0)</f>
        <v>6045586.2053293465</v>
      </c>
      <c r="L18" s="469">
        <f t="shared" ref="L18" si="7">IF(K$22=0,0,K18/K$22)</f>
        <v>0.86400916833708064</v>
      </c>
    </row>
    <row r="19" spans="1:12" ht="7.5" customHeight="1" outlineLevel="1" thickTop="1" thickBot="1" x14ac:dyDescent="0.3">
      <c r="A19" s="927"/>
      <c r="B19" s="928"/>
      <c r="C19" s="928"/>
      <c r="D19" s="929"/>
      <c r="E19" s="447"/>
      <c r="F19" s="464"/>
      <c r="G19" s="448"/>
      <c r="H19" s="466"/>
      <c r="I19" s="448"/>
      <c r="J19" s="464"/>
      <c r="K19" s="448"/>
      <c r="L19" s="470"/>
    </row>
    <row r="20" spans="1:12" ht="18.75" customHeight="1" thickBot="1" x14ac:dyDescent="0.3">
      <c r="A20" s="845" t="s">
        <v>190</v>
      </c>
      <c r="B20" s="846"/>
      <c r="C20" s="846"/>
      <c r="D20" s="847"/>
      <c r="E20" s="442">
        <f t="shared" ref="E20:L20" si="8">SUM(E13:E19)</f>
        <v>768</v>
      </c>
      <c r="F20" s="443">
        <f t="shared" si="8"/>
        <v>7.4986818723271299E-3</v>
      </c>
      <c r="G20" s="444">
        <f t="shared" si="8"/>
        <v>240822.59567791727</v>
      </c>
      <c r="H20" s="445">
        <f t="shared" si="8"/>
        <v>0.56481724697859137</v>
      </c>
      <c r="I20" s="444">
        <f t="shared" si="8"/>
        <v>1237391.7639444808</v>
      </c>
      <c r="J20" s="443">
        <f t="shared" si="8"/>
        <v>0.87504346994631277</v>
      </c>
      <c r="K20" s="444">
        <f t="shared" si="8"/>
        <v>6889282.006093191</v>
      </c>
      <c r="L20" s="446">
        <f t="shared" si="8"/>
        <v>0.98458654204235652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77" t="s">
        <v>191</v>
      </c>
      <c r="B22" s="778"/>
      <c r="C22" s="778"/>
      <c r="D22" s="917"/>
      <c r="E22" s="449">
        <f t="shared" ref="E22:L22" si="9">E20+E12</f>
        <v>102418</v>
      </c>
      <c r="F22" s="471">
        <f t="shared" si="9"/>
        <v>1</v>
      </c>
      <c r="G22" s="450">
        <f t="shared" si="9"/>
        <v>426372.59567791724</v>
      </c>
      <c r="H22" s="471">
        <f t="shared" si="9"/>
        <v>1</v>
      </c>
      <c r="I22" s="451">
        <f t="shared" si="9"/>
        <v>1414091.7639444808</v>
      </c>
      <c r="J22" s="472">
        <f t="shared" si="9"/>
        <v>1</v>
      </c>
      <c r="K22" s="452">
        <f t="shared" si="9"/>
        <v>6997132.006093191</v>
      </c>
      <c r="L22" s="473">
        <f t="shared" si="9"/>
        <v>1.0000000000000002</v>
      </c>
    </row>
    <row r="23" spans="1:12" ht="15.75" thickBot="1" x14ac:dyDescent="0.3"/>
    <row r="24" spans="1:12" ht="22.5" customHeight="1" thickBot="1" x14ac:dyDescent="0.3">
      <c r="A24" s="439" t="s">
        <v>192</v>
      </c>
      <c r="B24" s="431"/>
      <c r="C24" s="431"/>
      <c r="D24" s="432"/>
      <c r="E24" s="780" t="s">
        <v>20</v>
      </c>
      <c r="F24" s="781"/>
      <c r="G24" s="728" t="s">
        <v>25</v>
      </c>
      <c r="H24" s="782"/>
      <c r="I24" s="728" t="s">
        <v>26</v>
      </c>
      <c r="J24" s="782"/>
      <c r="K24" s="728" t="s">
        <v>27</v>
      </c>
      <c r="L24" s="783"/>
    </row>
    <row r="25" spans="1:12" s="5" customFormat="1" ht="18.75" customHeight="1" thickBot="1" x14ac:dyDescent="0.3">
      <c r="A25" s="435" t="s">
        <v>193</v>
      </c>
      <c r="B25" s="433"/>
      <c r="C25" s="433"/>
      <c r="D25" s="434"/>
      <c r="E25" s="258" t="s">
        <v>184</v>
      </c>
      <c r="F25" s="259" t="s">
        <v>185</v>
      </c>
      <c r="G25" s="260" t="s">
        <v>184</v>
      </c>
      <c r="H25" s="267" t="s">
        <v>185</v>
      </c>
      <c r="I25" s="260" t="s">
        <v>184</v>
      </c>
      <c r="J25" s="267" t="s">
        <v>185</v>
      </c>
      <c r="K25" s="260" t="s">
        <v>184</v>
      </c>
      <c r="L25" s="381" t="s">
        <v>185</v>
      </c>
    </row>
    <row r="26" spans="1:12" ht="18.75" customHeight="1" outlineLevel="1" thickTop="1" x14ac:dyDescent="0.25">
      <c r="A26" s="924" t="s">
        <v>197</v>
      </c>
      <c r="B26" s="925"/>
      <c r="C26" s="925"/>
      <c r="D26" s="926"/>
      <c r="E26" s="440">
        <f>Liquiditätsplan!D3+Liquiditätsplan!Q31</f>
        <v>35000</v>
      </c>
      <c r="F26" s="422">
        <f>IF(E$40=0,0,E26/E$40)</f>
        <v>0.34173680407740825</v>
      </c>
      <c r="G26" s="71">
        <f>E26+Liquiditätsplan!V31</f>
        <v>35000</v>
      </c>
      <c r="H26" s="425">
        <f>IF(G$40=0,0,G26/G$40)</f>
        <v>8.2087827301262753E-2</v>
      </c>
      <c r="I26" s="71">
        <f>G26+Liquiditätsplan!W31</f>
        <v>35000</v>
      </c>
      <c r="J26" s="425">
        <f>IF(I$40=0,0,I26/I$40)</f>
        <v>2.475086899761772E-2</v>
      </c>
      <c r="K26" s="71">
        <f>I26+Liquiditätsplan!X31</f>
        <v>35000</v>
      </c>
      <c r="L26" s="428">
        <f>IF(K$40=0,0,K26/K$40)</f>
        <v>5.0020494067457288E-3</v>
      </c>
    </row>
    <row r="27" spans="1:12" ht="18.75" customHeight="1" outlineLevel="1" x14ac:dyDescent="0.25">
      <c r="A27" s="921" t="s">
        <v>198</v>
      </c>
      <c r="B27" s="922"/>
      <c r="C27" s="922"/>
      <c r="D27" s="923"/>
      <c r="E27" s="374"/>
      <c r="F27" s="441"/>
      <c r="G27" s="75">
        <f>SUM(E27:E28)</f>
        <v>-44829.977559495645</v>
      </c>
      <c r="H27" s="426">
        <f>IF(G$40=0,0,G27/G$40)</f>
        <v>-0.10514272730923895</v>
      </c>
      <c r="I27" s="75">
        <f>SUM(G27:G28)</f>
        <v>217468.98360689526</v>
      </c>
      <c r="J27" s="426">
        <f t="shared" ref="J27" si="10">IF(I$40=0,0,I27/I$40)</f>
        <v>0.153787037837124</v>
      </c>
      <c r="K27" s="75">
        <f>SUM(I27:I28)</f>
        <v>1058729.8688600843</v>
      </c>
      <c r="L27" s="429">
        <f t="shared" ref="L27" si="11">IF(K$40=0,0,K27/K$40)</f>
        <v>0.15130911749815909</v>
      </c>
    </row>
    <row r="28" spans="1:12" ht="18.75" customHeight="1" outlineLevel="1" thickBot="1" x14ac:dyDescent="0.3">
      <c r="A28" s="921" t="s">
        <v>124</v>
      </c>
      <c r="B28" s="922"/>
      <c r="C28" s="922"/>
      <c r="D28" s="923"/>
      <c r="E28" s="10">
        <f>'Plan G&amp;V'!Q47</f>
        <v>-44829.977559495645</v>
      </c>
      <c r="F28" s="423">
        <f>IF(E$40=0,0,E28/E$40)</f>
        <v>-0.43771580737268495</v>
      </c>
      <c r="G28" s="75">
        <f>'Plan G&amp;V'!V47</f>
        <v>262298.96116639092</v>
      </c>
      <c r="H28" s="426">
        <f>IF(G$40=0,0,G28/G$40)</f>
        <v>0.61518719501506636</v>
      </c>
      <c r="I28" s="75">
        <f>'Plan G&amp;V'!W47</f>
        <v>841260.88525318913</v>
      </c>
      <c r="J28" s="426">
        <f t="shared" ref="J28" si="12">IF(I$40=0,0,I28/I$40)</f>
        <v>0.59491251324918848</v>
      </c>
      <c r="K28" s="75">
        <f>'Plan G&amp;V'!X47</f>
        <v>4406595.4029248301</v>
      </c>
      <c r="L28" s="429">
        <f t="shared" ref="L28" si="13">IF(K$40=0,0,K28/K$40)</f>
        <v>0.62977165488481723</v>
      </c>
    </row>
    <row r="29" spans="1:12" ht="7.5" customHeight="1" outlineLevel="1" thickTop="1" thickBot="1" x14ac:dyDescent="0.3">
      <c r="A29" s="930"/>
      <c r="B29" s="931"/>
      <c r="C29" s="931"/>
      <c r="D29" s="932"/>
      <c r="E29" s="27"/>
      <c r="F29" s="424"/>
      <c r="G29" s="31"/>
      <c r="H29" s="427"/>
      <c r="I29" s="31"/>
      <c r="J29" s="427"/>
      <c r="K29" s="31"/>
      <c r="L29" s="430"/>
    </row>
    <row r="30" spans="1:12" ht="18.75" customHeight="1" thickBot="1" x14ac:dyDescent="0.3">
      <c r="A30" s="845" t="s">
        <v>194</v>
      </c>
      <c r="B30" s="846"/>
      <c r="C30" s="846"/>
      <c r="D30" s="847"/>
      <c r="E30" s="453">
        <f>SUM(E26:E29)</f>
        <v>-9829.9775594956445</v>
      </c>
      <c r="F30" s="454">
        <f t="shared" ref="F30:L30" si="14">SUM(F26:F29)</f>
        <v>-9.5979003295276699E-2</v>
      </c>
      <c r="G30" s="455">
        <f t="shared" si="14"/>
        <v>252468.98360689526</v>
      </c>
      <c r="H30" s="456">
        <f t="shared" si="14"/>
        <v>0.59213229500709019</v>
      </c>
      <c r="I30" s="455">
        <f t="shared" si="14"/>
        <v>1093729.8688600843</v>
      </c>
      <c r="J30" s="454">
        <f t="shared" si="14"/>
        <v>0.77345042008393017</v>
      </c>
      <c r="K30" s="455">
        <f t="shared" si="14"/>
        <v>5500325.2717849147</v>
      </c>
      <c r="L30" s="457">
        <f t="shared" si="14"/>
        <v>0.786082821789722</v>
      </c>
    </row>
    <row r="31" spans="1:12" ht="7.5" customHeight="1" thickBot="1" x14ac:dyDescent="0.3">
      <c r="A31" s="736"/>
      <c r="B31" s="737"/>
      <c r="C31" s="737"/>
      <c r="D31" s="737"/>
      <c r="E31" s="737"/>
      <c r="F31" s="737"/>
      <c r="G31" s="737"/>
      <c r="H31" s="737"/>
      <c r="I31" s="737"/>
      <c r="J31" s="737"/>
      <c r="K31" s="737"/>
      <c r="L31" s="738"/>
    </row>
    <row r="32" spans="1:12" ht="18.75" customHeight="1" thickBot="1" x14ac:dyDescent="0.3">
      <c r="A32" s="436" t="s">
        <v>196</v>
      </c>
      <c r="B32" s="437"/>
      <c r="C32" s="437"/>
      <c r="D32" s="438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24" t="s">
        <v>200</v>
      </c>
      <c r="B33" s="925"/>
      <c r="C33" s="925"/>
      <c r="D33" s="926"/>
      <c r="E33" s="440">
        <f>'Plan G&amp;V'!Q56</f>
        <v>500</v>
      </c>
      <c r="F33" s="422">
        <f>IF(E$40=0,0,E33/E$40)</f>
        <v>4.8819543439629753E-3</v>
      </c>
      <c r="G33" s="71">
        <f>'Plan G&amp;V'!V56</f>
        <v>72656.327868965105</v>
      </c>
      <c r="H33" s="425">
        <f>IF(G$40=0,0,G33/G$40)</f>
        <v>0.17040571698432946</v>
      </c>
      <c r="I33" s="71">
        <f>'Plan G&amp;V'!W56</f>
        <v>280420.29508439638</v>
      </c>
      <c r="J33" s="422">
        <f>IF(I$40=0,0,I33/I$40)</f>
        <v>0.19830417108306284</v>
      </c>
      <c r="K33" s="71">
        <f>'Plan G&amp;V'!X56</f>
        <v>1468865.1343082767</v>
      </c>
      <c r="L33" s="467">
        <f>IF(K$40=0,0,K33/K$40)</f>
        <v>0.20992388496160574</v>
      </c>
    </row>
    <row r="34" spans="1:13" ht="18.75" customHeight="1" outlineLevel="1" x14ac:dyDescent="0.25">
      <c r="A34" s="921" t="s">
        <v>201</v>
      </c>
      <c r="B34" s="922"/>
      <c r="C34" s="922"/>
      <c r="D34" s="923"/>
      <c r="E34" s="458">
        <f>(SUM((-SUM('Plan G&amp;V'!Q19,'Plan G&amp;V'!Q20,'Plan G&amp;V'!Q24:Q30,'Plan G&amp;V'!Q35)+Investitionsplan!R38)*(1+$D$3),-'Plan G&amp;V'!Q31,-'Plan G&amp;V'!Q32))-(SUM(Liquiditätsplan!Q41:Q54,Liquiditätsplan!Q62))</f>
        <v>16041.599999999977</v>
      </c>
      <c r="F34" s="423">
        <f t="shared" ref="F34:H36" si="15">IF(E$40=0,0,E34/E$40)</f>
        <v>0.15662871760823269</v>
      </c>
      <c r="G34" s="75">
        <f>(SUM((-SUM('Plan G&amp;V'!V19,'Plan G&amp;V'!V20,'Plan G&amp;V'!V24:V30,'Plan G&amp;V'!V35)+Investitionsplan!W38)*(1+$D$3),-'Plan G&amp;V'!V31,-'Plan G&amp;V'!V32))-(SUM(Liquiditätsplan!V41:V54,Liquiditätsplan!V62))</f>
        <v>51441.599999999977</v>
      </c>
      <c r="H34" s="426">
        <f t="shared" si="15"/>
        <v>0.12064940505430388</v>
      </c>
      <c r="I34" s="75">
        <f>(SUM((-SUM('Plan G&amp;V'!W19,'Plan G&amp;V'!W20,'Plan G&amp;V'!W24:W30,'Plan G&amp;V'!W35)+Investitionsplan!X38)*(1+$D$3),-'Plan G&amp;V'!W31,-'Plan G&amp;V'!W32))-(SUM(Liquiditätsplan!W41:W54,Liquiditätsplan!W62))</f>
        <v>39941.600000000006</v>
      </c>
      <c r="J34" s="423">
        <f t="shared" ref="J34" si="16">IF(I$40=0,0,I34/I$40)</f>
        <v>2.8245408833007087E-2</v>
      </c>
      <c r="K34" s="75">
        <f>(SUM((-SUM('Plan G&amp;V'!X19,'Plan G&amp;V'!X20,'Plan G&amp;V'!X24:X30,'Plan G&amp;V'!X35)+Investitionsplan!Y38)*(1+$D$3),-'Plan G&amp;V'!X31,-'Plan G&amp;V'!X32))-(SUM(Liquiditätsplan!X41:X54,Liquiditätsplan!X62))</f>
        <v>27941.600000000035</v>
      </c>
      <c r="L34" s="468">
        <f t="shared" ref="L34" si="17">IF(K$40=0,0,K34/K$40)</f>
        <v>3.9932932486721898E-3</v>
      </c>
    </row>
    <row r="35" spans="1:13" ht="18.75" customHeight="1" outlineLevel="1" x14ac:dyDescent="0.25">
      <c r="A35" s="921" t="s">
        <v>202</v>
      </c>
      <c r="B35" s="922"/>
      <c r="C35" s="922"/>
      <c r="D35" s="923"/>
      <c r="E35" s="458">
        <f>MAX(0,SUM(E12,E15,E16,E18,-E30,-E33,-E34,-E36))</f>
        <v>35828.961707149159</v>
      </c>
      <c r="F35" s="458">
        <f t="shared" ref="F35:L35" si="18">MAX(0,SUM(F12,F15,F16,F18,-F30,-F33,-F34,-F36))</f>
        <v>0.34983071049180003</v>
      </c>
      <c r="G35" s="458">
        <f t="shared" si="18"/>
        <v>49805.684202056902</v>
      </c>
      <c r="H35" s="458">
        <f t="shared" si="18"/>
        <v>0.11681258295427668</v>
      </c>
      <c r="I35" s="458">
        <f t="shared" si="18"/>
        <v>0</v>
      </c>
      <c r="J35" s="458">
        <f t="shared" si="18"/>
        <v>0</v>
      </c>
      <c r="K35" s="458">
        <f t="shared" si="18"/>
        <v>0</v>
      </c>
      <c r="L35" s="458">
        <f t="shared" si="18"/>
        <v>0</v>
      </c>
    </row>
    <row r="36" spans="1:13" ht="18.75" customHeight="1" outlineLevel="1" thickBot="1" x14ac:dyDescent="0.3">
      <c r="A36" s="918" t="s">
        <v>203</v>
      </c>
      <c r="B36" s="919"/>
      <c r="C36" s="919"/>
      <c r="D36" s="920"/>
      <c r="E36" s="459">
        <f>IF(Liquiditätsplan!Q78&lt;=0,((-Liquiditätsplan!Q78)-Liquiditätsplan!Q82),-Liquiditätsplan!Q82)</f>
        <v>59877.415852346508</v>
      </c>
      <c r="F36" s="463">
        <f t="shared" si="15"/>
        <v>0.58463762085128113</v>
      </c>
      <c r="G36" s="129">
        <f>IF(Liquiditätsplan!V78&lt;=0,((-Liquiditätsplan!V78)-Liquiditätsplan!V82),-Liquiditätsplan!V82)</f>
        <v>0</v>
      </c>
      <c r="H36" s="465">
        <f t="shared" si="15"/>
        <v>0</v>
      </c>
      <c r="I36" s="129">
        <f>IF(Liquiditätsplan!W78&lt;=0,((-Liquiditätsplan!W78)-Liquiditätsplan!W82),-Liquiditätsplan!W82)</f>
        <v>0</v>
      </c>
      <c r="J36" s="463">
        <f t="shared" ref="J36" si="19">IF(I$40=0,0,I36/I$40)</f>
        <v>0</v>
      </c>
      <c r="K36" s="129">
        <f>IF(Liquiditätsplan!X78&lt;=0,((-Liquiditätsplan!X78)-Liquiditätsplan!X82),-Liquiditätsplan!X82)</f>
        <v>0</v>
      </c>
      <c r="L36" s="469">
        <f t="shared" ref="L36" si="20">IF(K$40=0,0,K36/K$40)</f>
        <v>0</v>
      </c>
    </row>
    <row r="37" spans="1:13" ht="7.5" customHeight="1" outlineLevel="1" thickTop="1" thickBot="1" x14ac:dyDescent="0.3">
      <c r="A37" s="927"/>
      <c r="B37" s="928"/>
      <c r="C37" s="928"/>
      <c r="D37" s="929"/>
      <c r="E37" s="447"/>
      <c r="F37" s="464"/>
      <c r="G37" s="448"/>
      <c r="H37" s="466"/>
      <c r="I37" s="448"/>
      <c r="J37" s="464"/>
      <c r="K37" s="448"/>
      <c r="L37" s="470"/>
    </row>
    <row r="38" spans="1:13" ht="18.75" customHeight="1" thickBot="1" x14ac:dyDescent="0.3">
      <c r="A38" s="845" t="s">
        <v>195</v>
      </c>
      <c r="B38" s="846"/>
      <c r="C38" s="846"/>
      <c r="D38" s="847"/>
      <c r="E38" s="453">
        <f>SUM(E33:E37)</f>
        <v>112247.97755949564</v>
      </c>
      <c r="F38" s="454">
        <f t="shared" ref="F38:L38" si="21">SUM(F33:F37)</f>
        <v>1.0959790032952768</v>
      </c>
      <c r="G38" s="455">
        <f t="shared" si="21"/>
        <v>173903.61207102198</v>
      </c>
      <c r="H38" s="456">
        <f t="shared" si="21"/>
        <v>0.40786770499291003</v>
      </c>
      <c r="I38" s="455">
        <f t="shared" si="21"/>
        <v>320361.89508439635</v>
      </c>
      <c r="J38" s="454">
        <f t="shared" si="21"/>
        <v>0.22654957991606992</v>
      </c>
      <c r="K38" s="455">
        <f t="shared" si="21"/>
        <v>1496806.7343082768</v>
      </c>
      <c r="L38" s="457">
        <f t="shared" si="21"/>
        <v>0.21391717821027795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77" t="s">
        <v>208</v>
      </c>
      <c r="B40" s="778"/>
      <c r="C40" s="778"/>
      <c r="D40" s="917"/>
      <c r="E40" s="449">
        <f t="shared" ref="E40:L40" si="22">E38+E30</f>
        <v>102418</v>
      </c>
      <c r="F40" s="471">
        <f t="shared" si="22"/>
        <v>1</v>
      </c>
      <c r="G40" s="450">
        <f t="shared" si="22"/>
        <v>426372.59567791724</v>
      </c>
      <c r="H40" s="471">
        <f t="shared" si="22"/>
        <v>1.0000000000000002</v>
      </c>
      <c r="I40" s="451">
        <f t="shared" si="22"/>
        <v>1414091.7639444806</v>
      </c>
      <c r="J40" s="472">
        <f t="shared" si="22"/>
        <v>1</v>
      </c>
      <c r="K40" s="452">
        <f t="shared" si="22"/>
        <v>6997132.006093191</v>
      </c>
      <c r="L40" s="473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3"/>
      <c r="F41" s="373"/>
      <c r="G41" s="373"/>
      <c r="H41" s="373"/>
      <c r="I41" s="373"/>
      <c r="J41" s="373"/>
      <c r="K41" s="373"/>
      <c r="L41" s="373"/>
    </row>
    <row r="42" spans="1:13" x14ac:dyDescent="0.25">
      <c r="K42" s="373"/>
    </row>
  </sheetData>
  <sheetProtection algorithmName="SHA-512" hashValue="F3oRqb3lF2ZblLWlbP+VN+GGdUMoY6lYpjyn6OZwZ9/dlaxdjGq2+2F2D0VTBkNEsVbMsMNdLbdy7LLKQfhvIg==" saltValue="s6tU0HhnkJS0PwIT50o3UQ==" spinCount="100000" sheet="1" objects="1" scenario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47" t="s">
        <v>216</v>
      </c>
      <c r="B1" s="748"/>
      <c r="C1" s="748"/>
      <c r="D1" s="748"/>
      <c r="E1" s="748"/>
      <c r="F1" s="748"/>
      <c r="G1" s="748"/>
      <c r="H1" s="748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489" t="s">
        <v>112</v>
      </c>
      <c r="B4" s="935" t="s">
        <v>124</v>
      </c>
      <c r="C4" s="935"/>
      <c r="D4" s="936"/>
      <c r="E4" s="6">
        <f>'Plan G&amp;V'!Q47</f>
        <v>-44829.977559495645</v>
      </c>
      <c r="F4" s="71">
        <f>'Plan G&amp;V'!V47</f>
        <v>262298.96116639092</v>
      </c>
      <c r="G4" s="71">
        <f>'Plan G&amp;V'!W47</f>
        <v>841260.88525318913</v>
      </c>
      <c r="H4" s="495">
        <f>'Plan G&amp;V'!X47</f>
        <v>4406595.4029248301</v>
      </c>
    </row>
    <row r="5" spans="1:8" ht="18.75" customHeight="1" x14ac:dyDescent="0.25">
      <c r="A5" s="490" t="s">
        <v>112</v>
      </c>
      <c r="B5" s="870" t="s">
        <v>135</v>
      </c>
      <c r="C5" s="870"/>
      <c r="D5" s="871"/>
      <c r="E5" s="10">
        <f>-'Plan G&amp;V'!Q36</f>
        <v>15100.000000000002</v>
      </c>
      <c r="F5" s="75">
        <f>-'Plan G&amp;V'!V36</f>
        <v>19350</v>
      </c>
      <c r="G5" s="75">
        <f>-'Plan G&amp;V'!W36</f>
        <v>63550</v>
      </c>
      <c r="H5" s="290">
        <f>-'Plan G&amp;V'!X36</f>
        <v>43950</v>
      </c>
    </row>
    <row r="6" spans="1:8" ht="18.75" customHeight="1" thickBot="1" x14ac:dyDescent="0.3">
      <c r="A6" s="490" t="s">
        <v>112</v>
      </c>
      <c r="B6" s="870" t="s">
        <v>214</v>
      </c>
      <c r="C6" s="870"/>
      <c r="D6" s="871"/>
      <c r="E6" s="10">
        <f>Planbilanz!E33</f>
        <v>500</v>
      </c>
      <c r="F6" s="75">
        <f>Planbilanz!G33-Planbilanz!E33</f>
        <v>72156.327868965105</v>
      </c>
      <c r="G6" s="75">
        <f>Planbilanz!I33-Planbilanz!G33</f>
        <v>207763.96721543127</v>
      </c>
      <c r="H6" s="290">
        <f>Planbilanz!K33-Planbilanz!I33</f>
        <v>1188444.8392238803</v>
      </c>
    </row>
    <row r="7" spans="1:8" ht="7.5" customHeight="1" thickTop="1" thickBot="1" x14ac:dyDescent="0.3">
      <c r="A7" s="930"/>
      <c r="B7" s="931"/>
      <c r="C7" s="931"/>
      <c r="D7" s="932"/>
      <c r="E7" s="27"/>
      <c r="F7" s="31"/>
      <c r="G7" s="31"/>
      <c r="H7" s="34"/>
    </row>
    <row r="8" spans="1:8" ht="18.75" customHeight="1" thickBot="1" x14ac:dyDescent="0.3">
      <c r="A8" s="845" t="s">
        <v>215</v>
      </c>
      <c r="B8" s="846"/>
      <c r="C8" s="846"/>
      <c r="D8" s="847"/>
      <c r="E8" s="442">
        <f>SUM(E4:E7)</f>
        <v>-29229.977559495645</v>
      </c>
      <c r="F8" s="444">
        <f>SUM(F4:F7)</f>
        <v>353805.28903535602</v>
      </c>
      <c r="G8" s="444">
        <f>SUM(G4:G7)</f>
        <v>1112574.8524686205</v>
      </c>
      <c r="H8" s="496">
        <f>SUM(H4:H7)</f>
        <v>5638990.2421487104</v>
      </c>
    </row>
    <row r="9" spans="1:8" ht="7.5" customHeight="1" thickBot="1" x14ac:dyDescent="0.3">
      <c r="A9" s="736"/>
      <c r="B9" s="737"/>
      <c r="C9" s="737"/>
      <c r="D9" s="737"/>
      <c r="E9" s="737"/>
      <c r="F9" s="737"/>
      <c r="G9" s="737"/>
      <c r="H9" s="738"/>
    </row>
    <row r="10" spans="1:8" ht="18.75" customHeight="1" x14ac:dyDescent="0.25">
      <c r="A10" s="489" t="s">
        <v>111</v>
      </c>
      <c r="B10" s="935" t="s">
        <v>222</v>
      </c>
      <c r="C10" s="935" t="s">
        <v>217</v>
      </c>
      <c r="D10" s="936" t="s">
        <v>217</v>
      </c>
      <c r="E10" s="499">
        <f>-(Planbilanz!E15)</f>
        <v>0</v>
      </c>
      <c r="F10" s="500">
        <f>-(Planbilanz!G15-Planbilanz!E15)</f>
        <v>0</v>
      </c>
      <c r="G10" s="500">
        <f>-(Planbilanz!I15-Planbilanz!G15)</f>
        <v>0</v>
      </c>
      <c r="H10" s="501">
        <f>-(Planbilanz!K15-Planbilanz!I15)</f>
        <v>0</v>
      </c>
    </row>
    <row r="11" spans="1:8" ht="18.75" customHeight="1" x14ac:dyDescent="0.25">
      <c r="A11" s="490" t="s">
        <v>111</v>
      </c>
      <c r="B11" s="870" t="s">
        <v>223</v>
      </c>
      <c r="C11" s="870" t="s">
        <v>218</v>
      </c>
      <c r="D11" s="871" t="s">
        <v>218</v>
      </c>
      <c r="E11" s="458">
        <f>0-Planbilanz!E16</f>
        <v>-768</v>
      </c>
      <c r="F11" s="75">
        <f>Planbilanz!E16-Planbilanz!G16</f>
        <v>-9656</v>
      </c>
      <c r="G11" s="75">
        <f>Planbilanz!G16-Planbilanz!I16</f>
        <v>208</v>
      </c>
      <c r="H11" s="290">
        <f>Planbilanz!I16-Planbilanz!K16</f>
        <v>-38972</v>
      </c>
    </row>
    <row r="12" spans="1:8" ht="18.75" customHeight="1" x14ac:dyDescent="0.25">
      <c r="A12" s="490" t="s">
        <v>112</v>
      </c>
      <c r="B12" s="870" t="s">
        <v>224</v>
      </c>
      <c r="C12" s="870" t="s">
        <v>219</v>
      </c>
      <c r="D12" s="871" t="s">
        <v>219</v>
      </c>
      <c r="E12" s="458">
        <f>Planbilanz!E34</f>
        <v>16041.599999999977</v>
      </c>
      <c r="F12" s="75">
        <f>Planbilanz!G34-Planbilanz!E34</f>
        <v>35400</v>
      </c>
      <c r="G12" s="75">
        <f>Planbilanz!I34-Planbilanz!G34</f>
        <v>-11499.999999999971</v>
      </c>
      <c r="H12" s="290">
        <f>Planbilanz!K34-Planbilanz!I34</f>
        <v>-11999.999999999971</v>
      </c>
    </row>
    <row r="13" spans="1:8" ht="18.75" customHeight="1" x14ac:dyDescent="0.25">
      <c r="A13" s="493" t="s">
        <v>111</v>
      </c>
      <c r="B13" s="870" t="s">
        <v>225</v>
      </c>
      <c r="C13" s="870" t="s">
        <v>220</v>
      </c>
      <c r="D13" s="871" t="s">
        <v>220</v>
      </c>
      <c r="E13" s="491">
        <f>-Planbilanz!E17</f>
        <v>0</v>
      </c>
      <c r="F13" s="79">
        <f>Planbilanz!E17-Planbilanz!G17</f>
        <v>0</v>
      </c>
      <c r="G13" s="79">
        <f>Planbilanz!G17-Planbilanz!I17</f>
        <v>-28931.799144442339</v>
      </c>
      <c r="H13" s="379">
        <f>Planbilanz!I17-Planbilanz!K17</f>
        <v>-765576.00161940267</v>
      </c>
    </row>
    <row r="14" spans="1:8" ht="18.75" customHeight="1" thickBot="1" x14ac:dyDescent="0.3">
      <c r="A14" s="494" t="s">
        <v>112</v>
      </c>
      <c r="B14" s="873" t="s">
        <v>226</v>
      </c>
      <c r="C14" s="873" t="s">
        <v>221</v>
      </c>
      <c r="D14" s="874" t="s">
        <v>221</v>
      </c>
      <c r="E14" s="459">
        <f>Planbilanz!E35</f>
        <v>35828.961707149159</v>
      </c>
      <c r="F14" s="129">
        <f>Planbilanz!G35-Planbilanz!E35</f>
        <v>13976.722494907743</v>
      </c>
      <c r="G14" s="129">
        <f>Planbilanz!I35-Planbilanz!G35</f>
        <v>-49805.684202056902</v>
      </c>
      <c r="H14" s="497">
        <f>Planbilanz!K35-Planbilanz!I35</f>
        <v>0</v>
      </c>
    </row>
    <row r="15" spans="1:8" ht="7.5" customHeight="1" thickTop="1" thickBot="1" x14ac:dyDescent="0.3">
      <c r="A15" s="927"/>
      <c r="B15" s="928"/>
      <c r="C15" s="928"/>
      <c r="D15" s="929"/>
      <c r="E15" s="447"/>
      <c r="F15" s="448"/>
      <c r="G15" s="448"/>
      <c r="H15" s="498"/>
    </row>
    <row r="16" spans="1:8" ht="18.75" customHeight="1" thickBot="1" x14ac:dyDescent="0.3">
      <c r="A16" s="845" t="s">
        <v>227</v>
      </c>
      <c r="B16" s="846"/>
      <c r="C16" s="846"/>
      <c r="D16" s="847"/>
      <c r="E16" s="442">
        <f>SUM(E10:E15)</f>
        <v>51102.561707149136</v>
      </c>
      <c r="F16" s="444">
        <f>SUM(F9:F15)</f>
        <v>39720.722494907743</v>
      </c>
      <c r="G16" s="444">
        <f>SUM(G9:G15)</f>
        <v>-90029.483346499212</v>
      </c>
      <c r="H16" s="496">
        <f>SUM(H9:H15)</f>
        <v>-816548.00161940267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77" t="s">
        <v>228</v>
      </c>
      <c r="B18" s="778"/>
      <c r="C18" s="778"/>
      <c r="D18" s="917"/>
      <c r="E18" s="449">
        <f>E16+E8</f>
        <v>21872.584147653492</v>
      </c>
      <c r="F18" s="450">
        <f>F16+F8</f>
        <v>393526.01153026376</v>
      </c>
      <c r="G18" s="451">
        <f>G16+G8</f>
        <v>1022545.3691221213</v>
      </c>
      <c r="H18" s="332">
        <f>H16+H8</f>
        <v>4822442.2405293081</v>
      </c>
    </row>
    <row r="19" spans="1:8" x14ac:dyDescent="0.25">
      <c r="E19" s="373"/>
      <c r="F19" s="373"/>
      <c r="G19" s="373"/>
      <c r="H19" s="373"/>
    </row>
    <row r="20" spans="1:8" x14ac:dyDescent="0.25">
      <c r="H20" s="373"/>
    </row>
  </sheetData>
  <sheetProtection algorithmName="SHA-512" hashValue="Qt/eBnO3I5oCbM/8E8VT1F0L4lsjcIh+OtRXkl3tJy3iEz3gOilA5zE2jmzjUO3i7fQww1yrd9i0KnVcckJAsA==" saltValue="JdDOZ+z1xl4V8kvYRyO7ig==" spinCount="100000" sheet="1" objects="1" scenario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L6" sqref="L6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47" t="s">
        <v>229</v>
      </c>
      <c r="B1" s="748"/>
      <c r="C1" s="748"/>
      <c r="D1" s="748"/>
      <c r="E1" s="748"/>
      <c r="F1" s="748"/>
      <c r="G1" s="748"/>
      <c r="H1" s="749"/>
    </row>
    <row r="2" spans="1:8" ht="7.5" customHeight="1" thickBot="1" x14ac:dyDescent="0.3"/>
    <row r="3" spans="1:8" ht="22.5" customHeight="1" thickBot="1" x14ac:dyDescent="0.3">
      <c r="A3" s="486"/>
      <c r="B3" s="487"/>
      <c r="C3" s="487"/>
      <c r="D3" s="488"/>
      <c r="E3" s="485" t="s">
        <v>20</v>
      </c>
      <c r="F3" s="479" t="s">
        <v>25</v>
      </c>
      <c r="G3" s="479" t="s">
        <v>26</v>
      </c>
      <c r="H3" s="478" t="s">
        <v>27</v>
      </c>
    </row>
    <row r="4" spans="1:8" ht="18.75" customHeight="1" thickTop="1" x14ac:dyDescent="0.25">
      <c r="A4" s="940" t="s">
        <v>230</v>
      </c>
      <c r="B4" s="935"/>
      <c r="C4" s="935"/>
      <c r="D4" s="936"/>
      <c r="E4" s="508">
        <f>-'Plan G&amp;V'!Q23/'Plan G&amp;V'!Q18</f>
        <v>0.66425169791920347</v>
      </c>
      <c r="F4" s="509">
        <f>-'Plan G&amp;V'!V23/'Plan G&amp;V'!V18</f>
        <v>0.48343908368218064</v>
      </c>
      <c r="G4" s="509">
        <f>-'Plan G&amp;V'!W23/'Plan G&amp;V'!W18</f>
        <v>0.36016794473209746</v>
      </c>
      <c r="H4" s="510">
        <f>-'Plan G&amp;V'!X23/'Plan G&amp;V'!X18</f>
        <v>0.11464127746205648</v>
      </c>
    </row>
    <row r="5" spans="1:8" ht="7.5" customHeight="1" x14ac:dyDescent="0.25">
      <c r="A5" s="369"/>
      <c r="B5" s="370"/>
      <c r="C5" s="370"/>
      <c r="D5" s="371"/>
      <c r="E5" s="297"/>
      <c r="F5" s="301"/>
      <c r="G5" s="301"/>
      <c r="H5" s="302"/>
    </row>
    <row r="6" spans="1:8" ht="18.75" customHeight="1" x14ac:dyDescent="0.25">
      <c r="A6" s="869" t="s">
        <v>231</v>
      </c>
      <c r="B6" s="870"/>
      <c r="C6" s="870"/>
      <c r="D6" s="871"/>
      <c r="E6" s="511">
        <f>Planbilanz!E30/Planbilanz!E40</f>
        <v>-9.5979003295276658E-2</v>
      </c>
      <c r="F6" s="512">
        <f>Planbilanz!G30/Planbilanz!G40</f>
        <v>0.59213229500709019</v>
      </c>
      <c r="G6" s="512">
        <f>Planbilanz!I30/Planbilanz!I40</f>
        <v>0.77345042008393017</v>
      </c>
      <c r="H6" s="513">
        <f>Planbilanz!K30/Planbilanz!K40</f>
        <v>0.78608282178972211</v>
      </c>
    </row>
    <row r="7" spans="1:8" ht="7.5" customHeight="1" x14ac:dyDescent="0.25">
      <c r="A7" s="502"/>
      <c r="B7" s="503"/>
      <c r="C7" s="503"/>
      <c r="D7" s="504"/>
      <c r="E7" s="505"/>
      <c r="F7" s="506"/>
      <c r="G7" s="506"/>
      <c r="H7" s="507"/>
    </row>
    <row r="8" spans="1:8" ht="18.75" customHeight="1" x14ac:dyDescent="0.25">
      <c r="A8" s="869" t="s">
        <v>232</v>
      </c>
      <c r="B8" s="870"/>
      <c r="C8" s="870"/>
      <c r="D8" s="871"/>
      <c r="E8" s="511">
        <f>Planbilanz!E38/Planbilanz!E40</f>
        <v>1.0959790032952768</v>
      </c>
      <c r="F8" s="512">
        <f>Planbilanz!G38/Planbilanz!G40</f>
        <v>0.40786770499290986</v>
      </c>
      <c r="G8" s="512">
        <f>Planbilanz!I38/Planbilanz!I40</f>
        <v>0.22654957991606989</v>
      </c>
      <c r="H8" s="513">
        <f>Planbilanz!K38/Planbilanz!K40</f>
        <v>0.21391717821027795</v>
      </c>
    </row>
    <row r="9" spans="1:8" ht="7.5" customHeight="1" x14ac:dyDescent="0.25">
      <c r="A9" s="502"/>
      <c r="B9" s="503"/>
      <c r="C9" s="503"/>
      <c r="D9" s="504"/>
      <c r="E9" s="297"/>
      <c r="F9" s="301"/>
      <c r="G9" s="301"/>
      <c r="H9" s="302"/>
    </row>
    <row r="10" spans="1:8" ht="18.75" customHeight="1" x14ac:dyDescent="0.25">
      <c r="A10" s="869" t="s">
        <v>233</v>
      </c>
      <c r="B10" s="870"/>
      <c r="C10" s="870"/>
      <c r="D10" s="871"/>
      <c r="E10" s="514">
        <f>('Plan G&amp;V'!Q38+'Plan G&amp;V'!Q40)/'Plan G&amp;V'!Q18</f>
        <v>-0.10122686904229714</v>
      </c>
      <c r="F10" s="515">
        <f>('Plan G&amp;V'!V38+'Plan G&amp;V'!V40)/'Plan G&amp;V'!V18</f>
        <v>0.33736430859415684</v>
      </c>
      <c r="G10" s="515">
        <f>('Plan G&amp;V'!W38+'Plan G&amp;V'!W40)/'Plan G&amp;V'!W18</f>
        <v>0.54015898302666765</v>
      </c>
      <c r="H10" s="516">
        <f>('Plan G&amp;V'!X38+'Plan G&amp;V'!X40)/'Plan G&amp;V'!X18</f>
        <v>0.85800552603271041</v>
      </c>
    </row>
    <row r="11" spans="1:8" ht="7.5" customHeight="1" x14ac:dyDescent="0.25">
      <c r="A11" s="502"/>
      <c r="B11" s="503"/>
      <c r="C11" s="503"/>
      <c r="D11" s="504"/>
      <c r="E11" s="297"/>
      <c r="F11" s="301"/>
      <c r="G11" s="301"/>
      <c r="H11" s="302"/>
    </row>
    <row r="12" spans="1:8" ht="18.75" customHeight="1" x14ac:dyDescent="0.25">
      <c r="A12" s="869" t="s">
        <v>274</v>
      </c>
      <c r="B12" s="870"/>
      <c r="C12" s="870"/>
      <c r="D12" s="871"/>
      <c r="E12" s="514">
        <f>'Plan G&amp;V'!Q44/'Plan G&amp;V'!Q18</f>
        <v>-0.11245326720790964</v>
      </c>
      <c r="F12" s="515">
        <f>'Plan G&amp;V'!V44/'Plan G&amp;V'!V18</f>
        <v>0.3363345972185493</v>
      </c>
      <c r="G12" s="515">
        <f>'Plan G&amp;V'!W44/'Plan G&amp;V'!W18</f>
        <v>0.54015898302666765</v>
      </c>
      <c r="H12" s="516">
        <f>'Plan G&amp;V'!X44/'Plan G&amp;V'!X18</f>
        <v>0.85800552603271041</v>
      </c>
    </row>
    <row r="13" spans="1:8" ht="7.5" customHeight="1" x14ac:dyDescent="0.25">
      <c r="A13" s="502"/>
      <c r="B13" s="503"/>
      <c r="C13" s="503"/>
      <c r="D13" s="504"/>
      <c r="E13" s="297"/>
      <c r="F13" s="301"/>
      <c r="G13" s="301"/>
      <c r="H13" s="302"/>
    </row>
    <row r="14" spans="1:8" ht="18.75" customHeight="1" thickBot="1" x14ac:dyDescent="0.3">
      <c r="A14" s="937" t="s">
        <v>263</v>
      </c>
      <c r="B14" s="938"/>
      <c r="C14" s="938"/>
      <c r="D14" s="939"/>
      <c r="E14" s="637">
        <f>'Cash Flow'!E18</f>
        <v>21872.584147653492</v>
      </c>
      <c r="F14" s="638">
        <f>'Cash Flow'!F18</f>
        <v>393526.01153026376</v>
      </c>
      <c r="G14" s="638">
        <f>'Cash Flow'!G18</f>
        <v>1022545.3691221213</v>
      </c>
      <c r="H14" s="639">
        <f>'Cash Flow'!H18</f>
        <v>4822442.2405293081</v>
      </c>
    </row>
    <row r="15" spans="1:8" x14ac:dyDescent="0.25">
      <c r="E15" s="373"/>
      <c r="F15" s="373"/>
      <c r="G15" s="373"/>
      <c r="H15" s="373"/>
    </row>
    <row r="16" spans="1:8" x14ac:dyDescent="0.25">
      <c r="E16" s="634"/>
      <c r="H16" s="373"/>
    </row>
  </sheetData>
  <sheetProtection algorithmName="SHA-512" hashValue="b53VdclXwKXRGW8SCVF/vXlEkNC7K/e241Ec26driFIEbhiWBGaXPykwpfZXC2wIt7ZQei4OikTqL+15z8tLLA==" saltValue="t11YU7sFpoUoSvkSuh2h8w==" spinCount="100000" sheet="1" objects="1" scenario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H29"/>
  <sheetViews>
    <sheetView view="pageBreakPreview" topLeftCell="A10" zoomScaleNormal="100" zoomScaleSheetLayoutView="100" workbookViewId="0">
      <selection activeCell="G19" sqref="G19"/>
    </sheetView>
  </sheetViews>
  <sheetFormatPr baseColWidth="10" defaultRowHeight="15" x14ac:dyDescent="0.25"/>
  <cols>
    <col min="1" max="1" width="21.42578125" customWidth="1"/>
    <col min="3" max="3" width="12.28515625" bestFit="1" customWidth="1"/>
    <col min="4" max="5" width="13.140625" bestFit="1" customWidth="1"/>
    <col min="6" max="6" width="14.140625" bestFit="1" customWidth="1"/>
    <col min="7" max="7" width="13.140625" bestFit="1" customWidth="1"/>
  </cols>
  <sheetData>
    <row r="1" spans="1:8" s="39" customFormat="1" ht="27" thickBot="1" x14ac:dyDescent="0.3">
      <c r="A1" s="747" t="s">
        <v>256</v>
      </c>
      <c r="B1" s="748"/>
      <c r="C1" s="748"/>
      <c r="D1" s="748"/>
      <c r="E1" s="748"/>
      <c r="F1" s="749"/>
      <c r="G1" s="287"/>
      <c r="H1" s="287"/>
    </row>
    <row r="2" spans="1:8" ht="7.5" customHeight="1" thickBot="1" x14ac:dyDescent="0.3"/>
    <row r="3" spans="1:8" ht="15.75" thickBot="1" x14ac:dyDescent="0.3">
      <c r="A3" s="641"/>
      <c r="B3" s="682" t="s">
        <v>272</v>
      </c>
      <c r="C3" s="683" t="s">
        <v>20</v>
      </c>
      <c r="D3" s="683" t="s">
        <v>25</v>
      </c>
      <c r="E3" s="683" t="s">
        <v>26</v>
      </c>
      <c r="F3" s="684" t="s">
        <v>27</v>
      </c>
    </row>
    <row r="4" spans="1:8" ht="15.75" thickTop="1" x14ac:dyDescent="0.25">
      <c r="A4" s="685" t="s">
        <v>254</v>
      </c>
      <c r="B4" s="686">
        <v>0</v>
      </c>
      <c r="C4" s="687">
        <f>Liquiditätsplan!Q36</f>
        <v>522613.6333333333</v>
      </c>
      <c r="D4" s="687">
        <f>Liquiditätsplan!V36</f>
        <v>1262169.1700247617</v>
      </c>
      <c r="E4" s="687">
        <f>Liquiditätsplan!W36</f>
        <v>2593947.5491312766</v>
      </c>
      <c r="F4" s="688">
        <f>Liquiditätsplan!X36</f>
        <v>8492868.3985956777</v>
      </c>
    </row>
    <row r="5" spans="1:8" ht="15.75" thickBot="1" x14ac:dyDescent="0.3">
      <c r="A5" s="689" t="s">
        <v>255</v>
      </c>
      <c r="B5" s="690">
        <v>0</v>
      </c>
      <c r="C5" s="691">
        <f>Liquiditätsplan!Q74</f>
        <v>616079.24918567983</v>
      </c>
      <c r="D5" s="691">
        <f>Liquiditätsplan!V74</f>
        <v>953893.15849449788</v>
      </c>
      <c r="E5" s="691">
        <f>Liquiditätsplan!W74</f>
        <v>1626102.1800091555</v>
      </c>
      <c r="F5" s="692">
        <f>Liquiditätsplan!X74</f>
        <v>3645526.1580663691</v>
      </c>
    </row>
    <row r="6" spans="1:8" ht="15.75" thickTop="1" x14ac:dyDescent="0.25">
      <c r="A6" s="693" t="s">
        <v>259</v>
      </c>
      <c r="B6" s="694">
        <v>0</v>
      </c>
      <c r="C6" s="695">
        <f>Liquiditätsplan!Q36</f>
        <v>522613.6333333333</v>
      </c>
      <c r="D6" s="695">
        <f>Liquiditätsplan!V36+C6</f>
        <v>1784782.803358095</v>
      </c>
      <c r="E6" s="695">
        <f>Liquiditätsplan!W36+D6</f>
        <v>4378730.3524893718</v>
      </c>
      <c r="F6" s="696">
        <f>Liquiditätsplan!X36+E6</f>
        <v>12871598.75108505</v>
      </c>
    </row>
    <row r="7" spans="1:8" ht="15.75" thickBot="1" x14ac:dyDescent="0.3">
      <c r="A7" s="697" t="s">
        <v>260</v>
      </c>
      <c r="B7" s="698">
        <v>0</v>
      </c>
      <c r="C7" s="699">
        <f>Liquiditätsplan!Q74</f>
        <v>616079.24918567983</v>
      </c>
      <c r="D7" s="699">
        <f>Liquiditätsplan!V74+C7</f>
        <v>1569972.4076801776</v>
      </c>
      <c r="E7" s="699">
        <f>Liquiditätsplan!W74+D7</f>
        <v>3196074.5876893331</v>
      </c>
      <c r="F7" s="700">
        <f>Liquiditätsplan!X74+E7</f>
        <v>6841600.7457557023</v>
      </c>
    </row>
    <row r="24" spans="1:6" ht="15.75" thickBot="1" x14ac:dyDescent="0.3"/>
    <row r="25" spans="1:6" ht="18.75" customHeight="1" x14ac:dyDescent="0.25">
      <c r="A25" s="941" t="s">
        <v>257</v>
      </c>
      <c r="B25" s="942"/>
      <c r="C25" s="666">
        <f>MAX(C5-C4,D5-D4,E5-E4,F5-F4)</f>
        <v>93465.615852346527</v>
      </c>
      <c r="D25" s="642"/>
      <c r="E25" s="641"/>
      <c r="F25" s="641"/>
    </row>
    <row r="26" spans="1:6" ht="18.75" customHeight="1" thickBot="1" x14ac:dyDescent="0.3">
      <c r="A26" s="943" t="s">
        <v>269</v>
      </c>
      <c r="B26" s="944"/>
      <c r="C26" s="667">
        <f>-MIN(Liquiditätsplan!E78:P78,Liquiditätsplan!R78:U78,Liquiditätsplan!W78,Liquiditätsplan!X78)</f>
        <v>165790.53041401476</v>
      </c>
      <c r="D26" s="642"/>
      <c r="E26" s="641"/>
      <c r="F26" s="641"/>
    </row>
    <row r="29" spans="1:6" x14ac:dyDescent="0.25">
      <c r="B29" s="635"/>
      <c r="C29" s="635"/>
      <c r="D29" s="635"/>
      <c r="E29" s="635"/>
      <c r="F29" s="635"/>
    </row>
  </sheetData>
  <sheetProtection algorithmName="SHA-512" hashValue="bsIJofgZspwZCdR5ORygANmryOwm5e53rSvg1v6VCumk19SyoqrWYLh8WimAoK1s/GdBxDRC9zZ9MAxskxEAYg==" saltValue="AFbZPOJXPcFxwoSgREk4hQ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H29"/>
  <sheetViews>
    <sheetView view="pageBreakPreview" zoomScaleNormal="100" zoomScaleSheetLayoutView="100" workbookViewId="0">
      <selection activeCell="J11" sqref="J11"/>
    </sheetView>
  </sheetViews>
  <sheetFormatPr baseColWidth="10" defaultRowHeight="15" x14ac:dyDescent="0.25"/>
  <cols>
    <col min="1" max="1" width="21.42578125" customWidth="1"/>
    <col min="3" max="3" width="12.28515625" customWidth="1"/>
    <col min="4" max="5" width="13.140625" customWidth="1"/>
    <col min="6" max="6" width="14.140625" customWidth="1"/>
    <col min="7" max="7" width="13.140625" customWidth="1"/>
  </cols>
  <sheetData>
    <row r="1" spans="1:8" s="39" customFormat="1" ht="27" thickBot="1" x14ac:dyDescent="0.3">
      <c r="A1" s="747" t="s">
        <v>256</v>
      </c>
      <c r="B1" s="748"/>
      <c r="C1" s="748"/>
      <c r="D1" s="748"/>
      <c r="E1" s="748"/>
      <c r="F1" s="749"/>
      <c r="G1" s="287"/>
      <c r="H1" s="287"/>
    </row>
    <row r="2" spans="1:8" ht="7.5" customHeight="1" thickBot="1" x14ac:dyDescent="0.3"/>
    <row r="3" spans="1:8" ht="15.75" thickBot="1" x14ac:dyDescent="0.3">
      <c r="A3" s="641"/>
      <c r="B3" s="682" t="s">
        <v>272</v>
      </c>
      <c r="C3" s="683" t="s">
        <v>20</v>
      </c>
      <c r="D3" s="683" t="s">
        <v>25</v>
      </c>
      <c r="E3" s="683" t="s">
        <v>26</v>
      </c>
      <c r="F3" s="684" t="s">
        <v>27</v>
      </c>
    </row>
    <row r="4" spans="1:8" ht="15.75" thickTop="1" x14ac:dyDescent="0.25">
      <c r="A4" s="685" t="s">
        <v>276</v>
      </c>
      <c r="B4" s="686">
        <v>0</v>
      </c>
      <c r="C4" s="687">
        <f>Liquiditätsplan!Q26/(1+Liquiditätsplan!$D$7)+Liquiditätsplan!Q34</f>
        <v>441333.6333333333</v>
      </c>
      <c r="D4" s="687">
        <f>Liquiditätsplan!V26/(1+Liquiditätsplan!$D$7)+Liquiditätsplan!V34</f>
        <v>1056829.1700247617</v>
      </c>
      <c r="E4" s="687">
        <f>Liquiditätsplan!W26/(1+Liquiditätsplan!$D$7)+Liquiditätsplan!W34</f>
        <v>2165787.5491312766</v>
      </c>
      <c r="F4" s="688">
        <f>Liquiditätsplan!X26/(1+Liquiditätsplan!$D$7)+Liquiditätsplan!X34</f>
        <v>7080948.3985956777</v>
      </c>
    </row>
    <row r="5" spans="1:8" ht="15.75" thickBot="1" x14ac:dyDescent="0.3">
      <c r="A5" s="689" t="s">
        <v>277</v>
      </c>
      <c r="B5" s="690">
        <v>0</v>
      </c>
      <c r="C5" s="691">
        <f>Liquiditätsplan!Q74-Liquiditätsplan!Q69</f>
        <v>576079.24918567983</v>
      </c>
      <c r="D5" s="691">
        <f>Liquiditätsplan!V74-Liquiditätsplan!V69</f>
        <v>772099.82516116451</v>
      </c>
      <c r="E5" s="691">
        <f>Liquiditätsplan!W74-Liquiditätsplan!W69</f>
        <v>1231995.5133424888</v>
      </c>
      <c r="F5" s="692">
        <f>Liquiditätsplan!X74-Liquiditätsplan!X69</f>
        <v>2397566.1580663687</v>
      </c>
    </row>
    <row r="6" spans="1:8" ht="15.75" thickTop="1" x14ac:dyDescent="0.25">
      <c r="A6" s="693" t="s">
        <v>278</v>
      </c>
      <c r="B6" s="694">
        <v>0</v>
      </c>
      <c r="C6" s="695">
        <f>C4</f>
        <v>441333.6333333333</v>
      </c>
      <c r="D6" s="695">
        <f>D4+C6</f>
        <v>1498162.803358095</v>
      </c>
      <c r="E6" s="695">
        <f t="shared" ref="E6:F7" si="0">E4+D6</f>
        <v>3663950.3524893718</v>
      </c>
      <c r="F6" s="696">
        <f t="shared" si="0"/>
        <v>10744898.75108505</v>
      </c>
    </row>
    <row r="7" spans="1:8" ht="15.75" thickBot="1" x14ac:dyDescent="0.3">
      <c r="A7" s="697" t="s">
        <v>279</v>
      </c>
      <c r="B7" s="698">
        <v>0</v>
      </c>
      <c r="C7" s="699">
        <f>C5</f>
        <v>576079.24918567983</v>
      </c>
      <c r="D7" s="699">
        <f>D5+C7</f>
        <v>1348179.0743468443</v>
      </c>
      <c r="E7" s="699">
        <f t="shared" si="0"/>
        <v>2580174.5876893331</v>
      </c>
      <c r="F7" s="699">
        <f t="shared" si="0"/>
        <v>4977740.7457557023</v>
      </c>
    </row>
    <row r="24" spans="1:6" ht="15.75" thickBot="1" x14ac:dyDescent="0.3"/>
    <row r="25" spans="1:6" ht="18.75" customHeight="1" x14ac:dyDescent="0.25">
      <c r="A25" s="941" t="s">
        <v>257</v>
      </c>
      <c r="B25" s="942"/>
      <c r="C25" s="666">
        <f>MAX(C5-C4,D5-D4,E5-E4,F5-F4)</f>
        <v>134745.61585234653</v>
      </c>
      <c r="D25" s="642"/>
      <c r="E25" s="641"/>
      <c r="F25" s="641"/>
    </row>
    <row r="26" spans="1:6" ht="18.75" customHeight="1" thickBot="1" x14ac:dyDescent="0.3">
      <c r="A26" s="943" t="s">
        <v>269</v>
      </c>
      <c r="B26" s="944"/>
      <c r="C26" s="667">
        <f>-MIN(Liquiditätsplan!E78:P78,Liquiditätsplan!R78:U78,Liquiditätsplan!W78,Liquiditätsplan!X78)</f>
        <v>165790.53041401476</v>
      </c>
      <c r="D26" s="642"/>
      <c r="E26" s="641"/>
      <c r="F26" s="641"/>
    </row>
    <row r="29" spans="1:6" x14ac:dyDescent="0.25">
      <c r="B29" s="635"/>
      <c r="C29" s="635"/>
      <c r="D29" s="635"/>
      <c r="E29" s="635"/>
      <c r="F29" s="635"/>
    </row>
  </sheetData>
  <sheetProtection algorithmName="SHA-512" hashValue="5r0FGzAUPkh88/gMWtVFJpAXPhrDOHUeEftsSrAhtmDQV0+kb9PRYRPKSsiUDNpvhNeWLSxcQjCDaAnifu1Qqw==" saltValue="7Cx89taZD26kD6T1FMdfhQ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A1:G25"/>
  <sheetViews>
    <sheetView view="pageBreakPreview" zoomScale="85" zoomScaleNormal="100" zoomScaleSheetLayoutView="85" workbookViewId="0">
      <selection activeCell="I19" sqref="I19"/>
    </sheetView>
  </sheetViews>
  <sheetFormatPr baseColWidth="10" defaultRowHeight="15" x14ac:dyDescent="0.25"/>
  <cols>
    <col min="1" max="1" width="63.5703125" bestFit="1" customWidth="1"/>
    <col min="2" max="4" width="11.5703125" bestFit="1" customWidth="1"/>
    <col min="5" max="5" width="13.140625" bestFit="1" customWidth="1"/>
  </cols>
  <sheetData>
    <row r="1" spans="1:7" ht="27" thickBot="1" x14ac:dyDescent="0.3">
      <c r="A1" s="747" t="s">
        <v>262</v>
      </c>
      <c r="B1" s="748"/>
      <c r="C1" s="748"/>
      <c r="D1" s="748"/>
      <c r="E1" s="748"/>
      <c r="F1" s="748"/>
      <c r="G1" s="749"/>
    </row>
    <row r="2" spans="1:7" ht="7.5" customHeight="1" thickBot="1" x14ac:dyDescent="0.3"/>
    <row r="3" spans="1:7" ht="22.5" customHeight="1" thickBot="1" x14ac:dyDescent="0.3">
      <c r="A3" s="641"/>
      <c r="B3" s="668" t="s">
        <v>20</v>
      </c>
      <c r="C3" s="669" t="s">
        <v>25</v>
      </c>
      <c r="D3" s="669" t="s">
        <v>26</v>
      </c>
      <c r="E3" s="670" t="s">
        <v>27</v>
      </c>
    </row>
    <row r="4" spans="1:7" ht="18.75" customHeight="1" thickTop="1" x14ac:dyDescent="0.25">
      <c r="A4" s="671" t="str">
        <f>Liquiditätsplan!A40</f>
        <v>Personalkosten</v>
      </c>
      <c r="B4" s="651">
        <f>Liquiditätsplan!Q40</f>
        <v>261853.33333333334</v>
      </c>
      <c r="C4" s="652">
        <f>Liquiditätsplan!V40</f>
        <v>481456.5</v>
      </c>
      <c r="D4" s="652">
        <f>Liquiditätsplan!W40</f>
        <v>747916.11</v>
      </c>
      <c r="E4" s="674">
        <f>Liquiditätsplan!X40</f>
        <v>785041.91549999989</v>
      </c>
    </row>
    <row r="5" spans="1:7" ht="18.75" customHeight="1" x14ac:dyDescent="0.25">
      <c r="A5" s="672" t="str">
        <f>Liquiditätsplan!A41</f>
        <v>Materialeinsatz</v>
      </c>
      <c r="B5" s="653">
        <f>Liquiditätsplan!Q41</f>
        <v>0</v>
      </c>
      <c r="C5" s="654">
        <f>Liquiditätsplan!V41</f>
        <v>0</v>
      </c>
      <c r="D5" s="654">
        <f>Liquiditätsplan!W41</f>
        <v>0</v>
      </c>
      <c r="E5" s="675">
        <f>Liquiditätsplan!X41</f>
        <v>0</v>
      </c>
    </row>
    <row r="6" spans="1:7" ht="18.75" customHeight="1" x14ac:dyDescent="0.25">
      <c r="A6" s="672" t="str">
        <f>Liquiditätsplan!A42</f>
        <v>Roh-, Betriebs- uns Hilfsstoffe</v>
      </c>
      <c r="B6" s="653">
        <f>Liquiditätsplan!Q42</f>
        <v>0</v>
      </c>
      <c r="C6" s="654">
        <f>Liquiditätsplan!V42</f>
        <v>0</v>
      </c>
      <c r="D6" s="654">
        <f>Liquiditätsplan!W42</f>
        <v>0</v>
      </c>
      <c r="E6" s="675">
        <f>Liquiditätsplan!X42</f>
        <v>0</v>
      </c>
    </row>
    <row r="7" spans="1:7" ht="18.75" customHeight="1" x14ac:dyDescent="0.25">
      <c r="A7" s="672" t="str">
        <f>Liquiditätsplan!A43</f>
        <v>Sonstige betriebliche Aufwendungen
(Miete, Pacht, Betriebskosten)</v>
      </c>
      <c r="B7" s="653">
        <f>Liquiditätsplan!Q43</f>
        <v>15252</v>
      </c>
      <c r="C7" s="654">
        <f>Liquiditätsplan!V43</f>
        <v>15252</v>
      </c>
      <c r="D7" s="654">
        <f>Liquiditätsplan!W43</f>
        <v>15252</v>
      </c>
      <c r="E7" s="675">
        <f>Liquiditätsplan!X43</f>
        <v>15252</v>
      </c>
    </row>
    <row r="8" spans="1:7" ht="18.75" customHeight="1" x14ac:dyDescent="0.25">
      <c r="A8" s="672" t="str">
        <f>Liquiditätsplan!A44</f>
        <v>Instandhaltung</v>
      </c>
      <c r="B8" s="653">
        <f>Liquiditätsplan!Q44</f>
        <v>2000</v>
      </c>
      <c r="C8" s="654">
        <f>Liquiditätsplan!V44</f>
        <v>2000</v>
      </c>
      <c r="D8" s="654">
        <f>Liquiditätsplan!W44</f>
        <v>2000</v>
      </c>
      <c r="E8" s="675">
        <f>Liquiditätsplan!X44</f>
        <v>2000</v>
      </c>
    </row>
    <row r="9" spans="1:7" ht="18.75" customHeight="1" x14ac:dyDescent="0.25">
      <c r="A9" s="672" t="str">
        <f>Liquiditätsplan!A45</f>
        <v>Kfz-Kosten und Reisekosten</v>
      </c>
      <c r="B9" s="653">
        <f>Liquiditätsplan!Q45</f>
        <v>7500</v>
      </c>
      <c r="C9" s="654">
        <f>Liquiditätsplan!V45</f>
        <v>11500</v>
      </c>
      <c r="D9" s="654">
        <f>Liquiditätsplan!W45</f>
        <v>14000</v>
      </c>
      <c r="E9" s="675">
        <f>Liquiditätsplan!X45</f>
        <v>14000</v>
      </c>
    </row>
    <row r="10" spans="1:7" ht="18.75" customHeight="1" x14ac:dyDescent="0.25">
      <c r="A10" s="672" t="str">
        <f>Liquiditätsplan!A46</f>
        <v>Büromaterial</v>
      </c>
      <c r="B10" s="653">
        <f>Liquiditätsplan!Q46</f>
        <v>40800</v>
      </c>
      <c r="C10" s="654">
        <f>Liquiditätsplan!V46</f>
        <v>40800</v>
      </c>
      <c r="D10" s="654">
        <f>Liquiditätsplan!W46</f>
        <v>40800</v>
      </c>
      <c r="E10" s="675">
        <f>Liquiditätsplan!X46</f>
        <v>40800</v>
      </c>
    </row>
    <row r="11" spans="1:7" ht="18.75" customHeight="1" x14ac:dyDescent="0.25">
      <c r="A11" s="672" t="str">
        <f>Liquiditätsplan!A47</f>
        <v>Telefon / Fax / Internet</v>
      </c>
      <c r="B11" s="653">
        <f>Liquiditätsplan!Q47</f>
        <v>7056</v>
      </c>
      <c r="C11" s="654">
        <f>Liquiditätsplan!V47</f>
        <v>7056</v>
      </c>
      <c r="D11" s="654">
        <f>Liquiditätsplan!W47</f>
        <v>7056</v>
      </c>
      <c r="E11" s="675">
        <f>Liquiditätsplan!X47</f>
        <v>7056</v>
      </c>
    </row>
    <row r="12" spans="1:7" ht="18.75" customHeight="1" x14ac:dyDescent="0.25">
      <c r="A12" s="672" t="str">
        <f>Liquiditätsplan!A48</f>
        <v>Steuer- und Rechtsberatung</v>
      </c>
      <c r="B12" s="653">
        <f>Liquiditätsplan!Q48</f>
        <v>8600</v>
      </c>
      <c r="C12" s="654">
        <f>Liquiditätsplan!V48</f>
        <v>6600</v>
      </c>
      <c r="D12" s="654">
        <f>Liquiditätsplan!W48</f>
        <v>6600</v>
      </c>
      <c r="E12" s="675">
        <f>Liquiditätsplan!X48</f>
        <v>6600</v>
      </c>
    </row>
    <row r="13" spans="1:7" ht="18.75" customHeight="1" x14ac:dyDescent="0.25">
      <c r="A13" s="672" t="str">
        <f>Liquiditätsplan!A49</f>
        <v>Werbungskosten</v>
      </c>
      <c r="B13" s="653">
        <f>Liquiditätsplan!Q49</f>
        <v>40000</v>
      </c>
      <c r="C13" s="654">
        <f>Liquiditätsplan!V49</f>
        <v>40000</v>
      </c>
      <c r="D13" s="654">
        <f>Liquiditätsplan!W49</f>
        <v>40000</v>
      </c>
      <c r="E13" s="675">
        <f>Liquiditätsplan!X49</f>
        <v>40000</v>
      </c>
    </row>
    <row r="14" spans="1:7" ht="18.75" customHeight="1" x14ac:dyDescent="0.25">
      <c r="A14" s="672" t="str">
        <f>Liquiditätsplan!A50</f>
        <v>Gebühren, Kammerbeiträge</v>
      </c>
      <c r="B14" s="653">
        <f>Liquiditätsplan!Q50</f>
        <v>2751.1082580924999</v>
      </c>
      <c r="C14" s="654">
        <f>Liquiditätsplan!V50</f>
        <v>2751.1082580924999</v>
      </c>
      <c r="D14" s="654">
        <f>Liquiditätsplan!W50</f>
        <v>2751.1082580924999</v>
      </c>
      <c r="E14" s="675">
        <f>Liquiditätsplan!X50</f>
        <v>2751.1082580924999</v>
      </c>
    </row>
    <row r="15" spans="1:7" ht="18.75" customHeight="1" x14ac:dyDescent="0.25">
      <c r="A15" s="672" t="str">
        <f>Liquiditätsplan!A51</f>
        <v>Betriebsversicherung</v>
      </c>
      <c r="B15" s="653">
        <f>Liquiditätsplan!Q51</f>
        <v>0</v>
      </c>
      <c r="C15" s="654">
        <f>Liquiditätsplan!V51</f>
        <v>0</v>
      </c>
      <c r="D15" s="654">
        <f>Liquiditätsplan!W51</f>
        <v>0</v>
      </c>
      <c r="E15" s="675">
        <f>Liquiditätsplan!X51</f>
        <v>0</v>
      </c>
    </row>
    <row r="16" spans="1:7" ht="18.75" customHeight="1" x14ac:dyDescent="0.25">
      <c r="A16" s="672" t="str">
        <f>Liquiditätsplan!A52</f>
        <v>Leasinggebühren</v>
      </c>
      <c r="B16" s="653">
        <f>Liquiditätsplan!Q52</f>
        <v>18000</v>
      </c>
      <c r="C16" s="654">
        <f>Liquiditätsplan!V52</f>
        <v>0</v>
      </c>
      <c r="D16" s="654">
        <f>Liquiditätsplan!W52</f>
        <v>0</v>
      </c>
      <c r="E16" s="675">
        <f>Liquiditätsplan!X52</f>
        <v>0</v>
      </c>
    </row>
    <row r="17" spans="1:5" ht="18.75" customHeight="1" x14ac:dyDescent="0.25">
      <c r="A17" s="672" t="str">
        <f>Liquiditätsplan!A53</f>
        <v>Spesen-, Bank-, Kreditgebühren</v>
      </c>
      <c r="B17" s="653">
        <f>Liquiditätsplan!Q53</f>
        <v>200</v>
      </c>
      <c r="C17" s="654">
        <f>Liquiditätsplan!V53</f>
        <v>200</v>
      </c>
      <c r="D17" s="654">
        <f>Liquiditätsplan!W53</f>
        <v>200</v>
      </c>
      <c r="E17" s="675">
        <f>Liquiditätsplan!X53</f>
        <v>200</v>
      </c>
    </row>
    <row r="18" spans="1:5" ht="18.75" customHeight="1" x14ac:dyDescent="0.25">
      <c r="A18" s="672" t="str">
        <f>Liquiditätsplan!A54</f>
        <v>Sonstige Kosten</v>
      </c>
      <c r="B18" s="653">
        <f>Liquiditätsplan!Q54</f>
        <v>15000</v>
      </c>
      <c r="C18" s="654">
        <f>Liquiditätsplan!V54</f>
        <v>15000</v>
      </c>
      <c r="D18" s="654">
        <f>Liquiditätsplan!W54</f>
        <v>15000</v>
      </c>
      <c r="E18" s="675">
        <f>Liquiditätsplan!X54</f>
        <v>15000</v>
      </c>
    </row>
    <row r="19" spans="1:5" ht="18.75" customHeight="1" x14ac:dyDescent="0.25">
      <c r="A19" s="672" t="str">
        <f>Liquiditätsplan!A59</f>
        <v>Vorsteuerabzugsfähige Investitionen</v>
      </c>
      <c r="B19" s="653">
        <f>Liquiditätsplan!Q59</f>
        <v>117600</v>
      </c>
      <c r="C19" s="654">
        <f>Liquiditätsplan!V59</f>
        <v>24000</v>
      </c>
      <c r="D19" s="654">
        <f>Liquiditätsplan!W59</f>
        <v>0</v>
      </c>
      <c r="E19" s="675">
        <f>Liquiditätsplan!X59</f>
        <v>0</v>
      </c>
    </row>
    <row r="20" spans="1:5" ht="18.75" customHeight="1" x14ac:dyDescent="0.25">
      <c r="A20" s="672" t="str">
        <f>Liquiditätsplan!A60</f>
        <v>Nicht vorsteuerabzugsfähige Investitionen</v>
      </c>
      <c r="B20" s="653">
        <f>Liquiditätsplan!Q60</f>
        <v>35000</v>
      </c>
      <c r="C20" s="654">
        <f>Liquiditätsplan!V60</f>
        <v>120000</v>
      </c>
      <c r="D20" s="654">
        <f>Liquiditätsplan!W60</f>
        <v>60000</v>
      </c>
      <c r="E20" s="675">
        <f>Liquiditätsplan!X60</f>
        <v>0</v>
      </c>
    </row>
    <row r="21" spans="1:5" ht="18.75" customHeight="1" x14ac:dyDescent="0.25">
      <c r="A21" s="672" t="str">
        <f>Liquiditätsplan!A65</f>
        <v>Sollzinsen Kontokorrentkredit</v>
      </c>
      <c r="B21" s="653">
        <f>Liquiditätsplan!Q65</f>
        <v>3966.8075942539822</v>
      </c>
      <c r="C21" s="654">
        <f>Liquiditätsplan!V65</f>
        <v>1484.2169030720329</v>
      </c>
      <c r="D21" s="654">
        <f>Liquiditätsplan!W65</f>
        <v>0</v>
      </c>
      <c r="E21" s="675">
        <f>Liquiditätsplan!X65</f>
        <v>0</v>
      </c>
    </row>
    <row r="22" spans="1:5" ht="18.75" customHeight="1" x14ac:dyDescent="0.25">
      <c r="A22" s="672" t="str">
        <f>Liquiditätsplan!A66</f>
        <v>Zinsen Einmalkredit</v>
      </c>
      <c r="B22" s="653">
        <f>Liquiditätsplan!Q66</f>
        <v>0</v>
      </c>
      <c r="C22" s="654">
        <f>Liquiditätsplan!V66</f>
        <v>0</v>
      </c>
      <c r="D22" s="654">
        <f>Liquiditätsplan!W66</f>
        <v>0</v>
      </c>
      <c r="E22" s="675">
        <f>Liquiditätsplan!X66</f>
        <v>0</v>
      </c>
    </row>
    <row r="23" spans="1:5" ht="18.75" customHeight="1" x14ac:dyDescent="0.25">
      <c r="A23" s="672" t="str">
        <f>Liquiditätsplan!A67</f>
        <v>KöSt. / Ertragssteuer</v>
      </c>
      <c r="B23" s="653">
        <f>Liquiditätsplan!Q67</f>
        <v>500.00000000000006</v>
      </c>
      <c r="C23" s="654">
        <f>Liquiditätsplan!V67</f>
        <v>4000</v>
      </c>
      <c r="D23" s="654">
        <f>Liquiditätsplan!W67</f>
        <v>280420.29508439638</v>
      </c>
      <c r="E23" s="675">
        <f>Liquiditätsplan!X67</f>
        <v>1468865.1343082767</v>
      </c>
    </row>
    <row r="24" spans="1:5" ht="18.75" customHeight="1" x14ac:dyDescent="0.25">
      <c r="A24" s="672" t="str">
        <f>Liquiditätsplan!A68</f>
        <v>Kredittilgung</v>
      </c>
      <c r="B24" s="653">
        <f>Liquiditätsplan!Q68</f>
        <v>0</v>
      </c>
      <c r="C24" s="654">
        <f>Liquiditätsplan!V68</f>
        <v>0</v>
      </c>
      <c r="D24" s="654">
        <f>Liquiditätsplan!W68</f>
        <v>0</v>
      </c>
      <c r="E24" s="675">
        <f>Liquiditätsplan!X68</f>
        <v>0</v>
      </c>
    </row>
    <row r="25" spans="1:5" ht="18.75" customHeight="1" thickBot="1" x14ac:dyDescent="0.3">
      <c r="A25" s="673" t="str">
        <f>Liquiditätsplan!A69</f>
        <v>Umsatzsteuer</v>
      </c>
      <c r="B25" s="676">
        <f>Liquiditätsplan!Q69</f>
        <v>40000.000000000007</v>
      </c>
      <c r="C25" s="677">
        <f>Liquiditätsplan!V69</f>
        <v>181793.33333333334</v>
      </c>
      <c r="D25" s="677">
        <f>Liquiditätsplan!W69</f>
        <v>394106.66666666669</v>
      </c>
      <c r="E25" s="678">
        <f>Liquiditätsplan!X69</f>
        <v>1247960.0000000002</v>
      </c>
    </row>
  </sheetData>
  <sheetProtection algorithmName="SHA-512" hashValue="BZPeGJsQk8mbrzQcoBjAgDbBn1J7V2ekhr9/wPgtHOPoK6tonUP+oL3l8iptuoO94W7C9XKNnRg4vlcu/VuxuQ==" saltValue="eJQ3x1O8TUw38E/BqrJvFw==" spinCount="100000" sheet="1" objects="1" scenarios="1"/>
  <mergeCells count="1">
    <mergeCell ref="A1:G1"/>
  </mergeCells>
  <pageMargins left="0.7" right="0.7" top="0.78740157499999996" bottom="0.78740157499999996" header="0.3" footer="0.3"/>
  <pageSetup paperSize="8" fitToHeight="0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wt5KJAiLOqknCFBLQjxItnnRYpJB2ipu8kGhM2TBHCGz9YwJj8KrorDrBMxyuodBmKtCnxHdtiFNPHB77LgJvg==" saltValue="MKu4+9o+c608qQ5umWdQL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17</vt:i4>
      </vt:variant>
    </vt:vector>
  </HeadingPairs>
  <TitlesOfParts>
    <vt:vector size="30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Break-Even-Point (netto)</vt:lpstr>
      <vt:lpstr>Aufteilung Aufwände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'Break-Even-Point (netto)'!Druckbereich</vt:lpstr>
      <vt:lpstr>'Cash Flow'!Druckbereich</vt:lpstr>
      <vt:lpstr>Investitionsplan!Druckbereich</vt:lpstr>
      <vt:lpstr>Kennzahlen!Druckbereich</vt:lpstr>
      <vt:lpstr>Liquiditätsplan!Druckbereich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2018-01-15T22:16:09Z</cp:lastPrinted>
  <dcterms:created xsi:type="dcterms:W3CDTF">2017-11-17T17:38:13Z</dcterms:created>
  <dcterms:modified xsi:type="dcterms:W3CDTF">2018-01-17T18:10:26Z</dcterms:modified>
</cp:coreProperties>
</file>